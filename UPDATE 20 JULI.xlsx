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N\Documents\Projek\Projectg\AWAKENING\"/>
    </mc:Choice>
  </mc:AlternateContent>
  <xr:revisionPtr revIDLastSave="0" documentId="13_ncr:1_{2E0AE4CF-4848-465D-973E-7F4A52C6606F}" xr6:coauthVersionLast="47" xr6:coauthVersionMax="47" xr10:uidLastSave="{00000000-0000-0000-0000-000000000000}"/>
  <bookViews>
    <workbookView xWindow="-96" yWindow="264" windowWidth="23232" windowHeight="12792" xr2:uid="{B793076F-8D73-466D-B30A-FF91CE4E6F62}"/>
  </bookViews>
  <sheets>
    <sheet name="DATA" sheetId="1" r:id="rId1"/>
    <sheet name="TARGET" sheetId="5" r:id="rId2"/>
    <sheet name="BIO" sheetId="4" r:id="rId3"/>
    <sheet name="JULY VISIT" sheetId="6" r:id="rId4"/>
    <sheet name="MTD OSA | 3GB" sheetId="7" r:id="rId5"/>
    <sheet name="LMTD OSA | 3GB" sheetId="3" r:id="rId6"/>
    <sheet name="BIO WAHYU" sheetId="8" r:id="rId7"/>
  </sheets>
  <definedNames>
    <definedName name="_xlnm._FilterDatabase" localSheetId="0" hidden="1">DATA!$B$1:$M$146</definedName>
  </definedNames>
  <calcPr calcId="191029"/>
  <pivotCaches>
    <pivotCache cacheId="12" r:id="rId8"/>
    <pivotCache cacheId="1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J131" i="1" s="1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J17" i="1" s="1"/>
  <c r="L17" i="1" s="1"/>
  <c r="C39" i="4"/>
  <c r="C40" i="4"/>
  <c r="C41" i="4"/>
  <c r="C42" i="4"/>
  <c r="C43" i="4"/>
  <c r="C44" i="4"/>
  <c r="C45" i="4"/>
  <c r="C46" i="4"/>
  <c r="C47" i="4"/>
  <c r="C48" i="4"/>
  <c r="C49" i="4"/>
  <c r="C50" i="4"/>
  <c r="J137" i="1" s="1"/>
  <c r="L137" i="1" s="1"/>
  <c r="C51" i="4"/>
  <c r="C52" i="4"/>
  <c r="C53" i="4"/>
  <c r="C54" i="4"/>
  <c r="C55" i="4"/>
  <c r="C56" i="4"/>
  <c r="C57" i="4"/>
  <c r="C58" i="4"/>
  <c r="C59" i="4"/>
  <c r="J8" i="1" s="1"/>
  <c r="C60" i="4"/>
  <c r="C61" i="4"/>
  <c r="C62" i="4"/>
  <c r="J29" i="1" s="1"/>
  <c r="L29" i="1" s="1"/>
  <c r="C63" i="4"/>
  <c r="C64" i="4"/>
  <c r="C65" i="4"/>
  <c r="C66" i="4"/>
  <c r="C67" i="4"/>
  <c r="C68" i="4"/>
  <c r="C69" i="4"/>
  <c r="C70" i="4"/>
  <c r="C71" i="4"/>
  <c r="J66" i="1" s="1"/>
  <c r="C72" i="4"/>
  <c r="C73" i="4"/>
  <c r="C74" i="4"/>
  <c r="J90" i="1" s="1"/>
  <c r="C75" i="4"/>
  <c r="C76" i="4"/>
  <c r="C77" i="4"/>
  <c r="C78" i="4"/>
  <c r="C79" i="4"/>
  <c r="C80" i="4"/>
  <c r="C81" i="4"/>
  <c r="C82" i="4"/>
  <c r="C83" i="4"/>
  <c r="J118" i="1" s="1"/>
  <c r="C84" i="4"/>
  <c r="C85" i="4"/>
  <c r="C86" i="4"/>
  <c r="C87" i="4"/>
  <c r="C88" i="4"/>
  <c r="C89" i="4"/>
  <c r="C90" i="4"/>
  <c r="C91" i="4"/>
  <c r="C92" i="4"/>
  <c r="C93" i="4"/>
  <c r="C94" i="4"/>
  <c r="C95" i="4"/>
  <c r="J91" i="1" s="1"/>
  <c r="L91" i="1" s="1"/>
  <c r="C96" i="4"/>
  <c r="C97" i="4"/>
  <c r="C98" i="4"/>
  <c r="J55" i="1" s="1"/>
  <c r="L55" i="1" s="1"/>
  <c r="C99" i="4"/>
  <c r="C100" i="4"/>
  <c r="C101" i="4"/>
  <c r="C102" i="4"/>
  <c r="C103" i="4"/>
  <c r="C104" i="4"/>
  <c r="C105" i="4"/>
  <c r="C106" i="4"/>
  <c r="C107" i="4"/>
  <c r="J94" i="1" s="1"/>
  <c r="C108" i="4"/>
  <c r="C109" i="4"/>
  <c r="C110" i="4"/>
  <c r="J121" i="1" s="1"/>
  <c r="C111" i="4"/>
  <c r="C112" i="4"/>
  <c r="C113" i="4"/>
  <c r="C114" i="4"/>
  <c r="C115" i="4"/>
  <c r="C116" i="4"/>
  <c r="C117" i="4"/>
  <c r="C118" i="4"/>
  <c r="C119" i="4"/>
  <c r="J97" i="1" s="1"/>
  <c r="C120" i="4"/>
  <c r="C121" i="4"/>
  <c r="C122" i="4"/>
  <c r="J6" i="1" s="1"/>
  <c r="C123" i="4"/>
  <c r="C124" i="4"/>
  <c r="C125" i="4"/>
  <c r="C126" i="4"/>
  <c r="C127" i="4"/>
  <c r="C128" i="4"/>
  <c r="C129" i="4"/>
  <c r="C130" i="4"/>
  <c r="C131" i="4"/>
  <c r="J142" i="1" s="1"/>
  <c r="C132" i="4"/>
  <c r="C133" i="4"/>
  <c r="C134" i="4"/>
  <c r="J23" i="1" s="1"/>
  <c r="C135" i="4"/>
  <c r="C136" i="4"/>
  <c r="C137" i="4"/>
  <c r="C138" i="4"/>
  <c r="C139" i="4"/>
  <c r="C140" i="4"/>
  <c r="C141" i="4"/>
  <c r="C142" i="4"/>
  <c r="C143" i="4"/>
  <c r="J115" i="1" s="1"/>
  <c r="C144" i="4"/>
  <c r="C145" i="4"/>
  <c r="C146" i="4"/>
  <c r="J102" i="1" s="1"/>
  <c r="C2" i="4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L22" i="1" s="1"/>
  <c r="K23" i="1"/>
  <c r="K24" i="1"/>
  <c r="K25" i="1"/>
  <c r="K26" i="1"/>
  <c r="K27" i="1"/>
  <c r="K28" i="1"/>
  <c r="K29" i="1"/>
  <c r="K30" i="1"/>
  <c r="K31" i="1"/>
  <c r="K32" i="1"/>
  <c r="K33" i="1"/>
  <c r="K34" i="1"/>
  <c r="L34" i="1" s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L58" i="1" s="1"/>
  <c r="K59" i="1"/>
  <c r="K60" i="1"/>
  <c r="K61" i="1"/>
  <c r="K62" i="1"/>
  <c r="K63" i="1"/>
  <c r="K64" i="1"/>
  <c r="K65" i="1"/>
  <c r="K66" i="1"/>
  <c r="K67" i="1"/>
  <c r="K68" i="1"/>
  <c r="K69" i="1"/>
  <c r="K70" i="1"/>
  <c r="L70" i="1" s="1"/>
  <c r="K71" i="1"/>
  <c r="K72" i="1"/>
  <c r="K73" i="1"/>
  <c r="K74" i="1"/>
  <c r="K75" i="1"/>
  <c r="K76" i="1"/>
  <c r="K77" i="1"/>
  <c r="K78" i="1"/>
  <c r="K79" i="1"/>
  <c r="K80" i="1"/>
  <c r="K81" i="1"/>
  <c r="K82" i="1"/>
  <c r="L82" i="1" s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L106" i="1" s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2" i="1"/>
  <c r="J3" i="1"/>
  <c r="J4" i="1"/>
  <c r="J5" i="1"/>
  <c r="J7" i="1"/>
  <c r="J9" i="1"/>
  <c r="J10" i="1"/>
  <c r="J11" i="1"/>
  <c r="L11" i="1" s="1"/>
  <c r="J12" i="1"/>
  <c r="L12" i="1" s="1"/>
  <c r="J13" i="1"/>
  <c r="J14" i="1"/>
  <c r="J15" i="1"/>
  <c r="J16" i="1"/>
  <c r="J18" i="1"/>
  <c r="J19" i="1"/>
  <c r="J20" i="1"/>
  <c r="J21" i="1"/>
  <c r="J22" i="1"/>
  <c r="J24" i="1"/>
  <c r="J25" i="1"/>
  <c r="J26" i="1"/>
  <c r="J27" i="1"/>
  <c r="J28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6" i="1"/>
  <c r="J57" i="1"/>
  <c r="J58" i="1"/>
  <c r="J59" i="1"/>
  <c r="L59" i="1" s="1"/>
  <c r="J60" i="1"/>
  <c r="L60" i="1" s="1"/>
  <c r="J61" i="1"/>
  <c r="J62" i="1"/>
  <c r="J63" i="1"/>
  <c r="J64" i="1"/>
  <c r="J65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2" i="1"/>
  <c r="L92" i="1" s="1"/>
  <c r="J93" i="1"/>
  <c r="L93" i="1" s="1"/>
  <c r="J95" i="1"/>
  <c r="J96" i="1"/>
  <c r="J98" i="1"/>
  <c r="J99" i="1"/>
  <c r="J100" i="1"/>
  <c r="J101" i="1"/>
  <c r="J103" i="1"/>
  <c r="J104" i="1"/>
  <c r="J105" i="1"/>
  <c r="J106" i="1"/>
  <c r="J107" i="1"/>
  <c r="L107" i="1" s="1"/>
  <c r="J108" i="1"/>
  <c r="L108" i="1" s="1"/>
  <c r="J109" i="1"/>
  <c r="J110" i="1"/>
  <c r="J111" i="1"/>
  <c r="J112" i="1"/>
  <c r="J113" i="1"/>
  <c r="J114" i="1"/>
  <c r="J116" i="1"/>
  <c r="J117" i="1"/>
  <c r="J119" i="1"/>
  <c r="J120" i="1"/>
  <c r="J122" i="1"/>
  <c r="J123" i="1"/>
  <c r="J124" i="1"/>
  <c r="J125" i="1"/>
  <c r="J126" i="1"/>
  <c r="J127" i="1"/>
  <c r="J128" i="1"/>
  <c r="J129" i="1"/>
  <c r="J130" i="1"/>
  <c r="J132" i="1"/>
  <c r="J133" i="1"/>
  <c r="J134" i="1"/>
  <c r="J135" i="1"/>
  <c r="J136" i="1"/>
  <c r="J138" i="1"/>
  <c r="J139" i="1"/>
  <c r="J140" i="1"/>
  <c r="L140" i="1" s="1"/>
  <c r="J141" i="1"/>
  <c r="J143" i="1"/>
  <c r="J144" i="1"/>
  <c r="J145" i="1"/>
  <c r="J146" i="1"/>
  <c r="J2" i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2" i="8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L3" i="1"/>
  <c r="L4" i="1"/>
  <c r="L5" i="1"/>
  <c r="L7" i="1"/>
  <c r="L10" i="1"/>
  <c r="L15" i="1"/>
  <c r="L16" i="1"/>
  <c r="L27" i="1"/>
  <c r="L28" i="1"/>
  <c r="L39" i="1"/>
  <c r="L40" i="1"/>
  <c r="L41" i="1"/>
  <c r="L43" i="1"/>
  <c r="L44" i="1"/>
  <c r="L45" i="1"/>
  <c r="L51" i="1"/>
  <c r="L52" i="1"/>
  <c r="L53" i="1"/>
  <c r="L63" i="1"/>
  <c r="L64" i="1"/>
  <c r="L65" i="1"/>
  <c r="L75" i="1"/>
  <c r="L76" i="1"/>
  <c r="L77" i="1"/>
  <c r="L87" i="1"/>
  <c r="L88" i="1"/>
  <c r="L89" i="1"/>
  <c r="L99" i="1"/>
  <c r="L100" i="1"/>
  <c r="L101" i="1"/>
  <c r="L103" i="1"/>
  <c r="L111" i="1"/>
  <c r="L112" i="1"/>
  <c r="L113" i="1"/>
  <c r="L123" i="1"/>
  <c r="L124" i="1"/>
  <c r="L125" i="1"/>
  <c r="L135" i="1"/>
  <c r="L13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M2" i="1"/>
  <c r="L141" i="1" l="1"/>
  <c r="L118" i="1"/>
  <c r="L144" i="1"/>
  <c r="L132" i="1"/>
  <c r="L120" i="1"/>
  <c r="L96" i="1"/>
  <c r="L84" i="1"/>
  <c r="L72" i="1"/>
  <c r="L48" i="1"/>
  <c r="L36" i="1"/>
  <c r="L24" i="1"/>
  <c r="L143" i="1"/>
  <c r="L131" i="1"/>
  <c r="L119" i="1"/>
  <c r="L95" i="1"/>
  <c r="L83" i="1"/>
  <c r="L71" i="1"/>
  <c r="L47" i="1"/>
  <c r="L35" i="1"/>
  <c r="L23" i="1"/>
  <c r="L142" i="1"/>
  <c r="L130" i="1"/>
  <c r="L94" i="1"/>
  <c r="L46" i="1"/>
  <c r="L129" i="1"/>
  <c r="L117" i="1"/>
  <c r="L105" i="1"/>
  <c r="L81" i="1"/>
  <c r="L69" i="1"/>
  <c r="L57" i="1"/>
  <c r="L33" i="1"/>
  <c r="L21" i="1"/>
  <c r="L9" i="1"/>
  <c r="L128" i="1"/>
  <c r="L116" i="1"/>
  <c r="L104" i="1"/>
  <c r="L80" i="1"/>
  <c r="L68" i="1"/>
  <c r="L56" i="1"/>
  <c r="L32" i="1"/>
  <c r="L20" i="1"/>
  <c r="L8" i="1"/>
  <c r="L127" i="1"/>
  <c r="L115" i="1"/>
  <c r="L79" i="1"/>
  <c r="L67" i="1"/>
  <c r="L31" i="1"/>
  <c r="L19" i="1"/>
  <c r="L136" i="1"/>
  <c r="L138" i="1"/>
  <c r="L126" i="1"/>
  <c r="L114" i="1"/>
  <c r="L102" i="1"/>
  <c r="L90" i="1"/>
  <c r="L78" i="1"/>
  <c r="L66" i="1"/>
  <c r="L54" i="1"/>
  <c r="L42" i="1"/>
  <c r="L30" i="1"/>
  <c r="L18" i="1"/>
  <c r="L6" i="1"/>
  <c r="L146" i="1"/>
  <c r="L134" i="1"/>
  <c r="L122" i="1"/>
  <c r="L110" i="1"/>
  <c r="L98" i="1"/>
  <c r="L86" i="1"/>
  <c r="L74" i="1"/>
  <c r="L62" i="1"/>
  <c r="L50" i="1"/>
  <c r="L38" i="1"/>
  <c r="L26" i="1"/>
  <c r="L14" i="1"/>
  <c r="L145" i="1"/>
  <c r="L133" i="1"/>
  <c r="L121" i="1"/>
  <c r="L109" i="1"/>
  <c r="L97" i="1"/>
  <c r="L85" i="1"/>
  <c r="L73" i="1"/>
  <c r="L61" i="1"/>
  <c r="L49" i="1"/>
  <c r="L37" i="1"/>
  <c r="L25" i="1"/>
  <c r="L13" i="1"/>
  <c r="F2" i="1" l="1"/>
  <c r="I2" i="1"/>
  <c r="D89" i="4" l="1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2" i="4"/>
  <c r="L2" i="1" l="1"/>
  <c r="G2" i="1"/>
</calcChain>
</file>

<file path=xl/sharedStrings.xml><?xml version="1.0" encoding="utf-8"?>
<sst xmlns="http://schemas.openxmlformats.org/spreadsheetml/2006/main" count="1217" uniqueCount="198">
  <si>
    <t>TS_NAME</t>
  </si>
  <si>
    <t>CS NORTH MINAHASA</t>
  </si>
  <si>
    <t>SE_NAME</t>
  </si>
  <si>
    <t>1-179956096674</t>
  </si>
  <si>
    <t>1-179957288290</t>
  </si>
  <si>
    <t>1-179957290903</t>
  </si>
  <si>
    <t>RETAILER_NAME</t>
  </si>
  <si>
    <t>RETAILER_QR CODE</t>
  </si>
  <si>
    <t>RETAILER_TYPE</t>
  </si>
  <si>
    <t>DIPAN CELL</t>
  </si>
  <si>
    <t>Outlet Regular</t>
  </si>
  <si>
    <t>Juniver cell</t>
  </si>
  <si>
    <t>Ansi cell</t>
  </si>
  <si>
    <t>Qian Qian Cell</t>
  </si>
  <si>
    <t>C2w cell</t>
  </si>
  <si>
    <t>Outlet Non-Telco</t>
  </si>
  <si>
    <t>CGS CELL</t>
  </si>
  <si>
    <t>KLABAT JAYA CELL</t>
  </si>
  <si>
    <t>intan cell</t>
  </si>
  <si>
    <t>JESIKA CELL</t>
  </si>
  <si>
    <t>michael cell</t>
  </si>
  <si>
    <t>Zaini Cell</t>
  </si>
  <si>
    <t>TRIPLE M CELL</t>
  </si>
  <si>
    <t>Doax Cell</t>
  </si>
  <si>
    <t>Johanis Cell</t>
  </si>
  <si>
    <t>RAINBOW CELL</t>
  </si>
  <si>
    <t>Ike CELL</t>
  </si>
  <si>
    <t>KIRAN CELL</t>
  </si>
  <si>
    <t>KJ CELL</t>
  </si>
  <si>
    <t>Outlet KRO</t>
  </si>
  <si>
    <t>AUDREY CELL</t>
  </si>
  <si>
    <t>Acox Pulsa</t>
  </si>
  <si>
    <t>Queen CELL</t>
  </si>
  <si>
    <t>Kios Mba Rati</t>
  </si>
  <si>
    <t>Acox Link</t>
  </si>
  <si>
    <t>def cell</t>
  </si>
  <si>
    <t>joy cell</t>
  </si>
  <si>
    <t>king cell</t>
  </si>
  <si>
    <t>SIGIT CELL</t>
  </si>
  <si>
    <t>cici cell</t>
  </si>
  <si>
    <t>TIARA CELL</t>
  </si>
  <si>
    <t>The The Cell</t>
  </si>
  <si>
    <t>Shield Cell</t>
  </si>
  <si>
    <t>ja cell</t>
  </si>
  <si>
    <t>PUTRI CELL 1</t>
  </si>
  <si>
    <t>jefik cell</t>
  </si>
  <si>
    <t>ANI Cell</t>
  </si>
  <si>
    <t>Nab cell 1</t>
  </si>
  <si>
    <t>Blesing cell</t>
  </si>
  <si>
    <t>FF CELL</t>
  </si>
  <si>
    <t>mj cell</t>
  </si>
  <si>
    <t>Dipan Cell Matungkas</t>
  </si>
  <si>
    <t>CHA CHA CELL MATUNGKAS</t>
  </si>
  <si>
    <t>JMW CELL</t>
  </si>
  <si>
    <t>Fai cell 2</t>
  </si>
  <si>
    <t>ALIBABA CELL</t>
  </si>
  <si>
    <t>DR CELL</t>
  </si>
  <si>
    <t>BERKAT INDAH CELL</t>
  </si>
  <si>
    <t>QALBI  CELL</t>
  </si>
  <si>
    <t>Loni cell</t>
  </si>
  <si>
    <t>BALERINNA CELL</t>
  </si>
  <si>
    <t>KIOS NADYA</t>
  </si>
  <si>
    <t>Dinda Celll</t>
  </si>
  <si>
    <t>Hikma ponsel</t>
  </si>
  <si>
    <t>Mitra A2</t>
  </si>
  <si>
    <t>ALEYA CELL</t>
  </si>
  <si>
    <t>KIOS TASYA</t>
  </si>
  <si>
    <t>tuti cell</t>
  </si>
  <si>
    <t>ABADI CELL</t>
  </si>
  <si>
    <t>Bless Cell</t>
  </si>
  <si>
    <t>Ribby Cell</t>
  </si>
  <si>
    <t>ayu cell</t>
  </si>
  <si>
    <t>PRIMA PONSEL</t>
  </si>
  <si>
    <t>DENTHA CELL</t>
  </si>
  <si>
    <t>keren moren cell</t>
  </si>
  <si>
    <t>KLABAT  CELL</t>
  </si>
  <si>
    <t>Blessed cell</t>
  </si>
  <si>
    <t>KENZIE CELL</t>
  </si>
  <si>
    <t>ONE CELL</t>
  </si>
  <si>
    <t>aurel cell</t>
  </si>
  <si>
    <t>PROMO CELL</t>
  </si>
  <si>
    <t>DINA CELL</t>
  </si>
  <si>
    <t>DZIKRA CELL</t>
  </si>
  <si>
    <t>marques cell</t>
  </si>
  <si>
    <t>Mantari Cell</t>
  </si>
  <si>
    <t>Kuffy Cell</t>
  </si>
  <si>
    <t>Ayang Cell</t>
  </si>
  <si>
    <t>KEENAN CELL</t>
  </si>
  <si>
    <t>NIZMA CELL</t>
  </si>
  <si>
    <t>ZANNA CELL</t>
  </si>
  <si>
    <t>Alchris Cell</t>
  </si>
  <si>
    <t>Kios Saudara 03 Cell</t>
  </si>
  <si>
    <t>Hikmah cell</t>
  </si>
  <si>
    <t>Sweet Cell</t>
  </si>
  <si>
    <t>bellvaido cell</t>
  </si>
  <si>
    <t>Crisilia Cell</t>
  </si>
  <si>
    <t>ARYA CELL</t>
  </si>
  <si>
    <t>PELANGI CELL</t>
  </si>
  <si>
    <t>SH004093</t>
  </si>
  <si>
    <t>QALBI 2 CELL</t>
  </si>
  <si>
    <t>SH007991</t>
  </si>
  <si>
    <t>Yuke Cell</t>
  </si>
  <si>
    <t>SH010548</t>
  </si>
  <si>
    <t>DZIKRA CELL KAUDITAN</t>
  </si>
  <si>
    <t>SH011477</t>
  </si>
  <si>
    <t>Club cell</t>
  </si>
  <si>
    <t>Zall Cell</t>
  </si>
  <si>
    <t>RIO CELL</t>
  </si>
  <si>
    <t>YANI CELL</t>
  </si>
  <si>
    <t>Niks cell</t>
  </si>
  <si>
    <t>Pandi cell</t>
  </si>
  <si>
    <t>BERRY CELL</t>
  </si>
  <si>
    <t>BINTANG CELL</t>
  </si>
  <si>
    <t>DAP CELL</t>
  </si>
  <si>
    <t>Dhivaa cell</t>
  </si>
  <si>
    <t>Ria Cell</t>
  </si>
  <si>
    <t>Mandiri jaya cell</t>
  </si>
  <si>
    <t>ARJUNA CELL</t>
  </si>
  <si>
    <t>ALhafiz cell</t>
  </si>
  <si>
    <t>Purple Cell</t>
  </si>
  <si>
    <t>Tasya cell</t>
  </si>
  <si>
    <t>Jefone cell</t>
  </si>
  <si>
    <t>anugerah cell</t>
  </si>
  <si>
    <t>Atan cell</t>
  </si>
  <si>
    <t>Fred cell</t>
  </si>
  <si>
    <t>NYOMAN CELL</t>
  </si>
  <si>
    <t>gaul cell</t>
  </si>
  <si>
    <t>3 V</t>
  </si>
  <si>
    <t>PRIMA CELL</t>
  </si>
  <si>
    <t>Monalisa Cell</t>
  </si>
  <si>
    <t>Naldy cell</t>
  </si>
  <si>
    <t>COCO CELL</t>
  </si>
  <si>
    <t>denny cell</t>
  </si>
  <si>
    <t>Rey Cell</t>
  </si>
  <si>
    <t>w3 cell</t>
  </si>
  <si>
    <t>zidan cell</t>
  </si>
  <si>
    <t>HAWE Cell</t>
  </si>
  <si>
    <t>Jihan Cell</t>
  </si>
  <si>
    <t>Yunita Cell</t>
  </si>
  <si>
    <t>Eliana Cell</t>
  </si>
  <si>
    <t>PINK CELL</t>
  </si>
  <si>
    <t>INDRA CELL</t>
  </si>
  <si>
    <t>Djeiske cell</t>
  </si>
  <si>
    <t>Bontel Cell</t>
  </si>
  <si>
    <t>ASTER CELL</t>
  </si>
  <si>
    <t>nyox cell</t>
  </si>
  <si>
    <t>hermon cell</t>
  </si>
  <si>
    <t>46 Cell</t>
  </si>
  <si>
    <t>kios honey cell</t>
  </si>
  <si>
    <t>MilanQueen</t>
  </si>
  <si>
    <t>FR3S Cell</t>
  </si>
  <si>
    <t>2 putra</t>
  </si>
  <si>
    <t>carter cell</t>
  </si>
  <si>
    <t>Floria cell</t>
  </si>
  <si>
    <t>CRP Cell</t>
  </si>
  <si>
    <t>KK STORE</t>
  </si>
  <si>
    <t>Prisilia Cell</t>
  </si>
  <si>
    <t>EL333 cell</t>
  </si>
  <si>
    <t>nia cell</t>
  </si>
  <si>
    <t>Asia Jaya Cell</t>
  </si>
  <si>
    <t>SH009121</t>
  </si>
  <si>
    <t>Sellin Sp 3GB</t>
  </si>
  <si>
    <t>OSA KPI</t>
  </si>
  <si>
    <t>Outlet Code</t>
  </si>
  <si>
    <t>Outlet Name</t>
  </si>
  <si>
    <t>SSO Biometric</t>
  </si>
  <si>
    <t>Hit 1.5 Jam Outlet Promotor</t>
  </si>
  <si>
    <t>Baseline</t>
  </si>
  <si>
    <t>July</t>
  </si>
  <si>
    <t>Incremental</t>
  </si>
  <si>
    <t>DSE Code</t>
  </si>
  <si>
    <t>QR</t>
  </si>
  <si>
    <t>Visit 1,5 Jam</t>
  </si>
  <si>
    <t>BIO JULI</t>
  </si>
  <si>
    <t>TARGET OSA JULY</t>
  </si>
  <si>
    <t>Target Sellin SP3GB</t>
  </si>
  <si>
    <t>Sellin SP3GB LMTD</t>
  </si>
  <si>
    <t>OSA KPI LMTD</t>
  </si>
  <si>
    <t>Sellin SP3GB MTD</t>
  </si>
  <si>
    <t>OSA KPI MTD</t>
  </si>
  <si>
    <t>BIO LMTD</t>
  </si>
  <si>
    <t>BIO MTD</t>
  </si>
  <si>
    <t>NAMA</t>
  </si>
  <si>
    <t>Bio JUNI</t>
  </si>
  <si>
    <t>VISIT</t>
  </si>
  <si>
    <t>RR</t>
  </si>
  <si>
    <t xml:space="preserve"> -   </t>
  </si>
  <si>
    <t>JULY VISIT AMBIL DATA DI Wahyu  report bio</t>
  </si>
  <si>
    <t>BIO JUNI AMBIL DI WAHYU</t>
  </si>
  <si>
    <t>Target INCREMENTAL</t>
  </si>
  <si>
    <t>Target VISIT</t>
  </si>
  <si>
    <t>3pcs</t>
  </si>
  <si>
    <t>Row Labels</t>
  </si>
  <si>
    <t>Grand Total</t>
  </si>
  <si>
    <t>Sum of 3pcs</t>
  </si>
  <si>
    <t>WAHYU</t>
  </si>
  <si>
    <t>DATA</t>
  </si>
  <si>
    <t>Count of BIO 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</si>
</sst>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rgb="FF000000"/>
      <name val="Arial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charset val="1"/>
      <scheme val="minor"/>
    </font>
    <font>
      <sz val="10"/>
      <color theme="1"/>
      <name val="Indosat Regular"/>
    </font>
    <font>
      <b/>
      <sz val="10"/>
      <color theme="0"/>
      <name val="Indosat Regular"/>
    </font>
    <font>
      <b/>
      <sz val="10"/>
      <color theme="1"/>
      <name val="Indosat Regular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A6A6A6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0" fillId="0" borderId="0"/>
  </cellStyleXfs>
  <cellXfs count="41">
    <xf numFmtId="0" fontId="0" fillId="0" borderId="0" xfId="0"/>
    <xf numFmtId="0" fontId="4" fillId="0" borderId="1" xfId="0" applyFont="1" applyBorder="1"/>
    <xf numFmtId="0" fontId="5" fillId="0" borderId="0" xfId="0" applyFont="1"/>
    <xf numFmtId="3" fontId="2" fillId="3" borderId="0" xfId="0" applyNumberFormat="1" applyFont="1" applyFill="1"/>
    <xf numFmtId="3" fontId="5" fillId="0" borderId="0" xfId="0" applyNumberFormat="1" applyFont="1"/>
    <xf numFmtId="0" fontId="3" fillId="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1" fontId="0" fillId="0" borderId="0" xfId="0" applyNumberFormat="1"/>
    <xf numFmtId="164" fontId="4" fillId="0" borderId="0" xfId="1" applyNumberFormat="1" applyFont="1" applyBorder="1"/>
    <xf numFmtId="164" fontId="5" fillId="0" borderId="0" xfId="1" applyNumberFormat="1" applyFont="1"/>
    <xf numFmtId="164" fontId="2" fillId="0" borderId="0" xfId="1" applyNumberFormat="1" applyFont="1" applyFill="1"/>
    <xf numFmtId="0" fontId="0" fillId="0" borderId="0" xfId="0" applyFill="1"/>
    <xf numFmtId="164" fontId="0" fillId="0" borderId="0" xfId="1" applyNumberFormat="1" applyFont="1"/>
    <xf numFmtId="0" fontId="0" fillId="0" borderId="0" xfId="1" applyNumberFormat="1" applyFont="1"/>
    <xf numFmtId="0" fontId="7" fillId="0" borderId="0" xfId="0" applyNumberFormat="1" applyFont="1" applyFill="1"/>
    <xf numFmtId="0" fontId="7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/>
    </xf>
    <xf numFmtId="0" fontId="7" fillId="0" borderId="2" xfId="0" applyNumberFormat="1" applyFont="1" applyFill="1" applyBorder="1" applyAlignment="1">
      <alignment horizontal="center" vertical="center"/>
    </xf>
    <xf numFmtId="0" fontId="7" fillId="0" borderId="3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7" xfId="2" applyFont="1" applyBorder="1"/>
    <xf numFmtId="0" fontId="11" fillId="0" borderId="8" xfId="2" applyFont="1" applyBorder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12" fillId="6" borderId="7" xfId="2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2" fillId="6" borderId="4" xfId="2" applyFont="1" applyFill="1" applyBorder="1" applyAlignment="1">
      <alignment horizontal="center" vertical="center" wrapText="1"/>
    </xf>
    <xf numFmtId="0" fontId="11" fillId="0" borderId="7" xfId="2" applyFont="1" applyBorder="1" applyAlignment="1">
      <alignment horizontal="center" vertical="center"/>
    </xf>
    <xf numFmtId="0" fontId="12" fillId="6" borderId="10" xfId="2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</cellXfs>
  <cellStyles count="3">
    <cellStyle name="Comma" xfId="1" builtinId="3"/>
    <cellStyle name="Normal" xfId="0" builtinId="0"/>
    <cellStyle name="Normal 2" xfId="2" xr:uid="{D5019CC4-02B2-43E1-96DB-4B33F471B016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N" refreshedDate="46226.663601851855" createdVersion="8" refreshedVersion="8" minRefreshableVersion="3" recordCount="145" xr:uid="{A7E02E89-A451-451D-AC9A-840077994301}">
  <cacheSource type="worksheet">
    <worksheetSource ref="A1:I146" sheet="BIO WAHYU"/>
  </cacheSource>
  <cacheFields count="9">
    <cacheField name="DSE Code" numFmtId="0">
      <sharedItems count="3">
        <s v="1-179956096674"/>
        <s v="1-179957288290"/>
        <s v="1-179957290903"/>
      </sharedItems>
    </cacheField>
    <cacheField name="Outlet Code" numFmtId="0">
      <sharedItems containsMixedTypes="1" containsNumber="1" containsInteger="1" minValue="1661" maxValue="12334637"/>
    </cacheField>
    <cacheField name="Outlet Name" numFmtId="0">
      <sharedItems/>
    </cacheField>
    <cacheField name="SSO Biometric" numFmtId="0">
      <sharedItems containsSemiMixedTypes="0" containsString="0" containsNumber="1" containsInteger="1" minValue="0" maxValue="1"/>
    </cacheField>
    <cacheField name="Hit 1.5 Jam Outlet Promotor" numFmtId="0">
      <sharedItems containsSemiMixedTypes="0" containsString="0" containsNumber="1" containsInteger="1" minValue="0" maxValue="6"/>
    </cacheField>
    <cacheField name="Baseline" numFmtId="0">
      <sharedItems containsSemiMixedTypes="0" containsString="0" containsNumber="1" containsInteger="1" minValue="0" maxValue="30"/>
    </cacheField>
    <cacheField name="July" numFmtId="0">
      <sharedItems containsSemiMixedTypes="0" containsString="0" containsNumber="1" containsInteger="1" minValue="0" maxValue="74"/>
    </cacheField>
    <cacheField name="Incremental" numFmtId="0">
      <sharedItems containsSemiMixedTypes="0" containsString="0" containsNumber="1" containsInteger="1" minValue="0" maxValue="72"/>
    </cacheField>
    <cacheField name="3pc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N" refreshedDate="46226.664142592592" createdVersion="8" refreshedVersion="8" minRefreshableVersion="3" recordCount="145" xr:uid="{5C2407B5-EDAB-4D1F-B98E-4400A20AF43D}">
  <cacheSource type="worksheet">
    <worksheetSource ref="B1:M146" sheet="DATA"/>
  </cacheSource>
  <cacheFields count="12">
    <cacheField name="SE_NAME" numFmtId="0">
      <sharedItems count="3">
        <s v="1-179956096674"/>
        <s v="1-179957288290"/>
        <s v="1-179957290903"/>
      </sharedItems>
    </cacheField>
    <cacheField name="RETAILER_NAME" numFmtId="0">
      <sharedItems/>
    </cacheField>
    <cacheField name="RETAILER_QR CODE" numFmtId="1">
      <sharedItems containsMixedTypes="1" containsNumber="1" containsInteger="1" minValue="1661" maxValue="12334637"/>
    </cacheField>
    <cacheField name="RETAILER_TYPE" numFmtId="0">
      <sharedItems/>
    </cacheField>
    <cacheField name="Sellin SP3GB LMTD" numFmtId="164">
      <sharedItems containsSemiMixedTypes="0" containsString="0" containsNumber="1" containsInteger="1" minValue="0" maxValue="520"/>
    </cacheField>
    <cacheField name="OSA KPI LMTD" numFmtId="164">
      <sharedItems containsMixedTypes="1" containsNumber="1" containsInteger="1" minValue="0" maxValue="61670000"/>
    </cacheField>
    <cacheField name="Sellin SP3GB MTD" numFmtId="164">
      <sharedItems containsMixedTypes="1" containsNumber="1" containsInteger="1" minValue="1" maxValue="307"/>
    </cacheField>
    <cacheField name="OSA KPI MTD" numFmtId="164">
      <sharedItems containsMixedTypes="1" containsNumber="1" containsInteger="1" minValue="1000" maxValue="39377000"/>
    </cacheField>
    <cacheField name="BIO LMTD" numFmtId="164">
      <sharedItems containsSemiMixedTypes="0" containsString="0" containsNumber="1" containsInteger="1" minValue="0" maxValue="30"/>
    </cacheField>
    <cacheField name="BIO MTD" numFmtId="164">
      <sharedItems containsSemiMixedTypes="0" containsString="0" containsNumber="1" containsInteger="1" minValue="0" maxValue="85" count="16">
        <n v="1"/>
        <n v="9"/>
        <n v="0"/>
        <n v="3"/>
        <n v="2"/>
        <n v="10"/>
        <n v="5"/>
        <n v="85"/>
        <n v="19"/>
        <n v="31"/>
        <n v="20"/>
        <n v="64"/>
        <n v="8"/>
        <n v="11"/>
        <n v="4"/>
        <n v="21"/>
      </sharedItems>
    </cacheField>
    <cacheField name="Incremental" numFmtId="0">
      <sharedItems containsSemiMixedTypes="0" containsString="0" containsNumber="1" containsInteger="1" minValue="0" maxValue="67"/>
    </cacheField>
    <cacheField name="Visit 1,5 Jam" numFmtId="164">
      <sharedItems containsSemiMixedTypes="0" containsString="0" containsNumber="1" containsInteger="1" minValue="0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">
  <r>
    <x v="0"/>
    <n v="10466"/>
    <s v="DIPAN CELL"/>
    <n v="0"/>
    <n v="1"/>
    <n v="1"/>
    <n v="0"/>
    <n v="0"/>
    <n v="0"/>
  </r>
  <r>
    <x v="0"/>
    <n v="12295592"/>
    <s v="Juniver cell"/>
    <n v="1"/>
    <n v="0"/>
    <n v="1"/>
    <n v="5"/>
    <n v="4"/>
    <n v="1"/>
  </r>
  <r>
    <x v="0"/>
    <n v="12295626"/>
    <s v="Ansi cell"/>
    <n v="0"/>
    <n v="0"/>
    <n v="0"/>
    <n v="0"/>
    <n v="0"/>
    <n v="0"/>
  </r>
  <r>
    <x v="0"/>
    <n v="12295724"/>
    <s v="Qian Qian Cell"/>
    <n v="0"/>
    <n v="2"/>
    <n v="1"/>
    <n v="0"/>
    <n v="0"/>
    <n v="0"/>
  </r>
  <r>
    <x v="0"/>
    <n v="12295752"/>
    <s v="C2w cell"/>
    <n v="1"/>
    <n v="2"/>
    <n v="2"/>
    <n v="1"/>
    <n v="0"/>
    <n v="0"/>
  </r>
  <r>
    <x v="0"/>
    <n v="12295820"/>
    <s v="CGS CELL"/>
    <n v="0"/>
    <n v="0"/>
    <n v="0"/>
    <n v="0"/>
    <n v="0"/>
    <n v="0"/>
  </r>
  <r>
    <x v="0"/>
    <n v="12295826"/>
    <s v="KLABAT JAYA CELL"/>
    <n v="0"/>
    <n v="0"/>
    <n v="0"/>
    <n v="0"/>
    <n v="0"/>
    <n v="0"/>
  </r>
  <r>
    <x v="0"/>
    <n v="12295833"/>
    <s v="intan cell"/>
    <n v="0"/>
    <n v="0"/>
    <n v="0"/>
    <n v="0"/>
    <n v="0"/>
    <n v="0"/>
  </r>
  <r>
    <x v="0"/>
    <n v="12301356"/>
    <s v="JESIKA CELL"/>
    <n v="1"/>
    <n v="0"/>
    <n v="1"/>
    <n v="2"/>
    <n v="1"/>
    <n v="0"/>
  </r>
  <r>
    <x v="0"/>
    <n v="12323218"/>
    <s v="michael cell"/>
    <n v="1"/>
    <n v="0"/>
    <n v="1"/>
    <n v="1"/>
    <n v="0"/>
    <n v="0"/>
  </r>
  <r>
    <x v="0"/>
    <n v="12324647"/>
    <s v="Zaini Cell"/>
    <n v="0"/>
    <n v="0"/>
    <n v="0"/>
    <n v="0"/>
    <n v="0"/>
    <n v="0"/>
  </r>
  <r>
    <x v="0"/>
    <n v="12326118"/>
    <s v="TRIPLE M CELL"/>
    <n v="1"/>
    <n v="4"/>
    <n v="1"/>
    <n v="1"/>
    <n v="0"/>
    <n v="0"/>
  </r>
  <r>
    <x v="0"/>
    <n v="12326313"/>
    <s v="Doax Cell"/>
    <n v="1"/>
    <n v="0"/>
    <n v="1"/>
    <n v="1"/>
    <n v="0"/>
    <n v="0"/>
  </r>
  <r>
    <x v="0"/>
    <n v="12326533"/>
    <s v="Johanis Cell"/>
    <n v="0"/>
    <n v="0"/>
    <n v="30"/>
    <n v="0"/>
    <n v="0"/>
    <n v="0"/>
  </r>
  <r>
    <x v="0"/>
    <n v="12326920"/>
    <s v="RAINBOW CELL"/>
    <n v="0"/>
    <n v="2"/>
    <n v="1"/>
    <n v="0"/>
    <n v="0"/>
    <n v="0"/>
  </r>
  <r>
    <x v="0"/>
    <n v="1661"/>
    <s v="Ike CELL"/>
    <n v="0"/>
    <n v="0"/>
    <n v="1"/>
    <n v="0"/>
    <n v="0"/>
    <n v="0"/>
  </r>
  <r>
    <x v="0"/>
    <n v="213944"/>
    <s v="KIRAN CELL"/>
    <n v="1"/>
    <n v="0"/>
    <n v="1"/>
    <n v="3"/>
    <n v="2"/>
    <n v="1"/>
  </r>
  <r>
    <x v="0"/>
    <n v="240048"/>
    <s v="KJ CELL"/>
    <n v="1"/>
    <n v="2"/>
    <n v="1"/>
    <n v="1"/>
    <n v="0"/>
    <n v="0"/>
  </r>
  <r>
    <x v="0"/>
    <n v="287403"/>
    <s v="AUDREY CELL"/>
    <n v="0"/>
    <n v="3"/>
    <n v="1"/>
    <n v="0"/>
    <n v="0"/>
    <n v="0"/>
  </r>
  <r>
    <x v="0"/>
    <n v="287622"/>
    <s v="Acox Pulsa"/>
    <n v="0"/>
    <n v="1"/>
    <n v="1"/>
    <n v="0"/>
    <n v="0"/>
    <n v="0"/>
  </r>
  <r>
    <x v="0"/>
    <n v="301600"/>
    <s v="Queen CELL"/>
    <n v="0"/>
    <n v="1"/>
    <n v="1"/>
    <n v="0"/>
    <n v="0"/>
    <n v="0"/>
  </r>
  <r>
    <x v="0"/>
    <n v="347538"/>
    <s v="Kios Mba Rati"/>
    <n v="0"/>
    <n v="1"/>
    <n v="1"/>
    <n v="0"/>
    <n v="0"/>
    <n v="0"/>
  </r>
  <r>
    <x v="0"/>
    <n v="358231"/>
    <s v="Acox Link"/>
    <n v="0"/>
    <n v="0"/>
    <n v="1"/>
    <n v="0"/>
    <n v="0"/>
    <n v="0"/>
  </r>
  <r>
    <x v="0"/>
    <n v="368809"/>
    <s v="def cell"/>
    <n v="1"/>
    <n v="0"/>
    <n v="1"/>
    <n v="1"/>
    <n v="0"/>
    <n v="0"/>
  </r>
  <r>
    <x v="0"/>
    <n v="385575"/>
    <s v="joy cell"/>
    <n v="0"/>
    <n v="0"/>
    <n v="0"/>
    <n v="0"/>
    <n v="0"/>
    <n v="0"/>
  </r>
  <r>
    <x v="0"/>
    <n v="408290"/>
    <s v="king cell"/>
    <n v="1"/>
    <n v="1"/>
    <n v="1"/>
    <n v="1"/>
    <n v="0"/>
    <n v="0"/>
  </r>
  <r>
    <x v="0"/>
    <n v="416191"/>
    <s v="SIGIT CELL"/>
    <n v="0"/>
    <n v="1"/>
    <n v="1"/>
    <n v="0"/>
    <n v="0"/>
    <n v="0"/>
  </r>
  <r>
    <x v="0"/>
    <n v="484741"/>
    <s v="cici cell"/>
    <n v="0"/>
    <n v="1"/>
    <n v="1"/>
    <n v="0"/>
    <n v="0"/>
    <n v="0"/>
  </r>
  <r>
    <x v="0"/>
    <n v="486638"/>
    <s v="TIARA CELL"/>
    <n v="1"/>
    <n v="2"/>
    <n v="1"/>
    <n v="1"/>
    <n v="0"/>
    <n v="0"/>
  </r>
  <r>
    <x v="0"/>
    <n v="491288"/>
    <s v="The The Cell"/>
    <n v="0"/>
    <n v="0"/>
    <n v="1"/>
    <n v="0"/>
    <n v="0"/>
    <n v="0"/>
  </r>
  <r>
    <x v="0"/>
    <n v="501643"/>
    <s v="Shield Cell"/>
    <n v="0"/>
    <n v="0"/>
    <n v="1"/>
    <n v="0"/>
    <n v="0"/>
    <n v="0"/>
  </r>
  <r>
    <x v="0"/>
    <n v="519286"/>
    <s v="ja cell"/>
    <n v="0"/>
    <n v="0"/>
    <n v="1"/>
    <n v="0"/>
    <n v="0"/>
    <n v="0"/>
  </r>
  <r>
    <x v="0"/>
    <n v="522623"/>
    <s v="PUTRI CELL 1"/>
    <n v="1"/>
    <n v="0"/>
    <n v="1"/>
    <n v="5"/>
    <n v="4"/>
    <n v="1"/>
  </r>
  <r>
    <x v="0"/>
    <n v="523194"/>
    <s v="jefik cell"/>
    <n v="1"/>
    <n v="0"/>
    <n v="2"/>
    <n v="1"/>
    <n v="0"/>
    <n v="0"/>
  </r>
  <r>
    <x v="0"/>
    <n v="523935"/>
    <s v="ANI Cell"/>
    <n v="0"/>
    <n v="0"/>
    <n v="1"/>
    <n v="0"/>
    <n v="0"/>
    <n v="0"/>
  </r>
  <r>
    <x v="0"/>
    <n v="523938"/>
    <s v="Nab cell 1"/>
    <n v="0"/>
    <n v="0"/>
    <n v="1"/>
    <n v="0"/>
    <n v="0"/>
    <n v="0"/>
  </r>
  <r>
    <x v="0"/>
    <n v="524281"/>
    <s v="Blesing cell"/>
    <n v="0"/>
    <n v="0"/>
    <n v="1"/>
    <n v="0"/>
    <n v="0"/>
    <n v="0"/>
  </r>
  <r>
    <x v="0"/>
    <n v="524283"/>
    <s v="FF CELL"/>
    <n v="0"/>
    <n v="0"/>
    <n v="1"/>
    <n v="0"/>
    <n v="0"/>
    <n v="0"/>
  </r>
  <r>
    <x v="0"/>
    <n v="525590"/>
    <s v="mj cell"/>
    <n v="0"/>
    <n v="0"/>
    <n v="2"/>
    <n v="0"/>
    <n v="0"/>
    <n v="0"/>
  </r>
  <r>
    <x v="0"/>
    <n v="530058"/>
    <s v="Dipan Cell Matungkas"/>
    <n v="0"/>
    <n v="3"/>
    <n v="1"/>
    <n v="0"/>
    <n v="0"/>
    <n v="0"/>
  </r>
  <r>
    <x v="0"/>
    <n v="535790"/>
    <s v="CHA CHA CELL MATUNGKAS"/>
    <n v="1"/>
    <n v="1"/>
    <n v="1"/>
    <n v="2"/>
    <n v="1"/>
    <n v="0"/>
  </r>
  <r>
    <x v="0"/>
    <n v="542823"/>
    <s v="JMW CELL"/>
    <n v="0"/>
    <n v="0"/>
    <n v="1"/>
    <n v="0"/>
    <n v="0"/>
    <n v="0"/>
  </r>
  <r>
    <x v="0"/>
    <n v="549259"/>
    <s v="Fai cell 2"/>
    <n v="0"/>
    <n v="0"/>
    <n v="0"/>
    <n v="0"/>
    <n v="0"/>
    <n v="0"/>
  </r>
  <r>
    <x v="0"/>
    <n v="571174"/>
    <s v="ALIBABA CELL"/>
    <n v="0"/>
    <n v="0"/>
    <n v="1"/>
    <n v="0"/>
    <n v="0"/>
    <n v="0"/>
  </r>
  <r>
    <x v="0"/>
    <n v="62086"/>
    <s v="DR CELL"/>
    <n v="0"/>
    <n v="0"/>
    <n v="0"/>
    <n v="0"/>
    <n v="0"/>
    <n v="0"/>
  </r>
  <r>
    <x v="0"/>
    <n v="63887"/>
    <s v="BERKAT INDAH CELL"/>
    <n v="1"/>
    <n v="0"/>
    <n v="0"/>
    <n v="1"/>
    <n v="1"/>
    <n v="0"/>
  </r>
  <r>
    <x v="1"/>
    <n v="116871"/>
    <s v="QALBI  CELL"/>
    <n v="1"/>
    <n v="6"/>
    <n v="2"/>
    <n v="4"/>
    <n v="2"/>
    <n v="1"/>
  </r>
  <r>
    <x v="1"/>
    <n v="12295542"/>
    <s v="Loni cell"/>
    <n v="1"/>
    <n v="3"/>
    <n v="1"/>
    <n v="1"/>
    <n v="0"/>
    <n v="0"/>
  </r>
  <r>
    <x v="1"/>
    <n v="12295717"/>
    <s v="BALERINNA CELL"/>
    <n v="0"/>
    <n v="0"/>
    <n v="1"/>
    <n v="0"/>
    <n v="0"/>
    <n v="0"/>
  </r>
  <r>
    <x v="1"/>
    <n v="12295887"/>
    <s v="KIOS NADYA"/>
    <n v="0"/>
    <n v="0"/>
    <n v="0"/>
    <n v="0"/>
    <n v="0"/>
    <n v="0"/>
  </r>
  <r>
    <x v="1"/>
    <n v="12312295"/>
    <s v="Dinda Celll"/>
    <n v="1"/>
    <n v="0"/>
    <n v="2"/>
    <n v="1"/>
    <n v="0"/>
    <n v="0"/>
  </r>
  <r>
    <x v="1"/>
    <n v="12322237"/>
    <s v="Hikma ponsel"/>
    <n v="0"/>
    <n v="1"/>
    <n v="1"/>
    <n v="0"/>
    <n v="0"/>
    <n v="0"/>
  </r>
  <r>
    <x v="1"/>
    <n v="12322483"/>
    <s v="Mitra A2"/>
    <n v="0"/>
    <n v="0"/>
    <n v="0"/>
    <n v="0"/>
    <n v="0"/>
    <n v="0"/>
  </r>
  <r>
    <x v="1"/>
    <n v="12323463"/>
    <s v="ALEYA CELL"/>
    <n v="1"/>
    <n v="2"/>
    <n v="18"/>
    <n v="72"/>
    <n v="54"/>
    <n v="1"/>
  </r>
  <r>
    <x v="1"/>
    <n v="12325263"/>
    <s v="KIOS TASYA"/>
    <n v="0"/>
    <n v="0"/>
    <n v="0"/>
    <n v="0"/>
    <n v="0"/>
    <n v="0"/>
  </r>
  <r>
    <x v="1"/>
    <n v="126951"/>
    <s v="tuti cell"/>
    <n v="1"/>
    <n v="2"/>
    <n v="2"/>
    <n v="4"/>
    <n v="2"/>
    <n v="1"/>
  </r>
  <r>
    <x v="1"/>
    <n v="126952"/>
    <s v="ABADI CELL"/>
    <n v="0"/>
    <n v="0"/>
    <n v="0"/>
    <n v="0"/>
    <n v="0"/>
    <n v="0"/>
  </r>
  <r>
    <x v="1"/>
    <n v="195514"/>
    <s v="Bless Cell"/>
    <n v="0"/>
    <n v="0"/>
    <n v="1"/>
    <n v="0"/>
    <n v="0"/>
    <n v="0"/>
  </r>
  <r>
    <x v="1"/>
    <n v="199007"/>
    <s v="Ribby Cell"/>
    <n v="0"/>
    <n v="0"/>
    <n v="0"/>
    <n v="0"/>
    <n v="0"/>
    <n v="0"/>
  </r>
  <r>
    <x v="1"/>
    <n v="199010"/>
    <s v="ayu cell"/>
    <n v="0"/>
    <n v="0"/>
    <n v="1"/>
    <n v="0"/>
    <n v="0"/>
    <n v="0"/>
  </r>
  <r>
    <x v="1"/>
    <n v="199217"/>
    <s v="PRIMA PONSEL"/>
    <n v="1"/>
    <n v="3"/>
    <n v="1"/>
    <n v="8"/>
    <n v="7"/>
    <n v="1"/>
  </r>
  <r>
    <x v="1"/>
    <n v="211794"/>
    <s v="DENTHA CELL"/>
    <n v="1"/>
    <n v="0"/>
    <n v="1"/>
    <n v="2"/>
    <n v="1"/>
    <n v="0"/>
  </r>
  <r>
    <x v="1"/>
    <n v="222816"/>
    <s v="keren moren cell"/>
    <n v="1"/>
    <n v="3"/>
    <n v="1"/>
    <n v="1"/>
    <n v="0"/>
    <n v="0"/>
  </r>
  <r>
    <x v="1"/>
    <n v="228872"/>
    <s v="KLABAT  CELL"/>
    <n v="0"/>
    <n v="0"/>
    <n v="1"/>
    <n v="0"/>
    <n v="0"/>
    <n v="0"/>
  </r>
  <r>
    <x v="1"/>
    <n v="229765"/>
    <s v="Blessed cell"/>
    <n v="1"/>
    <n v="3"/>
    <n v="4"/>
    <n v="20"/>
    <n v="16"/>
    <n v="1"/>
  </r>
  <r>
    <x v="1"/>
    <n v="231278"/>
    <s v="KENZIE CELL"/>
    <n v="0"/>
    <n v="0"/>
    <n v="1"/>
    <n v="0"/>
    <n v="0"/>
    <n v="0"/>
  </r>
  <r>
    <x v="1"/>
    <n v="246732"/>
    <s v="ONE CELL"/>
    <n v="0"/>
    <n v="0"/>
    <n v="1"/>
    <n v="0"/>
    <n v="0"/>
    <n v="0"/>
  </r>
  <r>
    <x v="1"/>
    <n v="278608"/>
    <s v="aurel cell"/>
    <n v="1"/>
    <n v="3"/>
    <n v="2"/>
    <n v="2"/>
    <n v="0"/>
    <n v="0"/>
  </r>
  <r>
    <x v="1"/>
    <n v="292836"/>
    <s v="PROMO CELL"/>
    <n v="0"/>
    <n v="0"/>
    <n v="0"/>
    <n v="0"/>
    <n v="0"/>
    <n v="0"/>
  </r>
  <r>
    <x v="1"/>
    <n v="345691"/>
    <s v="DINA CELL"/>
    <n v="1"/>
    <n v="0"/>
    <n v="2"/>
    <n v="1"/>
    <n v="0"/>
    <n v="0"/>
  </r>
  <r>
    <x v="1"/>
    <n v="366702"/>
    <s v="DZIKRA CELL"/>
    <n v="1"/>
    <n v="0"/>
    <n v="1"/>
    <n v="1"/>
    <n v="0"/>
    <n v="0"/>
  </r>
  <r>
    <x v="1"/>
    <n v="480658"/>
    <s v="marques cell"/>
    <n v="1"/>
    <n v="0"/>
    <n v="1"/>
    <n v="2"/>
    <n v="1"/>
    <n v="0"/>
  </r>
  <r>
    <x v="1"/>
    <n v="503354"/>
    <s v="Mantari Cell"/>
    <n v="0"/>
    <n v="0"/>
    <n v="1"/>
    <n v="0"/>
    <n v="0"/>
    <n v="0"/>
  </r>
  <r>
    <x v="1"/>
    <n v="503633"/>
    <s v="Kuffy Cell"/>
    <n v="0"/>
    <n v="0"/>
    <n v="1"/>
    <n v="0"/>
    <n v="0"/>
    <n v="0"/>
  </r>
  <r>
    <x v="1"/>
    <n v="503866"/>
    <s v="Ayang Cell"/>
    <n v="1"/>
    <n v="0"/>
    <n v="1"/>
    <n v="2"/>
    <n v="1"/>
    <n v="0"/>
  </r>
  <r>
    <x v="1"/>
    <n v="510053"/>
    <s v="KEENAN CELL"/>
    <n v="0"/>
    <n v="1"/>
    <n v="1"/>
    <n v="0"/>
    <n v="0"/>
    <n v="0"/>
  </r>
  <r>
    <x v="1"/>
    <n v="523430"/>
    <s v="NIZMA CELL"/>
    <n v="0"/>
    <n v="2"/>
    <n v="2"/>
    <n v="0"/>
    <n v="0"/>
    <n v="0"/>
  </r>
  <r>
    <x v="1"/>
    <n v="529090"/>
    <s v="ZANNA CELL"/>
    <n v="1"/>
    <n v="0"/>
    <n v="0"/>
    <n v="1"/>
    <n v="1"/>
    <n v="0"/>
  </r>
  <r>
    <x v="1"/>
    <n v="529249"/>
    <s v="Alchris Cell"/>
    <n v="0"/>
    <n v="0"/>
    <n v="1"/>
    <n v="0"/>
    <n v="0"/>
    <n v="0"/>
  </r>
  <r>
    <x v="1"/>
    <n v="530345"/>
    <s v="Kios Saudara 03 Cell"/>
    <n v="0"/>
    <n v="1"/>
    <n v="1"/>
    <n v="0"/>
    <n v="0"/>
    <n v="0"/>
  </r>
  <r>
    <x v="1"/>
    <n v="539088"/>
    <s v="Hikmah cell"/>
    <n v="1"/>
    <n v="4"/>
    <n v="0"/>
    <n v="3"/>
    <n v="3"/>
    <n v="1"/>
  </r>
  <r>
    <x v="1"/>
    <n v="543720"/>
    <s v="Sweet Cell"/>
    <n v="1"/>
    <n v="0"/>
    <n v="1"/>
    <n v="1"/>
    <n v="0"/>
    <n v="0"/>
  </r>
  <r>
    <x v="1"/>
    <n v="560814"/>
    <s v="bellvaido cell"/>
    <n v="1"/>
    <n v="0"/>
    <n v="1"/>
    <n v="1"/>
    <n v="0"/>
    <n v="0"/>
  </r>
  <r>
    <x v="1"/>
    <n v="563095"/>
    <s v="Crisilia Cell"/>
    <n v="0"/>
    <n v="0"/>
    <n v="2"/>
    <n v="0"/>
    <n v="0"/>
    <n v="0"/>
  </r>
  <r>
    <x v="1"/>
    <n v="61690"/>
    <s v="ARYA CELL"/>
    <n v="0"/>
    <n v="4"/>
    <n v="1"/>
    <n v="0"/>
    <n v="0"/>
    <n v="0"/>
  </r>
  <r>
    <x v="1"/>
    <s v="SH004093"/>
    <s v="PELANGI CELL"/>
    <n v="1"/>
    <n v="1"/>
    <n v="0"/>
    <n v="3"/>
    <n v="3"/>
    <n v="1"/>
  </r>
  <r>
    <x v="1"/>
    <s v="SH007991"/>
    <s v="QALBI 2 CELL"/>
    <n v="1"/>
    <n v="0"/>
    <n v="1"/>
    <n v="2"/>
    <n v="1"/>
    <n v="0"/>
  </r>
  <r>
    <x v="1"/>
    <s v="SH010548"/>
    <s v="Yuke Cell"/>
    <n v="0"/>
    <n v="0"/>
    <n v="3"/>
    <n v="0"/>
    <n v="0"/>
    <n v="0"/>
  </r>
  <r>
    <x v="1"/>
    <s v="SH011477"/>
    <s v="DZIKRA CELL KAUDITAN"/>
    <n v="0"/>
    <n v="0"/>
    <n v="1"/>
    <n v="0"/>
    <n v="0"/>
    <n v="0"/>
  </r>
  <r>
    <x v="2"/>
    <n v="12295536"/>
    <s v="Club cell"/>
    <n v="1"/>
    <n v="2"/>
    <n v="0"/>
    <n v="1"/>
    <n v="1"/>
    <n v="0"/>
  </r>
  <r>
    <x v="2"/>
    <n v="12295980"/>
    <s v="Zall Cell"/>
    <n v="0"/>
    <n v="0"/>
    <n v="0"/>
    <n v="0"/>
    <n v="0"/>
    <n v="0"/>
  </r>
  <r>
    <x v="2"/>
    <n v="12302808"/>
    <s v="RIO CELL"/>
    <n v="0"/>
    <n v="0"/>
    <n v="0"/>
    <n v="0"/>
    <n v="0"/>
    <n v="0"/>
  </r>
  <r>
    <x v="2"/>
    <n v="12303072"/>
    <s v="YANI CELL"/>
    <n v="1"/>
    <n v="0"/>
    <n v="2"/>
    <n v="2"/>
    <n v="0"/>
    <n v="0"/>
  </r>
  <r>
    <x v="2"/>
    <n v="12313881"/>
    <s v="Niks cell"/>
    <n v="1"/>
    <n v="3"/>
    <n v="1"/>
    <n v="18"/>
    <n v="17"/>
    <n v="1"/>
  </r>
  <r>
    <x v="2"/>
    <n v="12317091"/>
    <s v="Pandi cell"/>
    <n v="0"/>
    <n v="0"/>
    <n v="0"/>
    <n v="0"/>
    <n v="0"/>
    <n v="0"/>
  </r>
  <r>
    <x v="2"/>
    <n v="12318079"/>
    <s v="BERRY CELL"/>
    <n v="1"/>
    <n v="0"/>
    <n v="1"/>
    <n v="2"/>
    <n v="1"/>
    <n v="0"/>
  </r>
  <r>
    <x v="2"/>
    <n v="12320853"/>
    <s v="BINTANG CELL"/>
    <n v="0"/>
    <n v="0"/>
    <n v="1"/>
    <n v="0"/>
    <n v="0"/>
    <n v="0"/>
  </r>
  <r>
    <x v="2"/>
    <n v="12321230"/>
    <s v="DAP CELL"/>
    <n v="1"/>
    <n v="0"/>
    <n v="0"/>
    <n v="2"/>
    <n v="2"/>
    <n v="0"/>
  </r>
  <r>
    <x v="2"/>
    <n v="12321241"/>
    <s v="Dhivaa cell"/>
    <n v="1"/>
    <n v="3"/>
    <n v="3"/>
    <n v="11"/>
    <n v="8"/>
    <n v="1"/>
  </r>
  <r>
    <x v="2"/>
    <n v="12321243"/>
    <s v="Ria Cell"/>
    <n v="1"/>
    <n v="3"/>
    <n v="2"/>
    <n v="74"/>
    <n v="72"/>
    <n v="1"/>
  </r>
  <r>
    <x v="2"/>
    <n v="12322430"/>
    <s v="Mandiri jaya cell"/>
    <n v="0"/>
    <n v="0"/>
    <n v="0"/>
    <n v="0"/>
    <n v="0"/>
    <n v="0"/>
  </r>
  <r>
    <x v="2"/>
    <n v="12324194"/>
    <s v="ARJUNA CELL"/>
    <n v="0"/>
    <n v="0"/>
    <n v="0"/>
    <n v="0"/>
    <n v="0"/>
    <n v="0"/>
  </r>
  <r>
    <x v="2"/>
    <n v="12327316"/>
    <s v="ALhafiz cell"/>
    <n v="1"/>
    <n v="0"/>
    <n v="1"/>
    <n v="1"/>
    <n v="0"/>
    <n v="0"/>
  </r>
  <r>
    <x v="2"/>
    <n v="12331450"/>
    <s v="Purple Cell"/>
    <n v="0"/>
    <n v="0"/>
    <n v="1"/>
    <n v="0"/>
    <n v="0"/>
    <n v="0"/>
  </r>
  <r>
    <x v="2"/>
    <n v="12332670"/>
    <s v="Tasya cell"/>
    <n v="1"/>
    <n v="0"/>
    <n v="1"/>
    <n v="2"/>
    <n v="1"/>
    <n v="0"/>
  </r>
  <r>
    <x v="2"/>
    <n v="12332811"/>
    <s v="Jefone cell"/>
    <n v="0"/>
    <n v="0"/>
    <n v="0"/>
    <n v="0"/>
    <n v="0"/>
    <n v="0"/>
  </r>
  <r>
    <x v="2"/>
    <n v="12333237"/>
    <s v="anugerah cell"/>
    <n v="1"/>
    <n v="0"/>
    <n v="1"/>
    <n v="7"/>
    <n v="6"/>
    <n v="1"/>
  </r>
  <r>
    <x v="2"/>
    <n v="12334635"/>
    <s v="Atan cell"/>
    <n v="0"/>
    <n v="1"/>
    <n v="1"/>
    <n v="0"/>
    <n v="0"/>
    <n v="0"/>
  </r>
  <r>
    <x v="2"/>
    <n v="12334637"/>
    <s v="Fred cell"/>
    <n v="1"/>
    <n v="0"/>
    <n v="1"/>
    <n v="1"/>
    <n v="0"/>
    <n v="0"/>
  </r>
  <r>
    <x v="2"/>
    <n v="126963"/>
    <s v="NYOMAN CELL"/>
    <n v="0"/>
    <n v="0"/>
    <n v="1"/>
    <n v="0"/>
    <n v="0"/>
    <n v="0"/>
  </r>
  <r>
    <x v="2"/>
    <n v="127198"/>
    <s v="gaul cell"/>
    <n v="1"/>
    <n v="0"/>
    <n v="2"/>
    <n v="7"/>
    <n v="5"/>
    <n v="1"/>
  </r>
  <r>
    <x v="2"/>
    <n v="195918"/>
    <s v="3 V"/>
    <n v="1"/>
    <n v="0"/>
    <n v="0"/>
    <n v="1"/>
    <n v="1"/>
    <n v="0"/>
  </r>
  <r>
    <x v="2"/>
    <n v="199020"/>
    <s v="PRIMA CELL"/>
    <n v="0"/>
    <n v="0"/>
    <n v="1"/>
    <n v="0"/>
    <n v="0"/>
    <n v="0"/>
  </r>
  <r>
    <x v="2"/>
    <n v="240084"/>
    <s v="Monalisa Cell"/>
    <n v="0"/>
    <n v="0"/>
    <n v="0"/>
    <n v="0"/>
    <n v="0"/>
    <n v="0"/>
  </r>
  <r>
    <x v="2"/>
    <n v="240713"/>
    <s v="Naldy cell"/>
    <n v="1"/>
    <n v="1"/>
    <n v="1"/>
    <n v="1"/>
    <n v="0"/>
    <n v="0"/>
  </r>
  <r>
    <x v="2"/>
    <n v="304264"/>
    <s v="COCO CELL"/>
    <n v="1"/>
    <n v="0"/>
    <n v="1"/>
    <n v="1"/>
    <n v="0"/>
    <n v="0"/>
  </r>
  <r>
    <x v="2"/>
    <n v="342829"/>
    <s v="denny cell"/>
    <n v="1"/>
    <n v="0"/>
    <n v="2"/>
    <n v="1"/>
    <n v="0"/>
    <n v="0"/>
  </r>
  <r>
    <x v="2"/>
    <n v="345427"/>
    <s v="Rey Cell"/>
    <n v="0"/>
    <n v="0"/>
    <n v="1"/>
    <n v="0"/>
    <n v="0"/>
    <n v="0"/>
  </r>
  <r>
    <x v="2"/>
    <n v="352167"/>
    <s v="w3 cell"/>
    <n v="1"/>
    <n v="0"/>
    <n v="0"/>
    <n v="1"/>
    <n v="1"/>
    <n v="0"/>
  </r>
  <r>
    <x v="2"/>
    <n v="396176"/>
    <s v="zidan cell"/>
    <n v="1"/>
    <n v="0"/>
    <n v="0"/>
    <n v="1"/>
    <n v="1"/>
    <n v="0"/>
  </r>
  <r>
    <x v="2"/>
    <n v="401031"/>
    <s v="HAWE Cell"/>
    <n v="0"/>
    <n v="0"/>
    <n v="0"/>
    <n v="0"/>
    <n v="0"/>
    <n v="0"/>
  </r>
  <r>
    <x v="2"/>
    <n v="471389"/>
    <s v="Jihan Cell"/>
    <n v="1"/>
    <n v="0"/>
    <n v="1"/>
    <n v="1"/>
    <n v="0"/>
    <n v="0"/>
  </r>
  <r>
    <x v="2"/>
    <n v="477625"/>
    <s v="Yunita Cell"/>
    <n v="0"/>
    <n v="0"/>
    <n v="0"/>
    <n v="0"/>
    <n v="0"/>
    <n v="0"/>
  </r>
  <r>
    <x v="2"/>
    <n v="481857"/>
    <s v="Eliana Cell"/>
    <n v="0"/>
    <n v="0"/>
    <n v="1"/>
    <n v="0"/>
    <n v="0"/>
    <n v="0"/>
  </r>
  <r>
    <x v="2"/>
    <n v="483240"/>
    <s v="PINK CELL"/>
    <n v="1"/>
    <n v="0"/>
    <n v="0"/>
    <n v="1"/>
    <n v="1"/>
    <n v="0"/>
  </r>
  <r>
    <x v="2"/>
    <n v="499483"/>
    <s v="INDRA CELL"/>
    <n v="1"/>
    <n v="0"/>
    <n v="1"/>
    <n v="2"/>
    <n v="1"/>
    <n v="0"/>
  </r>
  <r>
    <x v="2"/>
    <n v="501141"/>
    <s v="Djeiske cell"/>
    <n v="0"/>
    <n v="0"/>
    <n v="1"/>
    <n v="0"/>
    <n v="0"/>
    <n v="0"/>
  </r>
  <r>
    <x v="2"/>
    <n v="501263"/>
    <s v="Bontel Cell"/>
    <n v="1"/>
    <n v="0"/>
    <n v="1"/>
    <n v="1"/>
    <n v="0"/>
    <n v="0"/>
  </r>
  <r>
    <x v="2"/>
    <n v="501860"/>
    <s v="ASTER CELL"/>
    <n v="1"/>
    <n v="1"/>
    <n v="1"/>
    <n v="2"/>
    <n v="1"/>
    <n v="0"/>
  </r>
  <r>
    <x v="2"/>
    <n v="510295"/>
    <s v="nyox cell"/>
    <n v="0"/>
    <n v="0"/>
    <n v="1"/>
    <n v="0"/>
    <n v="0"/>
    <n v="0"/>
  </r>
  <r>
    <x v="2"/>
    <n v="510299"/>
    <s v="hermon cell"/>
    <n v="0"/>
    <n v="0"/>
    <n v="0"/>
    <n v="0"/>
    <n v="0"/>
    <n v="0"/>
  </r>
  <r>
    <x v="2"/>
    <n v="511584"/>
    <s v="46 Cell"/>
    <n v="1"/>
    <n v="0"/>
    <n v="1"/>
    <n v="3"/>
    <n v="2"/>
    <n v="1"/>
  </r>
  <r>
    <x v="2"/>
    <n v="514589"/>
    <s v="kios honey cell"/>
    <n v="0"/>
    <n v="0"/>
    <n v="1"/>
    <n v="0"/>
    <n v="0"/>
    <n v="0"/>
  </r>
  <r>
    <x v="2"/>
    <n v="523849"/>
    <s v="MilanQueen"/>
    <n v="0"/>
    <n v="0"/>
    <n v="1"/>
    <n v="0"/>
    <n v="0"/>
    <n v="0"/>
  </r>
  <r>
    <x v="2"/>
    <n v="526916"/>
    <s v="FR3S Cell"/>
    <n v="1"/>
    <n v="0"/>
    <n v="2"/>
    <n v="3"/>
    <n v="1"/>
    <n v="1"/>
  </r>
  <r>
    <x v="2"/>
    <n v="530334"/>
    <s v="2 putra"/>
    <n v="0"/>
    <n v="0"/>
    <n v="1"/>
    <n v="0"/>
    <n v="0"/>
    <n v="0"/>
  </r>
  <r>
    <x v="2"/>
    <n v="543771"/>
    <s v="carter cell"/>
    <n v="0"/>
    <n v="1"/>
    <n v="1"/>
    <n v="0"/>
    <n v="0"/>
    <n v="0"/>
  </r>
  <r>
    <x v="2"/>
    <n v="543826"/>
    <s v="Floria cell"/>
    <n v="1"/>
    <n v="3"/>
    <n v="0"/>
    <n v="16"/>
    <n v="16"/>
    <n v="1"/>
  </r>
  <r>
    <x v="2"/>
    <n v="546446"/>
    <s v="CRP Cell"/>
    <n v="1"/>
    <n v="0"/>
    <n v="0"/>
    <n v="1"/>
    <n v="1"/>
    <n v="0"/>
  </r>
  <r>
    <x v="2"/>
    <n v="558955"/>
    <s v="KK STORE"/>
    <n v="0"/>
    <n v="0"/>
    <n v="0"/>
    <n v="0"/>
    <n v="0"/>
    <n v="0"/>
  </r>
  <r>
    <x v="2"/>
    <n v="562953"/>
    <s v="Prisilia Cell"/>
    <n v="0"/>
    <n v="0"/>
    <n v="0"/>
    <n v="0"/>
    <n v="0"/>
    <n v="0"/>
  </r>
  <r>
    <x v="2"/>
    <n v="569298"/>
    <s v="EL333 cell"/>
    <n v="0"/>
    <n v="0"/>
    <n v="1"/>
    <n v="0"/>
    <n v="0"/>
    <n v="0"/>
  </r>
  <r>
    <x v="2"/>
    <n v="574633"/>
    <s v="nia cell"/>
    <n v="0"/>
    <n v="0"/>
    <n v="0"/>
    <n v="0"/>
    <n v="0"/>
    <n v="0"/>
  </r>
  <r>
    <x v="2"/>
    <n v="61688"/>
    <s v="Asia Jaya Cell"/>
    <n v="1"/>
    <n v="0"/>
    <n v="1"/>
    <n v="4"/>
    <n v="3"/>
    <n v="1"/>
  </r>
  <r>
    <x v="2"/>
    <s v="SH009121"/>
    <s v="PELANGI CELL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">
  <r>
    <x v="0"/>
    <s v="DIPAN CELL"/>
    <n v="10466"/>
    <s v="Outlet Regular"/>
    <n v="3"/>
    <n v="2058000"/>
    <n v="5"/>
    <n v="1765000"/>
    <n v="1"/>
    <x v="0"/>
    <n v="0"/>
    <n v="1"/>
  </r>
  <r>
    <x v="0"/>
    <s v="Juniver cell"/>
    <n v="12295592"/>
    <s v="Outlet Regular"/>
    <n v="60"/>
    <n v="8236800"/>
    <n v="3"/>
    <n v="3106000"/>
    <n v="1"/>
    <x v="1"/>
    <n v="8"/>
    <n v="0"/>
  </r>
  <r>
    <x v="0"/>
    <s v="Ansi cell"/>
    <n v="12295626"/>
    <s v="Outlet Regular"/>
    <n v="0"/>
    <n v="0"/>
    <s v=" -   "/>
    <n v="1000"/>
    <n v="0"/>
    <x v="2"/>
    <n v="0"/>
    <n v="0"/>
  </r>
  <r>
    <x v="0"/>
    <s v="Qian Qian Cell"/>
    <n v="12295724"/>
    <s v="Outlet Regular"/>
    <n v="4"/>
    <n v="2700000"/>
    <n v="1"/>
    <s v=" -   "/>
    <n v="1"/>
    <x v="0"/>
    <n v="0"/>
    <n v="2"/>
  </r>
  <r>
    <x v="0"/>
    <s v="C2w cell"/>
    <n v="12295752"/>
    <s v="Outlet Non-Telco"/>
    <n v="0"/>
    <n v="3000000"/>
    <n v="1"/>
    <n v="369000"/>
    <n v="2"/>
    <x v="0"/>
    <n v="0"/>
    <n v="2"/>
  </r>
  <r>
    <x v="0"/>
    <s v="CGS CELL"/>
    <n v="12295820"/>
    <s v="Outlet Regular"/>
    <n v="0"/>
    <n v="2500000"/>
    <s v=" -   "/>
    <n v="2000000"/>
    <n v="0"/>
    <x v="2"/>
    <n v="0"/>
    <n v="0"/>
  </r>
  <r>
    <x v="0"/>
    <s v="KLABAT JAYA CELL"/>
    <n v="12295826"/>
    <s v="Outlet Non-Telco"/>
    <n v="0"/>
    <n v="0"/>
    <s v=" -   "/>
    <n v="1000"/>
    <n v="0"/>
    <x v="2"/>
    <n v="0"/>
    <n v="0"/>
  </r>
  <r>
    <x v="0"/>
    <s v="intan cell"/>
    <n v="12295833"/>
    <s v="Outlet Non-Telco"/>
    <n v="0"/>
    <n v="0"/>
    <s v=" -   "/>
    <s v=" -   "/>
    <n v="0"/>
    <x v="2"/>
    <n v="0"/>
    <n v="0"/>
  </r>
  <r>
    <x v="0"/>
    <s v="JESIKA CELL"/>
    <n v="12301356"/>
    <s v="Outlet Non-Telco"/>
    <n v="3"/>
    <n v="8681000"/>
    <n v="11"/>
    <n v="2113700"/>
    <n v="1"/>
    <x v="3"/>
    <n v="2"/>
    <n v="0"/>
  </r>
  <r>
    <x v="0"/>
    <s v="michael cell"/>
    <n v="12323218"/>
    <s v="Outlet Non-Telco"/>
    <n v="2"/>
    <n v="6750900"/>
    <n v="12"/>
    <n v="1979000"/>
    <n v="1"/>
    <x v="0"/>
    <n v="0"/>
    <n v="0"/>
  </r>
  <r>
    <x v="0"/>
    <s v="Zaini Cell"/>
    <n v="12324647"/>
    <s v="Outlet Regular"/>
    <n v="0"/>
    <n v="0"/>
    <s v=" -   "/>
    <s v=" -   "/>
    <n v="0"/>
    <x v="2"/>
    <n v="0"/>
    <n v="0"/>
  </r>
  <r>
    <x v="0"/>
    <s v="TRIPLE M CELL"/>
    <n v="12326118"/>
    <s v="Outlet Non-Telco"/>
    <n v="3"/>
    <n v="8770000"/>
    <n v="5"/>
    <n v="7634000"/>
    <n v="1"/>
    <x v="0"/>
    <n v="0"/>
    <n v="4"/>
  </r>
  <r>
    <x v="0"/>
    <s v="Doax Cell"/>
    <n v="12326313"/>
    <s v="Outlet Regular"/>
    <n v="3"/>
    <n v="11704000"/>
    <n v="87"/>
    <n v="7410500"/>
    <n v="1"/>
    <x v="0"/>
    <n v="0"/>
    <n v="0"/>
  </r>
  <r>
    <x v="0"/>
    <s v="Johanis Cell"/>
    <n v="12326533"/>
    <s v="Outlet Non-Telco"/>
    <n v="11"/>
    <n v="8702500"/>
    <n v="3"/>
    <n v="150000"/>
    <n v="30"/>
    <x v="2"/>
    <n v="0"/>
    <n v="0"/>
  </r>
  <r>
    <x v="0"/>
    <s v="RAINBOW CELL"/>
    <n v="12326920"/>
    <s v="Outlet Regular"/>
    <n v="3"/>
    <n v="5433500"/>
    <s v=" -   "/>
    <n v="20255350"/>
    <n v="1"/>
    <x v="2"/>
    <n v="0"/>
    <n v="2"/>
  </r>
  <r>
    <x v="0"/>
    <s v="Ike CELL"/>
    <n v="1661"/>
    <s v="Outlet Regular"/>
    <n v="1"/>
    <n v="58000"/>
    <s v=" -   "/>
    <s v=" -   "/>
    <n v="1"/>
    <x v="2"/>
    <n v="0"/>
    <n v="0"/>
  </r>
  <r>
    <x v="0"/>
    <s v="KIRAN CELL"/>
    <n v="213944"/>
    <s v="Outlet Regular"/>
    <n v="3"/>
    <n v="4529000"/>
    <s v=" -   "/>
    <n v="2200000"/>
    <n v="1"/>
    <x v="4"/>
    <n v="1"/>
    <n v="0"/>
  </r>
  <r>
    <x v="0"/>
    <s v="KJ CELL"/>
    <n v="240048"/>
    <s v="Outlet KRO"/>
    <n v="3"/>
    <n v="1029000"/>
    <n v="5"/>
    <n v="200000"/>
    <n v="1"/>
    <x v="0"/>
    <n v="0"/>
    <n v="2"/>
  </r>
  <r>
    <x v="0"/>
    <s v="AUDREY CELL"/>
    <n v="287403"/>
    <s v="Outlet Regular"/>
    <n v="11"/>
    <n v="3478900"/>
    <n v="1"/>
    <n v="2542800"/>
    <n v="1"/>
    <x v="2"/>
    <n v="0"/>
    <n v="3"/>
  </r>
  <r>
    <x v="0"/>
    <s v="Acox Pulsa"/>
    <n v="287622"/>
    <s v="Outlet Regular"/>
    <n v="19"/>
    <n v="1800000"/>
    <n v="3"/>
    <n v="1617000"/>
    <n v="1"/>
    <x v="2"/>
    <n v="0"/>
    <n v="1"/>
  </r>
  <r>
    <x v="0"/>
    <s v="Queen CELL"/>
    <n v="301600"/>
    <s v="Outlet Regular"/>
    <n v="3"/>
    <n v="6604000"/>
    <s v=" -   "/>
    <n v="1000000"/>
    <n v="1"/>
    <x v="4"/>
    <n v="1"/>
    <n v="1"/>
  </r>
  <r>
    <x v="0"/>
    <s v="Kios Mba Rati"/>
    <n v="347538"/>
    <s v="Outlet Regular"/>
    <n v="3"/>
    <n v="1050200"/>
    <s v=" -   "/>
    <n v="766000"/>
    <n v="1"/>
    <x v="4"/>
    <n v="1"/>
    <n v="1"/>
  </r>
  <r>
    <x v="0"/>
    <s v="Acox Link"/>
    <n v="358231"/>
    <s v="Outlet Regular"/>
    <n v="2"/>
    <n v="4800000"/>
    <n v="3"/>
    <n v="3000000"/>
    <n v="1"/>
    <x v="2"/>
    <n v="0"/>
    <n v="0"/>
  </r>
  <r>
    <x v="0"/>
    <s v="def cell"/>
    <n v="368809"/>
    <s v="Outlet Regular"/>
    <n v="3"/>
    <n v="3895000"/>
    <s v=" -   "/>
    <n v="1615000"/>
    <n v="1"/>
    <x v="0"/>
    <n v="0"/>
    <n v="0"/>
  </r>
  <r>
    <x v="0"/>
    <s v="joy cell"/>
    <n v="385575"/>
    <s v="Outlet Regular"/>
    <n v="0"/>
    <n v="0"/>
    <s v=" -   "/>
    <n v="1000"/>
    <n v="0"/>
    <x v="2"/>
    <n v="0"/>
    <n v="0"/>
  </r>
  <r>
    <x v="0"/>
    <s v="king cell"/>
    <n v="408290"/>
    <s v="Outlet Regular"/>
    <n v="3"/>
    <n v="9058000"/>
    <n v="1"/>
    <n v="5500000"/>
    <n v="1"/>
    <x v="4"/>
    <n v="1"/>
    <n v="1"/>
  </r>
  <r>
    <x v="0"/>
    <s v="SIGIT CELL"/>
    <n v="416191"/>
    <s v="Outlet Regular"/>
    <n v="3"/>
    <n v="1021900"/>
    <n v="3"/>
    <n v="513200"/>
    <n v="1"/>
    <x v="2"/>
    <n v="0"/>
    <n v="1"/>
  </r>
  <r>
    <x v="0"/>
    <s v="cici cell"/>
    <n v="484741"/>
    <s v="Outlet Regular"/>
    <n v="3"/>
    <n v="3000000"/>
    <s v=" -   "/>
    <n v="1650000"/>
    <n v="1"/>
    <x v="2"/>
    <n v="0"/>
    <n v="1"/>
  </r>
  <r>
    <x v="0"/>
    <s v="TIARA CELL"/>
    <n v="486638"/>
    <s v="Outlet Regular"/>
    <n v="3"/>
    <n v="1100000"/>
    <s v=" -   "/>
    <n v="2700000"/>
    <n v="1"/>
    <x v="0"/>
    <n v="0"/>
    <n v="2"/>
  </r>
  <r>
    <x v="0"/>
    <s v="The The Cell"/>
    <n v="491288"/>
    <s v="Outlet Regular"/>
    <n v="3"/>
    <n v="700000"/>
    <s v=" -   "/>
    <n v="270500"/>
    <n v="1"/>
    <x v="2"/>
    <n v="0"/>
    <n v="0"/>
  </r>
  <r>
    <x v="0"/>
    <s v="Shield Cell"/>
    <n v="501643"/>
    <s v="Outlet Regular"/>
    <n v="1"/>
    <n v="9458000"/>
    <s v=" -   "/>
    <n v="6500000"/>
    <n v="1"/>
    <x v="2"/>
    <n v="0"/>
    <n v="0"/>
  </r>
  <r>
    <x v="0"/>
    <s v="ja cell"/>
    <n v="519286"/>
    <s v="Outlet Regular"/>
    <n v="32"/>
    <n v="7684000"/>
    <n v="3"/>
    <n v="1009000"/>
    <n v="1"/>
    <x v="2"/>
    <n v="0"/>
    <n v="0"/>
  </r>
  <r>
    <x v="0"/>
    <s v="PUTRI CELL 1"/>
    <n v="522623"/>
    <s v="Outlet Regular"/>
    <n v="3"/>
    <n v="6930000"/>
    <n v="4"/>
    <n v="1414000"/>
    <n v="1"/>
    <x v="5"/>
    <n v="9"/>
    <n v="0"/>
  </r>
  <r>
    <x v="0"/>
    <s v="jefik cell"/>
    <n v="523194"/>
    <s v="Outlet Regular"/>
    <n v="3"/>
    <n v="308000"/>
    <n v="1"/>
    <n v="200000"/>
    <n v="2"/>
    <x v="0"/>
    <n v="0"/>
    <n v="0"/>
  </r>
  <r>
    <x v="0"/>
    <s v="ANI Cell"/>
    <n v="523935"/>
    <s v="Outlet Regular"/>
    <n v="3"/>
    <n v="5100000"/>
    <s v=" -   "/>
    <n v="4150000"/>
    <n v="1"/>
    <x v="2"/>
    <n v="0"/>
    <n v="0"/>
  </r>
  <r>
    <x v="0"/>
    <s v="Nab cell 1"/>
    <n v="523938"/>
    <s v="Outlet Regular"/>
    <n v="3"/>
    <n v="1631000"/>
    <s v=" -   "/>
    <n v="220500"/>
    <n v="1"/>
    <x v="2"/>
    <n v="0"/>
    <n v="0"/>
  </r>
  <r>
    <x v="0"/>
    <s v="Blesing cell"/>
    <n v="524281"/>
    <s v="Outlet Regular"/>
    <n v="3"/>
    <n v="29000"/>
    <s v=" -   "/>
    <n v="300000"/>
    <n v="1"/>
    <x v="2"/>
    <n v="0"/>
    <n v="0"/>
  </r>
  <r>
    <x v="0"/>
    <s v="FF CELL"/>
    <n v="524283"/>
    <s v="Outlet Regular"/>
    <n v="1"/>
    <n v="427000"/>
    <s v=" -   "/>
    <n v="141000"/>
    <n v="1"/>
    <x v="2"/>
    <n v="0"/>
    <n v="0"/>
  </r>
  <r>
    <x v="0"/>
    <s v="mj cell"/>
    <n v="525590"/>
    <s v="Outlet Regular"/>
    <n v="11"/>
    <n v="6983500"/>
    <n v="4"/>
    <n v="9369000"/>
    <n v="2"/>
    <x v="0"/>
    <n v="0"/>
    <n v="0"/>
  </r>
  <r>
    <x v="0"/>
    <s v="Dipan Cell Matungkas"/>
    <n v="530058"/>
    <s v="Outlet Regular"/>
    <n v="3"/>
    <n v="3058000"/>
    <s v=" -   "/>
    <n v="1400000"/>
    <n v="1"/>
    <x v="0"/>
    <n v="0"/>
    <n v="3"/>
  </r>
  <r>
    <x v="0"/>
    <s v="CHA CHA CELL MATUNGKAS"/>
    <n v="535790"/>
    <s v="Outlet Regular"/>
    <n v="3"/>
    <n v="4100000"/>
    <n v="3"/>
    <n v="1800000"/>
    <n v="1"/>
    <x v="4"/>
    <n v="1"/>
    <n v="1"/>
  </r>
  <r>
    <x v="0"/>
    <s v="JMW CELL"/>
    <n v="542823"/>
    <s v="Outlet Non-Telco"/>
    <n v="3"/>
    <n v="766000"/>
    <n v="3"/>
    <n v="450000"/>
    <n v="1"/>
    <x v="4"/>
    <n v="1"/>
    <n v="0"/>
  </r>
  <r>
    <x v="0"/>
    <s v="Fai cell 2"/>
    <n v="549259"/>
    <s v="Outlet Regular"/>
    <n v="0"/>
    <n v="0"/>
    <s v=" -   "/>
    <s v=" -   "/>
    <n v="0"/>
    <x v="2"/>
    <n v="0"/>
    <n v="0"/>
  </r>
  <r>
    <x v="0"/>
    <s v="ALIBABA CELL"/>
    <n v="571174"/>
    <s v="Outlet Regular"/>
    <n v="1"/>
    <n v="3475500"/>
    <s v=" -   "/>
    <n v="610500"/>
    <n v="1"/>
    <x v="2"/>
    <n v="0"/>
    <n v="0"/>
  </r>
  <r>
    <x v="0"/>
    <s v="DR CELL"/>
    <n v="62086"/>
    <s v="Outlet Regular"/>
    <n v="0"/>
    <n v="0"/>
    <n v="3"/>
    <n v="100000"/>
    <n v="0"/>
    <x v="2"/>
    <n v="0"/>
    <n v="0"/>
  </r>
  <r>
    <x v="0"/>
    <s v="BERKAT INDAH CELL"/>
    <n v="63887"/>
    <s v="Outlet Non-Telco"/>
    <n v="0"/>
    <n v="1800000"/>
    <s v=" -   "/>
    <n v="500000"/>
    <n v="0"/>
    <x v="0"/>
    <n v="1"/>
    <n v="0"/>
  </r>
  <r>
    <x v="1"/>
    <s v="QALBI  CELL"/>
    <n v="116871"/>
    <s v="Outlet KRO"/>
    <n v="3"/>
    <n v="26116000"/>
    <n v="54"/>
    <n v="24058000"/>
    <n v="2"/>
    <x v="6"/>
    <n v="3"/>
    <n v="6"/>
  </r>
  <r>
    <x v="1"/>
    <s v="Loni cell"/>
    <n v="12295542"/>
    <s v="Outlet Regular"/>
    <n v="0"/>
    <n v="34616800"/>
    <n v="11"/>
    <s v=" -   "/>
    <n v="1"/>
    <x v="0"/>
    <n v="0"/>
    <n v="3"/>
  </r>
  <r>
    <x v="1"/>
    <s v="BALERINNA CELL"/>
    <n v="12295717"/>
    <s v="Outlet Regular"/>
    <n v="5"/>
    <n v="100000"/>
    <n v="3"/>
    <n v="50000"/>
    <n v="1"/>
    <x v="0"/>
    <n v="0"/>
    <n v="0"/>
  </r>
  <r>
    <x v="1"/>
    <s v="KIOS NADYA"/>
    <n v="12295887"/>
    <s v="Outlet Regular"/>
    <n v="0"/>
    <n v="0"/>
    <n v="2"/>
    <n v="7000"/>
    <n v="0"/>
    <x v="2"/>
    <n v="0"/>
    <n v="0"/>
  </r>
  <r>
    <x v="1"/>
    <s v="Dinda Celll"/>
    <n v="12312295"/>
    <s v="Outlet Regular"/>
    <n v="0"/>
    <n v="10523500"/>
    <n v="3"/>
    <s v=" -   "/>
    <n v="2"/>
    <x v="0"/>
    <n v="0"/>
    <n v="0"/>
  </r>
  <r>
    <x v="1"/>
    <s v="Hikma ponsel"/>
    <n v="12322237"/>
    <s v="Outlet Non-Telco"/>
    <n v="1"/>
    <n v="0"/>
    <s v=" -   "/>
    <s v=" -   "/>
    <n v="1"/>
    <x v="2"/>
    <n v="0"/>
    <n v="1"/>
  </r>
  <r>
    <x v="1"/>
    <s v="Mitra A2"/>
    <n v="12322483"/>
    <s v="Outlet Non-Telco"/>
    <n v="0"/>
    <n v="0"/>
    <n v="3"/>
    <n v="1000"/>
    <n v="0"/>
    <x v="2"/>
    <n v="0"/>
    <n v="0"/>
  </r>
  <r>
    <x v="1"/>
    <s v="ALEYA CELL"/>
    <n v="12323463"/>
    <s v="Outlet Regular"/>
    <n v="102"/>
    <n v="17855500"/>
    <n v="40"/>
    <n v="1175000"/>
    <n v="18"/>
    <x v="7"/>
    <n v="67"/>
    <n v="2"/>
  </r>
  <r>
    <x v="1"/>
    <s v="KIOS TASYA"/>
    <n v="12325263"/>
    <s v="Outlet Regular"/>
    <n v="0"/>
    <n v="0"/>
    <n v="3"/>
    <n v="7000"/>
    <n v="0"/>
    <x v="2"/>
    <n v="0"/>
    <n v="0"/>
  </r>
  <r>
    <x v="1"/>
    <s v="tuti cell"/>
    <n v="126951"/>
    <s v="Outlet Regular"/>
    <n v="3"/>
    <n v="6000000"/>
    <s v=" -   "/>
    <n v="2000000"/>
    <n v="2"/>
    <x v="3"/>
    <n v="1"/>
    <n v="2"/>
  </r>
  <r>
    <x v="1"/>
    <s v="ABADI CELL"/>
    <n v="126952"/>
    <s v="Outlet Non-Telco"/>
    <n v="0"/>
    <e v="#N/A"/>
    <n v="3"/>
    <n v="7000"/>
    <n v="0"/>
    <x v="2"/>
    <n v="0"/>
    <n v="0"/>
  </r>
  <r>
    <x v="1"/>
    <s v="Bless Cell"/>
    <n v="195514"/>
    <s v="Outlet Regular"/>
    <n v="3"/>
    <n v="200000"/>
    <s v=" -   "/>
    <n v="50000"/>
    <n v="1"/>
    <x v="2"/>
    <n v="0"/>
    <n v="0"/>
  </r>
  <r>
    <x v="1"/>
    <s v="Ribby Cell"/>
    <n v="199007"/>
    <s v="Outlet Non-Telco"/>
    <n v="0"/>
    <n v="0"/>
    <s v=" -   "/>
    <s v=" -   "/>
    <n v="0"/>
    <x v="2"/>
    <n v="0"/>
    <n v="0"/>
  </r>
  <r>
    <x v="1"/>
    <s v="ayu cell"/>
    <n v="199010"/>
    <s v="Outlet Regular"/>
    <n v="3"/>
    <n v="5050000"/>
    <s v=" -   "/>
    <n v="1050000"/>
    <n v="1"/>
    <x v="0"/>
    <n v="0"/>
    <n v="0"/>
  </r>
  <r>
    <x v="1"/>
    <s v="PRIMA PONSEL"/>
    <n v="199217"/>
    <s v="Outlet Regular"/>
    <n v="3"/>
    <n v="58000"/>
    <n v="3"/>
    <n v="57000"/>
    <n v="1"/>
    <x v="2"/>
    <n v="0"/>
    <n v="3"/>
  </r>
  <r>
    <x v="1"/>
    <s v="DENTHA CELL"/>
    <n v="211794"/>
    <s v="Outlet Regular"/>
    <n v="3"/>
    <n v="1500000"/>
    <s v=" -   "/>
    <n v="700000"/>
    <n v="1"/>
    <x v="4"/>
    <n v="1"/>
    <n v="0"/>
  </r>
  <r>
    <x v="1"/>
    <s v="keren moren cell"/>
    <n v="222816"/>
    <s v="Outlet Regular"/>
    <n v="3"/>
    <n v="8800000"/>
    <s v=" -   "/>
    <n v="6500000"/>
    <n v="1"/>
    <x v="0"/>
    <n v="0"/>
    <n v="3"/>
  </r>
  <r>
    <x v="1"/>
    <s v="KLABAT  CELL"/>
    <n v="228872"/>
    <s v="Outlet Regular"/>
    <n v="8"/>
    <n v="4000000"/>
    <n v="3"/>
    <n v="3500000"/>
    <n v="1"/>
    <x v="2"/>
    <n v="0"/>
    <n v="0"/>
  </r>
  <r>
    <x v="1"/>
    <s v="Blessed cell"/>
    <n v="229765"/>
    <s v="Outlet Regular"/>
    <n v="3"/>
    <n v="22000000"/>
    <n v="12"/>
    <n v="16000000"/>
    <n v="4"/>
    <x v="8"/>
    <n v="15"/>
    <n v="3"/>
  </r>
  <r>
    <x v="1"/>
    <s v="KENZIE CELL"/>
    <n v="231278"/>
    <s v="Outlet Regular"/>
    <n v="0"/>
    <n v="0"/>
    <s v=" -   "/>
    <n v="500000"/>
    <n v="1"/>
    <x v="2"/>
    <n v="0"/>
    <n v="0"/>
  </r>
  <r>
    <x v="1"/>
    <s v="ONE CELL"/>
    <n v="246732"/>
    <s v="Outlet Regular"/>
    <n v="3"/>
    <n v="150000"/>
    <s v=" -   "/>
    <n v="200000"/>
    <n v="1"/>
    <x v="2"/>
    <n v="0"/>
    <n v="0"/>
  </r>
  <r>
    <x v="1"/>
    <s v="aurel cell"/>
    <n v="278608"/>
    <s v="Outlet Regular"/>
    <n v="11"/>
    <n v="3600000"/>
    <n v="3"/>
    <n v="3250000"/>
    <n v="2"/>
    <x v="3"/>
    <n v="1"/>
    <n v="3"/>
  </r>
  <r>
    <x v="1"/>
    <s v="PROMO CELL"/>
    <n v="292836"/>
    <s v="Outlet Regular"/>
    <n v="0"/>
    <n v="2000000"/>
    <s v=" -   "/>
    <s v=" -   "/>
    <n v="0"/>
    <x v="2"/>
    <n v="0"/>
    <n v="0"/>
  </r>
  <r>
    <x v="1"/>
    <s v="DINA CELL"/>
    <n v="345691"/>
    <s v="Outlet Regular"/>
    <n v="3"/>
    <n v="2667000"/>
    <n v="3"/>
    <n v="1955000"/>
    <n v="2"/>
    <x v="0"/>
    <n v="0"/>
    <n v="0"/>
  </r>
  <r>
    <x v="1"/>
    <s v="DZIKRA CELL"/>
    <n v="366702"/>
    <s v="Outlet Regular"/>
    <n v="3"/>
    <n v="8175000"/>
    <n v="2"/>
    <n v="6450000"/>
    <n v="1"/>
    <x v="0"/>
    <n v="0"/>
    <n v="0"/>
  </r>
  <r>
    <x v="1"/>
    <s v="marques cell"/>
    <n v="480658"/>
    <s v="Outlet Regular"/>
    <n v="6"/>
    <n v="1000000"/>
    <n v="3"/>
    <n v="700000"/>
    <n v="1"/>
    <x v="4"/>
    <n v="1"/>
    <n v="0"/>
  </r>
  <r>
    <x v="1"/>
    <s v="Mantari Cell"/>
    <n v="503354"/>
    <s v="Outlet Regular"/>
    <n v="2"/>
    <n v="2300000"/>
    <n v="3"/>
    <n v="1600000"/>
    <n v="1"/>
    <x v="2"/>
    <n v="0"/>
    <n v="0"/>
  </r>
  <r>
    <x v="1"/>
    <s v="Kuffy Cell"/>
    <n v="503633"/>
    <s v="Outlet Regular"/>
    <n v="3"/>
    <n v="350000"/>
    <s v=" -   "/>
    <n v="200000"/>
    <n v="1"/>
    <x v="2"/>
    <n v="0"/>
    <n v="0"/>
  </r>
  <r>
    <x v="1"/>
    <s v="Ayang Cell"/>
    <n v="503866"/>
    <s v="Outlet Regular"/>
    <n v="3"/>
    <n v="4508000"/>
    <n v="4"/>
    <n v="3050000"/>
    <n v="1"/>
    <x v="4"/>
    <n v="1"/>
    <n v="0"/>
  </r>
  <r>
    <x v="1"/>
    <s v="KEENAN CELL"/>
    <n v="510053"/>
    <s v="Outlet Regular"/>
    <n v="3"/>
    <n v="500000"/>
    <n v="1"/>
    <n v="658000"/>
    <n v="1"/>
    <x v="2"/>
    <n v="0"/>
    <n v="1"/>
  </r>
  <r>
    <x v="1"/>
    <s v="NIZMA CELL"/>
    <n v="523430"/>
    <s v="Outlet Regular"/>
    <n v="3"/>
    <n v="9670000"/>
    <s v=" -   "/>
    <n v="7520000"/>
    <n v="2"/>
    <x v="2"/>
    <n v="0"/>
    <n v="2"/>
  </r>
  <r>
    <x v="1"/>
    <s v="ZANNA CELL"/>
    <n v="529090"/>
    <s v="Outlet Non-Telco"/>
    <n v="0"/>
    <n v="0"/>
    <n v="3"/>
    <s v=" -   "/>
    <n v="0"/>
    <x v="0"/>
    <n v="1"/>
    <n v="0"/>
  </r>
  <r>
    <x v="1"/>
    <s v="Alchris Cell"/>
    <n v="529249"/>
    <s v="Outlet Non-Telco"/>
    <n v="0"/>
    <n v="4735000"/>
    <n v="3"/>
    <s v=" -   "/>
    <n v="1"/>
    <x v="2"/>
    <n v="0"/>
    <n v="0"/>
  </r>
  <r>
    <x v="1"/>
    <s v="Kios Saudara 03 Cell"/>
    <n v="530345"/>
    <s v="Outlet Regular"/>
    <n v="0"/>
    <n v="7000000"/>
    <n v="3"/>
    <n v="6000000"/>
    <n v="1"/>
    <x v="0"/>
    <n v="0"/>
    <n v="1"/>
  </r>
  <r>
    <x v="1"/>
    <s v="Hikmah cell"/>
    <n v="539088"/>
    <s v="Outlet Regular"/>
    <n v="0"/>
    <n v="0"/>
    <n v="1"/>
    <n v="6684000"/>
    <n v="0"/>
    <x v="4"/>
    <n v="2"/>
    <n v="4"/>
  </r>
  <r>
    <x v="1"/>
    <s v="Sweet Cell"/>
    <n v="543720"/>
    <s v="Outlet Non-Telco"/>
    <n v="0"/>
    <n v="0"/>
    <n v="3"/>
    <s v=" -   "/>
    <n v="1"/>
    <x v="0"/>
    <n v="0"/>
    <n v="0"/>
  </r>
  <r>
    <x v="1"/>
    <s v="bellvaido cell"/>
    <n v="560814"/>
    <s v="Outlet Non-Telco"/>
    <n v="0"/>
    <n v="4950000"/>
    <n v="3"/>
    <s v=" -   "/>
    <n v="1"/>
    <x v="0"/>
    <n v="0"/>
    <n v="0"/>
  </r>
  <r>
    <x v="1"/>
    <s v="Crisilia Cell"/>
    <n v="563095"/>
    <s v="Outlet Regular"/>
    <n v="3"/>
    <n v="6000000"/>
    <s v=" -   "/>
    <n v="4000000"/>
    <n v="2"/>
    <x v="2"/>
    <n v="0"/>
    <n v="0"/>
  </r>
  <r>
    <x v="1"/>
    <s v="ARYA CELL"/>
    <n v="61690"/>
    <s v="Outlet Regular"/>
    <n v="3"/>
    <n v="18058000"/>
    <n v="2"/>
    <n v="10000000"/>
    <n v="1"/>
    <x v="2"/>
    <n v="0"/>
    <n v="4"/>
  </r>
  <r>
    <x v="1"/>
    <s v="PELANGI CELL"/>
    <s v="SH004093"/>
    <s v="Outlet Regular"/>
    <n v="55"/>
    <n v="11815000"/>
    <n v="32"/>
    <n v="11831000"/>
    <n v="0"/>
    <x v="9"/>
    <n v="31"/>
    <n v="1"/>
  </r>
  <r>
    <x v="1"/>
    <s v="QALBI 2 CELL"/>
    <s v="SH007991"/>
    <s v="Outlet Regular"/>
    <n v="4"/>
    <n v="3000000"/>
    <s v=" -   "/>
    <n v="18752000"/>
    <n v="1"/>
    <x v="4"/>
    <n v="1"/>
    <n v="0"/>
  </r>
  <r>
    <x v="1"/>
    <s v="Yuke Cell"/>
    <s v="SH010548"/>
    <s v="Outlet Regular"/>
    <n v="0"/>
    <n v="300000"/>
    <s v=" -   "/>
    <s v=" -   "/>
    <n v="3"/>
    <x v="2"/>
    <n v="0"/>
    <n v="0"/>
  </r>
  <r>
    <x v="1"/>
    <s v="DZIKRA CELL KAUDITAN"/>
    <s v="SH011477"/>
    <s v="Outlet Regular"/>
    <n v="3"/>
    <n v="300000"/>
    <s v=" -   "/>
    <n v="1300000"/>
    <n v="1"/>
    <x v="2"/>
    <n v="0"/>
    <n v="0"/>
  </r>
  <r>
    <x v="2"/>
    <s v="Club cell"/>
    <n v="12295536"/>
    <s v="Outlet Regular"/>
    <n v="6"/>
    <n v="1029000"/>
    <s v=" -   "/>
    <s v=" -   "/>
    <n v="0"/>
    <x v="0"/>
    <n v="1"/>
    <n v="2"/>
  </r>
  <r>
    <x v="2"/>
    <s v="Zall Cell"/>
    <n v="12295980"/>
    <s v="Outlet Non-Telco"/>
    <n v="0"/>
    <n v="0"/>
    <s v=" -   "/>
    <s v=" -   "/>
    <n v="0"/>
    <x v="2"/>
    <n v="0"/>
    <n v="0"/>
  </r>
  <r>
    <x v="2"/>
    <s v="RIO CELL"/>
    <n v="12302808"/>
    <s v="Outlet Regular"/>
    <n v="1"/>
    <n v="50000"/>
    <s v=" -   "/>
    <s v=" -   "/>
    <n v="0"/>
    <x v="2"/>
    <n v="0"/>
    <n v="0"/>
  </r>
  <r>
    <x v="2"/>
    <s v="YANI CELL"/>
    <n v="12303072"/>
    <s v="Outlet Non-Telco"/>
    <n v="3"/>
    <n v="0"/>
    <s v=" -   "/>
    <s v=" -   "/>
    <n v="2"/>
    <x v="4"/>
    <n v="0"/>
    <n v="0"/>
  </r>
  <r>
    <x v="2"/>
    <s v="Niks cell"/>
    <n v="12313881"/>
    <s v="Outlet Regular"/>
    <n v="6"/>
    <n v="58067000"/>
    <n v="21"/>
    <n v="13609000"/>
    <n v="1"/>
    <x v="8"/>
    <n v="18"/>
    <n v="3"/>
  </r>
  <r>
    <x v="2"/>
    <s v="Pandi cell"/>
    <n v="12317091"/>
    <s v="Outlet Regular"/>
    <n v="0"/>
    <n v="0"/>
    <s v=" -   "/>
    <s v=" -   "/>
    <n v="0"/>
    <x v="2"/>
    <n v="0"/>
    <n v="0"/>
  </r>
  <r>
    <x v="2"/>
    <s v="BERRY CELL"/>
    <n v="12318079"/>
    <s v="Outlet Regular"/>
    <n v="6"/>
    <n v="950000"/>
    <n v="4"/>
    <n v="466000"/>
    <n v="1"/>
    <x v="3"/>
    <n v="2"/>
    <n v="0"/>
  </r>
  <r>
    <x v="2"/>
    <s v="BINTANG CELL"/>
    <n v="12320853"/>
    <s v="Outlet Regular"/>
    <n v="5"/>
    <n v="0"/>
    <s v=" -   "/>
    <s v=" -   "/>
    <n v="1"/>
    <x v="2"/>
    <n v="0"/>
    <n v="0"/>
  </r>
  <r>
    <x v="2"/>
    <s v="DAP CELL"/>
    <n v="12321230"/>
    <s v="Outlet Regular"/>
    <n v="0"/>
    <n v="203000"/>
    <s v=" -   "/>
    <s v=" -   "/>
    <n v="0"/>
    <x v="4"/>
    <n v="2"/>
    <n v="0"/>
  </r>
  <r>
    <x v="2"/>
    <s v="Dhivaa cell"/>
    <n v="12321241"/>
    <s v="Outlet KRO"/>
    <n v="520"/>
    <n v="58323000"/>
    <n v="8"/>
    <n v="19232000"/>
    <n v="3"/>
    <x v="10"/>
    <n v="17"/>
    <n v="3"/>
  </r>
  <r>
    <x v="2"/>
    <s v="Ria Cell"/>
    <n v="12321243"/>
    <s v="Outlet Regular"/>
    <n v="38"/>
    <n v="53322000"/>
    <n v="307"/>
    <n v="19203000"/>
    <n v="2"/>
    <x v="11"/>
    <n v="62"/>
    <n v="3"/>
  </r>
  <r>
    <x v="2"/>
    <s v="Mandiri jaya cell"/>
    <n v="12322430"/>
    <s v="Outlet Regular"/>
    <n v="0"/>
    <n v="0"/>
    <s v=" -   "/>
    <s v=" -   "/>
    <n v="0"/>
    <x v="2"/>
    <n v="0"/>
    <n v="0"/>
  </r>
  <r>
    <x v="2"/>
    <s v="ARJUNA CELL"/>
    <n v="12324194"/>
    <s v="Outlet Regular"/>
    <n v="0"/>
    <n v="0"/>
    <s v=" -   "/>
    <s v=" -   "/>
    <n v="0"/>
    <x v="2"/>
    <n v="0"/>
    <n v="0"/>
  </r>
  <r>
    <x v="2"/>
    <s v="ALhafiz cell"/>
    <n v="12327316"/>
    <s v="Outlet Regular"/>
    <n v="5"/>
    <n v="500000"/>
    <s v=" -   "/>
    <s v=" -   "/>
    <n v="1"/>
    <x v="0"/>
    <n v="0"/>
    <n v="0"/>
  </r>
  <r>
    <x v="2"/>
    <s v="Purple Cell"/>
    <n v="12331450"/>
    <s v="Outlet Regular"/>
    <n v="0"/>
    <n v="200000"/>
    <s v=" -   "/>
    <n v="200000"/>
    <n v="1"/>
    <x v="2"/>
    <n v="0"/>
    <n v="0"/>
  </r>
  <r>
    <x v="2"/>
    <s v="Tasya cell"/>
    <n v="12332670"/>
    <s v="Outlet Regular"/>
    <n v="0"/>
    <n v="1915000"/>
    <s v=" -   "/>
    <n v="1080000"/>
    <n v="1"/>
    <x v="6"/>
    <n v="4"/>
    <n v="0"/>
  </r>
  <r>
    <x v="2"/>
    <s v="Jefone cell"/>
    <n v="12332811"/>
    <s v="Outlet Regular"/>
    <n v="0"/>
    <n v="0"/>
    <s v=" -   "/>
    <s v=" -   "/>
    <n v="0"/>
    <x v="2"/>
    <n v="0"/>
    <n v="0"/>
  </r>
  <r>
    <x v="2"/>
    <s v="anugerah cell"/>
    <n v="12333237"/>
    <s v="Outlet Regular"/>
    <n v="5"/>
    <n v="100000"/>
    <n v="4"/>
    <n v="316000"/>
    <n v="1"/>
    <x v="12"/>
    <n v="7"/>
    <n v="0"/>
  </r>
  <r>
    <x v="2"/>
    <s v="Atan cell"/>
    <n v="12334635"/>
    <s v="Outlet Regular"/>
    <n v="4"/>
    <n v="58616000"/>
    <n v="5"/>
    <n v="39377000"/>
    <n v="1"/>
    <x v="2"/>
    <n v="0"/>
    <n v="1"/>
  </r>
  <r>
    <x v="2"/>
    <s v="Fred cell"/>
    <n v="12334637"/>
    <s v="Outlet Regular"/>
    <n v="4"/>
    <n v="46616000"/>
    <n v="13"/>
    <n v="15595000"/>
    <n v="1"/>
    <x v="0"/>
    <n v="0"/>
    <n v="0"/>
  </r>
  <r>
    <x v="2"/>
    <s v="NYOMAN CELL"/>
    <n v="126963"/>
    <s v="Outlet Regular"/>
    <n v="6"/>
    <n v="800000"/>
    <n v="4"/>
    <n v="516000"/>
    <n v="1"/>
    <x v="2"/>
    <n v="0"/>
    <n v="0"/>
  </r>
  <r>
    <x v="2"/>
    <s v="gaul cell"/>
    <n v="127198"/>
    <s v="Outlet Regular"/>
    <n v="29"/>
    <n v="4986000"/>
    <n v="4"/>
    <n v="4290000"/>
    <n v="2"/>
    <x v="13"/>
    <n v="9"/>
    <n v="0"/>
  </r>
  <r>
    <x v="2"/>
    <s v="3 V"/>
    <n v="195918"/>
    <s v="Outlet Regular"/>
    <n v="3"/>
    <n v="13580000"/>
    <s v=" -   "/>
    <n v="12336999"/>
    <n v="0"/>
    <x v="14"/>
    <n v="4"/>
    <n v="0"/>
  </r>
  <r>
    <x v="2"/>
    <s v="PRIMA CELL"/>
    <n v="199020"/>
    <s v="Outlet Regular"/>
    <n v="0"/>
    <n v="700000"/>
    <s v=" -   "/>
    <n v="500000"/>
    <n v="1"/>
    <x v="2"/>
    <n v="0"/>
    <n v="0"/>
  </r>
  <r>
    <x v="2"/>
    <s v="Monalisa Cell"/>
    <n v="240084"/>
    <s v="Outlet Regular"/>
    <n v="0"/>
    <n v="11500000"/>
    <s v=" -   "/>
    <n v="10000000"/>
    <n v="0"/>
    <x v="2"/>
    <n v="0"/>
    <n v="0"/>
  </r>
  <r>
    <x v="2"/>
    <s v="Naldy cell"/>
    <n v="240713"/>
    <s v="Outlet Regular"/>
    <n v="6"/>
    <n v="8700000"/>
    <n v="4"/>
    <n v="6866000"/>
    <n v="1"/>
    <x v="0"/>
    <n v="0"/>
    <n v="1"/>
  </r>
  <r>
    <x v="2"/>
    <s v="COCO CELL"/>
    <n v="304264"/>
    <s v="Outlet Non-Telco"/>
    <n v="0"/>
    <n v="529000"/>
    <s v=" -   "/>
    <n v="500000"/>
    <n v="1"/>
    <x v="0"/>
    <n v="0"/>
    <n v="0"/>
  </r>
  <r>
    <x v="2"/>
    <s v="denny cell"/>
    <n v="342829"/>
    <s v="Outlet Regular"/>
    <n v="4"/>
    <n v="2400000"/>
    <n v="3"/>
    <n v="2587000"/>
    <n v="2"/>
    <x v="0"/>
    <n v="0"/>
    <n v="0"/>
  </r>
  <r>
    <x v="2"/>
    <s v="Rey Cell"/>
    <n v="345427"/>
    <s v="Outlet Regular"/>
    <n v="8"/>
    <n v="1800000"/>
    <n v="4"/>
    <n v="1316000"/>
    <n v="1"/>
    <x v="2"/>
    <n v="0"/>
    <n v="0"/>
  </r>
  <r>
    <x v="2"/>
    <s v="w3 cell"/>
    <n v="352167"/>
    <s v="Outlet Regular"/>
    <n v="0"/>
    <n v="998000"/>
    <s v=" -   "/>
    <n v="600000"/>
    <n v="0"/>
    <x v="0"/>
    <n v="1"/>
    <n v="0"/>
  </r>
  <r>
    <x v="2"/>
    <s v="zidan cell"/>
    <n v="396176"/>
    <s v="Outlet Regular"/>
    <n v="0"/>
    <n v="0"/>
    <s v=" -   "/>
    <n v="100000"/>
    <n v="0"/>
    <x v="0"/>
    <n v="1"/>
    <n v="0"/>
  </r>
  <r>
    <x v="2"/>
    <s v="HAWE Cell"/>
    <n v="401031"/>
    <s v="Outlet Regular"/>
    <n v="6"/>
    <n v="2550000"/>
    <s v=" -   "/>
    <n v="2000000"/>
    <n v="0"/>
    <x v="2"/>
    <n v="0"/>
    <n v="0"/>
  </r>
  <r>
    <x v="2"/>
    <s v="Jihan Cell"/>
    <n v="471389"/>
    <s v="Outlet Regular"/>
    <n v="0"/>
    <n v="200000"/>
    <s v=" -   "/>
    <n v="200000"/>
    <n v="1"/>
    <x v="0"/>
    <n v="0"/>
    <n v="0"/>
  </r>
  <r>
    <x v="2"/>
    <s v="Yunita Cell"/>
    <n v="477625"/>
    <s v="Outlet Regular"/>
    <n v="0"/>
    <n v="0"/>
    <s v=" -   "/>
    <s v=" -   "/>
    <n v="0"/>
    <x v="2"/>
    <n v="0"/>
    <n v="0"/>
  </r>
  <r>
    <x v="2"/>
    <s v="Eliana Cell"/>
    <n v="481857"/>
    <s v="Outlet Regular"/>
    <n v="6"/>
    <n v="750000"/>
    <s v=" -   "/>
    <n v="200000"/>
    <n v="1"/>
    <x v="2"/>
    <n v="0"/>
    <n v="0"/>
  </r>
  <r>
    <x v="2"/>
    <s v="PINK CELL"/>
    <n v="483240"/>
    <s v="Outlet Regular"/>
    <n v="0"/>
    <n v="300000"/>
    <s v=" -   "/>
    <n v="250000"/>
    <n v="0"/>
    <x v="0"/>
    <n v="1"/>
    <n v="0"/>
  </r>
  <r>
    <x v="2"/>
    <s v="INDRA CELL"/>
    <n v="499483"/>
    <s v="Outlet Regular"/>
    <n v="0"/>
    <n v="5500000"/>
    <s v=" -   "/>
    <n v="3300000"/>
    <n v="1"/>
    <x v="4"/>
    <n v="1"/>
    <n v="0"/>
  </r>
  <r>
    <x v="2"/>
    <s v="Djeiske cell"/>
    <n v="501141"/>
    <s v="Outlet Regular"/>
    <n v="0"/>
    <n v="100000"/>
    <s v=" -   "/>
    <s v=" -   "/>
    <n v="1"/>
    <x v="2"/>
    <n v="0"/>
    <n v="0"/>
  </r>
  <r>
    <x v="2"/>
    <s v="Bontel Cell"/>
    <n v="501263"/>
    <s v="Outlet Regular"/>
    <n v="0"/>
    <n v="0"/>
    <s v=" -   "/>
    <n v="200000"/>
    <n v="1"/>
    <x v="0"/>
    <n v="0"/>
    <n v="0"/>
  </r>
  <r>
    <x v="2"/>
    <s v="ASTER CELL"/>
    <n v="501860"/>
    <s v="Outlet Regular"/>
    <n v="6"/>
    <n v="800000"/>
    <n v="4"/>
    <n v="616000"/>
    <n v="1"/>
    <x v="3"/>
    <n v="2"/>
    <n v="1"/>
  </r>
  <r>
    <x v="2"/>
    <s v="nyox cell"/>
    <n v="510295"/>
    <s v="Outlet Regular"/>
    <n v="5"/>
    <n v="250000"/>
    <n v="4"/>
    <n v="466000"/>
    <n v="1"/>
    <x v="2"/>
    <n v="0"/>
    <n v="0"/>
  </r>
  <r>
    <x v="2"/>
    <s v="hermon cell"/>
    <n v="510299"/>
    <s v="Outlet Regular"/>
    <n v="0"/>
    <n v="1000000"/>
    <s v=" -   "/>
    <s v=" -   "/>
    <n v="0"/>
    <x v="2"/>
    <n v="0"/>
    <n v="0"/>
  </r>
  <r>
    <x v="2"/>
    <s v="46 Cell"/>
    <n v="511584"/>
    <s v="Outlet Regular"/>
    <n v="5"/>
    <n v="1300000"/>
    <n v="4"/>
    <n v="116000"/>
    <n v="1"/>
    <x v="3"/>
    <n v="2"/>
    <n v="0"/>
  </r>
  <r>
    <x v="2"/>
    <s v="kios honey cell"/>
    <n v="514589"/>
    <s v="Outlet Regular"/>
    <n v="5"/>
    <n v="39061000"/>
    <n v="10"/>
    <n v="17290000"/>
    <n v="1"/>
    <x v="2"/>
    <n v="0"/>
    <n v="0"/>
  </r>
  <r>
    <x v="2"/>
    <s v="MilanQueen"/>
    <n v="523849"/>
    <s v="Outlet Regular"/>
    <n v="0"/>
    <n v="100000"/>
    <s v=" -   "/>
    <s v=" -   "/>
    <n v="1"/>
    <x v="2"/>
    <n v="0"/>
    <n v="0"/>
  </r>
  <r>
    <x v="2"/>
    <s v="FR3S Cell"/>
    <n v="526916"/>
    <s v="Outlet Regular"/>
    <n v="4"/>
    <n v="500000"/>
    <n v="4"/>
    <n v="316000"/>
    <n v="2"/>
    <x v="3"/>
    <n v="1"/>
    <n v="0"/>
  </r>
  <r>
    <x v="2"/>
    <s v="2 putra"/>
    <n v="530334"/>
    <s v="Outlet Regular"/>
    <n v="0"/>
    <n v="1500000"/>
    <s v=" -   "/>
    <n v="650000"/>
    <n v="1"/>
    <x v="2"/>
    <n v="0"/>
    <n v="0"/>
  </r>
  <r>
    <x v="2"/>
    <s v="carter cell"/>
    <n v="543771"/>
    <s v="Outlet Regular"/>
    <n v="0"/>
    <n v="300000"/>
    <s v=" -   "/>
    <s v=" -   "/>
    <n v="1"/>
    <x v="2"/>
    <n v="0"/>
    <n v="1"/>
  </r>
  <r>
    <x v="2"/>
    <s v="Floria cell"/>
    <n v="543826"/>
    <s v="Outlet Regular"/>
    <n v="31"/>
    <n v="61670000"/>
    <n v="56"/>
    <n v="19174000"/>
    <n v="0"/>
    <x v="15"/>
    <n v="21"/>
    <n v="3"/>
  </r>
  <r>
    <x v="2"/>
    <s v="CRP Cell"/>
    <n v="546446"/>
    <s v="Outlet Regular"/>
    <n v="1"/>
    <n v="400000"/>
    <s v=" -   "/>
    <n v="300000"/>
    <n v="0"/>
    <x v="0"/>
    <n v="1"/>
    <n v="0"/>
  </r>
  <r>
    <x v="2"/>
    <s v="KK STORE"/>
    <n v="558955"/>
    <s v="Outlet Non-Telco"/>
    <n v="0"/>
    <n v="0"/>
    <s v=" -   "/>
    <s v=" -   "/>
    <n v="0"/>
    <x v="2"/>
    <n v="0"/>
    <n v="0"/>
  </r>
  <r>
    <x v="2"/>
    <s v="Prisilia Cell"/>
    <n v="562953"/>
    <s v="Outlet Non-Telco"/>
    <n v="1"/>
    <n v="3500000"/>
    <s v=" -   "/>
    <n v="2500000"/>
    <n v="0"/>
    <x v="2"/>
    <n v="0"/>
    <n v="0"/>
  </r>
  <r>
    <x v="2"/>
    <s v="EL333 cell"/>
    <n v="569298"/>
    <s v="Outlet Regular"/>
    <n v="0"/>
    <n v="200000"/>
    <n v="4"/>
    <n v="116000"/>
    <n v="1"/>
    <x v="2"/>
    <n v="0"/>
    <n v="0"/>
  </r>
  <r>
    <x v="2"/>
    <s v="nia cell"/>
    <n v="574633"/>
    <s v="Outlet Regular"/>
    <n v="0"/>
    <n v="0"/>
    <s v=" -   "/>
    <s v=" -   "/>
    <n v="0"/>
    <x v="2"/>
    <n v="0"/>
    <n v="0"/>
  </r>
  <r>
    <x v="2"/>
    <s v="Asia Jaya Cell"/>
    <n v="61688"/>
    <s v="Outlet Regular"/>
    <n v="3"/>
    <n v="450000"/>
    <s v=" -   "/>
    <n v="150000"/>
    <n v="1"/>
    <x v="14"/>
    <n v="3"/>
    <n v="0"/>
  </r>
  <r>
    <x v="2"/>
    <s v="PELANGI CELL"/>
    <s v="SH009121"/>
    <s v="Outlet Regular"/>
    <n v="0"/>
    <n v="2600000"/>
    <s v=" -   "/>
    <n v="1300000"/>
    <n v="0"/>
    <x v="2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7466C2-CC4C-4193-9529-9085E9A03680}" name="PivotTable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3:L17" firstHeaderRow="1" firstDataRow="1" firstDataCol="1"/>
  <pivotFields count="12"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numFmtId="164" showAll="0"/>
    <pivotField showAll="0"/>
    <pivotField showAll="0"/>
    <pivotField showAll="0"/>
    <pivotField numFmtId="164" showAll="0"/>
    <pivotField dataField="1" numFmtId="164" showAll="0">
      <items count="17">
        <item x="2"/>
        <item x="0"/>
        <item x="4"/>
        <item x="3"/>
        <item x="14"/>
        <item x="6"/>
        <item x="12"/>
        <item x="1"/>
        <item x="5"/>
        <item x="13"/>
        <item x="8"/>
        <item x="10"/>
        <item x="15"/>
        <item x="9"/>
        <item x="11"/>
        <item x="7"/>
        <item t="default"/>
      </items>
    </pivotField>
    <pivotField showAll="0"/>
    <pivotField numFmtId="164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BIO MTD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907730-684F-4740-8413-0D2296777EFC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AHYU">
  <location ref="K4:L8" firstHeaderRow="1" firstDataRow="1" firstDataCol="1"/>
  <pivotFields count="9"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3pc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F0BB8-1CA9-4379-9049-AB6F95C27E32}">
  <dimension ref="A1:M146"/>
  <sheetViews>
    <sheetView tabSelected="1" workbookViewId="0">
      <selection activeCell="C16" sqref="C16"/>
    </sheetView>
  </sheetViews>
  <sheetFormatPr defaultRowHeight="15"/>
  <cols>
    <col min="1" max="1" width="21" bestFit="1" customWidth="1"/>
    <col min="2" max="2" width="15.28515625" bestFit="1" customWidth="1"/>
    <col min="3" max="3" width="27.28515625" bestFit="1" customWidth="1"/>
    <col min="4" max="4" width="19.28515625" bestFit="1" customWidth="1"/>
    <col min="5" max="5" width="15" bestFit="1" customWidth="1"/>
    <col min="6" max="6" width="17.7109375" bestFit="1" customWidth="1"/>
    <col min="7" max="7" width="15" customWidth="1"/>
    <col min="8" max="8" width="17.85546875" bestFit="1" customWidth="1"/>
    <col min="9" max="9" width="14.28515625" bestFit="1" customWidth="1"/>
    <col min="10" max="10" width="14.28515625" style="13" customWidth="1"/>
    <col min="11" max="11" width="9.42578125" customWidth="1"/>
    <col min="12" max="12" width="15.42578125" bestFit="1" customWidth="1"/>
    <col min="13" max="13" width="11.85546875" bestFit="1" customWidth="1"/>
  </cols>
  <sheetData>
    <row r="1" spans="1:13">
      <c r="A1" s="16" t="s">
        <v>0</v>
      </c>
      <c r="B1" s="16" t="s">
        <v>2</v>
      </c>
      <c r="C1" s="16" t="s">
        <v>6</v>
      </c>
      <c r="D1" s="17" t="s">
        <v>7</v>
      </c>
      <c r="E1" s="18" t="s">
        <v>8</v>
      </c>
      <c r="F1" s="19" t="s">
        <v>176</v>
      </c>
      <c r="G1" s="19" t="s">
        <v>177</v>
      </c>
      <c r="H1" s="19" t="s">
        <v>178</v>
      </c>
      <c r="I1" s="20" t="s">
        <v>179</v>
      </c>
      <c r="J1" s="21" t="s">
        <v>180</v>
      </c>
      <c r="K1" s="21" t="s">
        <v>181</v>
      </c>
      <c r="L1" s="21" t="s">
        <v>169</v>
      </c>
      <c r="M1" s="21" t="s">
        <v>172</v>
      </c>
    </row>
    <row r="2" spans="1:13">
      <c r="A2" s="1" t="s">
        <v>1</v>
      </c>
      <c r="B2" s="1" t="s">
        <v>3</v>
      </c>
      <c r="C2" s="1" t="s">
        <v>9</v>
      </c>
      <c r="D2" s="7">
        <v>10466</v>
      </c>
      <c r="E2" s="1" t="s">
        <v>10</v>
      </c>
      <c r="F2" s="10">
        <f>_xlfn.IFNA(INDEX('LMTD OSA | 3GB'!A:C,MATCH(DATA!D2,'LMTD OSA | 3GB'!A:A,0),2),0)</f>
        <v>3</v>
      </c>
      <c r="G2" s="10">
        <f>INDEX('LMTD OSA | 3GB'!A:C,MATCH(DATA!D2,'LMTD OSA | 3GB'!A:A,0),3)</f>
        <v>2058000</v>
      </c>
      <c r="H2" s="11">
        <f>INDEX('MTD OSA | 3GB'!B:D,MATCH(DATA!D2,'MTD OSA | 3GB'!B:B,0),2)</f>
        <v>5</v>
      </c>
      <c r="I2" s="12">
        <f>INDEX('MTD OSA | 3GB'!B:D,MATCH(DATA!D2,'MTD OSA | 3GB'!B:B,0),3)</f>
        <v>1765000</v>
      </c>
      <c r="J2" s="12">
        <f>INDEX(BIO!A:E,MATCH(DATA!D2,BIO!A:A,0),3)</f>
        <v>1</v>
      </c>
      <c r="K2" s="14">
        <f>INDEX(BIO!A:E,MATCH(DATA!D2,BIO!A:A,0),2)</f>
        <v>1</v>
      </c>
      <c r="L2" s="15">
        <f>IF(K2-J2&lt;=0,0,K2-J2)</f>
        <v>0</v>
      </c>
      <c r="M2" s="14">
        <f>INDEX('JULY VISIT'!A:B,MATCH(DATA!D2,'JULY VISIT'!A:A,0),2)</f>
        <v>1</v>
      </c>
    </row>
    <row r="3" spans="1:13">
      <c r="A3" s="1" t="s">
        <v>1</v>
      </c>
      <c r="B3" s="1" t="s">
        <v>3</v>
      </c>
      <c r="C3" s="1" t="s">
        <v>11</v>
      </c>
      <c r="D3" s="7">
        <v>12295592</v>
      </c>
      <c r="E3" s="1" t="s">
        <v>10</v>
      </c>
      <c r="F3" s="10">
        <f>_xlfn.IFNA(INDEX('LMTD OSA | 3GB'!A:C,MATCH(DATA!D3,'LMTD OSA | 3GB'!A:A,0),2),0)</f>
        <v>60</v>
      </c>
      <c r="G3" s="10">
        <f>INDEX('LMTD OSA | 3GB'!A:C,MATCH(DATA!D3,'LMTD OSA | 3GB'!A:A,0),3)</f>
        <v>8236800</v>
      </c>
      <c r="H3" s="11">
        <f>INDEX('MTD OSA | 3GB'!B:D,MATCH(DATA!D3,'MTD OSA | 3GB'!B:B,0),2)</f>
        <v>3</v>
      </c>
      <c r="I3" s="12">
        <f>INDEX('MTD OSA | 3GB'!B:D,MATCH(DATA!D3,'MTD OSA | 3GB'!B:B,0),3)</f>
        <v>3106000</v>
      </c>
      <c r="J3" s="12">
        <f>INDEX(BIO!A:E,MATCH(DATA!D3,BIO!A:A,0),3)</f>
        <v>1</v>
      </c>
      <c r="K3" s="14">
        <f>INDEX(BIO!A:E,MATCH(DATA!D3,BIO!A:A,0),2)</f>
        <v>10</v>
      </c>
      <c r="L3" s="15">
        <f t="shared" ref="L3:L66" si="0">IF(K3-J3&lt;=0,0,K3-J3)</f>
        <v>9</v>
      </c>
      <c r="M3" s="14">
        <f>INDEX('JULY VISIT'!A:B,MATCH(DATA!D3,'JULY VISIT'!A:A,0),2)</f>
        <v>0</v>
      </c>
    </row>
    <row r="4" spans="1:13">
      <c r="A4" s="1" t="s">
        <v>1</v>
      </c>
      <c r="B4" s="1" t="s">
        <v>3</v>
      </c>
      <c r="C4" s="1" t="s">
        <v>12</v>
      </c>
      <c r="D4" s="7">
        <v>12295626</v>
      </c>
      <c r="E4" s="1" t="s">
        <v>10</v>
      </c>
      <c r="F4" s="10">
        <f>_xlfn.IFNA(INDEX('LMTD OSA | 3GB'!A:C,MATCH(DATA!D4,'LMTD OSA | 3GB'!A:A,0),2),0)</f>
        <v>0</v>
      </c>
      <c r="G4" s="10">
        <f>INDEX('LMTD OSA | 3GB'!A:C,MATCH(DATA!D4,'LMTD OSA | 3GB'!A:A,0),3)</f>
        <v>0</v>
      </c>
      <c r="H4" s="11" t="str">
        <f>INDEX('MTD OSA | 3GB'!B:D,MATCH(DATA!D4,'MTD OSA | 3GB'!B:B,0),2)</f>
        <v xml:space="preserve"> -   </v>
      </c>
      <c r="I4" s="12">
        <f>INDEX('MTD OSA | 3GB'!B:D,MATCH(DATA!D4,'MTD OSA | 3GB'!B:B,0),3)</f>
        <v>1000</v>
      </c>
      <c r="J4" s="12">
        <f>INDEX(BIO!A:E,MATCH(DATA!D4,BIO!A:A,0),3)</f>
        <v>0</v>
      </c>
      <c r="K4" s="14">
        <f>INDEX(BIO!A:E,MATCH(DATA!D4,BIO!A:A,0),2)</f>
        <v>0</v>
      </c>
      <c r="L4" s="15">
        <f t="shared" si="0"/>
        <v>0</v>
      </c>
      <c r="M4" s="14">
        <f>INDEX('JULY VISIT'!A:B,MATCH(DATA!D4,'JULY VISIT'!A:A,0),2)</f>
        <v>0</v>
      </c>
    </row>
    <row r="5" spans="1:13">
      <c r="A5" s="1" t="s">
        <v>1</v>
      </c>
      <c r="B5" s="1" t="s">
        <v>3</v>
      </c>
      <c r="C5" s="1" t="s">
        <v>13</v>
      </c>
      <c r="D5" s="7">
        <v>12295724</v>
      </c>
      <c r="E5" s="1" t="s">
        <v>10</v>
      </c>
      <c r="F5" s="10">
        <f>_xlfn.IFNA(INDEX('LMTD OSA | 3GB'!A:C,MATCH(DATA!D5,'LMTD OSA | 3GB'!A:A,0),2),0)</f>
        <v>4</v>
      </c>
      <c r="G5" s="10">
        <f>INDEX('LMTD OSA | 3GB'!A:C,MATCH(DATA!D5,'LMTD OSA | 3GB'!A:A,0),3)</f>
        <v>2700000</v>
      </c>
      <c r="H5" s="11">
        <f>INDEX('MTD OSA | 3GB'!B:D,MATCH(DATA!D5,'MTD OSA | 3GB'!B:B,0),2)</f>
        <v>1</v>
      </c>
      <c r="I5" s="12" t="str">
        <f>INDEX('MTD OSA | 3GB'!B:D,MATCH(DATA!D5,'MTD OSA | 3GB'!B:B,0),3)</f>
        <v xml:space="preserve"> -   </v>
      </c>
      <c r="J5" s="12">
        <f>INDEX(BIO!A:E,MATCH(DATA!D5,BIO!A:A,0),3)</f>
        <v>1</v>
      </c>
      <c r="K5" s="14">
        <f>INDEX(BIO!A:E,MATCH(DATA!D5,BIO!A:A,0),2)</f>
        <v>1</v>
      </c>
      <c r="L5" s="15">
        <f t="shared" si="0"/>
        <v>0</v>
      </c>
      <c r="M5" s="14">
        <f>INDEX('JULY VISIT'!A:B,MATCH(DATA!D5,'JULY VISIT'!A:A,0),2)</f>
        <v>2</v>
      </c>
    </row>
    <row r="6" spans="1:13">
      <c r="A6" s="1" t="s">
        <v>1</v>
      </c>
      <c r="B6" s="1" t="s">
        <v>3</v>
      </c>
      <c r="C6" s="1" t="s">
        <v>14</v>
      </c>
      <c r="D6" s="7">
        <v>12295752</v>
      </c>
      <c r="E6" s="1" t="s">
        <v>15</v>
      </c>
      <c r="F6" s="10">
        <f>_xlfn.IFNA(INDEX('LMTD OSA | 3GB'!A:C,MATCH(DATA!D6,'LMTD OSA | 3GB'!A:A,0),2),0)</f>
        <v>0</v>
      </c>
      <c r="G6" s="10">
        <f>INDEX('LMTD OSA | 3GB'!A:C,MATCH(DATA!D6,'LMTD OSA | 3GB'!A:A,0),3)</f>
        <v>3000000</v>
      </c>
      <c r="H6" s="11">
        <f>INDEX('MTD OSA | 3GB'!B:D,MATCH(DATA!D6,'MTD OSA | 3GB'!B:B,0),2)</f>
        <v>1</v>
      </c>
      <c r="I6" s="12">
        <f>INDEX('MTD OSA | 3GB'!B:D,MATCH(DATA!D6,'MTD OSA | 3GB'!B:B,0),3)</f>
        <v>369000</v>
      </c>
      <c r="J6" s="12">
        <f>INDEX(BIO!A:E,MATCH(DATA!D6,BIO!A:A,0),3)</f>
        <v>2</v>
      </c>
      <c r="K6" s="14">
        <f>INDEX(BIO!A:E,MATCH(DATA!D6,BIO!A:A,0),2)</f>
        <v>1</v>
      </c>
      <c r="L6" s="15">
        <f t="shared" si="0"/>
        <v>0</v>
      </c>
      <c r="M6" s="14">
        <f>INDEX('JULY VISIT'!A:B,MATCH(DATA!D6,'JULY VISIT'!A:A,0),2)</f>
        <v>2</v>
      </c>
    </row>
    <row r="7" spans="1:13">
      <c r="A7" s="1" t="s">
        <v>1</v>
      </c>
      <c r="B7" s="1" t="s">
        <v>3</v>
      </c>
      <c r="C7" s="1" t="s">
        <v>16</v>
      </c>
      <c r="D7" s="7">
        <v>12295820</v>
      </c>
      <c r="E7" s="1" t="s">
        <v>10</v>
      </c>
      <c r="F7" s="10">
        <f>_xlfn.IFNA(INDEX('LMTD OSA | 3GB'!A:C,MATCH(DATA!D7,'LMTD OSA | 3GB'!A:A,0),2),0)</f>
        <v>0</v>
      </c>
      <c r="G7" s="10">
        <f>INDEX('LMTD OSA | 3GB'!A:C,MATCH(DATA!D7,'LMTD OSA | 3GB'!A:A,0),3)</f>
        <v>2500000</v>
      </c>
      <c r="H7" s="11" t="str">
        <f>INDEX('MTD OSA | 3GB'!B:D,MATCH(DATA!D7,'MTD OSA | 3GB'!B:B,0),2)</f>
        <v xml:space="preserve"> -   </v>
      </c>
      <c r="I7" s="12">
        <f>INDEX('MTD OSA | 3GB'!B:D,MATCH(DATA!D7,'MTD OSA | 3GB'!B:B,0),3)</f>
        <v>2000000</v>
      </c>
      <c r="J7" s="12">
        <f>INDEX(BIO!A:E,MATCH(DATA!D7,BIO!A:A,0),3)</f>
        <v>0</v>
      </c>
      <c r="K7" s="14">
        <f>INDEX(BIO!A:E,MATCH(DATA!D7,BIO!A:A,0),2)</f>
        <v>0</v>
      </c>
      <c r="L7" s="15">
        <f t="shared" si="0"/>
        <v>0</v>
      </c>
      <c r="M7" s="14">
        <f>INDEX('JULY VISIT'!A:B,MATCH(DATA!D7,'JULY VISIT'!A:A,0),2)</f>
        <v>0</v>
      </c>
    </row>
    <row r="8" spans="1:13">
      <c r="A8" s="1" t="s">
        <v>1</v>
      </c>
      <c r="B8" s="1" t="s">
        <v>3</v>
      </c>
      <c r="C8" s="1" t="s">
        <v>17</v>
      </c>
      <c r="D8" s="7">
        <v>12295826</v>
      </c>
      <c r="E8" s="1" t="s">
        <v>15</v>
      </c>
      <c r="F8" s="10">
        <f>_xlfn.IFNA(INDEX('LMTD OSA | 3GB'!A:C,MATCH(DATA!D8,'LMTD OSA | 3GB'!A:A,0),2),0)</f>
        <v>0</v>
      </c>
      <c r="G8" s="10">
        <f>INDEX('LMTD OSA | 3GB'!A:C,MATCH(DATA!D8,'LMTD OSA | 3GB'!A:A,0),3)</f>
        <v>0</v>
      </c>
      <c r="H8" s="11" t="str">
        <f>INDEX('MTD OSA | 3GB'!B:D,MATCH(DATA!D8,'MTD OSA | 3GB'!B:B,0),2)</f>
        <v xml:space="preserve"> -   </v>
      </c>
      <c r="I8" s="12">
        <f>INDEX('MTD OSA | 3GB'!B:D,MATCH(DATA!D8,'MTD OSA | 3GB'!B:B,0),3)</f>
        <v>1000</v>
      </c>
      <c r="J8" s="12">
        <f>INDEX(BIO!A:E,MATCH(DATA!D8,BIO!A:A,0),3)</f>
        <v>0</v>
      </c>
      <c r="K8" s="14">
        <f>INDEX(BIO!A:E,MATCH(DATA!D8,BIO!A:A,0),2)</f>
        <v>0</v>
      </c>
      <c r="L8" s="15">
        <f t="shared" si="0"/>
        <v>0</v>
      </c>
      <c r="M8" s="14">
        <f>INDEX('JULY VISIT'!A:B,MATCH(DATA!D8,'JULY VISIT'!A:A,0),2)</f>
        <v>0</v>
      </c>
    </row>
    <row r="9" spans="1:13">
      <c r="A9" s="1" t="s">
        <v>1</v>
      </c>
      <c r="B9" s="1" t="s">
        <v>3</v>
      </c>
      <c r="C9" s="1" t="s">
        <v>18</v>
      </c>
      <c r="D9" s="7">
        <v>12295833</v>
      </c>
      <c r="E9" s="1" t="s">
        <v>15</v>
      </c>
      <c r="F9" s="10">
        <f>_xlfn.IFNA(INDEX('LMTD OSA | 3GB'!A:C,MATCH(DATA!D9,'LMTD OSA | 3GB'!A:A,0),2),0)</f>
        <v>0</v>
      </c>
      <c r="G9" s="10">
        <f>INDEX('LMTD OSA | 3GB'!A:C,MATCH(DATA!D9,'LMTD OSA | 3GB'!A:A,0),3)</f>
        <v>0</v>
      </c>
      <c r="H9" s="11" t="str">
        <f>INDEX('MTD OSA | 3GB'!B:D,MATCH(DATA!D9,'MTD OSA | 3GB'!B:B,0),2)</f>
        <v xml:space="preserve"> -   </v>
      </c>
      <c r="I9" s="12" t="str">
        <f>INDEX('MTD OSA | 3GB'!B:D,MATCH(DATA!D9,'MTD OSA | 3GB'!B:B,0),3)</f>
        <v xml:space="preserve"> -   </v>
      </c>
      <c r="J9" s="12">
        <f>INDEX(BIO!A:E,MATCH(DATA!D9,BIO!A:A,0),3)</f>
        <v>0</v>
      </c>
      <c r="K9" s="14">
        <f>INDEX(BIO!A:E,MATCH(DATA!D9,BIO!A:A,0),2)</f>
        <v>0</v>
      </c>
      <c r="L9" s="15">
        <f t="shared" si="0"/>
        <v>0</v>
      </c>
      <c r="M9" s="14">
        <f>INDEX('JULY VISIT'!A:B,MATCH(DATA!D9,'JULY VISIT'!A:A,0),2)</f>
        <v>0</v>
      </c>
    </row>
    <row r="10" spans="1:13">
      <c r="A10" s="1" t="s">
        <v>1</v>
      </c>
      <c r="B10" s="1" t="s">
        <v>3</v>
      </c>
      <c r="C10" s="1" t="s">
        <v>19</v>
      </c>
      <c r="D10" s="7">
        <v>12301356</v>
      </c>
      <c r="E10" s="1" t="s">
        <v>15</v>
      </c>
      <c r="F10" s="10">
        <f>_xlfn.IFNA(INDEX('LMTD OSA | 3GB'!A:C,MATCH(DATA!D10,'LMTD OSA | 3GB'!A:A,0),2),0)</f>
        <v>3</v>
      </c>
      <c r="G10" s="10">
        <f>INDEX('LMTD OSA | 3GB'!A:C,MATCH(DATA!D10,'LMTD OSA | 3GB'!A:A,0),3)</f>
        <v>8681000</v>
      </c>
      <c r="H10" s="11">
        <f>INDEX('MTD OSA | 3GB'!B:D,MATCH(DATA!D10,'MTD OSA | 3GB'!B:B,0),2)</f>
        <v>11</v>
      </c>
      <c r="I10" s="12">
        <f>INDEX('MTD OSA | 3GB'!B:D,MATCH(DATA!D10,'MTD OSA | 3GB'!B:B,0),3)</f>
        <v>2113700</v>
      </c>
      <c r="J10" s="12">
        <f>INDEX(BIO!A:E,MATCH(DATA!D10,BIO!A:A,0),3)</f>
        <v>1</v>
      </c>
      <c r="K10" s="14">
        <f>INDEX(BIO!A:E,MATCH(DATA!D10,BIO!A:A,0),2)</f>
        <v>3</v>
      </c>
      <c r="L10" s="15">
        <f t="shared" si="0"/>
        <v>2</v>
      </c>
      <c r="M10" s="14">
        <f>INDEX('JULY VISIT'!A:B,MATCH(DATA!D10,'JULY VISIT'!A:A,0),2)</f>
        <v>0</v>
      </c>
    </row>
    <row r="11" spans="1:13">
      <c r="A11" s="1" t="s">
        <v>1</v>
      </c>
      <c r="B11" s="1" t="s">
        <v>3</v>
      </c>
      <c r="C11" s="1" t="s">
        <v>20</v>
      </c>
      <c r="D11" s="7">
        <v>12323218</v>
      </c>
      <c r="E11" s="1" t="s">
        <v>15</v>
      </c>
      <c r="F11" s="10">
        <f>_xlfn.IFNA(INDEX('LMTD OSA | 3GB'!A:C,MATCH(DATA!D11,'LMTD OSA | 3GB'!A:A,0),2),0)</f>
        <v>2</v>
      </c>
      <c r="G11" s="10">
        <f>INDEX('LMTD OSA | 3GB'!A:C,MATCH(DATA!D11,'LMTD OSA | 3GB'!A:A,0),3)</f>
        <v>6750900</v>
      </c>
      <c r="H11" s="11">
        <f>INDEX('MTD OSA | 3GB'!B:D,MATCH(DATA!D11,'MTD OSA | 3GB'!B:B,0),2)</f>
        <v>12</v>
      </c>
      <c r="I11" s="12">
        <f>INDEX('MTD OSA | 3GB'!B:D,MATCH(DATA!D11,'MTD OSA | 3GB'!B:B,0),3)</f>
        <v>1979000</v>
      </c>
      <c r="J11" s="12">
        <f>INDEX(BIO!A:E,MATCH(DATA!D11,BIO!A:A,0),3)</f>
        <v>1</v>
      </c>
      <c r="K11" s="14">
        <f>INDEX(BIO!A:E,MATCH(DATA!D11,BIO!A:A,0),2)</f>
        <v>1</v>
      </c>
      <c r="L11" s="15">
        <f t="shared" si="0"/>
        <v>0</v>
      </c>
      <c r="M11" s="14">
        <f>INDEX('JULY VISIT'!A:B,MATCH(DATA!D11,'JULY VISIT'!A:A,0),2)</f>
        <v>0</v>
      </c>
    </row>
    <row r="12" spans="1:13">
      <c r="A12" s="1" t="s">
        <v>1</v>
      </c>
      <c r="B12" s="1" t="s">
        <v>3</v>
      </c>
      <c r="C12" s="1" t="s">
        <v>21</v>
      </c>
      <c r="D12" s="7">
        <v>12324647</v>
      </c>
      <c r="E12" s="1" t="s">
        <v>10</v>
      </c>
      <c r="F12" s="10">
        <f>_xlfn.IFNA(INDEX('LMTD OSA | 3GB'!A:C,MATCH(DATA!D12,'LMTD OSA | 3GB'!A:A,0),2),0)</f>
        <v>0</v>
      </c>
      <c r="G12" s="10">
        <f>INDEX('LMTD OSA | 3GB'!A:C,MATCH(DATA!D12,'LMTD OSA | 3GB'!A:A,0),3)</f>
        <v>0</v>
      </c>
      <c r="H12" s="11" t="str">
        <f>INDEX('MTD OSA | 3GB'!B:D,MATCH(DATA!D12,'MTD OSA | 3GB'!B:B,0),2)</f>
        <v xml:space="preserve"> -   </v>
      </c>
      <c r="I12" s="12" t="str">
        <f>INDEX('MTD OSA | 3GB'!B:D,MATCH(DATA!D12,'MTD OSA | 3GB'!B:B,0),3)</f>
        <v xml:space="preserve"> -   </v>
      </c>
      <c r="J12" s="12">
        <f>INDEX(BIO!A:E,MATCH(DATA!D12,BIO!A:A,0),3)</f>
        <v>0</v>
      </c>
      <c r="K12" s="14">
        <f>INDEX(BIO!A:E,MATCH(DATA!D12,BIO!A:A,0),2)</f>
        <v>0</v>
      </c>
      <c r="L12" s="15">
        <f t="shared" si="0"/>
        <v>0</v>
      </c>
      <c r="M12" s="14">
        <f>INDEX('JULY VISIT'!A:B,MATCH(DATA!D12,'JULY VISIT'!A:A,0),2)</f>
        <v>0</v>
      </c>
    </row>
    <row r="13" spans="1:13">
      <c r="A13" s="1" t="s">
        <v>1</v>
      </c>
      <c r="B13" s="1" t="s">
        <v>3</v>
      </c>
      <c r="C13" s="1" t="s">
        <v>22</v>
      </c>
      <c r="D13" s="7">
        <v>12326118</v>
      </c>
      <c r="E13" s="1" t="s">
        <v>15</v>
      </c>
      <c r="F13" s="10">
        <f>_xlfn.IFNA(INDEX('LMTD OSA | 3GB'!A:C,MATCH(DATA!D13,'LMTD OSA | 3GB'!A:A,0),2),0)</f>
        <v>3</v>
      </c>
      <c r="G13" s="10">
        <f>INDEX('LMTD OSA | 3GB'!A:C,MATCH(DATA!D13,'LMTD OSA | 3GB'!A:A,0),3)</f>
        <v>8770000</v>
      </c>
      <c r="H13" s="11">
        <f>INDEX('MTD OSA | 3GB'!B:D,MATCH(DATA!D13,'MTD OSA | 3GB'!B:B,0),2)</f>
        <v>5</v>
      </c>
      <c r="I13" s="12">
        <f>INDEX('MTD OSA | 3GB'!B:D,MATCH(DATA!D13,'MTD OSA | 3GB'!B:B,0),3)</f>
        <v>7634000</v>
      </c>
      <c r="J13" s="12">
        <f>INDEX(BIO!A:E,MATCH(DATA!D13,BIO!A:A,0),3)</f>
        <v>1</v>
      </c>
      <c r="K13" s="14">
        <f>INDEX(BIO!A:E,MATCH(DATA!D13,BIO!A:A,0),2)</f>
        <v>1</v>
      </c>
      <c r="L13" s="15">
        <f t="shared" si="0"/>
        <v>0</v>
      </c>
      <c r="M13" s="14">
        <f>INDEX('JULY VISIT'!A:B,MATCH(DATA!D13,'JULY VISIT'!A:A,0),2)</f>
        <v>4</v>
      </c>
    </row>
    <row r="14" spans="1:13">
      <c r="A14" s="1" t="s">
        <v>1</v>
      </c>
      <c r="B14" s="1" t="s">
        <v>3</v>
      </c>
      <c r="C14" s="1" t="s">
        <v>23</v>
      </c>
      <c r="D14" s="7">
        <v>12326313</v>
      </c>
      <c r="E14" s="1" t="s">
        <v>10</v>
      </c>
      <c r="F14" s="10">
        <f>_xlfn.IFNA(INDEX('LMTD OSA | 3GB'!A:C,MATCH(DATA!D14,'LMTD OSA | 3GB'!A:A,0),2),0)</f>
        <v>3</v>
      </c>
      <c r="G14" s="10">
        <f>INDEX('LMTD OSA | 3GB'!A:C,MATCH(DATA!D14,'LMTD OSA | 3GB'!A:A,0),3)</f>
        <v>11704000</v>
      </c>
      <c r="H14" s="11">
        <f>INDEX('MTD OSA | 3GB'!B:D,MATCH(DATA!D14,'MTD OSA | 3GB'!B:B,0),2)</f>
        <v>87</v>
      </c>
      <c r="I14" s="12">
        <f>INDEX('MTD OSA | 3GB'!B:D,MATCH(DATA!D14,'MTD OSA | 3GB'!B:B,0),3)</f>
        <v>7410500</v>
      </c>
      <c r="J14" s="12">
        <f>INDEX(BIO!A:E,MATCH(DATA!D14,BIO!A:A,0),3)</f>
        <v>1</v>
      </c>
      <c r="K14" s="14">
        <f>INDEX(BIO!A:E,MATCH(DATA!D14,BIO!A:A,0),2)</f>
        <v>1</v>
      </c>
      <c r="L14" s="15">
        <f t="shared" si="0"/>
        <v>0</v>
      </c>
      <c r="M14" s="14">
        <f>INDEX('JULY VISIT'!A:B,MATCH(DATA!D14,'JULY VISIT'!A:A,0),2)</f>
        <v>0</v>
      </c>
    </row>
    <row r="15" spans="1:13">
      <c r="A15" s="1" t="s">
        <v>1</v>
      </c>
      <c r="B15" s="1" t="s">
        <v>3</v>
      </c>
      <c r="C15" s="1" t="s">
        <v>24</v>
      </c>
      <c r="D15" s="7">
        <v>12326533</v>
      </c>
      <c r="E15" s="1" t="s">
        <v>15</v>
      </c>
      <c r="F15" s="10">
        <f>_xlfn.IFNA(INDEX('LMTD OSA | 3GB'!A:C,MATCH(DATA!D15,'LMTD OSA | 3GB'!A:A,0),2),0)</f>
        <v>11</v>
      </c>
      <c r="G15" s="10">
        <f>INDEX('LMTD OSA | 3GB'!A:C,MATCH(DATA!D15,'LMTD OSA | 3GB'!A:A,0),3)</f>
        <v>8702500</v>
      </c>
      <c r="H15" s="11">
        <f>INDEX('MTD OSA | 3GB'!B:D,MATCH(DATA!D15,'MTD OSA | 3GB'!B:B,0),2)</f>
        <v>3</v>
      </c>
      <c r="I15" s="12">
        <f>INDEX('MTD OSA | 3GB'!B:D,MATCH(DATA!D15,'MTD OSA | 3GB'!B:B,0),3)</f>
        <v>150000</v>
      </c>
      <c r="J15" s="12">
        <f>INDEX(BIO!A:E,MATCH(DATA!D15,BIO!A:A,0),3)</f>
        <v>30</v>
      </c>
      <c r="K15" s="14">
        <f>INDEX(BIO!A:E,MATCH(DATA!D15,BIO!A:A,0),2)</f>
        <v>0</v>
      </c>
      <c r="L15" s="15">
        <f t="shared" si="0"/>
        <v>0</v>
      </c>
      <c r="M15" s="14">
        <f>INDEX('JULY VISIT'!A:B,MATCH(DATA!D15,'JULY VISIT'!A:A,0),2)</f>
        <v>0</v>
      </c>
    </row>
    <row r="16" spans="1:13">
      <c r="A16" s="1" t="s">
        <v>1</v>
      </c>
      <c r="B16" s="1" t="s">
        <v>3</v>
      </c>
      <c r="C16" s="1" t="s">
        <v>25</v>
      </c>
      <c r="D16" s="7">
        <v>12326920</v>
      </c>
      <c r="E16" s="1" t="s">
        <v>10</v>
      </c>
      <c r="F16" s="10">
        <f>_xlfn.IFNA(INDEX('LMTD OSA | 3GB'!A:C,MATCH(DATA!D16,'LMTD OSA | 3GB'!A:A,0),2),0)</f>
        <v>3</v>
      </c>
      <c r="G16" s="10">
        <f>INDEX('LMTD OSA | 3GB'!A:C,MATCH(DATA!D16,'LMTD OSA | 3GB'!A:A,0),3)</f>
        <v>5433500</v>
      </c>
      <c r="H16" s="11" t="str">
        <f>INDEX('MTD OSA | 3GB'!B:D,MATCH(DATA!D16,'MTD OSA | 3GB'!B:B,0),2)</f>
        <v xml:space="preserve"> -   </v>
      </c>
      <c r="I16" s="12">
        <f>INDEX('MTD OSA | 3GB'!B:D,MATCH(DATA!D16,'MTD OSA | 3GB'!B:B,0),3)</f>
        <v>20255350</v>
      </c>
      <c r="J16" s="12">
        <f>INDEX(BIO!A:E,MATCH(DATA!D16,BIO!A:A,0),3)</f>
        <v>1</v>
      </c>
      <c r="K16" s="14">
        <f>INDEX(BIO!A:E,MATCH(DATA!D16,BIO!A:A,0),2)</f>
        <v>0</v>
      </c>
      <c r="L16" s="15">
        <f t="shared" si="0"/>
        <v>0</v>
      </c>
      <c r="M16" s="14">
        <f>INDEX('JULY VISIT'!A:B,MATCH(DATA!D16,'JULY VISIT'!A:A,0),2)</f>
        <v>2</v>
      </c>
    </row>
    <row r="17" spans="1:13">
      <c r="A17" s="1" t="s">
        <v>1</v>
      </c>
      <c r="B17" s="1" t="s">
        <v>3</v>
      </c>
      <c r="C17" s="1" t="s">
        <v>26</v>
      </c>
      <c r="D17" s="7">
        <v>1661</v>
      </c>
      <c r="E17" s="1" t="s">
        <v>10</v>
      </c>
      <c r="F17" s="10">
        <f>_xlfn.IFNA(INDEX('LMTD OSA | 3GB'!A:C,MATCH(DATA!D17,'LMTD OSA | 3GB'!A:A,0),2),0)</f>
        <v>1</v>
      </c>
      <c r="G17" s="10">
        <f>INDEX('LMTD OSA | 3GB'!A:C,MATCH(DATA!D17,'LMTD OSA | 3GB'!A:A,0),3)</f>
        <v>58000</v>
      </c>
      <c r="H17" s="11" t="str">
        <f>INDEX('MTD OSA | 3GB'!B:D,MATCH(DATA!D17,'MTD OSA | 3GB'!B:B,0),2)</f>
        <v xml:space="preserve"> -   </v>
      </c>
      <c r="I17" s="12" t="str">
        <f>INDEX('MTD OSA | 3GB'!B:D,MATCH(DATA!D17,'MTD OSA | 3GB'!B:B,0),3)</f>
        <v xml:space="preserve"> -   </v>
      </c>
      <c r="J17" s="12">
        <f>INDEX(BIO!A:E,MATCH(DATA!D17,BIO!A:A,0),3)</f>
        <v>1</v>
      </c>
      <c r="K17" s="14">
        <f>INDEX(BIO!A:E,MATCH(DATA!D17,BIO!A:A,0),2)</f>
        <v>0</v>
      </c>
      <c r="L17" s="15">
        <f t="shared" si="0"/>
        <v>0</v>
      </c>
      <c r="M17" s="14">
        <f>INDEX('JULY VISIT'!A:B,MATCH(DATA!D17,'JULY VISIT'!A:A,0),2)</f>
        <v>0</v>
      </c>
    </row>
    <row r="18" spans="1:13">
      <c r="A18" s="1" t="s">
        <v>1</v>
      </c>
      <c r="B18" s="1" t="s">
        <v>3</v>
      </c>
      <c r="C18" s="1" t="s">
        <v>27</v>
      </c>
      <c r="D18" s="7">
        <v>213944</v>
      </c>
      <c r="E18" s="1" t="s">
        <v>10</v>
      </c>
      <c r="F18" s="10">
        <f>_xlfn.IFNA(INDEX('LMTD OSA | 3GB'!A:C,MATCH(DATA!D18,'LMTD OSA | 3GB'!A:A,0),2),0)</f>
        <v>3</v>
      </c>
      <c r="G18" s="10">
        <f>INDEX('LMTD OSA | 3GB'!A:C,MATCH(DATA!D18,'LMTD OSA | 3GB'!A:A,0),3)</f>
        <v>4529000</v>
      </c>
      <c r="H18" s="11" t="str">
        <f>INDEX('MTD OSA | 3GB'!B:D,MATCH(DATA!D18,'MTD OSA | 3GB'!B:B,0),2)</f>
        <v xml:space="preserve"> -   </v>
      </c>
      <c r="I18" s="12">
        <f>INDEX('MTD OSA | 3GB'!B:D,MATCH(DATA!D18,'MTD OSA | 3GB'!B:B,0),3)</f>
        <v>2200000</v>
      </c>
      <c r="J18" s="12">
        <f>INDEX(BIO!A:E,MATCH(DATA!D18,BIO!A:A,0),3)</f>
        <v>1</v>
      </c>
      <c r="K18" s="14">
        <f>INDEX(BIO!A:E,MATCH(DATA!D18,BIO!A:A,0),2)</f>
        <v>4</v>
      </c>
      <c r="L18" s="15">
        <f t="shared" si="0"/>
        <v>3</v>
      </c>
      <c r="M18" s="14">
        <f>INDEX('JULY VISIT'!A:B,MATCH(DATA!D18,'JULY VISIT'!A:A,0),2)</f>
        <v>0</v>
      </c>
    </row>
    <row r="19" spans="1:13">
      <c r="A19" s="1" t="s">
        <v>1</v>
      </c>
      <c r="B19" s="1" t="s">
        <v>3</v>
      </c>
      <c r="C19" s="1" t="s">
        <v>28</v>
      </c>
      <c r="D19" s="7">
        <v>240048</v>
      </c>
      <c r="E19" s="1" t="s">
        <v>29</v>
      </c>
      <c r="F19" s="10">
        <f>_xlfn.IFNA(INDEX('LMTD OSA | 3GB'!A:C,MATCH(DATA!D19,'LMTD OSA | 3GB'!A:A,0),2),0)</f>
        <v>3</v>
      </c>
      <c r="G19" s="10">
        <f>INDEX('LMTD OSA | 3GB'!A:C,MATCH(DATA!D19,'LMTD OSA | 3GB'!A:A,0),3)</f>
        <v>1029000</v>
      </c>
      <c r="H19" s="11">
        <f>INDEX('MTD OSA | 3GB'!B:D,MATCH(DATA!D19,'MTD OSA | 3GB'!B:B,0),2)</f>
        <v>5</v>
      </c>
      <c r="I19" s="12">
        <f>INDEX('MTD OSA | 3GB'!B:D,MATCH(DATA!D19,'MTD OSA | 3GB'!B:B,0),3)</f>
        <v>200000</v>
      </c>
      <c r="J19" s="12">
        <f>INDEX(BIO!A:E,MATCH(DATA!D19,BIO!A:A,0),3)</f>
        <v>1</v>
      </c>
      <c r="K19" s="14">
        <f>INDEX(BIO!A:E,MATCH(DATA!D19,BIO!A:A,0),2)</f>
        <v>2</v>
      </c>
      <c r="L19" s="15">
        <f t="shared" si="0"/>
        <v>1</v>
      </c>
      <c r="M19" s="14">
        <f>INDEX('JULY VISIT'!A:B,MATCH(DATA!D19,'JULY VISIT'!A:A,0),2)</f>
        <v>2</v>
      </c>
    </row>
    <row r="20" spans="1:13">
      <c r="A20" s="1" t="s">
        <v>1</v>
      </c>
      <c r="B20" s="1" t="s">
        <v>3</v>
      </c>
      <c r="C20" s="1" t="s">
        <v>30</v>
      </c>
      <c r="D20" s="7">
        <v>287403</v>
      </c>
      <c r="E20" s="1" t="s">
        <v>10</v>
      </c>
      <c r="F20" s="10">
        <f>_xlfn.IFNA(INDEX('LMTD OSA | 3GB'!A:C,MATCH(DATA!D20,'LMTD OSA | 3GB'!A:A,0),2),0)</f>
        <v>11</v>
      </c>
      <c r="G20" s="10">
        <f>INDEX('LMTD OSA | 3GB'!A:C,MATCH(DATA!D20,'LMTD OSA | 3GB'!A:A,0),3)</f>
        <v>3478900</v>
      </c>
      <c r="H20" s="11">
        <f>INDEX('MTD OSA | 3GB'!B:D,MATCH(DATA!D20,'MTD OSA | 3GB'!B:B,0),2)</f>
        <v>1</v>
      </c>
      <c r="I20" s="12">
        <f>INDEX('MTD OSA | 3GB'!B:D,MATCH(DATA!D20,'MTD OSA | 3GB'!B:B,0),3)</f>
        <v>2542800</v>
      </c>
      <c r="J20" s="12">
        <f>INDEX(BIO!A:E,MATCH(DATA!D20,BIO!A:A,0),3)</f>
        <v>1</v>
      </c>
      <c r="K20" s="14">
        <f>INDEX(BIO!A:E,MATCH(DATA!D20,BIO!A:A,0),2)</f>
        <v>0</v>
      </c>
      <c r="L20" s="15">
        <f t="shared" si="0"/>
        <v>0</v>
      </c>
      <c r="M20" s="14">
        <f>INDEX('JULY VISIT'!A:B,MATCH(DATA!D20,'JULY VISIT'!A:A,0),2)</f>
        <v>3</v>
      </c>
    </row>
    <row r="21" spans="1:13">
      <c r="A21" s="1" t="s">
        <v>1</v>
      </c>
      <c r="B21" s="1" t="s">
        <v>3</v>
      </c>
      <c r="C21" s="1" t="s">
        <v>31</v>
      </c>
      <c r="D21" s="7">
        <v>287622</v>
      </c>
      <c r="E21" s="1" t="s">
        <v>10</v>
      </c>
      <c r="F21" s="10">
        <f>_xlfn.IFNA(INDEX('LMTD OSA | 3GB'!A:C,MATCH(DATA!D21,'LMTD OSA | 3GB'!A:A,0),2),0)</f>
        <v>19</v>
      </c>
      <c r="G21" s="10">
        <f>INDEX('LMTD OSA | 3GB'!A:C,MATCH(DATA!D21,'LMTD OSA | 3GB'!A:A,0),3)</f>
        <v>1800000</v>
      </c>
      <c r="H21" s="11">
        <f>INDEX('MTD OSA | 3GB'!B:D,MATCH(DATA!D21,'MTD OSA | 3GB'!B:B,0),2)</f>
        <v>3</v>
      </c>
      <c r="I21" s="12">
        <f>INDEX('MTD OSA | 3GB'!B:D,MATCH(DATA!D21,'MTD OSA | 3GB'!B:B,0),3)</f>
        <v>1617000</v>
      </c>
      <c r="J21" s="12">
        <f>INDEX(BIO!A:E,MATCH(DATA!D21,BIO!A:A,0),3)</f>
        <v>1</v>
      </c>
      <c r="K21" s="14">
        <f>INDEX(BIO!A:E,MATCH(DATA!D21,BIO!A:A,0),2)</f>
        <v>0</v>
      </c>
      <c r="L21" s="15">
        <f t="shared" si="0"/>
        <v>0</v>
      </c>
      <c r="M21" s="14">
        <f>INDEX('JULY VISIT'!A:B,MATCH(DATA!D21,'JULY VISIT'!A:A,0),2)</f>
        <v>1</v>
      </c>
    </row>
    <row r="22" spans="1:13">
      <c r="A22" s="1" t="s">
        <v>1</v>
      </c>
      <c r="B22" s="1" t="s">
        <v>3</v>
      </c>
      <c r="C22" s="1" t="s">
        <v>32</v>
      </c>
      <c r="D22" s="7">
        <v>301600</v>
      </c>
      <c r="E22" s="1" t="s">
        <v>10</v>
      </c>
      <c r="F22" s="10">
        <f>_xlfn.IFNA(INDEX('LMTD OSA | 3GB'!A:C,MATCH(DATA!D22,'LMTD OSA | 3GB'!A:A,0),2),0)</f>
        <v>3</v>
      </c>
      <c r="G22" s="10">
        <f>INDEX('LMTD OSA | 3GB'!A:C,MATCH(DATA!D22,'LMTD OSA | 3GB'!A:A,0),3)</f>
        <v>6604000</v>
      </c>
      <c r="H22" s="11" t="str">
        <f>INDEX('MTD OSA | 3GB'!B:D,MATCH(DATA!D22,'MTD OSA | 3GB'!B:B,0),2)</f>
        <v xml:space="preserve"> -   </v>
      </c>
      <c r="I22" s="12">
        <f>INDEX('MTD OSA | 3GB'!B:D,MATCH(DATA!D22,'MTD OSA | 3GB'!B:B,0),3)</f>
        <v>1000000</v>
      </c>
      <c r="J22" s="12">
        <f>INDEX(BIO!A:E,MATCH(DATA!D22,BIO!A:A,0),3)</f>
        <v>1</v>
      </c>
      <c r="K22" s="14">
        <f>INDEX(BIO!A:E,MATCH(DATA!D22,BIO!A:A,0),2)</f>
        <v>2</v>
      </c>
      <c r="L22" s="15">
        <f t="shared" si="0"/>
        <v>1</v>
      </c>
      <c r="M22" s="14">
        <f>INDEX('JULY VISIT'!A:B,MATCH(DATA!D22,'JULY VISIT'!A:A,0),2)</f>
        <v>1</v>
      </c>
    </row>
    <row r="23" spans="1:13">
      <c r="A23" s="1" t="s">
        <v>1</v>
      </c>
      <c r="B23" s="1" t="s">
        <v>3</v>
      </c>
      <c r="C23" s="1" t="s">
        <v>33</v>
      </c>
      <c r="D23" s="7">
        <v>347538</v>
      </c>
      <c r="E23" s="1" t="s">
        <v>10</v>
      </c>
      <c r="F23" s="10">
        <f>_xlfn.IFNA(INDEX('LMTD OSA | 3GB'!A:C,MATCH(DATA!D23,'LMTD OSA | 3GB'!A:A,0),2),0)</f>
        <v>3</v>
      </c>
      <c r="G23" s="10">
        <f>INDEX('LMTD OSA | 3GB'!A:C,MATCH(DATA!D23,'LMTD OSA | 3GB'!A:A,0),3)</f>
        <v>1050200</v>
      </c>
      <c r="H23" s="11" t="str">
        <f>INDEX('MTD OSA | 3GB'!B:D,MATCH(DATA!D23,'MTD OSA | 3GB'!B:B,0),2)</f>
        <v xml:space="preserve"> -   </v>
      </c>
      <c r="I23" s="12">
        <f>INDEX('MTD OSA | 3GB'!B:D,MATCH(DATA!D23,'MTD OSA | 3GB'!B:B,0),3)</f>
        <v>766000</v>
      </c>
      <c r="J23" s="12">
        <f>INDEX(BIO!A:E,MATCH(DATA!D23,BIO!A:A,0),3)</f>
        <v>1</v>
      </c>
      <c r="K23" s="14">
        <f>INDEX(BIO!A:E,MATCH(DATA!D23,BIO!A:A,0),2)</f>
        <v>2</v>
      </c>
      <c r="L23" s="15">
        <f t="shared" si="0"/>
        <v>1</v>
      </c>
      <c r="M23" s="14">
        <f>INDEX('JULY VISIT'!A:B,MATCH(DATA!D23,'JULY VISIT'!A:A,0),2)</f>
        <v>1</v>
      </c>
    </row>
    <row r="24" spans="1:13">
      <c r="A24" s="1" t="s">
        <v>1</v>
      </c>
      <c r="B24" s="1" t="s">
        <v>3</v>
      </c>
      <c r="C24" s="1" t="s">
        <v>34</v>
      </c>
      <c r="D24" s="7">
        <v>358231</v>
      </c>
      <c r="E24" s="1" t="s">
        <v>10</v>
      </c>
      <c r="F24" s="10">
        <f>_xlfn.IFNA(INDEX('LMTD OSA | 3GB'!A:C,MATCH(DATA!D24,'LMTD OSA | 3GB'!A:A,0),2),0)</f>
        <v>2</v>
      </c>
      <c r="G24" s="10">
        <f>INDEX('LMTD OSA | 3GB'!A:C,MATCH(DATA!D24,'LMTD OSA | 3GB'!A:A,0),3)</f>
        <v>4800000</v>
      </c>
      <c r="H24" s="11">
        <f>INDEX('MTD OSA | 3GB'!B:D,MATCH(DATA!D24,'MTD OSA | 3GB'!B:B,0),2)</f>
        <v>3</v>
      </c>
      <c r="I24" s="12">
        <f>INDEX('MTD OSA | 3GB'!B:D,MATCH(DATA!D24,'MTD OSA | 3GB'!B:B,0),3)</f>
        <v>3000000</v>
      </c>
      <c r="J24" s="12">
        <f>INDEX(BIO!A:E,MATCH(DATA!D24,BIO!A:A,0),3)</f>
        <v>1</v>
      </c>
      <c r="K24" s="14">
        <f>INDEX(BIO!A:E,MATCH(DATA!D24,BIO!A:A,0),2)</f>
        <v>0</v>
      </c>
      <c r="L24" s="15">
        <f t="shared" si="0"/>
        <v>0</v>
      </c>
      <c r="M24" s="14">
        <f>INDEX('JULY VISIT'!A:B,MATCH(DATA!D24,'JULY VISIT'!A:A,0),2)</f>
        <v>0</v>
      </c>
    </row>
    <row r="25" spans="1:13">
      <c r="A25" s="1" t="s">
        <v>1</v>
      </c>
      <c r="B25" s="1" t="s">
        <v>3</v>
      </c>
      <c r="C25" s="1" t="s">
        <v>35</v>
      </c>
      <c r="D25" s="7">
        <v>368809</v>
      </c>
      <c r="E25" s="1" t="s">
        <v>10</v>
      </c>
      <c r="F25" s="10">
        <f>_xlfn.IFNA(INDEX('LMTD OSA | 3GB'!A:C,MATCH(DATA!D25,'LMTD OSA | 3GB'!A:A,0),2),0)</f>
        <v>3</v>
      </c>
      <c r="G25" s="10">
        <f>INDEX('LMTD OSA | 3GB'!A:C,MATCH(DATA!D25,'LMTD OSA | 3GB'!A:A,0),3)</f>
        <v>3895000</v>
      </c>
      <c r="H25" s="11" t="str">
        <f>INDEX('MTD OSA | 3GB'!B:D,MATCH(DATA!D25,'MTD OSA | 3GB'!B:B,0),2)</f>
        <v xml:space="preserve"> -   </v>
      </c>
      <c r="I25" s="12">
        <f>INDEX('MTD OSA | 3GB'!B:D,MATCH(DATA!D25,'MTD OSA | 3GB'!B:B,0),3)</f>
        <v>1615000</v>
      </c>
      <c r="J25" s="12">
        <f>INDEX(BIO!A:E,MATCH(DATA!D25,BIO!A:A,0),3)</f>
        <v>1</v>
      </c>
      <c r="K25" s="14">
        <f>INDEX(BIO!A:E,MATCH(DATA!D25,BIO!A:A,0),2)</f>
        <v>1</v>
      </c>
      <c r="L25" s="15">
        <f t="shared" si="0"/>
        <v>0</v>
      </c>
      <c r="M25" s="14">
        <f>INDEX('JULY VISIT'!A:B,MATCH(DATA!D25,'JULY VISIT'!A:A,0),2)</f>
        <v>0</v>
      </c>
    </row>
    <row r="26" spans="1:13">
      <c r="A26" s="1" t="s">
        <v>1</v>
      </c>
      <c r="B26" s="1" t="s">
        <v>3</v>
      </c>
      <c r="C26" s="1" t="s">
        <v>36</v>
      </c>
      <c r="D26" s="7">
        <v>385575</v>
      </c>
      <c r="E26" s="1" t="s">
        <v>10</v>
      </c>
      <c r="F26" s="10">
        <f>_xlfn.IFNA(INDEX('LMTD OSA | 3GB'!A:C,MATCH(DATA!D26,'LMTD OSA | 3GB'!A:A,0),2),0)</f>
        <v>0</v>
      </c>
      <c r="G26" s="10">
        <f>INDEX('LMTD OSA | 3GB'!A:C,MATCH(DATA!D26,'LMTD OSA | 3GB'!A:A,0),3)</f>
        <v>0</v>
      </c>
      <c r="H26" s="11" t="str">
        <f>INDEX('MTD OSA | 3GB'!B:D,MATCH(DATA!D26,'MTD OSA | 3GB'!B:B,0),2)</f>
        <v xml:space="preserve"> -   </v>
      </c>
      <c r="I26" s="12">
        <f>INDEX('MTD OSA | 3GB'!B:D,MATCH(DATA!D26,'MTD OSA | 3GB'!B:B,0),3)</f>
        <v>1000</v>
      </c>
      <c r="J26" s="12">
        <f>INDEX(BIO!A:E,MATCH(DATA!D26,BIO!A:A,0),3)</f>
        <v>0</v>
      </c>
      <c r="K26" s="14">
        <f>INDEX(BIO!A:E,MATCH(DATA!D26,BIO!A:A,0),2)</f>
        <v>0</v>
      </c>
      <c r="L26" s="15">
        <f t="shared" si="0"/>
        <v>0</v>
      </c>
      <c r="M26" s="14">
        <f>INDEX('JULY VISIT'!A:B,MATCH(DATA!D26,'JULY VISIT'!A:A,0),2)</f>
        <v>0</v>
      </c>
    </row>
    <row r="27" spans="1:13">
      <c r="A27" s="1" t="s">
        <v>1</v>
      </c>
      <c r="B27" s="1" t="s">
        <v>3</v>
      </c>
      <c r="C27" s="1" t="s">
        <v>37</v>
      </c>
      <c r="D27" s="7">
        <v>408290</v>
      </c>
      <c r="E27" s="1" t="s">
        <v>10</v>
      </c>
      <c r="F27" s="10">
        <f>_xlfn.IFNA(INDEX('LMTD OSA | 3GB'!A:C,MATCH(DATA!D27,'LMTD OSA | 3GB'!A:A,0),2),0)</f>
        <v>3</v>
      </c>
      <c r="G27" s="10">
        <f>INDEX('LMTD OSA | 3GB'!A:C,MATCH(DATA!D27,'LMTD OSA | 3GB'!A:A,0),3)</f>
        <v>9058000</v>
      </c>
      <c r="H27" s="11">
        <f>INDEX('MTD OSA | 3GB'!B:D,MATCH(DATA!D27,'MTD OSA | 3GB'!B:B,0),2)</f>
        <v>1</v>
      </c>
      <c r="I27" s="12">
        <f>INDEX('MTD OSA | 3GB'!B:D,MATCH(DATA!D27,'MTD OSA | 3GB'!B:B,0),3)</f>
        <v>5500000</v>
      </c>
      <c r="J27" s="12">
        <f>INDEX(BIO!A:E,MATCH(DATA!D27,BIO!A:A,0),3)</f>
        <v>1</v>
      </c>
      <c r="K27" s="14">
        <f>INDEX(BIO!A:E,MATCH(DATA!D27,BIO!A:A,0),2)</f>
        <v>2</v>
      </c>
      <c r="L27" s="15">
        <f t="shared" si="0"/>
        <v>1</v>
      </c>
      <c r="M27" s="14">
        <f>INDEX('JULY VISIT'!A:B,MATCH(DATA!D27,'JULY VISIT'!A:A,0),2)</f>
        <v>1</v>
      </c>
    </row>
    <row r="28" spans="1:13">
      <c r="A28" s="1" t="s">
        <v>1</v>
      </c>
      <c r="B28" s="1" t="s">
        <v>3</v>
      </c>
      <c r="C28" s="1" t="s">
        <v>38</v>
      </c>
      <c r="D28" s="7">
        <v>416191</v>
      </c>
      <c r="E28" s="1" t="s">
        <v>10</v>
      </c>
      <c r="F28" s="10">
        <f>_xlfn.IFNA(INDEX('LMTD OSA | 3GB'!A:C,MATCH(DATA!D28,'LMTD OSA | 3GB'!A:A,0),2),0)</f>
        <v>3</v>
      </c>
      <c r="G28" s="10">
        <f>INDEX('LMTD OSA | 3GB'!A:C,MATCH(DATA!D28,'LMTD OSA | 3GB'!A:A,0),3)</f>
        <v>1021900</v>
      </c>
      <c r="H28" s="11">
        <f>INDEX('MTD OSA | 3GB'!B:D,MATCH(DATA!D28,'MTD OSA | 3GB'!B:B,0),2)</f>
        <v>3</v>
      </c>
      <c r="I28" s="12">
        <f>INDEX('MTD OSA | 3GB'!B:D,MATCH(DATA!D28,'MTD OSA | 3GB'!B:B,0),3)</f>
        <v>513200</v>
      </c>
      <c r="J28" s="12">
        <f>INDEX(BIO!A:E,MATCH(DATA!D28,BIO!A:A,0),3)</f>
        <v>1</v>
      </c>
      <c r="K28" s="14">
        <f>INDEX(BIO!A:E,MATCH(DATA!D28,BIO!A:A,0),2)</f>
        <v>0</v>
      </c>
      <c r="L28" s="15">
        <f t="shared" si="0"/>
        <v>0</v>
      </c>
      <c r="M28" s="14">
        <f>INDEX('JULY VISIT'!A:B,MATCH(DATA!D28,'JULY VISIT'!A:A,0),2)</f>
        <v>1</v>
      </c>
    </row>
    <row r="29" spans="1:13">
      <c r="A29" s="1" t="s">
        <v>1</v>
      </c>
      <c r="B29" s="1" t="s">
        <v>3</v>
      </c>
      <c r="C29" s="1" t="s">
        <v>39</v>
      </c>
      <c r="D29" s="7">
        <v>484741</v>
      </c>
      <c r="E29" s="1" t="s">
        <v>10</v>
      </c>
      <c r="F29" s="10">
        <f>_xlfn.IFNA(INDEX('LMTD OSA | 3GB'!A:C,MATCH(DATA!D29,'LMTD OSA | 3GB'!A:A,0),2),0)</f>
        <v>3</v>
      </c>
      <c r="G29" s="10">
        <f>INDEX('LMTD OSA | 3GB'!A:C,MATCH(DATA!D29,'LMTD OSA | 3GB'!A:A,0),3)</f>
        <v>3000000</v>
      </c>
      <c r="H29" s="11" t="str">
        <f>INDEX('MTD OSA | 3GB'!B:D,MATCH(DATA!D29,'MTD OSA | 3GB'!B:B,0),2)</f>
        <v xml:space="preserve"> -   </v>
      </c>
      <c r="I29" s="12">
        <f>INDEX('MTD OSA | 3GB'!B:D,MATCH(DATA!D29,'MTD OSA | 3GB'!B:B,0),3)</f>
        <v>1650000</v>
      </c>
      <c r="J29" s="12">
        <f>INDEX(BIO!A:E,MATCH(DATA!D29,BIO!A:A,0),3)</f>
        <v>1</v>
      </c>
      <c r="K29" s="14">
        <f>INDEX(BIO!A:E,MATCH(DATA!D29,BIO!A:A,0),2)</f>
        <v>0</v>
      </c>
      <c r="L29" s="15">
        <f t="shared" si="0"/>
        <v>0</v>
      </c>
      <c r="M29" s="14">
        <f>INDEX('JULY VISIT'!A:B,MATCH(DATA!D29,'JULY VISIT'!A:A,0),2)</f>
        <v>1</v>
      </c>
    </row>
    <row r="30" spans="1:13">
      <c r="A30" s="1" t="s">
        <v>1</v>
      </c>
      <c r="B30" s="1" t="s">
        <v>3</v>
      </c>
      <c r="C30" s="1" t="s">
        <v>40</v>
      </c>
      <c r="D30" s="7">
        <v>486638</v>
      </c>
      <c r="E30" s="1" t="s">
        <v>10</v>
      </c>
      <c r="F30" s="10">
        <f>_xlfn.IFNA(INDEX('LMTD OSA | 3GB'!A:C,MATCH(DATA!D30,'LMTD OSA | 3GB'!A:A,0),2),0)</f>
        <v>3</v>
      </c>
      <c r="G30" s="10">
        <f>INDEX('LMTD OSA | 3GB'!A:C,MATCH(DATA!D30,'LMTD OSA | 3GB'!A:A,0),3)</f>
        <v>1100000</v>
      </c>
      <c r="H30" s="11" t="str">
        <f>INDEX('MTD OSA | 3GB'!B:D,MATCH(DATA!D30,'MTD OSA | 3GB'!B:B,0),2)</f>
        <v xml:space="preserve"> -   </v>
      </c>
      <c r="I30" s="12">
        <f>INDEX('MTD OSA | 3GB'!B:D,MATCH(DATA!D30,'MTD OSA | 3GB'!B:B,0),3)</f>
        <v>2700000</v>
      </c>
      <c r="J30" s="12">
        <f>INDEX(BIO!A:E,MATCH(DATA!D30,BIO!A:A,0),3)</f>
        <v>1</v>
      </c>
      <c r="K30" s="14">
        <f>INDEX(BIO!A:E,MATCH(DATA!D30,BIO!A:A,0),2)</f>
        <v>1</v>
      </c>
      <c r="L30" s="15">
        <f t="shared" si="0"/>
        <v>0</v>
      </c>
      <c r="M30" s="14">
        <f>INDEX('JULY VISIT'!A:B,MATCH(DATA!D30,'JULY VISIT'!A:A,0),2)</f>
        <v>2</v>
      </c>
    </row>
    <row r="31" spans="1:13">
      <c r="A31" s="1" t="s">
        <v>1</v>
      </c>
      <c r="B31" s="1" t="s">
        <v>3</v>
      </c>
      <c r="C31" s="1" t="s">
        <v>41</v>
      </c>
      <c r="D31" s="7">
        <v>491288</v>
      </c>
      <c r="E31" s="1" t="s">
        <v>10</v>
      </c>
      <c r="F31" s="10">
        <f>_xlfn.IFNA(INDEX('LMTD OSA | 3GB'!A:C,MATCH(DATA!D31,'LMTD OSA | 3GB'!A:A,0),2),0)</f>
        <v>3</v>
      </c>
      <c r="G31" s="10">
        <f>INDEX('LMTD OSA | 3GB'!A:C,MATCH(DATA!D31,'LMTD OSA | 3GB'!A:A,0),3)</f>
        <v>700000</v>
      </c>
      <c r="H31" s="11" t="str">
        <f>INDEX('MTD OSA | 3GB'!B:D,MATCH(DATA!D31,'MTD OSA | 3GB'!B:B,0),2)</f>
        <v xml:space="preserve"> -   </v>
      </c>
      <c r="I31" s="12">
        <f>INDEX('MTD OSA | 3GB'!B:D,MATCH(DATA!D31,'MTD OSA | 3GB'!B:B,0),3)</f>
        <v>270500</v>
      </c>
      <c r="J31" s="12">
        <f>INDEX(BIO!A:E,MATCH(DATA!D31,BIO!A:A,0),3)</f>
        <v>1</v>
      </c>
      <c r="K31" s="14">
        <f>INDEX(BIO!A:E,MATCH(DATA!D31,BIO!A:A,0),2)</f>
        <v>0</v>
      </c>
      <c r="L31" s="15">
        <f t="shared" si="0"/>
        <v>0</v>
      </c>
      <c r="M31" s="14">
        <f>INDEX('JULY VISIT'!A:B,MATCH(DATA!D31,'JULY VISIT'!A:A,0),2)</f>
        <v>0</v>
      </c>
    </row>
    <row r="32" spans="1:13">
      <c r="A32" s="1" t="s">
        <v>1</v>
      </c>
      <c r="B32" s="1" t="s">
        <v>3</v>
      </c>
      <c r="C32" s="1" t="s">
        <v>42</v>
      </c>
      <c r="D32" s="7">
        <v>501643</v>
      </c>
      <c r="E32" s="1" t="s">
        <v>10</v>
      </c>
      <c r="F32" s="10">
        <f>_xlfn.IFNA(INDEX('LMTD OSA | 3GB'!A:C,MATCH(DATA!D32,'LMTD OSA | 3GB'!A:A,0),2),0)</f>
        <v>1</v>
      </c>
      <c r="G32" s="10">
        <f>INDEX('LMTD OSA | 3GB'!A:C,MATCH(DATA!D32,'LMTD OSA | 3GB'!A:A,0),3)</f>
        <v>9458000</v>
      </c>
      <c r="H32" s="11" t="str">
        <f>INDEX('MTD OSA | 3GB'!B:D,MATCH(DATA!D32,'MTD OSA | 3GB'!B:B,0),2)</f>
        <v xml:space="preserve"> -   </v>
      </c>
      <c r="I32" s="12">
        <f>INDEX('MTD OSA | 3GB'!B:D,MATCH(DATA!D32,'MTD OSA | 3GB'!B:B,0),3)</f>
        <v>6500000</v>
      </c>
      <c r="J32" s="12">
        <f>INDEX(BIO!A:E,MATCH(DATA!D32,BIO!A:A,0),3)</f>
        <v>1</v>
      </c>
      <c r="K32" s="14">
        <f>INDEX(BIO!A:E,MATCH(DATA!D32,BIO!A:A,0),2)</f>
        <v>0</v>
      </c>
      <c r="L32" s="15">
        <f t="shared" si="0"/>
        <v>0</v>
      </c>
      <c r="M32" s="14">
        <f>INDEX('JULY VISIT'!A:B,MATCH(DATA!D32,'JULY VISIT'!A:A,0),2)</f>
        <v>0</v>
      </c>
    </row>
    <row r="33" spans="1:13">
      <c r="A33" s="1" t="s">
        <v>1</v>
      </c>
      <c r="B33" s="1" t="s">
        <v>3</v>
      </c>
      <c r="C33" s="1" t="s">
        <v>43</v>
      </c>
      <c r="D33" s="7">
        <v>519286</v>
      </c>
      <c r="E33" s="1" t="s">
        <v>10</v>
      </c>
      <c r="F33" s="10">
        <f>_xlfn.IFNA(INDEX('LMTD OSA | 3GB'!A:C,MATCH(DATA!D33,'LMTD OSA | 3GB'!A:A,0),2),0)</f>
        <v>32</v>
      </c>
      <c r="G33" s="10">
        <f>INDEX('LMTD OSA | 3GB'!A:C,MATCH(DATA!D33,'LMTD OSA | 3GB'!A:A,0),3)</f>
        <v>7684000</v>
      </c>
      <c r="H33" s="11">
        <f>INDEX('MTD OSA | 3GB'!B:D,MATCH(DATA!D33,'MTD OSA | 3GB'!B:B,0),2)</f>
        <v>3</v>
      </c>
      <c r="I33" s="12">
        <f>INDEX('MTD OSA | 3GB'!B:D,MATCH(DATA!D33,'MTD OSA | 3GB'!B:B,0),3)</f>
        <v>1009000</v>
      </c>
      <c r="J33" s="12">
        <f>INDEX(BIO!A:E,MATCH(DATA!D33,BIO!A:A,0),3)</f>
        <v>1</v>
      </c>
      <c r="K33" s="14">
        <f>INDEX(BIO!A:E,MATCH(DATA!D33,BIO!A:A,0),2)</f>
        <v>1</v>
      </c>
      <c r="L33" s="15">
        <f t="shared" si="0"/>
        <v>0</v>
      </c>
      <c r="M33" s="14">
        <f>INDEX('JULY VISIT'!A:B,MATCH(DATA!D33,'JULY VISIT'!A:A,0),2)</f>
        <v>0</v>
      </c>
    </row>
    <row r="34" spans="1:13">
      <c r="A34" s="1" t="s">
        <v>1</v>
      </c>
      <c r="B34" s="1" t="s">
        <v>3</v>
      </c>
      <c r="C34" s="1" t="s">
        <v>44</v>
      </c>
      <c r="D34" s="7">
        <v>522623</v>
      </c>
      <c r="E34" s="1" t="s">
        <v>10</v>
      </c>
      <c r="F34" s="10">
        <f>_xlfn.IFNA(INDEX('LMTD OSA | 3GB'!A:C,MATCH(DATA!D34,'LMTD OSA | 3GB'!A:A,0),2),0)</f>
        <v>3</v>
      </c>
      <c r="G34" s="10">
        <f>INDEX('LMTD OSA | 3GB'!A:C,MATCH(DATA!D34,'LMTD OSA | 3GB'!A:A,0),3)</f>
        <v>6930000</v>
      </c>
      <c r="H34" s="11">
        <f>INDEX('MTD OSA | 3GB'!B:D,MATCH(DATA!D34,'MTD OSA | 3GB'!B:B,0),2)</f>
        <v>4</v>
      </c>
      <c r="I34" s="12">
        <f>INDEX('MTD OSA | 3GB'!B:D,MATCH(DATA!D34,'MTD OSA | 3GB'!B:B,0),3)</f>
        <v>1414000</v>
      </c>
      <c r="J34" s="12">
        <f>INDEX(BIO!A:E,MATCH(DATA!D34,BIO!A:A,0),3)</f>
        <v>1</v>
      </c>
      <c r="K34" s="14">
        <f>INDEX(BIO!A:E,MATCH(DATA!D34,BIO!A:A,0),2)</f>
        <v>10</v>
      </c>
      <c r="L34" s="15">
        <f t="shared" si="0"/>
        <v>9</v>
      </c>
      <c r="M34" s="14">
        <f>INDEX('JULY VISIT'!A:B,MATCH(DATA!D34,'JULY VISIT'!A:A,0),2)</f>
        <v>0</v>
      </c>
    </row>
    <row r="35" spans="1:13">
      <c r="A35" s="1" t="s">
        <v>1</v>
      </c>
      <c r="B35" s="1" t="s">
        <v>3</v>
      </c>
      <c r="C35" s="1" t="s">
        <v>45</v>
      </c>
      <c r="D35" s="7">
        <v>523194</v>
      </c>
      <c r="E35" s="1" t="s">
        <v>10</v>
      </c>
      <c r="F35" s="10">
        <f>_xlfn.IFNA(INDEX('LMTD OSA | 3GB'!A:C,MATCH(DATA!D35,'LMTD OSA | 3GB'!A:A,0),2),0)</f>
        <v>3</v>
      </c>
      <c r="G35" s="10">
        <f>INDEX('LMTD OSA | 3GB'!A:C,MATCH(DATA!D35,'LMTD OSA | 3GB'!A:A,0),3)</f>
        <v>308000</v>
      </c>
      <c r="H35" s="11">
        <f>INDEX('MTD OSA | 3GB'!B:D,MATCH(DATA!D35,'MTD OSA | 3GB'!B:B,0),2)</f>
        <v>1</v>
      </c>
      <c r="I35" s="12">
        <f>INDEX('MTD OSA | 3GB'!B:D,MATCH(DATA!D35,'MTD OSA | 3GB'!B:B,0),3)</f>
        <v>200000</v>
      </c>
      <c r="J35" s="12">
        <f>INDEX(BIO!A:E,MATCH(DATA!D35,BIO!A:A,0),3)</f>
        <v>2</v>
      </c>
      <c r="K35" s="14">
        <f>INDEX(BIO!A:E,MATCH(DATA!D35,BIO!A:A,0),2)</f>
        <v>1</v>
      </c>
      <c r="L35" s="15">
        <f t="shared" si="0"/>
        <v>0</v>
      </c>
      <c r="M35" s="14">
        <f>INDEX('JULY VISIT'!A:B,MATCH(DATA!D35,'JULY VISIT'!A:A,0),2)</f>
        <v>0</v>
      </c>
    </row>
    <row r="36" spans="1:13">
      <c r="A36" s="1" t="s">
        <v>1</v>
      </c>
      <c r="B36" s="1" t="s">
        <v>3</v>
      </c>
      <c r="C36" s="1" t="s">
        <v>46</v>
      </c>
      <c r="D36" s="7">
        <v>523935</v>
      </c>
      <c r="E36" s="1" t="s">
        <v>10</v>
      </c>
      <c r="F36" s="10">
        <f>_xlfn.IFNA(INDEX('LMTD OSA | 3GB'!A:C,MATCH(DATA!D36,'LMTD OSA | 3GB'!A:A,0),2),0)</f>
        <v>3</v>
      </c>
      <c r="G36" s="10">
        <f>INDEX('LMTD OSA | 3GB'!A:C,MATCH(DATA!D36,'LMTD OSA | 3GB'!A:A,0),3)</f>
        <v>5100000</v>
      </c>
      <c r="H36" s="11" t="str">
        <f>INDEX('MTD OSA | 3GB'!B:D,MATCH(DATA!D36,'MTD OSA | 3GB'!B:B,0),2)</f>
        <v xml:space="preserve"> -   </v>
      </c>
      <c r="I36" s="12">
        <f>INDEX('MTD OSA | 3GB'!B:D,MATCH(DATA!D36,'MTD OSA | 3GB'!B:B,0),3)</f>
        <v>4150000</v>
      </c>
      <c r="J36" s="12">
        <f>INDEX(BIO!A:E,MATCH(DATA!D36,BIO!A:A,0),3)</f>
        <v>1</v>
      </c>
      <c r="K36" s="14">
        <f>INDEX(BIO!A:E,MATCH(DATA!D36,BIO!A:A,0),2)</f>
        <v>0</v>
      </c>
      <c r="L36" s="15">
        <f t="shared" si="0"/>
        <v>0</v>
      </c>
      <c r="M36" s="14">
        <f>INDEX('JULY VISIT'!A:B,MATCH(DATA!D36,'JULY VISIT'!A:A,0),2)</f>
        <v>0</v>
      </c>
    </row>
    <row r="37" spans="1:13">
      <c r="A37" s="1" t="s">
        <v>1</v>
      </c>
      <c r="B37" s="1" t="s">
        <v>3</v>
      </c>
      <c r="C37" s="1" t="s">
        <v>47</v>
      </c>
      <c r="D37" s="7">
        <v>523938</v>
      </c>
      <c r="E37" s="1" t="s">
        <v>10</v>
      </c>
      <c r="F37" s="10">
        <f>_xlfn.IFNA(INDEX('LMTD OSA | 3GB'!A:C,MATCH(DATA!D37,'LMTD OSA | 3GB'!A:A,0),2),0)</f>
        <v>3</v>
      </c>
      <c r="G37" s="10">
        <f>INDEX('LMTD OSA | 3GB'!A:C,MATCH(DATA!D37,'LMTD OSA | 3GB'!A:A,0),3)</f>
        <v>1631000</v>
      </c>
      <c r="H37" s="11" t="str">
        <f>INDEX('MTD OSA | 3GB'!B:D,MATCH(DATA!D37,'MTD OSA | 3GB'!B:B,0),2)</f>
        <v xml:space="preserve"> -   </v>
      </c>
      <c r="I37" s="12">
        <f>INDEX('MTD OSA | 3GB'!B:D,MATCH(DATA!D37,'MTD OSA | 3GB'!B:B,0),3)</f>
        <v>220500</v>
      </c>
      <c r="J37" s="12">
        <f>INDEX(BIO!A:E,MATCH(DATA!D37,BIO!A:A,0),3)</f>
        <v>1</v>
      </c>
      <c r="K37" s="14">
        <f>INDEX(BIO!A:E,MATCH(DATA!D37,BIO!A:A,0),2)</f>
        <v>0</v>
      </c>
      <c r="L37" s="15">
        <f t="shared" si="0"/>
        <v>0</v>
      </c>
      <c r="M37" s="14">
        <f>INDEX('JULY VISIT'!A:B,MATCH(DATA!D37,'JULY VISIT'!A:A,0),2)</f>
        <v>0</v>
      </c>
    </row>
    <row r="38" spans="1:13">
      <c r="A38" s="1" t="s">
        <v>1</v>
      </c>
      <c r="B38" s="1" t="s">
        <v>3</v>
      </c>
      <c r="C38" s="1" t="s">
        <v>48</v>
      </c>
      <c r="D38" s="7">
        <v>524281</v>
      </c>
      <c r="E38" s="1" t="s">
        <v>10</v>
      </c>
      <c r="F38" s="10">
        <f>_xlfn.IFNA(INDEX('LMTD OSA | 3GB'!A:C,MATCH(DATA!D38,'LMTD OSA | 3GB'!A:A,0),2),0)</f>
        <v>3</v>
      </c>
      <c r="G38" s="10">
        <f>INDEX('LMTD OSA | 3GB'!A:C,MATCH(DATA!D38,'LMTD OSA | 3GB'!A:A,0),3)</f>
        <v>29000</v>
      </c>
      <c r="H38" s="11" t="str">
        <f>INDEX('MTD OSA | 3GB'!B:D,MATCH(DATA!D38,'MTD OSA | 3GB'!B:B,0),2)</f>
        <v xml:space="preserve"> -   </v>
      </c>
      <c r="I38" s="12">
        <f>INDEX('MTD OSA | 3GB'!B:D,MATCH(DATA!D38,'MTD OSA | 3GB'!B:B,0),3)</f>
        <v>300000</v>
      </c>
      <c r="J38" s="12">
        <f>INDEX(BIO!A:E,MATCH(DATA!D38,BIO!A:A,0),3)</f>
        <v>1</v>
      </c>
      <c r="K38" s="14">
        <f>INDEX(BIO!A:E,MATCH(DATA!D38,BIO!A:A,0),2)</f>
        <v>0</v>
      </c>
      <c r="L38" s="15">
        <f t="shared" si="0"/>
        <v>0</v>
      </c>
      <c r="M38" s="14">
        <f>INDEX('JULY VISIT'!A:B,MATCH(DATA!D38,'JULY VISIT'!A:A,0),2)</f>
        <v>0</v>
      </c>
    </row>
    <row r="39" spans="1:13">
      <c r="A39" s="1" t="s">
        <v>1</v>
      </c>
      <c r="B39" s="1" t="s">
        <v>3</v>
      </c>
      <c r="C39" s="1" t="s">
        <v>49</v>
      </c>
      <c r="D39" s="7">
        <v>524283</v>
      </c>
      <c r="E39" s="1" t="s">
        <v>10</v>
      </c>
      <c r="F39" s="10">
        <f>_xlfn.IFNA(INDEX('LMTD OSA | 3GB'!A:C,MATCH(DATA!D39,'LMTD OSA | 3GB'!A:A,0),2),0)</f>
        <v>1</v>
      </c>
      <c r="G39" s="10">
        <f>INDEX('LMTD OSA | 3GB'!A:C,MATCH(DATA!D39,'LMTD OSA | 3GB'!A:A,0),3)</f>
        <v>427000</v>
      </c>
      <c r="H39" s="11" t="str">
        <f>INDEX('MTD OSA | 3GB'!B:D,MATCH(DATA!D39,'MTD OSA | 3GB'!B:B,0),2)</f>
        <v xml:space="preserve"> -   </v>
      </c>
      <c r="I39" s="12">
        <f>INDEX('MTD OSA | 3GB'!B:D,MATCH(DATA!D39,'MTD OSA | 3GB'!B:B,0),3)</f>
        <v>141000</v>
      </c>
      <c r="J39" s="12">
        <f>INDEX(BIO!A:E,MATCH(DATA!D39,BIO!A:A,0),3)</f>
        <v>1</v>
      </c>
      <c r="K39" s="14">
        <f>INDEX(BIO!A:E,MATCH(DATA!D39,BIO!A:A,0),2)</f>
        <v>0</v>
      </c>
      <c r="L39" s="15">
        <f t="shared" si="0"/>
        <v>0</v>
      </c>
      <c r="M39" s="14">
        <f>INDEX('JULY VISIT'!A:B,MATCH(DATA!D39,'JULY VISIT'!A:A,0),2)</f>
        <v>0</v>
      </c>
    </row>
    <row r="40" spans="1:13">
      <c r="A40" s="1" t="s">
        <v>1</v>
      </c>
      <c r="B40" s="1" t="s">
        <v>3</v>
      </c>
      <c r="C40" s="1" t="s">
        <v>50</v>
      </c>
      <c r="D40" s="7">
        <v>525590</v>
      </c>
      <c r="E40" s="1" t="s">
        <v>10</v>
      </c>
      <c r="F40" s="10">
        <f>_xlfn.IFNA(INDEX('LMTD OSA | 3GB'!A:C,MATCH(DATA!D40,'LMTD OSA | 3GB'!A:A,0),2),0)</f>
        <v>11</v>
      </c>
      <c r="G40" s="10">
        <f>INDEX('LMTD OSA | 3GB'!A:C,MATCH(DATA!D40,'LMTD OSA | 3GB'!A:A,0),3)</f>
        <v>6983500</v>
      </c>
      <c r="H40" s="11">
        <f>INDEX('MTD OSA | 3GB'!B:D,MATCH(DATA!D40,'MTD OSA | 3GB'!B:B,0),2)</f>
        <v>4</v>
      </c>
      <c r="I40" s="12">
        <f>INDEX('MTD OSA | 3GB'!B:D,MATCH(DATA!D40,'MTD OSA | 3GB'!B:B,0),3)</f>
        <v>9369000</v>
      </c>
      <c r="J40" s="12">
        <f>INDEX(BIO!A:E,MATCH(DATA!D40,BIO!A:A,0),3)</f>
        <v>2</v>
      </c>
      <c r="K40" s="14">
        <f>INDEX(BIO!A:E,MATCH(DATA!D40,BIO!A:A,0),2)</f>
        <v>1</v>
      </c>
      <c r="L40" s="15">
        <f t="shared" si="0"/>
        <v>0</v>
      </c>
      <c r="M40" s="14">
        <f>INDEX('JULY VISIT'!A:B,MATCH(DATA!D40,'JULY VISIT'!A:A,0),2)</f>
        <v>0</v>
      </c>
    </row>
    <row r="41" spans="1:13">
      <c r="A41" s="1" t="s">
        <v>1</v>
      </c>
      <c r="B41" s="1" t="s">
        <v>3</v>
      </c>
      <c r="C41" s="1" t="s">
        <v>51</v>
      </c>
      <c r="D41" s="7">
        <v>530058</v>
      </c>
      <c r="E41" s="1" t="s">
        <v>10</v>
      </c>
      <c r="F41" s="10">
        <f>_xlfn.IFNA(INDEX('LMTD OSA | 3GB'!A:C,MATCH(DATA!D41,'LMTD OSA | 3GB'!A:A,0),2),0)</f>
        <v>3</v>
      </c>
      <c r="G41" s="10">
        <f>INDEX('LMTD OSA | 3GB'!A:C,MATCH(DATA!D41,'LMTD OSA | 3GB'!A:A,0),3)</f>
        <v>3058000</v>
      </c>
      <c r="H41" s="11" t="str">
        <f>INDEX('MTD OSA | 3GB'!B:D,MATCH(DATA!D41,'MTD OSA | 3GB'!B:B,0),2)</f>
        <v xml:space="preserve"> -   </v>
      </c>
      <c r="I41" s="12">
        <f>INDEX('MTD OSA | 3GB'!B:D,MATCH(DATA!D41,'MTD OSA | 3GB'!B:B,0),3)</f>
        <v>1400000</v>
      </c>
      <c r="J41" s="12">
        <f>INDEX(BIO!A:E,MATCH(DATA!D41,BIO!A:A,0),3)</f>
        <v>1</v>
      </c>
      <c r="K41" s="14">
        <f>INDEX(BIO!A:E,MATCH(DATA!D41,BIO!A:A,0),2)</f>
        <v>1</v>
      </c>
      <c r="L41" s="15">
        <f t="shared" si="0"/>
        <v>0</v>
      </c>
      <c r="M41" s="14">
        <f>INDEX('JULY VISIT'!A:B,MATCH(DATA!D41,'JULY VISIT'!A:A,0),2)</f>
        <v>3</v>
      </c>
    </row>
    <row r="42" spans="1:13">
      <c r="A42" s="1" t="s">
        <v>1</v>
      </c>
      <c r="B42" s="1" t="s">
        <v>3</v>
      </c>
      <c r="C42" s="1" t="s">
        <v>52</v>
      </c>
      <c r="D42" s="7">
        <v>535790</v>
      </c>
      <c r="E42" s="1" t="s">
        <v>10</v>
      </c>
      <c r="F42" s="10">
        <f>_xlfn.IFNA(INDEX('LMTD OSA | 3GB'!A:C,MATCH(DATA!D42,'LMTD OSA | 3GB'!A:A,0),2),0)</f>
        <v>3</v>
      </c>
      <c r="G42" s="10">
        <f>INDEX('LMTD OSA | 3GB'!A:C,MATCH(DATA!D42,'LMTD OSA | 3GB'!A:A,0),3)</f>
        <v>4100000</v>
      </c>
      <c r="H42" s="11">
        <f>INDEX('MTD OSA | 3GB'!B:D,MATCH(DATA!D42,'MTD OSA | 3GB'!B:B,0),2)</f>
        <v>3</v>
      </c>
      <c r="I42" s="12">
        <f>INDEX('MTD OSA | 3GB'!B:D,MATCH(DATA!D42,'MTD OSA | 3GB'!B:B,0),3)</f>
        <v>1800000</v>
      </c>
      <c r="J42" s="12">
        <f>INDEX(BIO!A:E,MATCH(DATA!D42,BIO!A:A,0),3)</f>
        <v>1</v>
      </c>
      <c r="K42" s="14">
        <f>INDEX(BIO!A:E,MATCH(DATA!D42,BIO!A:A,0),2)</f>
        <v>3</v>
      </c>
      <c r="L42" s="15">
        <f t="shared" si="0"/>
        <v>2</v>
      </c>
      <c r="M42" s="14">
        <f>INDEX('JULY VISIT'!A:B,MATCH(DATA!D42,'JULY VISIT'!A:A,0),2)</f>
        <v>1</v>
      </c>
    </row>
    <row r="43" spans="1:13">
      <c r="A43" s="1" t="s">
        <v>1</v>
      </c>
      <c r="B43" s="1" t="s">
        <v>3</v>
      </c>
      <c r="C43" s="1" t="s">
        <v>53</v>
      </c>
      <c r="D43" s="7">
        <v>542823</v>
      </c>
      <c r="E43" s="1" t="s">
        <v>15</v>
      </c>
      <c r="F43" s="10">
        <f>_xlfn.IFNA(INDEX('LMTD OSA | 3GB'!A:C,MATCH(DATA!D43,'LMTD OSA | 3GB'!A:A,0),2),0)</f>
        <v>3</v>
      </c>
      <c r="G43" s="10">
        <f>INDEX('LMTD OSA | 3GB'!A:C,MATCH(DATA!D43,'LMTD OSA | 3GB'!A:A,0),3)</f>
        <v>766000</v>
      </c>
      <c r="H43" s="11">
        <f>INDEX('MTD OSA | 3GB'!B:D,MATCH(DATA!D43,'MTD OSA | 3GB'!B:B,0),2)</f>
        <v>3</v>
      </c>
      <c r="I43" s="12">
        <f>INDEX('MTD OSA | 3GB'!B:D,MATCH(DATA!D43,'MTD OSA | 3GB'!B:B,0),3)</f>
        <v>450000</v>
      </c>
      <c r="J43" s="12">
        <f>INDEX(BIO!A:E,MATCH(DATA!D43,BIO!A:A,0),3)</f>
        <v>1</v>
      </c>
      <c r="K43" s="14">
        <f>INDEX(BIO!A:E,MATCH(DATA!D43,BIO!A:A,0),2)</f>
        <v>2</v>
      </c>
      <c r="L43" s="15">
        <f t="shared" si="0"/>
        <v>1</v>
      </c>
      <c r="M43" s="14">
        <f>INDEX('JULY VISIT'!A:B,MATCH(DATA!D43,'JULY VISIT'!A:A,0),2)</f>
        <v>0</v>
      </c>
    </row>
    <row r="44" spans="1:13">
      <c r="A44" s="1" t="s">
        <v>1</v>
      </c>
      <c r="B44" s="1" t="s">
        <v>3</v>
      </c>
      <c r="C44" s="1" t="s">
        <v>54</v>
      </c>
      <c r="D44" s="7">
        <v>549259</v>
      </c>
      <c r="E44" s="1" t="s">
        <v>10</v>
      </c>
      <c r="F44" s="10">
        <f>_xlfn.IFNA(INDEX('LMTD OSA | 3GB'!A:C,MATCH(DATA!D44,'LMTD OSA | 3GB'!A:A,0),2),0)</f>
        <v>0</v>
      </c>
      <c r="G44" s="10">
        <f>INDEX('LMTD OSA | 3GB'!A:C,MATCH(DATA!D44,'LMTD OSA | 3GB'!A:A,0),3)</f>
        <v>0</v>
      </c>
      <c r="H44" s="11" t="str">
        <f>INDEX('MTD OSA | 3GB'!B:D,MATCH(DATA!D44,'MTD OSA | 3GB'!B:B,0),2)</f>
        <v xml:space="preserve"> -   </v>
      </c>
      <c r="I44" s="12" t="str">
        <f>INDEX('MTD OSA | 3GB'!B:D,MATCH(DATA!D44,'MTD OSA | 3GB'!B:B,0),3)</f>
        <v xml:space="preserve"> -   </v>
      </c>
      <c r="J44" s="12">
        <f>INDEX(BIO!A:E,MATCH(DATA!D44,BIO!A:A,0),3)</f>
        <v>0</v>
      </c>
      <c r="K44" s="14">
        <f>INDEX(BIO!A:E,MATCH(DATA!D44,BIO!A:A,0),2)</f>
        <v>0</v>
      </c>
      <c r="L44" s="15">
        <f t="shared" si="0"/>
        <v>0</v>
      </c>
      <c r="M44" s="14">
        <f>INDEX('JULY VISIT'!A:B,MATCH(DATA!D44,'JULY VISIT'!A:A,0),2)</f>
        <v>0</v>
      </c>
    </row>
    <row r="45" spans="1:13">
      <c r="A45" s="1" t="s">
        <v>1</v>
      </c>
      <c r="B45" s="1" t="s">
        <v>3</v>
      </c>
      <c r="C45" s="1" t="s">
        <v>55</v>
      </c>
      <c r="D45" s="7">
        <v>571174</v>
      </c>
      <c r="E45" s="1" t="s">
        <v>10</v>
      </c>
      <c r="F45" s="10">
        <f>_xlfn.IFNA(INDEX('LMTD OSA | 3GB'!A:C,MATCH(DATA!D45,'LMTD OSA | 3GB'!A:A,0),2),0)</f>
        <v>1</v>
      </c>
      <c r="G45" s="10">
        <f>INDEX('LMTD OSA | 3GB'!A:C,MATCH(DATA!D45,'LMTD OSA | 3GB'!A:A,0),3)</f>
        <v>3475500</v>
      </c>
      <c r="H45" s="11" t="str">
        <f>INDEX('MTD OSA | 3GB'!B:D,MATCH(DATA!D45,'MTD OSA | 3GB'!B:B,0),2)</f>
        <v xml:space="preserve"> -   </v>
      </c>
      <c r="I45" s="12">
        <f>INDEX('MTD OSA | 3GB'!B:D,MATCH(DATA!D45,'MTD OSA | 3GB'!B:B,0),3)</f>
        <v>610500</v>
      </c>
      <c r="J45" s="12">
        <f>INDEX(BIO!A:E,MATCH(DATA!D45,BIO!A:A,0),3)</f>
        <v>1</v>
      </c>
      <c r="K45" s="14">
        <f>INDEX(BIO!A:E,MATCH(DATA!D45,BIO!A:A,0),2)</f>
        <v>0</v>
      </c>
      <c r="L45" s="15">
        <f t="shared" si="0"/>
        <v>0</v>
      </c>
      <c r="M45" s="14">
        <f>INDEX('JULY VISIT'!A:B,MATCH(DATA!D45,'JULY VISIT'!A:A,0),2)</f>
        <v>0</v>
      </c>
    </row>
    <row r="46" spans="1:13">
      <c r="A46" s="1" t="s">
        <v>1</v>
      </c>
      <c r="B46" s="1" t="s">
        <v>3</v>
      </c>
      <c r="C46" s="1" t="s">
        <v>56</v>
      </c>
      <c r="D46" s="7">
        <v>62086</v>
      </c>
      <c r="E46" s="1" t="s">
        <v>10</v>
      </c>
      <c r="F46" s="10">
        <f>_xlfn.IFNA(INDEX('LMTD OSA | 3GB'!A:C,MATCH(DATA!D46,'LMTD OSA | 3GB'!A:A,0),2),0)</f>
        <v>0</v>
      </c>
      <c r="G46" s="10">
        <f>INDEX('LMTD OSA | 3GB'!A:C,MATCH(DATA!D46,'LMTD OSA | 3GB'!A:A,0),3)</f>
        <v>0</v>
      </c>
      <c r="H46" s="11">
        <f>INDEX('MTD OSA | 3GB'!B:D,MATCH(DATA!D46,'MTD OSA | 3GB'!B:B,0),2)</f>
        <v>3</v>
      </c>
      <c r="I46" s="12">
        <f>INDEX('MTD OSA | 3GB'!B:D,MATCH(DATA!D46,'MTD OSA | 3GB'!B:B,0),3)</f>
        <v>100000</v>
      </c>
      <c r="J46" s="12">
        <f>INDEX(BIO!A:E,MATCH(DATA!D46,BIO!A:A,0),3)</f>
        <v>0</v>
      </c>
      <c r="K46" s="14">
        <f>INDEX(BIO!A:E,MATCH(DATA!D46,BIO!A:A,0),2)</f>
        <v>0</v>
      </c>
      <c r="L46" s="15">
        <f t="shared" si="0"/>
        <v>0</v>
      </c>
      <c r="M46" s="14">
        <f>INDEX('JULY VISIT'!A:B,MATCH(DATA!D46,'JULY VISIT'!A:A,0),2)</f>
        <v>0</v>
      </c>
    </row>
    <row r="47" spans="1:13">
      <c r="A47" s="1" t="s">
        <v>1</v>
      </c>
      <c r="B47" s="1" t="s">
        <v>3</v>
      </c>
      <c r="C47" s="1" t="s">
        <v>57</v>
      </c>
      <c r="D47" s="7">
        <v>63887</v>
      </c>
      <c r="E47" s="1" t="s">
        <v>15</v>
      </c>
      <c r="F47" s="10">
        <f>_xlfn.IFNA(INDEX('LMTD OSA | 3GB'!A:C,MATCH(DATA!D47,'LMTD OSA | 3GB'!A:A,0),2),0)</f>
        <v>0</v>
      </c>
      <c r="G47" s="10">
        <f>INDEX('LMTD OSA | 3GB'!A:C,MATCH(DATA!D47,'LMTD OSA | 3GB'!A:A,0),3)</f>
        <v>1800000</v>
      </c>
      <c r="H47" s="11" t="str">
        <f>INDEX('MTD OSA | 3GB'!B:D,MATCH(DATA!D47,'MTD OSA | 3GB'!B:B,0),2)</f>
        <v xml:space="preserve"> -   </v>
      </c>
      <c r="I47" s="12">
        <f>INDEX('MTD OSA | 3GB'!B:D,MATCH(DATA!D47,'MTD OSA | 3GB'!B:B,0),3)</f>
        <v>500000</v>
      </c>
      <c r="J47" s="12">
        <f>INDEX(BIO!A:E,MATCH(DATA!D47,BIO!A:A,0),3)</f>
        <v>0</v>
      </c>
      <c r="K47" s="14">
        <f>INDEX(BIO!A:E,MATCH(DATA!D47,BIO!A:A,0),2)</f>
        <v>1</v>
      </c>
      <c r="L47" s="15">
        <f t="shared" si="0"/>
        <v>1</v>
      </c>
      <c r="M47" s="14">
        <f>INDEX('JULY VISIT'!A:B,MATCH(DATA!D47,'JULY VISIT'!A:A,0),2)</f>
        <v>0</v>
      </c>
    </row>
    <row r="48" spans="1:13">
      <c r="A48" s="1" t="s">
        <v>1</v>
      </c>
      <c r="B48" s="1" t="s">
        <v>4</v>
      </c>
      <c r="C48" s="1" t="s">
        <v>58</v>
      </c>
      <c r="D48" s="7">
        <v>116871</v>
      </c>
      <c r="E48" s="1" t="s">
        <v>29</v>
      </c>
      <c r="F48" s="10">
        <f>_xlfn.IFNA(INDEX('LMTD OSA | 3GB'!A:C,MATCH(DATA!D48,'LMTD OSA | 3GB'!A:A,0),2),0)</f>
        <v>3</v>
      </c>
      <c r="G48" s="10">
        <f>INDEX('LMTD OSA | 3GB'!A:C,MATCH(DATA!D48,'LMTD OSA | 3GB'!A:A,0),3)</f>
        <v>26116000</v>
      </c>
      <c r="H48" s="11">
        <f>INDEX('MTD OSA | 3GB'!B:D,MATCH(DATA!D48,'MTD OSA | 3GB'!B:B,0),2)</f>
        <v>54</v>
      </c>
      <c r="I48" s="12">
        <f>INDEX('MTD OSA | 3GB'!B:D,MATCH(DATA!D48,'MTD OSA | 3GB'!B:B,0),3)</f>
        <v>24058000</v>
      </c>
      <c r="J48" s="12">
        <f>INDEX(BIO!A:E,MATCH(DATA!D48,BIO!A:A,0),3)</f>
        <v>2</v>
      </c>
      <c r="K48" s="14">
        <f>INDEX(BIO!A:E,MATCH(DATA!D48,BIO!A:A,0),2)</f>
        <v>5</v>
      </c>
      <c r="L48" s="15">
        <f t="shared" si="0"/>
        <v>3</v>
      </c>
      <c r="M48" s="14">
        <f>INDEX('JULY VISIT'!A:B,MATCH(DATA!D48,'JULY VISIT'!A:A,0),2)</f>
        <v>6</v>
      </c>
    </row>
    <row r="49" spans="1:13">
      <c r="A49" s="1" t="s">
        <v>1</v>
      </c>
      <c r="B49" s="1" t="s">
        <v>4</v>
      </c>
      <c r="C49" s="1" t="s">
        <v>59</v>
      </c>
      <c r="D49" s="7">
        <v>12295542</v>
      </c>
      <c r="E49" s="1" t="s">
        <v>10</v>
      </c>
      <c r="F49" s="10">
        <f>_xlfn.IFNA(INDEX('LMTD OSA | 3GB'!A:C,MATCH(DATA!D49,'LMTD OSA | 3GB'!A:A,0),2),0)</f>
        <v>0</v>
      </c>
      <c r="G49" s="10">
        <f>INDEX('LMTD OSA | 3GB'!A:C,MATCH(DATA!D49,'LMTD OSA | 3GB'!A:A,0),3)</f>
        <v>34616800</v>
      </c>
      <c r="H49" s="11">
        <f>INDEX('MTD OSA | 3GB'!B:D,MATCH(DATA!D49,'MTD OSA | 3GB'!B:B,0),2)</f>
        <v>11</v>
      </c>
      <c r="I49" s="12" t="str">
        <f>INDEX('MTD OSA | 3GB'!B:D,MATCH(DATA!D49,'MTD OSA | 3GB'!B:B,0),3)</f>
        <v xml:space="preserve"> -   </v>
      </c>
      <c r="J49" s="12">
        <f>INDEX(BIO!A:E,MATCH(DATA!D49,BIO!A:A,0),3)</f>
        <v>1</v>
      </c>
      <c r="K49" s="14">
        <f>INDEX(BIO!A:E,MATCH(DATA!D49,BIO!A:A,0),2)</f>
        <v>2</v>
      </c>
      <c r="L49" s="15">
        <f t="shared" si="0"/>
        <v>1</v>
      </c>
      <c r="M49" s="14">
        <f>INDEX('JULY VISIT'!A:B,MATCH(DATA!D49,'JULY VISIT'!A:A,0),2)</f>
        <v>3</v>
      </c>
    </row>
    <row r="50" spans="1:13">
      <c r="A50" s="1" t="s">
        <v>1</v>
      </c>
      <c r="B50" s="1" t="s">
        <v>4</v>
      </c>
      <c r="C50" s="1" t="s">
        <v>60</v>
      </c>
      <c r="D50" s="7">
        <v>12295717</v>
      </c>
      <c r="E50" s="1" t="s">
        <v>10</v>
      </c>
      <c r="F50" s="10">
        <f>_xlfn.IFNA(INDEX('LMTD OSA | 3GB'!A:C,MATCH(DATA!D50,'LMTD OSA | 3GB'!A:A,0),2),0)</f>
        <v>5</v>
      </c>
      <c r="G50" s="10">
        <f>INDEX('LMTD OSA | 3GB'!A:C,MATCH(DATA!D50,'LMTD OSA | 3GB'!A:A,0),3)</f>
        <v>100000</v>
      </c>
      <c r="H50" s="11">
        <f>INDEX('MTD OSA | 3GB'!B:D,MATCH(DATA!D50,'MTD OSA | 3GB'!B:B,0),2)</f>
        <v>3</v>
      </c>
      <c r="I50" s="12">
        <f>INDEX('MTD OSA | 3GB'!B:D,MATCH(DATA!D50,'MTD OSA | 3GB'!B:B,0),3)</f>
        <v>50000</v>
      </c>
      <c r="J50" s="12">
        <f>INDEX(BIO!A:E,MATCH(DATA!D50,BIO!A:A,0),3)</f>
        <v>1</v>
      </c>
      <c r="K50" s="14">
        <f>INDEX(BIO!A:E,MATCH(DATA!D50,BIO!A:A,0),2)</f>
        <v>1</v>
      </c>
      <c r="L50" s="15">
        <f t="shared" si="0"/>
        <v>0</v>
      </c>
      <c r="M50" s="14">
        <f>INDEX('JULY VISIT'!A:B,MATCH(DATA!D50,'JULY VISIT'!A:A,0),2)</f>
        <v>0</v>
      </c>
    </row>
    <row r="51" spans="1:13">
      <c r="A51" s="1" t="s">
        <v>1</v>
      </c>
      <c r="B51" s="1" t="s">
        <v>4</v>
      </c>
      <c r="C51" s="1" t="s">
        <v>61</v>
      </c>
      <c r="D51" s="7">
        <v>12295887</v>
      </c>
      <c r="E51" s="1" t="s">
        <v>10</v>
      </c>
      <c r="F51" s="10">
        <f>_xlfn.IFNA(INDEX('LMTD OSA | 3GB'!A:C,MATCH(DATA!D51,'LMTD OSA | 3GB'!A:A,0),2),0)</f>
        <v>0</v>
      </c>
      <c r="G51" s="10">
        <f>INDEX('LMTD OSA | 3GB'!A:C,MATCH(DATA!D51,'LMTD OSA | 3GB'!A:A,0),3)</f>
        <v>0</v>
      </c>
      <c r="H51" s="11">
        <f>INDEX('MTD OSA | 3GB'!B:D,MATCH(DATA!D51,'MTD OSA | 3GB'!B:B,0),2)</f>
        <v>2</v>
      </c>
      <c r="I51" s="12">
        <f>INDEX('MTD OSA | 3GB'!B:D,MATCH(DATA!D51,'MTD OSA | 3GB'!B:B,0),3)</f>
        <v>7000</v>
      </c>
      <c r="J51" s="12">
        <f>INDEX(BIO!A:E,MATCH(DATA!D51,BIO!A:A,0),3)</f>
        <v>0</v>
      </c>
      <c r="K51" s="14">
        <f>INDEX(BIO!A:E,MATCH(DATA!D51,BIO!A:A,0),2)</f>
        <v>0</v>
      </c>
      <c r="L51" s="15">
        <f t="shared" si="0"/>
        <v>0</v>
      </c>
      <c r="M51" s="14">
        <f>INDEX('JULY VISIT'!A:B,MATCH(DATA!D51,'JULY VISIT'!A:A,0),2)</f>
        <v>0</v>
      </c>
    </row>
    <row r="52" spans="1:13">
      <c r="A52" s="1" t="s">
        <v>1</v>
      </c>
      <c r="B52" s="1" t="s">
        <v>4</v>
      </c>
      <c r="C52" s="1" t="s">
        <v>62</v>
      </c>
      <c r="D52" s="7">
        <v>12312295</v>
      </c>
      <c r="E52" s="1" t="s">
        <v>10</v>
      </c>
      <c r="F52" s="10">
        <f>_xlfn.IFNA(INDEX('LMTD OSA | 3GB'!A:C,MATCH(DATA!D52,'LMTD OSA | 3GB'!A:A,0),2),0)</f>
        <v>0</v>
      </c>
      <c r="G52" s="10">
        <f>INDEX('LMTD OSA | 3GB'!A:C,MATCH(DATA!D52,'LMTD OSA | 3GB'!A:A,0),3)</f>
        <v>10523500</v>
      </c>
      <c r="H52" s="11">
        <f>INDEX('MTD OSA | 3GB'!B:D,MATCH(DATA!D52,'MTD OSA | 3GB'!B:B,0),2)</f>
        <v>3</v>
      </c>
      <c r="I52" s="12" t="str">
        <f>INDEX('MTD OSA | 3GB'!B:D,MATCH(DATA!D52,'MTD OSA | 3GB'!B:B,0),3)</f>
        <v xml:space="preserve"> -   </v>
      </c>
      <c r="J52" s="12">
        <f>INDEX(BIO!A:E,MATCH(DATA!D52,BIO!A:A,0),3)</f>
        <v>2</v>
      </c>
      <c r="K52" s="14">
        <f>INDEX(BIO!A:E,MATCH(DATA!D52,BIO!A:A,0),2)</f>
        <v>1</v>
      </c>
      <c r="L52" s="15">
        <f t="shared" si="0"/>
        <v>0</v>
      </c>
      <c r="M52" s="14">
        <f>INDEX('JULY VISIT'!A:B,MATCH(DATA!D52,'JULY VISIT'!A:A,0),2)</f>
        <v>0</v>
      </c>
    </row>
    <row r="53" spans="1:13">
      <c r="A53" s="1" t="s">
        <v>1</v>
      </c>
      <c r="B53" s="1" t="s">
        <v>4</v>
      </c>
      <c r="C53" s="1" t="s">
        <v>63</v>
      </c>
      <c r="D53" s="7">
        <v>12322237</v>
      </c>
      <c r="E53" s="1" t="s">
        <v>15</v>
      </c>
      <c r="F53" s="10">
        <f>_xlfn.IFNA(INDEX('LMTD OSA | 3GB'!A:C,MATCH(DATA!D53,'LMTD OSA | 3GB'!A:A,0),2),0)</f>
        <v>1</v>
      </c>
      <c r="G53" s="10">
        <f>INDEX('LMTD OSA | 3GB'!A:C,MATCH(DATA!D53,'LMTD OSA | 3GB'!A:A,0),3)</f>
        <v>0</v>
      </c>
      <c r="H53" s="11" t="str">
        <f>INDEX('MTD OSA | 3GB'!B:D,MATCH(DATA!D53,'MTD OSA | 3GB'!B:B,0),2)</f>
        <v xml:space="preserve"> -   </v>
      </c>
      <c r="I53" s="12" t="str">
        <f>INDEX('MTD OSA | 3GB'!B:D,MATCH(DATA!D53,'MTD OSA | 3GB'!B:B,0),3)</f>
        <v xml:space="preserve"> -   </v>
      </c>
      <c r="J53" s="12">
        <f>INDEX(BIO!A:E,MATCH(DATA!D53,BIO!A:A,0),3)</f>
        <v>1</v>
      </c>
      <c r="K53" s="14">
        <f>INDEX(BIO!A:E,MATCH(DATA!D53,BIO!A:A,0),2)</f>
        <v>1</v>
      </c>
      <c r="L53" s="15">
        <f t="shared" si="0"/>
        <v>0</v>
      </c>
      <c r="M53" s="14">
        <f>INDEX('JULY VISIT'!A:B,MATCH(DATA!D53,'JULY VISIT'!A:A,0),2)</f>
        <v>1</v>
      </c>
    </row>
    <row r="54" spans="1:13">
      <c r="A54" s="1" t="s">
        <v>1</v>
      </c>
      <c r="B54" s="1" t="s">
        <v>4</v>
      </c>
      <c r="C54" s="1" t="s">
        <v>64</v>
      </c>
      <c r="D54" s="7">
        <v>12322483</v>
      </c>
      <c r="E54" s="1" t="s">
        <v>15</v>
      </c>
      <c r="F54" s="10">
        <f>_xlfn.IFNA(INDEX('LMTD OSA | 3GB'!A:C,MATCH(DATA!D54,'LMTD OSA | 3GB'!A:A,0),2),0)</f>
        <v>0</v>
      </c>
      <c r="G54" s="10">
        <f>INDEX('LMTD OSA | 3GB'!A:C,MATCH(DATA!D54,'LMTD OSA | 3GB'!A:A,0),3)</f>
        <v>0</v>
      </c>
      <c r="H54" s="11">
        <f>INDEX('MTD OSA | 3GB'!B:D,MATCH(DATA!D54,'MTD OSA | 3GB'!B:B,0),2)</f>
        <v>3</v>
      </c>
      <c r="I54" s="12">
        <f>INDEX('MTD OSA | 3GB'!B:D,MATCH(DATA!D54,'MTD OSA | 3GB'!B:B,0),3)</f>
        <v>1000</v>
      </c>
      <c r="J54" s="12">
        <f>INDEX(BIO!A:E,MATCH(DATA!D54,BIO!A:A,0),3)</f>
        <v>0</v>
      </c>
      <c r="K54" s="14">
        <f>INDEX(BIO!A:E,MATCH(DATA!D54,BIO!A:A,0),2)</f>
        <v>0</v>
      </c>
      <c r="L54" s="15">
        <f t="shared" si="0"/>
        <v>0</v>
      </c>
      <c r="M54" s="14">
        <f>INDEX('JULY VISIT'!A:B,MATCH(DATA!D54,'JULY VISIT'!A:A,0),2)</f>
        <v>0</v>
      </c>
    </row>
    <row r="55" spans="1:13">
      <c r="A55" s="1" t="s">
        <v>1</v>
      </c>
      <c r="B55" s="1" t="s">
        <v>4</v>
      </c>
      <c r="C55" s="1" t="s">
        <v>65</v>
      </c>
      <c r="D55" s="7">
        <v>12323463</v>
      </c>
      <c r="E55" s="1" t="s">
        <v>10</v>
      </c>
      <c r="F55" s="10">
        <f>_xlfn.IFNA(INDEX('LMTD OSA | 3GB'!A:C,MATCH(DATA!D55,'LMTD OSA | 3GB'!A:A,0),2),0)</f>
        <v>102</v>
      </c>
      <c r="G55" s="10">
        <f>INDEX('LMTD OSA | 3GB'!A:C,MATCH(DATA!D55,'LMTD OSA | 3GB'!A:A,0),3)</f>
        <v>17855500</v>
      </c>
      <c r="H55" s="11">
        <f>INDEX('MTD OSA | 3GB'!B:D,MATCH(DATA!D55,'MTD OSA | 3GB'!B:B,0),2)</f>
        <v>40</v>
      </c>
      <c r="I55" s="12">
        <f>INDEX('MTD OSA | 3GB'!B:D,MATCH(DATA!D55,'MTD OSA | 3GB'!B:B,0),3)</f>
        <v>1175000</v>
      </c>
      <c r="J55" s="12">
        <f>INDEX(BIO!A:E,MATCH(DATA!D55,BIO!A:A,0),3)</f>
        <v>18</v>
      </c>
      <c r="K55" s="14">
        <f>INDEX(BIO!A:E,MATCH(DATA!D55,BIO!A:A,0),2)</f>
        <v>91</v>
      </c>
      <c r="L55" s="15">
        <f t="shared" si="0"/>
        <v>73</v>
      </c>
      <c r="M55" s="14">
        <f>INDEX('JULY VISIT'!A:B,MATCH(DATA!D55,'JULY VISIT'!A:A,0),2)</f>
        <v>2</v>
      </c>
    </row>
    <row r="56" spans="1:13">
      <c r="A56" s="1" t="s">
        <v>1</v>
      </c>
      <c r="B56" s="1" t="s">
        <v>4</v>
      </c>
      <c r="C56" s="1" t="s">
        <v>66</v>
      </c>
      <c r="D56" s="7">
        <v>12325263</v>
      </c>
      <c r="E56" s="1" t="s">
        <v>10</v>
      </c>
      <c r="F56" s="10">
        <f>_xlfn.IFNA(INDEX('LMTD OSA | 3GB'!A:C,MATCH(DATA!D56,'LMTD OSA | 3GB'!A:A,0),2),0)</f>
        <v>0</v>
      </c>
      <c r="G56" s="10">
        <f>INDEX('LMTD OSA | 3GB'!A:C,MATCH(DATA!D56,'LMTD OSA | 3GB'!A:A,0),3)</f>
        <v>0</v>
      </c>
      <c r="H56" s="11">
        <f>INDEX('MTD OSA | 3GB'!B:D,MATCH(DATA!D56,'MTD OSA | 3GB'!B:B,0),2)</f>
        <v>3</v>
      </c>
      <c r="I56" s="12">
        <f>INDEX('MTD OSA | 3GB'!B:D,MATCH(DATA!D56,'MTD OSA | 3GB'!B:B,0),3)</f>
        <v>7000</v>
      </c>
      <c r="J56" s="12">
        <f>INDEX(BIO!A:E,MATCH(DATA!D56,BIO!A:A,0),3)</f>
        <v>0</v>
      </c>
      <c r="K56" s="14">
        <f>INDEX(BIO!A:E,MATCH(DATA!D56,BIO!A:A,0),2)</f>
        <v>0</v>
      </c>
      <c r="L56" s="15">
        <f t="shared" si="0"/>
        <v>0</v>
      </c>
      <c r="M56" s="14">
        <f>INDEX('JULY VISIT'!A:B,MATCH(DATA!D56,'JULY VISIT'!A:A,0),2)</f>
        <v>0</v>
      </c>
    </row>
    <row r="57" spans="1:13">
      <c r="A57" s="1" t="s">
        <v>1</v>
      </c>
      <c r="B57" s="1" t="s">
        <v>4</v>
      </c>
      <c r="C57" s="1" t="s">
        <v>67</v>
      </c>
      <c r="D57" s="7">
        <v>126951</v>
      </c>
      <c r="E57" s="1" t="s">
        <v>10</v>
      </c>
      <c r="F57" s="10">
        <f>_xlfn.IFNA(INDEX('LMTD OSA | 3GB'!A:C,MATCH(DATA!D57,'LMTD OSA | 3GB'!A:A,0),2),0)</f>
        <v>3</v>
      </c>
      <c r="G57" s="10">
        <f>INDEX('LMTD OSA | 3GB'!A:C,MATCH(DATA!D57,'LMTD OSA | 3GB'!A:A,0),3)</f>
        <v>6000000</v>
      </c>
      <c r="H57" s="11" t="str">
        <f>INDEX('MTD OSA | 3GB'!B:D,MATCH(DATA!D57,'MTD OSA | 3GB'!B:B,0),2)</f>
        <v xml:space="preserve"> -   </v>
      </c>
      <c r="I57" s="12">
        <f>INDEX('MTD OSA | 3GB'!B:D,MATCH(DATA!D57,'MTD OSA | 3GB'!B:B,0),3)</f>
        <v>2000000</v>
      </c>
      <c r="J57" s="12">
        <f>INDEX(BIO!A:E,MATCH(DATA!D57,BIO!A:A,0),3)</f>
        <v>2</v>
      </c>
      <c r="K57" s="14">
        <f>INDEX(BIO!A:E,MATCH(DATA!D57,BIO!A:A,0),2)</f>
        <v>3</v>
      </c>
      <c r="L57" s="15">
        <f t="shared" si="0"/>
        <v>1</v>
      </c>
      <c r="M57" s="14">
        <f>INDEX('JULY VISIT'!A:B,MATCH(DATA!D57,'JULY VISIT'!A:A,0),2)</f>
        <v>2</v>
      </c>
    </row>
    <row r="58" spans="1:13">
      <c r="A58" s="1" t="s">
        <v>1</v>
      </c>
      <c r="B58" s="1" t="s">
        <v>4</v>
      </c>
      <c r="C58" s="1" t="s">
        <v>68</v>
      </c>
      <c r="D58" s="7">
        <v>126952</v>
      </c>
      <c r="E58" s="1" t="s">
        <v>15</v>
      </c>
      <c r="F58" s="10">
        <f>_xlfn.IFNA(INDEX('LMTD OSA | 3GB'!A:C,MATCH(DATA!D58,'LMTD OSA | 3GB'!A:A,0),2),0)</f>
        <v>0</v>
      </c>
      <c r="G58" s="10" t="e">
        <f>INDEX('LMTD OSA | 3GB'!A:C,MATCH(DATA!D58,'LMTD OSA | 3GB'!A:A,0),3)</f>
        <v>#N/A</v>
      </c>
      <c r="H58" s="11">
        <f>INDEX('MTD OSA | 3GB'!B:D,MATCH(DATA!D58,'MTD OSA | 3GB'!B:B,0),2)</f>
        <v>3</v>
      </c>
      <c r="I58" s="12">
        <f>INDEX('MTD OSA | 3GB'!B:D,MATCH(DATA!D58,'MTD OSA | 3GB'!B:B,0),3)</f>
        <v>7000</v>
      </c>
      <c r="J58" s="12">
        <f>INDEX(BIO!A:E,MATCH(DATA!D58,BIO!A:A,0),3)</f>
        <v>0</v>
      </c>
      <c r="K58" s="14">
        <f>INDEX(BIO!A:E,MATCH(DATA!D58,BIO!A:A,0),2)</f>
        <v>0</v>
      </c>
      <c r="L58" s="15">
        <f t="shared" si="0"/>
        <v>0</v>
      </c>
      <c r="M58" s="14">
        <f>INDEX('JULY VISIT'!A:B,MATCH(DATA!D58,'JULY VISIT'!A:A,0),2)</f>
        <v>0</v>
      </c>
    </row>
    <row r="59" spans="1:13">
      <c r="A59" s="1" t="s">
        <v>1</v>
      </c>
      <c r="B59" s="1" t="s">
        <v>4</v>
      </c>
      <c r="C59" s="1" t="s">
        <v>69</v>
      </c>
      <c r="D59" s="7">
        <v>195514</v>
      </c>
      <c r="E59" s="1" t="s">
        <v>10</v>
      </c>
      <c r="F59" s="10">
        <f>_xlfn.IFNA(INDEX('LMTD OSA | 3GB'!A:C,MATCH(DATA!D59,'LMTD OSA | 3GB'!A:A,0),2),0)</f>
        <v>3</v>
      </c>
      <c r="G59" s="10">
        <f>INDEX('LMTD OSA | 3GB'!A:C,MATCH(DATA!D59,'LMTD OSA | 3GB'!A:A,0),3)</f>
        <v>200000</v>
      </c>
      <c r="H59" s="11" t="str">
        <f>INDEX('MTD OSA | 3GB'!B:D,MATCH(DATA!D59,'MTD OSA | 3GB'!B:B,0),2)</f>
        <v xml:space="preserve"> -   </v>
      </c>
      <c r="I59" s="12">
        <f>INDEX('MTD OSA | 3GB'!B:D,MATCH(DATA!D59,'MTD OSA | 3GB'!B:B,0),3)</f>
        <v>50000</v>
      </c>
      <c r="J59" s="12">
        <f>INDEX(BIO!A:E,MATCH(DATA!D59,BIO!A:A,0),3)</f>
        <v>1</v>
      </c>
      <c r="K59" s="14">
        <f>INDEX(BIO!A:E,MATCH(DATA!D59,BIO!A:A,0),2)</f>
        <v>0</v>
      </c>
      <c r="L59" s="15">
        <f t="shared" si="0"/>
        <v>0</v>
      </c>
      <c r="M59" s="14">
        <f>INDEX('JULY VISIT'!A:B,MATCH(DATA!D59,'JULY VISIT'!A:A,0),2)</f>
        <v>0</v>
      </c>
    </row>
    <row r="60" spans="1:13">
      <c r="A60" s="1" t="s">
        <v>1</v>
      </c>
      <c r="B60" s="1" t="s">
        <v>4</v>
      </c>
      <c r="C60" s="1" t="s">
        <v>70</v>
      </c>
      <c r="D60" s="7">
        <v>199007</v>
      </c>
      <c r="E60" s="1" t="s">
        <v>15</v>
      </c>
      <c r="F60" s="10">
        <f>_xlfn.IFNA(INDEX('LMTD OSA | 3GB'!A:C,MATCH(DATA!D60,'LMTD OSA | 3GB'!A:A,0),2),0)</f>
        <v>0</v>
      </c>
      <c r="G60" s="10">
        <f>INDEX('LMTD OSA | 3GB'!A:C,MATCH(DATA!D60,'LMTD OSA | 3GB'!A:A,0),3)</f>
        <v>0</v>
      </c>
      <c r="H60" s="11" t="str">
        <f>INDEX('MTD OSA | 3GB'!B:D,MATCH(DATA!D60,'MTD OSA | 3GB'!B:B,0),2)</f>
        <v xml:space="preserve"> -   </v>
      </c>
      <c r="I60" s="12" t="str">
        <f>INDEX('MTD OSA | 3GB'!B:D,MATCH(DATA!D60,'MTD OSA | 3GB'!B:B,0),3)</f>
        <v xml:space="preserve"> -   </v>
      </c>
      <c r="J60" s="12">
        <f>INDEX(BIO!A:E,MATCH(DATA!D60,BIO!A:A,0),3)</f>
        <v>0</v>
      </c>
      <c r="K60" s="14">
        <f>INDEX(BIO!A:E,MATCH(DATA!D60,BIO!A:A,0),2)</f>
        <v>0</v>
      </c>
      <c r="L60" s="15">
        <f t="shared" si="0"/>
        <v>0</v>
      </c>
      <c r="M60" s="14">
        <f>INDEX('JULY VISIT'!A:B,MATCH(DATA!D60,'JULY VISIT'!A:A,0),2)</f>
        <v>0</v>
      </c>
    </row>
    <row r="61" spans="1:13">
      <c r="A61" s="1" t="s">
        <v>1</v>
      </c>
      <c r="B61" s="1" t="s">
        <v>4</v>
      </c>
      <c r="C61" s="1" t="s">
        <v>71</v>
      </c>
      <c r="D61" s="7">
        <v>199010</v>
      </c>
      <c r="E61" s="1" t="s">
        <v>10</v>
      </c>
      <c r="F61" s="10">
        <f>_xlfn.IFNA(INDEX('LMTD OSA | 3GB'!A:C,MATCH(DATA!D61,'LMTD OSA | 3GB'!A:A,0),2),0)</f>
        <v>3</v>
      </c>
      <c r="G61" s="10">
        <f>INDEX('LMTD OSA | 3GB'!A:C,MATCH(DATA!D61,'LMTD OSA | 3GB'!A:A,0),3)</f>
        <v>5050000</v>
      </c>
      <c r="H61" s="11" t="str">
        <f>INDEX('MTD OSA | 3GB'!B:D,MATCH(DATA!D61,'MTD OSA | 3GB'!B:B,0),2)</f>
        <v xml:space="preserve"> -   </v>
      </c>
      <c r="I61" s="12">
        <f>INDEX('MTD OSA | 3GB'!B:D,MATCH(DATA!D61,'MTD OSA | 3GB'!B:B,0),3)</f>
        <v>1050000</v>
      </c>
      <c r="J61" s="12">
        <f>INDEX(BIO!A:E,MATCH(DATA!D61,BIO!A:A,0),3)</f>
        <v>1</v>
      </c>
      <c r="K61" s="14">
        <f>INDEX(BIO!A:E,MATCH(DATA!D61,BIO!A:A,0),2)</f>
        <v>1</v>
      </c>
      <c r="L61" s="15">
        <f t="shared" si="0"/>
        <v>0</v>
      </c>
      <c r="M61" s="14">
        <f>INDEX('JULY VISIT'!A:B,MATCH(DATA!D61,'JULY VISIT'!A:A,0),2)</f>
        <v>0</v>
      </c>
    </row>
    <row r="62" spans="1:13">
      <c r="A62" s="1" t="s">
        <v>1</v>
      </c>
      <c r="B62" s="1" t="s">
        <v>4</v>
      </c>
      <c r="C62" s="1" t="s">
        <v>72</v>
      </c>
      <c r="D62" s="7">
        <v>199217</v>
      </c>
      <c r="E62" s="1" t="s">
        <v>10</v>
      </c>
      <c r="F62" s="10">
        <f>_xlfn.IFNA(INDEX('LMTD OSA | 3GB'!A:C,MATCH(DATA!D62,'LMTD OSA | 3GB'!A:A,0),2),0)</f>
        <v>3</v>
      </c>
      <c r="G62" s="10">
        <f>INDEX('LMTD OSA | 3GB'!A:C,MATCH(DATA!D62,'LMTD OSA | 3GB'!A:A,0),3)</f>
        <v>58000</v>
      </c>
      <c r="H62" s="11">
        <f>INDEX('MTD OSA | 3GB'!B:D,MATCH(DATA!D62,'MTD OSA | 3GB'!B:B,0),2)</f>
        <v>3</v>
      </c>
      <c r="I62" s="12">
        <f>INDEX('MTD OSA | 3GB'!B:D,MATCH(DATA!D62,'MTD OSA | 3GB'!B:B,0),3)</f>
        <v>57000</v>
      </c>
      <c r="J62" s="12">
        <f>INDEX(BIO!A:E,MATCH(DATA!D62,BIO!A:A,0),3)</f>
        <v>1</v>
      </c>
      <c r="K62" s="14">
        <f>INDEX(BIO!A:E,MATCH(DATA!D62,BIO!A:A,0),2)</f>
        <v>0</v>
      </c>
      <c r="L62" s="15">
        <f t="shared" si="0"/>
        <v>0</v>
      </c>
      <c r="M62" s="14">
        <f>INDEX('JULY VISIT'!A:B,MATCH(DATA!D62,'JULY VISIT'!A:A,0),2)</f>
        <v>3</v>
      </c>
    </row>
    <row r="63" spans="1:13">
      <c r="A63" s="1" t="s">
        <v>1</v>
      </c>
      <c r="B63" s="1" t="s">
        <v>4</v>
      </c>
      <c r="C63" s="1" t="s">
        <v>73</v>
      </c>
      <c r="D63" s="7">
        <v>211794</v>
      </c>
      <c r="E63" s="1" t="s">
        <v>10</v>
      </c>
      <c r="F63" s="10">
        <f>_xlfn.IFNA(INDEX('LMTD OSA | 3GB'!A:C,MATCH(DATA!D63,'LMTD OSA | 3GB'!A:A,0),2),0)</f>
        <v>3</v>
      </c>
      <c r="G63" s="10">
        <f>INDEX('LMTD OSA | 3GB'!A:C,MATCH(DATA!D63,'LMTD OSA | 3GB'!A:A,0),3)</f>
        <v>1500000</v>
      </c>
      <c r="H63" s="11" t="str">
        <f>INDEX('MTD OSA | 3GB'!B:D,MATCH(DATA!D63,'MTD OSA | 3GB'!B:B,0),2)</f>
        <v xml:space="preserve"> -   </v>
      </c>
      <c r="I63" s="12">
        <f>INDEX('MTD OSA | 3GB'!B:D,MATCH(DATA!D63,'MTD OSA | 3GB'!B:B,0),3)</f>
        <v>700000</v>
      </c>
      <c r="J63" s="12">
        <f>INDEX(BIO!A:E,MATCH(DATA!D63,BIO!A:A,0),3)</f>
        <v>1</v>
      </c>
      <c r="K63" s="14">
        <f>INDEX(BIO!A:E,MATCH(DATA!D63,BIO!A:A,0),2)</f>
        <v>2</v>
      </c>
      <c r="L63" s="15">
        <f t="shared" si="0"/>
        <v>1</v>
      </c>
      <c r="M63" s="14">
        <f>INDEX('JULY VISIT'!A:B,MATCH(DATA!D63,'JULY VISIT'!A:A,0),2)</f>
        <v>0</v>
      </c>
    </row>
    <row r="64" spans="1:13">
      <c r="A64" s="1" t="s">
        <v>1</v>
      </c>
      <c r="B64" s="1" t="s">
        <v>4</v>
      </c>
      <c r="C64" s="1" t="s">
        <v>74</v>
      </c>
      <c r="D64" s="7">
        <v>222816</v>
      </c>
      <c r="E64" s="1" t="s">
        <v>10</v>
      </c>
      <c r="F64" s="10">
        <f>_xlfn.IFNA(INDEX('LMTD OSA | 3GB'!A:C,MATCH(DATA!D64,'LMTD OSA | 3GB'!A:A,0),2),0)</f>
        <v>3</v>
      </c>
      <c r="G64" s="10">
        <f>INDEX('LMTD OSA | 3GB'!A:C,MATCH(DATA!D64,'LMTD OSA | 3GB'!A:A,0),3)</f>
        <v>8800000</v>
      </c>
      <c r="H64" s="11" t="str">
        <f>INDEX('MTD OSA | 3GB'!B:D,MATCH(DATA!D64,'MTD OSA | 3GB'!B:B,0),2)</f>
        <v xml:space="preserve"> -   </v>
      </c>
      <c r="I64" s="12">
        <f>INDEX('MTD OSA | 3GB'!B:D,MATCH(DATA!D64,'MTD OSA | 3GB'!B:B,0),3)</f>
        <v>6500000</v>
      </c>
      <c r="J64" s="12">
        <f>INDEX(BIO!A:E,MATCH(DATA!D64,BIO!A:A,0),3)</f>
        <v>1</v>
      </c>
      <c r="K64" s="14">
        <f>INDEX(BIO!A:E,MATCH(DATA!D64,BIO!A:A,0),2)</f>
        <v>1</v>
      </c>
      <c r="L64" s="15">
        <f t="shared" si="0"/>
        <v>0</v>
      </c>
      <c r="M64" s="14">
        <f>INDEX('JULY VISIT'!A:B,MATCH(DATA!D64,'JULY VISIT'!A:A,0),2)</f>
        <v>3</v>
      </c>
    </row>
    <row r="65" spans="1:13">
      <c r="A65" s="1" t="s">
        <v>1</v>
      </c>
      <c r="B65" s="1" t="s">
        <v>4</v>
      </c>
      <c r="C65" s="1" t="s">
        <v>75</v>
      </c>
      <c r="D65" s="7">
        <v>228872</v>
      </c>
      <c r="E65" s="1" t="s">
        <v>10</v>
      </c>
      <c r="F65" s="10">
        <f>_xlfn.IFNA(INDEX('LMTD OSA | 3GB'!A:C,MATCH(DATA!D65,'LMTD OSA | 3GB'!A:A,0),2),0)</f>
        <v>8</v>
      </c>
      <c r="G65" s="10">
        <f>INDEX('LMTD OSA | 3GB'!A:C,MATCH(DATA!D65,'LMTD OSA | 3GB'!A:A,0),3)</f>
        <v>4000000</v>
      </c>
      <c r="H65" s="11">
        <f>INDEX('MTD OSA | 3GB'!B:D,MATCH(DATA!D65,'MTD OSA | 3GB'!B:B,0),2)</f>
        <v>3</v>
      </c>
      <c r="I65" s="12">
        <f>INDEX('MTD OSA | 3GB'!B:D,MATCH(DATA!D65,'MTD OSA | 3GB'!B:B,0),3)</f>
        <v>3500000</v>
      </c>
      <c r="J65" s="12">
        <f>INDEX(BIO!A:E,MATCH(DATA!D65,BIO!A:A,0),3)</f>
        <v>1</v>
      </c>
      <c r="K65" s="14">
        <f>INDEX(BIO!A:E,MATCH(DATA!D65,BIO!A:A,0),2)</f>
        <v>0</v>
      </c>
      <c r="L65" s="15">
        <f t="shared" si="0"/>
        <v>0</v>
      </c>
      <c r="M65" s="14">
        <f>INDEX('JULY VISIT'!A:B,MATCH(DATA!D65,'JULY VISIT'!A:A,0),2)</f>
        <v>0</v>
      </c>
    </row>
    <row r="66" spans="1:13">
      <c r="A66" s="1" t="s">
        <v>1</v>
      </c>
      <c r="B66" s="1" t="s">
        <v>4</v>
      </c>
      <c r="C66" s="1" t="s">
        <v>76</v>
      </c>
      <c r="D66" s="7">
        <v>229765</v>
      </c>
      <c r="E66" s="1" t="s">
        <v>10</v>
      </c>
      <c r="F66" s="10">
        <f>_xlfn.IFNA(INDEX('LMTD OSA | 3GB'!A:C,MATCH(DATA!D66,'LMTD OSA | 3GB'!A:A,0),2),0)</f>
        <v>3</v>
      </c>
      <c r="G66" s="10">
        <f>INDEX('LMTD OSA | 3GB'!A:C,MATCH(DATA!D66,'LMTD OSA | 3GB'!A:A,0),3)</f>
        <v>22000000</v>
      </c>
      <c r="H66" s="11">
        <f>INDEX('MTD OSA | 3GB'!B:D,MATCH(DATA!D66,'MTD OSA | 3GB'!B:B,0),2)</f>
        <v>12</v>
      </c>
      <c r="I66" s="12">
        <f>INDEX('MTD OSA | 3GB'!B:D,MATCH(DATA!D66,'MTD OSA | 3GB'!B:B,0),3)</f>
        <v>16000000</v>
      </c>
      <c r="J66" s="12">
        <f>INDEX(BIO!A:E,MATCH(DATA!D66,BIO!A:A,0),3)</f>
        <v>4</v>
      </c>
      <c r="K66" s="14">
        <f>INDEX(BIO!A:E,MATCH(DATA!D66,BIO!A:A,0),2)</f>
        <v>21</v>
      </c>
      <c r="L66" s="15">
        <f t="shared" si="0"/>
        <v>17</v>
      </c>
      <c r="M66" s="14">
        <f>INDEX('JULY VISIT'!A:B,MATCH(DATA!D66,'JULY VISIT'!A:A,0),2)</f>
        <v>3</v>
      </c>
    </row>
    <row r="67" spans="1:13">
      <c r="A67" s="1" t="s">
        <v>1</v>
      </c>
      <c r="B67" s="1" t="s">
        <v>4</v>
      </c>
      <c r="C67" s="1" t="s">
        <v>77</v>
      </c>
      <c r="D67" s="7">
        <v>231278</v>
      </c>
      <c r="E67" s="1" t="s">
        <v>10</v>
      </c>
      <c r="F67" s="10">
        <f>_xlfn.IFNA(INDEX('LMTD OSA | 3GB'!A:C,MATCH(DATA!D67,'LMTD OSA | 3GB'!A:A,0),2),0)</f>
        <v>0</v>
      </c>
      <c r="G67" s="10">
        <f>INDEX('LMTD OSA | 3GB'!A:C,MATCH(DATA!D67,'LMTD OSA | 3GB'!A:A,0),3)</f>
        <v>0</v>
      </c>
      <c r="H67" s="11" t="str">
        <f>INDEX('MTD OSA | 3GB'!B:D,MATCH(DATA!D67,'MTD OSA | 3GB'!B:B,0),2)</f>
        <v xml:space="preserve"> -   </v>
      </c>
      <c r="I67" s="12">
        <f>INDEX('MTD OSA | 3GB'!B:D,MATCH(DATA!D67,'MTD OSA | 3GB'!B:B,0),3)</f>
        <v>500000</v>
      </c>
      <c r="J67" s="12">
        <f>INDEX(BIO!A:E,MATCH(DATA!D67,BIO!A:A,0),3)</f>
        <v>1</v>
      </c>
      <c r="K67" s="14">
        <f>INDEX(BIO!A:E,MATCH(DATA!D67,BIO!A:A,0),2)</f>
        <v>0</v>
      </c>
      <c r="L67" s="15">
        <f t="shared" ref="L67:L130" si="1">IF(K67-J67&lt;=0,0,K67-J67)</f>
        <v>0</v>
      </c>
      <c r="M67" s="14">
        <f>INDEX('JULY VISIT'!A:B,MATCH(DATA!D67,'JULY VISIT'!A:A,0),2)</f>
        <v>0</v>
      </c>
    </row>
    <row r="68" spans="1:13">
      <c r="A68" s="1" t="s">
        <v>1</v>
      </c>
      <c r="B68" s="1" t="s">
        <v>4</v>
      </c>
      <c r="C68" s="1" t="s">
        <v>78</v>
      </c>
      <c r="D68" s="7">
        <v>246732</v>
      </c>
      <c r="E68" s="1" t="s">
        <v>10</v>
      </c>
      <c r="F68" s="10">
        <f>_xlfn.IFNA(INDEX('LMTD OSA | 3GB'!A:C,MATCH(DATA!D68,'LMTD OSA | 3GB'!A:A,0),2),0)</f>
        <v>3</v>
      </c>
      <c r="G68" s="10">
        <f>INDEX('LMTD OSA | 3GB'!A:C,MATCH(DATA!D68,'LMTD OSA | 3GB'!A:A,0),3)</f>
        <v>150000</v>
      </c>
      <c r="H68" s="11" t="str">
        <f>INDEX('MTD OSA | 3GB'!B:D,MATCH(DATA!D68,'MTD OSA | 3GB'!B:B,0),2)</f>
        <v xml:space="preserve"> -   </v>
      </c>
      <c r="I68" s="12">
        <f>INDEX('MTD OSA | 3GB'!B:D,MATCH(DATA!D68,'MTD OSA | 3GB'!B:B,0),3)</f>
        <v>200000</v>
      </c>
      <c r="J68" s="12">
        <f>INDEX(BIO!A:E,MATCH(DATA!D68,BIO!A:A,0),3)</f>
        <v>1</v>
      </c>
      <c r="K68" s="14">
        <f>INDEX(BIO!A:E,MATCH(DATA!D68,BIO!A:A,0),2)</f>
        <v>0</v>
      </c>
      <c r="L68" s="15">
        <f t="shared" si="1"/>
        <v>0</v>
      </c>
      <c r="M68" s="14">
        <f>INDEX('JULY VISIT'!A:B,MATCH(DATA!D68,'JULY VISIT'!A:A,0),2)</f>
        <v>0</v>
      </c>
    </row>
    <row r="69" spans="1:13">
      <c r="A69" s="1" t="s">
        <v>1</v>
      </c>
      <c r="B69" s="1" t="s">
        <v>4</v>
      </c>
      <c r="C69" s="1" t="s">
        <v>79</v>
      </c>
      <c r="D69" s="7">
        <v>278608</v>
      </c>
      <c r="E69" s="1" t="s">
        <v>10</v>
      </c>
      <c r="F69" s="10">
        <f>_xlfn.IFNA(INDEX('LMTD OSA | 3GB'!A:C,MATCH(DATA!D69,'LMTD OSA | 3GB'!A:A,0),2),0)</f>
        <v>11</v>
      </c>
      <c r="G69" s="10">
        <f>INDEX('LMTD OSA | 3GB'!A:C,MATCH(DATA!D69,'LMTD OSA | 3GB'!A:A,0),3)</f>
        <v>3600000</v>
      </c>
      <c r="H69" s="11">
        <f>INDEX('MTD OSA | 3GB'!B:D,MATCH(DATA!D69,'MTD OSA | 3GB'!B:B,0),2)</f>
        <v>3</v>
      </c>
      <c r="I69" s="12">
        <f>INDEX('MTD OSA | 3GB'!B:D,MATCH(DATA!D69,'MTD OSA | 3GB'!B:B,0),3)</f>
        <v>3250000</v>
      </c>
      <c r="J69" s="12">
        <f>INDEX(BIO!A:E,MATCH(DATA!D69,BIO!A:A,0),3)</f>
        <v>2</v>
      </c>
      <c r="K69" s="14">
        <f>INDEX(BIO!A:E,MATCH(DATA!D69,BIO!A:A,0),2)</f>
        <v>4</v>
      </c>
      <c r="L69" s="15">
        <f t="shared" si="1"/>
        <v>2</v>
      </c>
      <c r="M69" s="14">
        <f>INDEX('JULY VISIT'!A:B,MATCH(DATA!D69,'JULY VISIT'!A:A,0),2)</f>
        <v>3</v>
      </c>
    </row>
    <row r="70" spans="1:13">
      <c r="A70" s="1" t="s">
        <v>1</v>
      </c>
      <c r="B70" s="1" t="s">
        <v>4</v>
      </c>
      <c r="C70" s="1" t="s">
        <v>80</v>
      </c>
      <c r="D70" s="7">
        <v>292836</v>
      </c>
      <c r="E70" s="1" t="s">
        <v>10</v>
      </c>
      <c r="F70" s="10">
        <f>_xlfn.IFNA(INDEX('LMTD OSA | 3GB'!A:C,MATCH(DATA!D70,'LMTD OSA | 3GB'!A:A,0),2),0)</f>
        <v>0</v>
      </c>
      <c r="G70" s="10">
        <f>INDEX('LMTD OSA | 3GB'!A:C,MATCH(DATA!D70,'LMTD OSA | 3GB'!A:A,0),3)</f>
        <v>2000000</v>
      </c>
      <c r="H70" s="11" t="str">
        <f>INDEX('MTD OSA | 3GB'!B:D,MATCH(DATA!D70,'MTD OSA | 3GB'!B:B,0),2)</f>
        <v xml:space="preserve"> -   </v>
      </c>
      <c r="I70" s="12" t="str">
        <f>INDEX('MTD OSA | 3GB'!B:D,MATCH(DATA!D70,'MTD OSA | 3GB'!B:B,0),3)</f>
        <v xml:space="preserve"> -   </v>
      </c>
      <c r="J70" s="12">
        <f>INDEX(BIO!A:E,MATCH(DATA!D70,BIO!A:A,0),3)</f>
        <v>0</v>
      </c>
      <c r="K70" s="14">
        <f>INDEX(BIO!A:E,MATCH(DATA!D70,BIO!A:A,0),2)</f>
        <v>0</v>
      </c>
      <c r="L70" s="15">
        <f t="shared" si="1"/>
        <v>0</v>
      </c>
      <c r="M70" s="14">
        <f>INDEX('JULY VISIT'!A:B,MATCH(DATA!D70,'JULY VISIT'!A:A,0),2)</f>
        <v>0</v>
      </c>
    </row>
    <row r="71" spans="1:13">
      <c r="A71" s="1" t="s">
        <v>1</v>
      </c>
      <c r="B71" s="1" t="s">
        <v>4</v>
      </c>
      <c r="C71" s="1" t="s">
        <v>81</v>
      </c>
      <c r="D71" s="7">
        <v>345691</v>
      </c>
      <c r="E71" s="1" t="s">
        <v>10</v>
      </c>
      <c r="F71" s="10">
        <f>_xlfn.IFNA(INDEX('LMTD OSA | 3GB'!A:C,MATCH(DATA!D71,'LMTD OSA | 3GB'!A:A,0),2),0)</f>
        <v>3</v>
      </c>
      <c r="G71" s="10">
        <f>INDEX('LMTD OSA | 3GB'!A:C,MATCH(DATA!D71,'LMTD OSA | 3GB'!A:A,0),3)</f>
        <v>2667000</v>
      </c>
      <c r="H71" s="11">
        <f>INDEX('MTD OSA | 3GB'!B:D,MATCH(DATA!D71,'MTD OSA | 3GB'!B:B,0),2)</f>
        <v>3</v>
      </c>
      <c r="I71" s="12">
        <f>INDEX('MTD OSA | 3GB'!B:D,MATCH(DATA!D71,'MTD OSA | 3GB'!B:B,0),3)</f>
        <v>1955000</v>
      </c>
      <c r="J71" s="12">
        <f>INDEX(BIO!A:E,MATCH(DATA!D71,BIO!A:A,0),3)</f>
        <v>2</v>
      </c>
      <c r="K71" s="14">
        <f>INDEX(BIO!A:E,MATCH(DATA!D71,BIO!A:A,0),2)</f>
        <v>1</v>
      </c>
      <c r="L71" s="15">
        <f t="shared" si="1"/>
        <v>0</v>
      </c>
      <c r="M71" s="14">
        <f>INDEX('JULY VISIT'!A:B,MATCH(DATA!D71,'JULY VISIT'!A:A,0),2)</f>
        <v>0</v>
      </c>
    </row>
    <row r="72" spans="1:13">
      <c r="A72" s="1" t="s">
        <v>1</v>
      </c>
      <c r="B72" s="1" t="s">
        <v>4</v>
      </c>
      <c r="C72" s="1" t="s">
        <v>82</v>
      </c>
      <c r="D72" s="7">
        <v>366702</v>
      </c>
      <c r="E72" s="1" t="s">
        <v>10</v>
      </c>
      <c r="F72" s="10">
        <f>_xlfn.IFNA(INDEX('LMTD OSA | 3GB'!A:C,MATCH(DATA!D72,'LMTD OSA | 3GB'!A:A,0),2),0)</f>
        <v>3</v>
      </c>
      <c r="G72" s="10">
        <f>INDEX('LMTD OSA | 3GB'!A:C,MATCH(DATA!D72,'LMTD OSA | 3GB'!A:A,0),3)</f>
        <v>8175000</v>
      </c>
      <c r="H72" s="11">
        <f>INDEX('MTD OSA | 3GB'!B:D,MATCH(DATA!D72,'MTD OSA | 3GB'!B:B,0),2)</f>
        <v>2</v>
      </c>
      <c r="I72" s="12">
        <f>INDEX('MTD OSA | 3GB'!B:D,MATCH(DATA!D72,'MTD OSA | 3GB'!B:B,0),3)</f>
        <v>6450000</v>
      </c>
      <c r="J72" s="12">
        <f>INDEX(BIO!A:E,MATCH(DATA!D72,BIO!A:A,0),3)</f>
        <v>1</v>
      </c>
      <c r="K72" s="14">
        <f>INDEX(BIO!A:E,MATCH(DATA!D72,BIO!A:A,0),2)</f>
        <v>2</v>
      </c>
      <c r="L72" s="15">
        <f t="shared" si="1"/>
        <v>1</v>
      </c>
      <c r="M72" s="14">
        <f>INDEX('JULY VISIT'!A:B,MATCH(DATA!D72,'JULY VISIT'!A:A,0),2)</f>
        <v>0</v>
      </c>
    </row>
    <row r="73" spans="1:13">
      <c r="A73" s="1" t="s">
        <v>1</v>
      </c>
      <c r="B73" s="1" t="s">
        <v>4</v>
      </c>
      <c r="C73" s="1" t="s">
        <v>83</v>
      </c>
      <c r="D73" s="7">
        <v>480658</v>
      </c>
      <c r="E73" s="1" t="s">
        <v>10</v>
      </c>
      <c r="F73" s="10">
        <f>_xlfn.IFNA(INDEX('LMTD OSA | 3GB'!A:C,MATCH(DATA!D73,'LMTD OSA | 3GB'!A:A,0),2),0)</f>
        <v>6</v>
      </c>
      <c r="G73" s="10">
        <f>INDEX('LMTD OSA | 3GB'!A:C,MATCH(DATA!D73,'LMTD OSA | 3GB'!A:A,0),3)</f>
        <v>1000000</v>
      </c>
      <c r="H73" s="11">
        <f>INDEX('MTD OSA | 3GB'!B:D,MATCH(DATA!D73,'MTD OSA | 3GB'!B:B,0),2)</f>
        <v>3</v>
      </c>
      <c r="I73" s="12">
        <f>INDEX('MTD OSA | 3GB'!B:D,MATCH(DATA!D73,'MTD OSA | 3GB'!B:B,0),3)</f>
        <v>700000</v>
      </c>
      <c r="J73" s="12">
        <f>INDEX(BIO!A:E,MATCH(DATA!D73,BIO!A:A,0),3)</f>
        <v>1</v>
      </c>
      <c r="K73" s="14">
        <f>INDEX(BIO!A:E,MATCH(DATA!D73,BIO!A:A,0),2)</f>
        <v>2</v>
      </c>
      <c r="L73" s="15">
        <f t="shared" si="1"/>
        <v>1</v>
      </c>
      <c r="M73" s="14">
        <f>INDEX('JULY VISIT'!A:B,MATCH(DATA!D73,'JULY VISIT'!A:A,0),2)</f>
        <v>0</v>
      </c>
    </row>
    <row r="74" spans="1:13">
      <c r="A74" s="1" t="s">
        <v>1</v>
      </c>
      <c r="B74" s="1" t="s">
        <v>4</v>
      </c>
      <c r="C74" s="1" t="s">
        <v>84</v>
      </c>
      <c r="D74" s="7">
        <v>503354</v>
      </c>
      <c r="E74" s="1" t="s">
        <v>10</v>
      </c>
      <c r="F74" s="10">
        <f>_xlfn.IFNA(INDEX('LMTD OSA | 3GB'!A:C,MATCH(DATA!D74,'LMTD OSA | 3GB'!A:A,0),2),0)</f>
        <v>2</v>
      </c>
      <c r="G74" s="10">
        <f>INDEX('LMTD OSA | 3GB'!A:C,MATCH(DATA!D74,'LMTD OSA | 3GB'!A:A,0),3)</f>
        <v>2300000</v>
      </c>
      <c r="H74" s="11">
        <f>INDEX('MTD OSA | 3GB'!B:D,MATCH(DATA!D74,'MTD OSA | 3GB'!B:B,0),2)</f>
        <v>3</v>
      </c>
      <c r="I74" s="12">
        <f>INDEX('MTD OSA | 3GB'!B:D,MATCH(DATA!D74,'MTD OSA | 3GB'!B:B,0),3)</f>
        <v>1600000</v>
      </c>
      <c r="J74" s="12">
        <f>INDEX(BIO!A:E,MATCH(DATA!D74,BIO!A:A,0),3)</f>
        <v>1</v>
      </c>
      <c r="K74" s="14">
        <f>INDEX(BIO!A:E,MATCH(DATA!D74,BIO!A:A,0),2)</f>
        <v>0</v>
      </c>
      <c r="L74" s="15">
        <f t="shared" si="1"/>
        <v>0</v>
      </c>
      <c r="M74" s="14">
        <f>INDEX('JULY VISIT'!A:B,MATCH(DATA!D74,'JULY VISIT'!A:A,0),2)</f>
        <v>0</v>
      </c>
    </row>
    <row r="75" spans="1:13">
      <c r="A75" s="1" t="s">
        <v>1</v>
      </c>
      <c r="B75" s="1" t="s">
        <v>4</v>
      </c>
      <c r="C75" s="1" t="s">
        <v>85</v>
      </c>
      <c r="D75" s="7">
        <v>503633</v>
      </c>
      <c r="E75" s="1" t="s">
        <v>10</v>
      </c>
      <c r="F75" s="10">
        <f>_xlfn.IFNA(INDEX('LMTD OSA | 3GB'!A:C,MATCH(DATA!D75,'LMTD OSA | 3GB'!A:A,0),2),0)</f>
        <v>3</v>
      </c>
      <c r="G75" s="10">
        <f>INDEX('LMTD OSA | 3GB'!A:C,MATCH(DATA!D75,'LMTD OSA | 3GB'!A:A,0),3)</f>
        <v>350000</v>
      </c>
      <c r="H75" s="11" t="str">
        <f>INDEX('MTD OSA | 3GB'!B:D,MATCH(DATA!D75,'MTD OSA | 3GB'!B:B,0),2)</f>
        <v xml:space="preserve"> -   </v>
      </c>
      <c r="I75" s="12">
        <f>INDEX('MTD OSA | 3GB'!B:D,MATCH(DATA!D75,'MTD OSA | 3GB'!B:B,0),3)</f>
        <v>200000</v>
      </c>
      <c r="J75" s="12">
        <f>INDEX(BIO!A:E,MATCH(DATA!D75,BIO!A:A,0),3)</f>
        <v>1</v>
      </c>
      <c r="K75" s="14">
        <f>INDEX(BIO!A:E,MATCH(DATA!D75,BIO!A:A,0),2)</f>
        <v>0</v>
      </c>
      <c r="L75" s="15">
        <f t="shared" si="1"/>
        <v>0</v>
      </c>
      <c r="M75" s="14">
        <f>INDEX('JULY VISIT'!A:B,MATCH(DATA!D75,'JULY VISIT'!A:A,0),2)</f>
        <v>0</v>
      </c>
    </row>
    <row r="76" spans="1:13">
      <c r="A76" s="1" t="s">
        <v>1</v>
      </c>
      <c r="B76" s="1" t="s">
        <v>4</v>
      </c>
      <c r="C76" s="1" t="s">
        <v>86</v>
      </c>
      <c r="D76" s="7">
        <v>503866</v>
      </c>
      <c r="E76" s="1" t="s">
        <v>10</v>
      </c>
      <c r="F76" s="10">
        <f>_xlfn.IFNA(INDEX('LMTD OSA | 3GB'!A:C,MATCH(DATA!D76,'LMTD OSA | 3GB'!A:A,0),2),0)</f>
        <v>3</v>
      </c>
      <c r="G76" s="10">
        <f>INDEX('LMTD OSA | 3GB'!A:C,MATCH(DATA!D76,'LMTD OSA | 3GB'!A:A,0),3)</f>
        <v>4508000</v>
      </c>
      <c r="H76" s="11">
        <f>INDEX('MTD OSA | 3GB'!B:D,MATCH(DATA!D76,'MTD OSA | 3GB'!B:B,0),2)</f>
        <v>4</v>
      </c>
      <c r="I76" s="12">
        <f>INDEX('MTD OSA | 3GB'!B:D,MATCH(DATA!D76,'MTD OSA | 3GB'!B:B,0),3)</f>
        <v>3050000</v>
      </c>
      <c r="J76" s="12">
        <f>INDEX(BIO!A:E,MATCH(DATA!D76,BIO!A:A,0),3)</f>
        <v>1</v>
      </c>
      <c r="K76" s="14">
        <f>INDEX(BIO!A:E,MATCH(DATA!D76,BIO!A:A,0),2)</f>
        <v>2</v>
      </c>
      <c r="L76" s="15">
        <f t="shared" si="1"/>
        <v>1</v>
      </c>
      <c r="M76" s="14">
        <f>INDEX('JULY VISIT'!A:B,MATCH(DATA!D76,'JULY VISIT'!A:A,0),2)</f>
        <v>0</v>
      </c>
    </row>
    <row r="77" spans="1:13">
      <c r="A77" s="1" t="s">
        <v>1</v>
      </c>
      <c r="B77" s="1" t="s">
        <v>4</v>
      </c>
      <c r="C77" s="1" t="s">
        <v>87</v>
      </c>
      <c r="D77" s="7">
        <v>510053</v>
      </c>
      <c r="E77" s="1" t="s">
        <v>10</v>
      </c>
      <c r="F77" s="10">
        <f>_xlfn.IFNA(INDEX('LMTD OSA | 3GB'!A:C,MATCH(DATA!D77,'LMTD OSA | 3GB'!A:A,0),2),0)</f>
        <v>3</v>
      </c>
      <c r="G77" s="10">
        <f>INDEX('LMTD OSA | 3GB'!A:C,MATCH(DATA!D77,'LMTD OSA | 3GB'!A:A,0),3)</f>
        <v>500000</v>
      </c>
      <c r="H77" s="11">
        <f>INDEX('MTD OSA | 3GB'!B:D,MATCH(DATA!D77,'MTD OSA | 3GB'!B:B,0),2)</f>
        <v>1</v>
      </c>
      <c r="I77" s="12">
        <f>INDEX('MTD OSA | 3GB'!B:D,MATCH(DATA!D77,'MTD OSA | 3GB'!B:B,0),3)</f>
        <v>658000</v>
      </c>
      <c r="J77" s="12">
        <f>INDEX(BIO!A:E,MATCH(DATA!D77,BIO!A:A,0),3)</f>
        <v>1</v>
      </c>
      <c r="K77" s="14">
        <f>INDEX(BIO!A:E,MATCH(DATA!D77,BIO!A:A,0),2)</f>
        <v>0</v>
      </c>
      <c r="L77" s="15">
        <f t="shared" si="1"/>
        <v>0</v>
      </c>
      <c r="M77" s="14">
        <f>INDEX('JULY VISIT'!A:B,MATCH(DATA!D77,'JULY VISIT'!A:A,0),2)</f>
        <v>1</v>
      </c>
    </row>
    <row r="78" spans="1:13">
      <c r="A78" s="1" t="s">
        <v>1</v>
      </c>
      <c r="B78" s="1" t="s">
        <v>4</v>
      </c>
      <c r="C78" s="1" t="s">
        <v>88</v>
      </c>
      <c r="D78" s="7">
        <v>523430</v>
      </c>
      <c r="E78" s="1" t="s">
        <v>10</v>
      </c>
      <c r="F78" s="10">
        <f>_xlfn.IFNA(INDEX('LMTD OSA | 3GB'!A:C,MATCH(DATA!D78,'LMTD OSA | 3GB'!A:A,0),2),0)</f>
        <v>3</v>
      </c>
      <c r="G78" s="10">
        <f>INDEX('LMTD OSA | 3GB'!A:C,MATCH(DATA!D78,'LMTD OSA | 3GB'!A:A,0),3)</f>
        <v>9670000</v>
      </c>
      <c r="H78" s="11" t="str">
        <f>INDEX('MTD OSA | 3GB'!B:D,MATCH(DATA!D78,'MTD OSA | 3GB'!B:B,0),2)</f>
        <v xml:space="preserve"> -   </v>
      </c>
      <c r="I78" s="12">
        <f>INDEX('MTD OSA | 3GB'!B:D,MATCH(DATA!D78,'MTD OSA | 3GB'!B:B,0),3)</f>
        <v>7520000</v>
      </c>
      <c r="J78" s="12">
        <f>INDEX(BIO!A:E,MATCH(DATA!D78,BIO!A:A,0),3)</f>
        <v>2</v>
      </c>
      <c r="K78" s="14">
        <f>INDEX(BIO!A:E,MATCH(DATA!D78,BIO!A:A,0),2)</f>
        <v>0</v>
      </c>
      <c r="L78" s="15">
        <f t="shared" si="1"/>
        <v>0</v>
      </c>
      <c r="M78" s="14">
        <f>INDEX('JULY VISIT'!A:B,MATCH(DATA!D78,'JULY VISIT'!A:A,0),2)</f>
        <v>2</v>
      </c>
    </row>
    <row r="79" spans="1:13">
      <c r="A79" s="1" t="s">
        <v>1</v>
      </c>
      <c r="B79" s="1" t="s">
        <v>4</v>
      </c>
      <c r="C79" s="1" t="s">
        <v>89</v>
      </c>
      <c r="D79" s="7">
        <v>529090</v>
      </c>
      <c r="E79" s="1" t="s">
        <v>15</v>
      </c>
      <c r="F79" s="10">
        <f>_xlfn.IFNA(INDEX('LMTD OSA | 3GB'!A:C,MATCH(DATA!D79,'LMTD OSA | 3GB'!A:A,0),2),0)</f>
        <v>0</v>
      </c>
      <c r="G79" s="10">
        <f>INDEX('LMTD OSA | 3GB'!A:C,MATCH(DATA!D79,'LMTD OSA | 3GB'!A:A,0),3)</f>
        <v>0</v>
      </c>
      <c r="H79" s="11">
        <f>INDEX('MTD OSA | 3GB'!B:D,MATCH(DATA!D79,'MTD OSA | 3GB'!B:B,0),2)</f>
        <v>3</v>
      </c>
      <c r="I79" s="12" t="str">
        <f>INDEX('MTD OSA | 3GB'!B:D,MATCH(DATA!D79,'MTD OSA | 3GB'!B:B,0),3)</f>
        <v xml:space="preserve"> -   </v>
      </c>
      <c r="J79" s="12">
        <f>INDEX(BIO!A:E,MATCH(DATA!D79,BIO!A:A,0),3)</f>
        <v>0</v>
      </c>
      <c r="K79" s="14">
        <f>INDEX(BIO!A:E,MATCH(DATA!D79,BIO!A:A,0),2)</f>
        <v>1</v>
      </c>
      <c r="L79" s="15">
        <f t="shared" si="1"/>
        <v>1</v>
      </c>
      <c r="M79" s="14">
        <f>INDEX('JULY VISIT'!A:B,MATCH(DATA!D79,'JULY VISIT'!A:A,0),2)</f>
        <v>0</v>
      </c>
    </row>
    <row r="80" spans="1:13">
      <c r="A80" s="1" t="s">
        <v>1</v>
      </c>
      <c r="B80" s="1" t="s">
        <v>4</v>
      </c>
      <c r="C80" s="1" t="s">
        <v>90</v>
      </c>
      <c r="D80" s="7">
        <v>529249</v>
      </c>
      <c r="E80" s="1" t="s">
        <v>15</v>
      </c>
      <c r="F80" s="10">
        <f>_xlfn.IFNA(INDEX('LMTD OSA | 3GB'!A:C,MATCH(DATA!D80,'LMTD OSA | 3GB'!A:A,0),2),0)</f>
        <v>0</v>
      </c>
      <c r="G80" s="10">
        <f>INDEX('LMTD OSA | 3GB'!A:C,MATCH(DATA!D80,'LMTD OSA | 3GB'!A:A,0),3)</f>
        <v>4735000</v>
      </c>
      <c r="H80" s="11">
        <f>INDEX('MTD OSA | 3GB'!B:D,MATCH(DATA!D80,'MTD OSA | 3GB'!B:B,0),2)</f>
        <v>3</v>
      </c>
      <c r="I80" s="12" t="str">
        <f>INDEX('MTD OSA | 3GB'!B:D,MATCH(DATA!D80,'MTD OSA | 3GB'!B:B,0),3)</f>
        <v xml:space="preserve"> -   </v>
      </c>
      <c r="J80" s="12">
        <f>INDEX(BIO!A:E,MATCH(DATA!D80,BIO!A:A,0),3)</f>
        <v>1</v>
      </c>
      <c r="K80" s="14">
        <f>INDEX(BIO!A:E,MATCH(DATA!D80,BIO!A:A,0),2)</f>
        <v>0</v>
      </c>
      <c r="L80" s="15">
        <f t="shared" si="1"/>
        <v>0</v>
      </c>
      <c r="M80" s="14">
        <f>INDEX('JULY VISIT'!A:B,MATCH(DATA!D80,'JULY VISIT'!A:A,0),2)</f>
        <v>0</v>
      </c>
    </row>
    <row r="81" spans="1:13">
      <c r="A81" s="1" t="s">
        <v>1</v>
      </c>
      <c r="B81" s="1" t="s">
        <v>4</v>
      </c>
      <c r="C81" s="1" t="s">
        <v>91</v>
      </c>
      <c r="D81" s="7">
        <v>530345</v>
      </c>
      <c r="E81" s="1" t="s">
        <v>10</v>
      </c>
      <c r="F81" s="10">
        <f>_xlfn.IFNA(INDEX('LMTD OSA | 3GB'!A:C,MATCH(DATA!D81,'LMTD OSA | 3GB'!A:A,0),2),0)</f>
        <v>0</v>
      </c>
      <c r="G81" s="10">
        <f>INDEX('LMTD OSA | 3GB'!A:C,MATCH(DATA!D81,'LMTD OSA | 3GB'!A:A,0),3)</f>
        <v>7000000</v>
      </c>
      <c r="H81" s="11">
        <f>INDEX('MTD OSA | 3GB'!B:D,MATCH(DATA!D81,'MTD OSA | 3GB'!B:B,0),2)</f>
        <v>3</v>
      </c>
      <c r="I81" s="12">
        <f>INDEX('MTD OSA | 3GB'!B:D,MATCH(DATA!D81,'MTD OSA | 3GB'!B:B,0),3)</f>
        <v>6000000</v>
      </c>
      <c r="J81" s="12">
        <f>INDEX(BIO!A:E,MATCH(DATA!D81,BIO!A:A,0),3)</f>
        <v>1</v>
      </c>
      <c r="K81" s="14">
        <f>INDEX(BIO!A:E,MATCH(DATA!D81,BIO!A:A,0),2)</f>
        <v>1</v>
      </c>
      <c r="L81" s="15">
        <f t="shared" si="1"/>
        <v>0</v>
      </c>
      <c r="M81" s="14">
        <f>INDEX('JULY VISIT'!A:B,MATCH(DATA!D81,'JULY VISIT'!A:A,0),2)</f>
        <v>1</v>
      </c>
    </row>
    <row r="82" spans="1:13">
      <c r="A82" s="1" t="s">
        <v>1</v>
      </c>
      <c r="B82" s="1" t="s">
        <v>4</v>
      </c>
      <c r="C82" s="1" t="s">
        <v>92</v>
      </c>
      <c r="D82" s="7">
        <v>539088</v>
      </c>
      <c r="E82" s="1" t="s">
        <v>10</v>
      </c>
      <c r="F82" s="10">
        <f>_xlfn.IFNA(INDEX('LMTD OSA | 3GB'!A:C,MATCH(DATA!D82,'LMTD OSA | 3GB'!A:A,0),2),0)</f>
        <v>0</v>
      </c>
      <c r="G82" s="10">
        <f>INDEX('LMTD OSA | 3GB'!A:C,MATCH(DATA!D82,'LMTD OSA | 3GB'!A:A,0),3)</f>
        <v>0</v>
      </c>
      <c r="H82" s="11">
        <f>INDEX('MTD OSA | 3GB'!B:D,MATCH(DATA!D82,'MTD OSA | 3GB'!B:B,0),2)</f>
        <v>1</v>
      </c>
      <c r="I82" s="12">
        <f>INDEX('MTD OSA | 3GB'!B:D,MATCH(DATA!D82,'MTD OSA | 3GB'!B:B,0),3)</f>
        <v>6684000</v>
      </c>
      <c r="J82" s="12">
        <f>INDEX(BIO!A:E,MATCH(DATA!D82,BIO!A:A,0),3)</f>
        <v>0</v>
      </c>
      <c r="K82" s="14">
        <f>INDEX(BIO!A:E,MATCH(DATA!D82,BIO!A:A,0),2)</f>
        <v>2</v>
      </c>
      <c r="L82" s="15">
        <f t="shared" si="1"/>
        <v>2</v>
      </c>
      <c r="M82" s="14">
        <f>INDEX('JULY VISIT'!A:B,MATCH(DATA!D82,'JULY VISIT'!A:A,0),2)</f>
        <v>4</v>
      </c>
    </row>
    <row r="83" spans="1:13">
      <c r="A83" s="1" t="s">
        <v>1</v>
      </c>
      <c r="B83" s="1" t="s">
        <v>4</v>
      </c>
      <c r="C83" s="1" t="s">
        <v>93</v>
      </c>
      <c r="D83" s="7">
        <v>543720</v>
      </c>
      <c r="E83" s="1" t="s">
        <v>15</v>
      </c>
      <c r="F83" s="10">
        <f>_xlfn.IFNA(INDEX('LMTD OSA | 3GB'!A:C,MATCH(DATA!D83,'LMTD OSA | 3GB'!A:A,0),2),0)</f>
        <v>0</v>
      </c>
      <c r="G83" s="10">
        <f>INDEX('LMTD OSA | 3GB'!A:C,MATCH(DATA!D83,'LMTD OSA | 3GB'!A:A,0),3)</f>
        <v>0</v>
      </c>
      <c r="H83" s="11">
        <f>INDEX('MTD OSA | 3GB'!B:D,MATCH(DATA!D83,'MTD OSA | 3GB'!B:B,0),2)</f>
        <v>3</v>
      </c>
      <c r="I83" s="12" t="str">
        <f>INDEX('MTD OSA | 3GB'!B:D,MATCH(DATA!D83,'MTD OSA | 3GB'!B:B,0),3)</f>
        <v xml:space="preserve"> -   </v>
      </c>
      <c r="J83" s="12">
        <f>INDEX(BIO!A:E,MATCH(DATA!D83,BIO!A:A,0),3)</f>
        <v>1</v>
      </c>
      <c r="K83" s="14">
        <f>INDEX(BIO!A:E,MATCH(DATA!D83,BIO!A:A,0),2)</f>
        <v>1</v>
      </c>
      <c r="L83" s="15">
        <f t="shared" si="1"/>
        <v>0</v>
      </c>
      <c r="M83" s="14">
        <f>INDEX('JULY VISIT'!A:B,MATCH(DATA!D83,'JULY VISIT'!A:A,0),2)</f>
        <v>0</v>
      </c>
    </row>
    <row r="84" spans="1:13">
      <c r="A84" s="1" t="s">
        <v>1</v>
      </c>
      <c r="B84" s="1" t="s">
        <v>4</v>
      </c>
      <c r="C84" s="1" t="s">
        <v>94</v>
      </c>
      <c r="D84" s="7">
        <v>560814</v>
      </c>
      <c r="E84" s="1" t="s">
        <v>15</v>
      </c>
      <c r="F84" s="10">
        <f>_xlfn.IFNA(INDEX('LMTD OSA | 3GB'!A:C,MATCH(DATA!D84,'LMTD OSA | 3GB'!A:A,0),2),0)</f>
        <v>0</v>
      </c>
      <c r="G84" s="10">
        <f>INDEX('LMTD OSA | 3GB'!A:C,MATCH(DATA!D84,'LMTD OSA | 3GB'!A:A,0),3)</f>
        <v>4950000</v>
      </c>
      <c r="H84" s="11">
        <f>INDEX('MTD OSA | 3GB'!B:D,MATCH(DATA!D84,'MTD OSA | 3GB'!B:B,0),2)</f>
        <v>3</v>
      </c>
      <c r="I84" s="12" t="str">
        <f>INDEX('MTD OSA | 3GB'!B:D,MATCH(DATA!D84,'MTD OSA | 3GB'!B:B,0),3)</f>
        <v xml:space="preserve"> -   </v>
      </c>
      <c r="J84" s="12">
        <f>INDEX(BIO!A:E,MATCH(DATA!D84,BIO!A:A,0),3)</f>
        <v>1</v>
      </c>
      <c r="K84" s="14">
        <f>INDEX(BIO!A:E,MATCH(DATA!D84,BIO!A:A,0),2)</f>
        <v>2</v>
      </c>
      <c r="L84" s="15">
        <f t="shared" si="1"/>
        <v>1</v>
      </c>
      <c r="M84" s="14">
        <f>INDEX('JULY VISIT'!A:B,MATCH(DATA!D84,'JULY VISIT'!A:A,0),2)</f>
        <v>0</v>
      </c>
    </row>
    <row r="85" spans="1:13">
      <c r="A85" s="1" t="s">
        <v>1</v>
      </c>
      <c r="B85" s="1" t="s">
        <v>4</v>
      </c>
      <c r="C85" s="1" t="s">
        <v>95</v>
      </c>
      <c r="D85" s="7">
        <v>563095</v>
      </c>
      <c r="E85" s="1" t="s">
        <v>10</v>
      </c>
      <c r="F85" s="10">
        <f>_xlfn.IFNA(INDEX('LMTD OSA | 3GB'!A:C,MATCH(DATA!D85,'LMTD OSA | 3GB'!A:A,0),2),0)</f>
        <v>3</v>
      </c>
      <c r="G85" s="10">
        <f>INDEX('LMTD OSA | 3GB'!A:C,MATCH(DATA!D85,'LMTD OSA | 3GB'!A:A,0),3)</f>
        <v>6000000</v>
      </c>
      <c r="H85" s="11" t="str">
        <f>INDEX('MTD OSA | 3GB'!B:D,MATCH(DATA!D85,'MTD OSA | 3GB'!B:B,0),2)</f>
        <v xml:space="preserve"> -   </v>
      </c>
      <c r="I85" s="12">
        <f>INDEX('MTD OSA | 3GB'!B:D,MATCH(DATA!D85,'MTD OSA | 3GB'!B:B,0),3)</f>
        <v>4000000</v>
      </c>
      <c r="J85" s="12">
        <f>INDEX(BIO!A:E,MATCH(DATA!D85,BIO!A:A,0),3)</f>
        <v>2</v>
      </c>
      <c r="K85" s="14">
        <f>INDEX(BIO!A:E,MATCH(DATA!D85,BIO!A:A,0),2)</f>
        <v>0</v>
      </c>
      <c r="L85" s="15">
        <f t="shared" si="1"/>
        <v>0</v>
      </c>
      <c r="M85" s="14">
        <f>INDEX('JULY VISIT'!A:B,MATCH(DATA!D85,'JULY VISIT'!A:A,0),2)</f>
        <v>0</v>
      </c>
    </row>
    <row r="86" spans="1:13">
      <c r="A86" s="1" t="s">
        <v>1</v>
      </c>
      <c r="B86" s="1" t="s">
        <v>4</v>
      </c>
      <c r="C86" s="1" t="s">
        <v>96</v>
      </c>
      <c r="D86" s="7">
        <v>61690</v>
      </c>
      <c r="E86" s="1" t="s">
        <v>10</v>
      </c>
      <c r="F86" s="10">
        <f>_xlfn.IFNA(INDEX('LMTD OSA | 3GB'!A:C,MATCH(DATA!D86,'LMTD OSA | 3GB'!A:A,0),2),0)</f>
        <v>3</v>
      </c>
      <c r="G86" s="10">
        <f>INDEX('LMTD OSA | 3GB'!A:C,MATCH(DATA!D86,'LMTD OSA | 3GB'!A:A,0),3)</f>
        <v>18058000</v>
      </c>
      <c r="H86" s="11">
        <f>INDEX('MTD OSA | 3GB'!B:D,MATCH(DATA!D86,'MTD OSA | 3GB'!B:B,0),2)</f>
        <v>2</v>
      </c>
      <c r="I86" s="12">
        <f>INDEX('MTD OSA | 3GB'!B:D,MATCH(DATA!D86,'MTD OSA | 3GB'!B:B,0),3)</f>
        <v>10000000</v>
      </c>
      <c r="J86" s="12">
        <f>INDEX(BIO!A:E,MATCH(DATA!D86,BIO!A:A,0),3)</f>
        <v>1</v>
      </c>
      <c r="K86" s="14">
        <f>INDEX(BIO!A:E,MATCH(DATA!D86,BIO!A:A,0),2)</f>
        <v>0</v>
      </c>
      <c r="L86" s="15">
        <f t="shared" si="1"/>
        <v>0</v>
      </c>
      <c r="M86" s="14">
        <f>INDEX('JULY VISIT'!A:B,MATCH(DATA!D86,'JULY VISIT'!A:A,0),2)</f>
        <v>4</v>
      </c>
    </row>
    <row r="87" spans="1:13">
      <c r="A87" s="1" t="s">
        <v>1</v>
      </c>
      <c r="B87" s="1" t="s">
        <v>4</v>
      </c>
      <c r="C87" s="1" t="s">
        <v>97</v>
      </c>
      <c r="D87" s="7" t="s">
        <v>98</v>
      </c>
      <c r="E87" s="1" t="s">
        <v>10</v>
      </c>
      <c r="F87" s="10">
        <f>_xlfn.IFNA(INDEX('LMTD OSA | 3GB'!A:C,MATCH(DATA!D87,'LMTD OSA | 3GB'!A:A,0),2),0)</f>
        <v>55</v>
      </c>
      <c r="G87" s="10">
        <f>INDEX('LMTD OSA | 3GB'!A:C,MATCH(DATA!D87,'LMTD OSA | 3GB'!A:A,0),3)</f>
        <v>11815000</v>
      </c>
      <c r="H87" s="11">
        <f>INDEX('MTD OSA | 3GB'!B:D,MATCH(DATA!D87,'MTD OSA | 3GB'!B:B,0),2)</f>
        <v>32</v>
      </c>
      <c r="I87" s="12">
        <f>INDEX('MTD OSA | 3GB'!B:D,MATCH(DATA!D87,'MTD OSA | 3GB'!B:B,0),3)</f>
        <v>11831000</v>
      </c>
      <c r="J87" s="12">
        <f>INDEX(BIO!A:E,MATCH(DATA!D87,BIO!A:A,0),3)</f>
        <v>0</v>
      </c>
      <c r="K87" s="14">
        <f>INDEX(BIO!A:E,MATCH(DATA!D87,BIO!A:A,0),2)</f>
        <v>34</v>
      </c>
      <c r="L87" s="15">
        <f t="shared" si="1"/>
        <v>34</v>
      </c>
      <c r="M87" s="14">
        <f>INDEX('JULY VISIT'!A:B,MATCH(DATA!D87,'JULY VISIT'!A:A,0),2)</f>
        <v>1</v>
      </c>
    </row>
    <row r="88" spans="1:13">
      <c r="A88" s="1" t="s">
        <v>1</v>
      </c>
      <c r="B88" s="1" t="s">
        <v>4</v>
      </c>
      <c r="C88" s="1" t="s">
        <v>99</v>
      </c>
      <c r="D88" s="7" t="s">
        <v>100</v>
      </c>
      <c r="E88" s="1" t="s">
        <v>10</v>
      </c>
      <c r="F88" s="10">
        <f>_xlfn.IFNA(INDEX('LMTD OSA | 3GB'!A:C,MATCH(DATA!D88,'LMTD OSA | 3GB'!A:A,0),2),0)</f>
        <v>4</v>
      </c>
      <c r="G88" s="10">
        <f>INDEX('LMTD OSA | 3GB'!A:C,MATCH(DATA!D88,'LMTD OSA | 3GB'!A:A,0),3)</f>
        <v>3000000</v>
      </c>
      <c r="H88" s="11" t="str">
        <f>INDEX('MTD OSA | 3GB'!B:D,MATCH(DATA!D88,'MTD OSA | 3GB'!B:B,0),2)</f>
        <v xml:space="preserve"> -   </v>
      </c>
      <c r="I88" s="12">
        <f>INDEX('MTD OSA | 3GB'!B:D,MATCH(DATA!D88,'MTD OSA | 3GB'!B:B,0),3)</f>
        <v>18752000</v>
      </c>
      <c r="J88" s="12">
        <f>INDEX(BIO!A:E,MATCH(DATA!D88,BIO!A:A,0),3)</f>
        <v>1</v>
      </c>
      <c r="K88" s="14">
        <f>INDEX(BIO!A:E,MATCH(DATA!D88,BIO!A:A,0),2)</f>
        <v>2</v>
      </c>
      <c r="L88" s="15">
        <f t="shared" si="1"/>
        <v>1</v>
      </c>
      <c r="M88" s="14">
        <f>INDEX('JULY VISIT'!A:B,MATCH(DATA!D88,'JULY VISIT'!A:A,0),2)</f>
        <v>0</v>
      </c>
    </row>
    <row r="89" spans="1:13">
      <c r="A89" s="1" t="s">
        <v>1</v>
      </c>
      <c r="B89" s="1" t="s">
        <v>4</v>
      </c>
      <c r="C89" s="1" t="s">
        <v>101</v>
      </c>
      <c r="D89" s="7" t="s">
        <v>102</v>
      </c>
      <c r="E89" s="1" t="s">
        <v>10</v>
      </c>
      <c r="F89" s="10">
        <f>_xlfn.IFNA(INDEX('LMTD OSA | 3GB'!A:C,MATCH(DATA!D89,'LMTD OSA | 3GB'!A:A,0),2),0)</f>
        <v>0</v>
      </c>
      <c r="G89" s="10">
        <f>INDEX('LMTD OSA | 3GB'!A:C,MATCH(DATA!D89,'LMTD OSA | 3GB'!A:A,0),3)</f>
        <v>300000</v>
      </c>
      <c r="H89" s="11" t="str">
        <f>INDEX('MTD OSA | 3GB'!B:D,MATCH(DATA!D89,'MTD OSA | 3GB'!B:B,0),2)</f>
        <v xml:space="preserve"> -   </v>
      </c>
      <c r="I89" s="12" t="str">
        <f>INDEX('MTD OSA | 3GB'!B:D,MATCH(DATA!D89,'MTD OSA | 3GB'!B:B,0),3)</f>
        <v xml:space="preserve"> -   </v>
      </c>
      <c r="J89" s="12">
        <f>INDEX(BIO!A:E,MATCH(DATA!D89,BIO!A:A,0),3)</f>
        <v>3</v>
      </c>
      <c r="K89" s="14">
        <f>INDEX(BIO!A:E,MATCH(DATA!D89,BIO!A:A,0),2)</f>
        <v>0</v>
      </c>
      <c r="L89" s="15">
        <f t="shared" si="1"/>
        <v>0</v>
      </c>
      <c r="M89" s="14">
        <f>INDEX('JULY VISIT'!A:B,MATCH(DATA!D89,'JULY VISIT'!A:A,0),2)</f>
        <v>0</v>
      </c>
    </row>
    <row r="90" spans="1:13">
      <c r="A90" s="1" t="s">
        <v>1</v>
      </c>
      <c r="B90" s="1" t="s">
        <v>4</v>
      </c>
      <c r="C90" s="1" t="s">
        <v>103</v>
      </c>
      <c r="D90" s="7" t="s">
        <v>104</v>
      </c>
      <c r="E90" s="1" t="s">
        <v>10</v>
      </c>
      <c r="F90" s="10">
        <f>_xlfn.IFNA(INDEX('LMTD OSA | 3GB'!A:C,MATCH(DATA!D90,'LMTD OSA | 3GB'!A:A,0),2),0)</f>
        <v>3</v>
      </c>
      <c r="G90" s="10">
        <f>INDEX('LMTD OSA | 3GB'!A:C,MATCH(DATA!D90,'LMTD OSA | 3GB'!A:A,0),3)</f>
        <v>300000</v>
      </c>
      <c r="H90" s="11" t="str">
        <f>INDEX('MTD OSA | 3GB'!B:D,MATCH(DATA!D90,'MTD OSA | 3GB'!B:B,0),2)</f>
        <v xml:space="preserve"> -   </v>
      </c>
      <c r="I90" s="12">
        <f>INDEX('MTD OSA | 3GB'!B:D,MATCH(DATA!D90,'MTD OSA | 3GB'!B:B,0),3)</f>
        <v>1300000</v>
      </c>
      <c r="J90" s="12">
        <f>INDEX(BIO!A:E,MATCH(DATA!D90,BIO!A:A,0),3)</f>
        <v>1</v>
      </c>
      <c r="K90" s="14">
        <f>INDEX(BIO!A:E,MATCH(DATA!D90,BIO!A:A,0),2)</f>
        <v>0</v>
      </c>
      <c r="L90" s="15">
        <f t="shared" si="1"/>
        <v>0</v>
      </c>
      <c r="M90" s="14">
        <f>INDEX('JULY VISIT'!A:B,MATCH(DATA!D90,'JULY VISIT'!A:A,0),2)</f>
        <v>0</v>
      </c>
    </row>
    <row r="91" spans="1:13">
      <c r="A91" s="1" t="s">
        <v>1</v>
      </c>
      <c r="B91" s="1" t="s">
        <v>5</v>
      </c>
      <c r="C91" s="1" t="s">
        <v>105</v>
      </c>
      <c r="D91" s="7">
        <v>12295536</v>
      </c>
      <c r="E91" s="1" t="s">
        <v>10</v>
      </c>
      <c r="F91" s="10">
        <f>_xlfn.IFNA(INDEX('LMTD OSA | 3GB'!A:C,MATCH(DATA!D91,'LMTD OSA | 3GB'!A:A,0),2),0)</f>
        <v>6</v>
      </c>
      <c r="G91" s="10">
        <f>INDEX('LMTD OSA | 3GB'!A:C,MATCH(DATA!D91,'LMTD OSA | 3GB'!A:A,0),3)</f>
        <v>1029000</v>
      </c>
      <c r="H91" s="11" t="str">
        <f>INDEX('MTD OSA | 3GB'!B:D,MATCH(DATA!D91,'MTD OSA | 3GB'!B:B,0),2)</f>
        <v xml:space="preserve"> -   </v>
      </c>
      <c r="I91" s="12" t="str">
        <f>INDEX('MTD OSA | 3GB'!B:D,MATCH(DATA!D91,'MTD OSA | 3GB'!B:B,0),3)</f>
        <v xml:space="preserve"> -   </v>
      </c>
      <c r="J91" s="12">
        <f>INDEX(BIO!A:E,MATCH(DATA!D91,BIO!A:A,0),3)</f>
        <v>0</v>
      </c>
      <c r="K91" s="14">
        <f>INDEX(BIO!A:E,MATCH(DATA!D91,BIO!A:A,0),2)</f>
        <v>1</v>
      </c>
      <c r="L91" s="15">
        <f t="shared" si="1"/>
        <v>1</v>
      </c>
      <c r="M91" s="14">
        <f>INDEX('JULY VISIT'!A:B,MATCH(DATA!D91,'JULY VISIT'!A:A,0),2)</f>
        <v>2</v>
      </c>
    </row>
    <row r="92" spans="1:13">
      <c r="A92" s="1" t="s">
        <v>1</v>
      </c>
      <c r="B92" s="1" t="s">
        <v>5</v>
      </c>
      <c r="C92" s="1" t="s">
        <v>106</v>
      </c>
      <c r="D92" s="7">
        <v>12295980</v>
      </c>
      <c r="E92" s="1" t="s">
        <v>15</v>
      </c>
      <c r="F92" s="10">
        <f>_xlfn.IFNA(INDEX('LMTD OSA | 3GB'!A:C,MATCH(DATA!D92,'LMTD OSA | 3GB'!A:A,0),2),0)</f>
        <v>0</v>
      </c>
      <c r="G92" s="10">
        <f>INDEX('LMTD OSA | 3GB'!A:C,MATCH(DATA!D92,'LMTD OSA | 3GB'!A:A,0),3)</f>
        <v>0</v>
      </c>
      <c r="H92" s="11" t="str">
        <f>INDEX('MTD OSA | 3GB'!B:D,MATCH(DATA!D92,'MTD OSA | 3GB'!B:B,0),2)</f>
        <v xml:space="preserve"> -   </v>
      </c>
      <c r="I92" s="12" t="str">
        <f>INDEX('MTD OSA | 3GB'!B:D,MATCH(DATA!D92,'MTD OSA | 3GB'!B:B,0),3)</f>
        <v xml:space="preserve"> -   </v>
      </c>
      <c r="J92" s="12">
        <f>INDEX(BIO!A:E,MATCH(DATA!D92,BIO!A:A,0),3)</f>
        <v>0</v>
      </c>
      <c r="K92" s="14">
        <f>INDEX(BIO!A:E,MATCH(DATA!D92,BIO!A:A,0),2)</f>
        <v>0</v>
      </c>
      <c r="L92" s="15">
        <f t="shared" si="1"/>
        <v>0</v>
      </c>
      <c r="M92" s="14">
        <f>INDEX('JULY VISIT'!A:B,MATCH(DATA!D92,'JULY VISIT'!A:A,0),2)</f>
        <v>0</v>
      </c>
    </row>
    <row r="93" spans="1:13">
      <c r="A93" s="1" t="s">
        <v>1</v>
      </c>
      <c r="B93" s="1" t="s">
        <v>5</v>
      </c>
      <c r="C93" s="1" t="s">
        <v>107</v>
      </c>
      <c r="D93" s="7">
        <v>12302808</v>
      </c>
      <c r="E93" s="1" t="s">
        <v>10</v>
      </c>
      <c r="F93" s="10">
        <f>_xlfn.IFNA(INDEX('LMTD OSA | 3GB'!A:C,MATCH(DATA!D93,'LMTD OSA | 3GB'!A:A,0),2),0)</f>
        <v>1</v>
      </c>
      <c r="G93" s="10">
        <f>INDEX('LMTD OSA | 3GB'!A:C,MATCH(DATA!D93,'LMTD OSA | 3GB'!A:A,0),3)</f>
        <v>50000</v>
      </c>
      <c r="H93" s="11" t="str">
        <f>INDEX('MTD OSA | 3GB'!B:D,MATCH(DATA!D93,'MTD OSA | 3GB'!B:B,0),2)</f>
        <v xml:space="preserve"> -   </v>
      </c>
      <c r="I93" s="12" t="str">
        <f>INDEX('MTD OSA | 3GB'!B:D,MATCH(DATA!D93,'MTD OSA | 3GB'!B:B,0),3)</f>
        <v xml:space="preserve"> -   </v>
      </c>
      <c r="J93" s="12">
        <f>INDEX(BIO!A:E,MATCH(DATA!D93,BIO!A:A,0),3)</f>
        <v>0</v>
      </c>
      <c r="K93" s="14">
        <f>INDEX(BIO!A:E,MATCH(DATA!D93,BIO!A:A,0),2)</f>
        <v>0</v>
      </c>
      <c r="L93" s="15">
        <f t="shared" si="1"/>
        <v>0</v>
      </c>
      <c r="M93" s="14">
        <f>INDEX('JULY VISIT'!A:B,MATCH(DATA!D93,'JULY VISIT'!A:A,0),2)</f>
        <v>0</v>
      </c>
    </row>
    <row r="94" spans="1:13">
      <c r="A94" s="1" t="s">
        <v>1</v>
      </c>
      <c r="B94" s="1" t="s">
        <v>5</v>
      </c>
      <c r="C94" s="1" t="s">
        <v>108</v>
      </c>
      <c r="D94" s="7">
        <v>12303072</v>
      </c>
      <c r="E94" s="1" t="s">
        <v>15</v>
      </c>
      <c r="F94" s="10">
        <f>_xlfn.IFNA(INDEX('LMTD OSA | 3GB'!A:C,MATCH(DATA!D94,'LMTD OSA | 3GB'!A:A,0),2),0)</f>
        <v>3</v>
      </c>
      <c r="G94" s="10">
        <f>INDEX('LMTD OSA | 3GB'!A:C,MATCH(DATA!D94,'LMTD OSA | 3GB'!A:A,0),3)</f>
        <v>0</v>
      </c>
      <c r="H94" s="11" t="str">
        <f>INDEX('MTD OSA | 3GB'!B:D,MATCH(DATA!D94,'MTD OSA | 3GB'!B:B,0),2)</f>
        <v xml:space="preserve"> -   </v>
      </c>
      <c r="I94" s="12" t="str">
        <f>INDEX('MTD OSA | 3GB'!B:D,MATCH(DATA!D94,'MTD OSA | 3GB'!B:B,0),3)</f>
        <v xml:space="preserve"> -   </v>
      </c>
      <c r="J94" s="12">
        <f>INDEX(BIO!A:E,MATCH(DATA!D94,BIO!A:A,0),3)</f>
        <v>2</v>
      </c>
      <c r="K94" s="14">
        <f>INDEX(BIO!A:E,MATCH(DATA!D94,BIO!A:A,0),2)</f>
        <v>2</v>
      </c>
      <c r="L94" s="15">
        <f t="shared" si="1"/>
        <v>0</v>
      </c>
      <c r="M94" s="14">
        <f>INDEX('JULY VISIT'!A:B,MATCH(DATA!D94,'JULY VISIT'!A:A,0),2)</f>
        <v>0</v>
      </c>
    </row>
    <row r="95" spans="1:13">
      <c r="A95" s="1" t="s">
        <v>1</v>
      </c>
      <c r="B95" s="1" t="s">
        <v>5</v>
      </c>
      <c r="C95" s="1" t="s">
        <v>109</v>
      </c>
      <c r="D95" s="7">
        <v>12313881</v>
      </c>
      <c r="E95" s="1" t="s">
        <v>10</v>
      </c>
      <c r="F95" s="10">
        <f>_xlfn.IFNA(INDEX('LMTD OSA | 3GB'!A:C,MATCH(DATA!D95,'LMTD OSA | 3GB'!A:A,0),2),0)</f>
        <v>6</v>
      </c>
      <c r="G95" s="10">
        <f>INDEX('LMTD OSA | 3GB'!A:C,MATCH(DATA!D95,'LMTD OSA | 3GB'!A:A,0),3)</f>
        <v>58067000</v>
      </c>
      <c r="H95" s="11">
        <f>INDEX('MTD OSA | 3GB'!B:D,MATCH(DATA!D95,'MTD OSA | 3GB'!B:B,0),2)</f>
        <v>21</v>
      </c>
      <c r="I95" s="12">
        <f>INDEX('MTD OSA | 3GB'!B:D,MATCH(DATA!D95,'MTD OSA | 3GB'!B:B,0),3)</f>
        <v>13609000</v>
      </c>
      <c r="J95" s="12">
        <f>INDEX(BIO!A:E,MATCH(DATA!D95,BIO!A:A,0),3)</f>
        <v>1</v>
      </c>
      <c r="K95" s="14">
        <f>INDEX(BIO!A:E,MATCH(DATA!D95,BIO!A:A,0),2)</f>
        <v>20</v>
      </c>
      <c r="L95" s="15">
        <f t="shared" si="1"/>
        <v>19</v>
      </c>
      <c r="M95" s="14">
        <f>INDEX('JULY VISIT'!A:B,MATCH(DATA!D95,'JULY VISIT'!A:A,0),2)</f>
        <v>3</v>
      </c>
    </row>
    <row r="96" spans="1:13">
      <c r="A96" s="1" t="s">
        <v>1</v>
      </c>
      <c r="B96" s="1" t="s">
        <v>5</v>
      </c>
      <c r="C96" s="1" t="s">
        <v>110</v>
      </c>
      <c r="D96" s="7">
        <v>12317091</v>
      </c>
      <c r="E96" s="1" t="s">
        <v>10</v>
      </c>
      <c r="F96" s="10">
        <f>_xlfn.IFNA(INDEX('LMTD OSA | 3GB'!A:C,MATCH(DATA!D96,'LMTD OSA | 3GB'!A:A,0),2),0)</f>
        <v>0</v>
      </c>
      <c r="G96" s="10">
        <f>INDEX('LMTD OSA | 3GB'!A:C,MATCH(DATA!D96,'LMTD OSA | 3GB'!A:A,0),3)</f>
        <v>0</v>
      </c>
      <c r="H96" s="11" t="str">
        <f>INDEX('MTD OSA | 3GB'!B:D,MATCH(DATA!D96,'MTD OSA | 3GB'!B:B,0),2)</f>
        <v xml:space="preserve"> -   </v>
      </c>
      <c r="I96" s="12" t="str">
        <f>INDEX('MTD OSA | 3GB'!B:D,MATCH(DATA!D96,'MTD OSA | 3GB'!B:B,0),3)</f>
        <v xml:space="preserve"> -   </v>
      </c>
      <c r="J96" s="12">
        <f>INDEX(BIO!A:E,MATCH(DATA!D96,BIO!A:A,0),3)</f>
        <v>0</v>
      </c>
      <c r="K96" s="14">
        <f>INDEX(BIO!A:E,MATCH(DATA!D96,BIO!A:A,0),2)</f>
        <v>0</v>
      </c>
      <c r="L96" s="15">
        <f t="shared" si="1"/>
        <v>0</v>
      </c>
      <c r="M96" s="14">
        <f>INDEX('JULY VISIT'!A:B,MATCH(DATA!D96,'JULY VISIT'!A:A,0),2)</f>
        <v>0</v>
      </c>
    </row>
    <row r="97" spans="1:13">
      <c r="A97" s="1" t="s">
        <v>1</v>
      </c>
      <c r="B97" s="1" t="s">
        <v>5</v>
      </c>
      <c r="C97" s="1" t="s">
        <v>111</v>
      </c>
      <c r="D97" s="7">
        <v>12318079</v>
      </c>
      <c r="E97" s="1" t="s">
        <v>10</v>
      </c>
      <c r="F97" s="10">
        <f>_xlfn.IFNA(INDEX('LMTD OSA | 3GB'!A:C,MATCH(DATA!D97,'LMTD OSA | 3GB'!A:A,0),2),0)</f>
        <v>6</v>
      </c>
      <c r="G97" s="10">
        <f>INDEX('LMTD OSA | 3GB'!A:C,MATCH(DATA!D97,'LMTD OSA | 3GB'!A:A,0),3)</f>
        <v>950000</v>
      </c>
      <c r="H97" s="11">
        <f>INDEX('MTD OSA | 3GB'!B:D,MATCH(DATA!D97,'MTD OSA | 3GB'!B:B,0),2)</f>
        <v>4</v>
      </c>
      <c r="I97" s="12">
        <f>INDEX('MTD OSA | 3GB'!B:D,MATCH(DATA!D97,'MTD OSA | 3GB'!B:B,0),3)</f>
        <v>466000</v>
      </c>
      <c r="J97" s="12">
        <f>INDEX(BIO!A:E,MATCH(DATA!D97,BIO!A:A,0),3)</f>
        <v>1</v>
      </c>
      <c r="K97" s="14">
        <f>INDEX(BIO!A:E,MATCH(DATA!D97,BIO!A:A,0),2)</f>
        <v>3</v>
      </c>
      <c r="L97" s="15">
        <f t="shared" si="1"/>
        <v>2</v>
      </c>
      <c r="M97" s="14">
        <f>INDEX('JULY VISIT'!A:B,MATCH(DATA!D97,'JULY VISIT'!A:A,0),2)</f>
        <v>0</v>
      </c>
    </row>
    <row r="98" spans="1:13">
      <c r="A98" s="1" t="s">
        <v>1</v>
      </c>
      <c r="B98" s="1" t="s">
        <v>5</v>
      </c>
      <c r="C98" s="1" t="s">
        <v>112</v>
      </c>
      <c r="D98" s="7">
        <v>12320853</v>
      </c>
      <c r="E98" s="1" t="s">
        <v>10</v>
      </c>
      <c r="F98" s="10">
        <f>_xlfn.IFNA(INDEX('LMTD OSA | 3GB'!A:C,MATCH(DATA!D98,'LMTD OSA | 3GB'!A:A,0),2),0)</f>
        <v>5</v>
      </c>
      <c r="G98" s="10">
        <f>INDEX('LMTD OSA | 3GB'!A:C,MATCH(DATA!D98,'LMTD OSA | 3GB'!A:A,0),3)</f>
        <v>0</v>
      </c>
      <c r="H98" s="11" t="str">
        <f>INDEX('MTD OSA | 3GB'!B:D,MATCH(DATA!D98,'MTD OSA | 3GB'!B:B,0),2)</f>
        <v xml:space="preserve"> -   </v>
      </c>
      <c r="I98" s="12" t="str">
        <f>INDEX('MTD OSA | 3GB'!B:D,MATCH(DATA!D98,'MTD OSA | 3GB'!B:B,0),3)</f>
        <v xml:space="preserve"> -   </v>
      </c>
      <c r="J98" s="12">
        <f>INDEX(BIO!A:E,MATCH(DATA!D98,BIO!A:A,0),3)</f>
        <v>1</v>
      </c>
      <c r="K98" s="14">
        <f>INDEX(BIO!A:E,MATCH(DATA!D98,BIO!A:A,0),2)</f>
        <v>0</v>
      </c>
      <c r="L98" s="15">
        <f t="shared" si="1"/>
        <v>0</v>
      </c>
      <c r="M98" s="14">
        <f>INDEX('JULY VISIT'!A:B,MATCH(DATA!D98,'JULY VISIT'!A:A,0),2)</f>
        <v>0</v>
      </c>
    </row>
    <row r="99" spans="1:13">
      <c r="A99" s="1" t="s">
        <v>1</v>
      </c>
      <c r="B99" s="1" t="s">
        <v>5</v>
      </c>
      <c r="C99" s="1" t="s">
        <v>113</v>
      </c>
      <c r="D99" s="7">
        <v>12321230</v>
      </c>
      <c r="E99" s="1" t="s">
        <v>10</v>
      </c>
      <c r="F99" s="10">
        <f>_xlfn.IFNA(INDEX('LMTD OSA | 3GB'!A:C,MATCH(DATA!D99,'LMTD OSA | 3GB'!A:A,0),2),0)</f>
        <v>0</v>
      </c>
      <c r="G99" s="10">
        <f>INDEX('LMTD OSA | 3GB'!A:C,MATCH(DATA!D99,'LMTD OSA | 3GB'!A:A,0),3)</f>
        <v>203000</v>
      </c>
      <c r="H99" s="11" t="str">
        <f>INDEX('MTD OSA | 3GB'!B:D,MATCH(DATA!D99,'MTD OSA | 3GB'!B:B,0),2)</f>
        <v xml:space="preserve"> -   </v>
      </c>
      <c r="I99" s="12" t="str">
        <f>INDEX('MTD OSA | 3GB'!B:D,MATCH(DATA!D99,'MTD OSA | 3GB'!B:B,0),3)</f>
        <v xml:space="preserve"> -   </v>
      </c>
      <c r="J99" s="12">
        <f>INDEX(BIO!A:E,MATCH(DATA!D99,BIO!A:A,0),3)</f>
        <v>0</v>
      </c>
      <c r="K99" s="14">
        <f>INDEX(BIO!A:E,MATCH(DATA!D99,BIO!A:A,0),2)</f>
        <v>2</v>
      </c>
      <c r="L99" s="15">
        <f t="shared" si="1"/>
        <v>2</v>
      </c>
      <c r="M99" s="14">
        <f>INDEX('JULY VISIT'!A:B,MATCH(DATA!D99,'JULY VISIT'!A:A,0),2)</f>
        <v>0</v>
      </c>
    </row>
    <row r="100" spans="1:13">
      <c r="A100" s="1" t="s">
        <v>1</v>
      </c>
      <c r="B100" s="1" t="s">
        <v>5</v>
      </c>
      <c r="C100" s="1" t="s">
        <v>114</v>
      </c>
      <c r="D100" s="7">
        <v>12321241</v>
      </c>
      <c r="E100" s="1" t="s">
        <v>29</v>
      </c>
      <c r="F100" s="10">
        <f>_xlfn.IFNA(INDEX('LMTD OSA | 3GB'!A:C,MATCH(DATA!D100,'LMTD OSA | 3GB'!A:A,0),2),0)</f>
        <v>520</v>
      </c>
      <c r="G100" s="10">
        <f>INDEX('LMTD OSA | 3GB'!A:C,MATCH(DATA!D100,'LMTD OSA | 3GB'!A:A,0),3)</f>
        <v>58323000</v>
      </c>
      <c r="H100" s="11">
        <f>INDEX('MTD OSA | 3GB'!B:D,MATCH(DATA!D100,'MTD OSA | 3GB'!B:B,0),2)</f>
        <v>8</v>
      </c>
      <c r="I100" s="12">
        <f>INDEX('MTD OSA | 3GB'!B:D,MATCH(DATA!D100,'MTD OSA | 3GB'!B:B,0),3)</f>
        <v>19232000</v>
      </c>
      <c r="J100" s="12">
        <f>INDEX(BIO!A:E,MATCH(DATA!D100,BIO!A:A,0),3)</f>
        <v>3</v>
      </c>
      <c r="K100" s="14">
        <f>INDEX(BIO!A:E,MATCH(DATA!D100,BIO!A:A,0),2)</f>
        <v>21</v>
      </c>
      <c r="L100" s="15">
        <f t="shared" si="1"/>
        <v>18</v>
      </c>
      <c r="M100" s="14">
        <f>INDEX('JULY VISIT'!A:B,MATCH(DATA!D100,'JULY VISIT'!A:A,0),2)</f>
        <v>3</v>
      </c>
    </row>
    <row r="101" spans="1:13">
      <c r="A101" s="1" t="s">
        <v>1</v>
      </c>
      <c r="B101" s="1" t="s">
        <v>5</v>
      </c>
      <c r="C101" s="1" t="s">
        <v>115</v>
      </c>
      <c r="D101" s="7">
        <v>12321243</v>
      </c>
      <c r="E101" s="1" t="s">
        <v>10</v>
      </c>
      <c r="F101" s="10">
        <f>_xlfn.IFNA(INDEX('LMTD OSA | 3GB'!A:C,MATCH(DATA!D101,'LMTD OSA | 3GB'!A:A,0),2),0)</f>
        <v>38</v>
      </c>
      <c r="G101" s="10">
        <f>INDEX('LMTD OSA | 3GB'!A:C,MATCH(DATA!D101,'LMTD OSA | 3GB'!A:A,0),3)</f>
        <v>53322000</v>
      </c>
      <c r="H101" s="11">
        <f>INDEX('MTD OSA | 3GB'!B:D,MATCH(DATA!D101,'MTD OSA | 3GB'!B:B,0),2)</f>
        <v>307</v>
      </c>
      <c r="I101" s="12">
        <f>INDEX('MTD OSA | 3GB'!B:D,MATCH(DATA!D101,'MTD OSA | 3GB'!B:B,0),3)</f>
        <v>19203000</v>
      </c>
      <c r="J101" s="12">
        <f>INDEX(BIO!A:E,MATCH(DATA!D101,BIO!A:A,0),3)</f>
        <v>2</v>
      </c>
      <c r="K101" s="14">
        <f>INDEX(BIO!A:E,MATCH(DATA!D101,BIO!A:A,0),2)</f>
        <v>90</v>
      </c>
      <c r="L101" s="15">
        <f t="shared" si="1"/>
        <v>88</v>
      </c>
      <c r="M101" s="14">
        <f>INDEX('JULY VISIT'!A:B,MATCH(DATA!D101,'JULY VISIT'!A:A,0),2)</f>
        <v>3</v>
      </c>
    </row>
    <row r="102" spans="1:13">
      <c r="A102" s="1" t="s">
        <v>1</v>
      </c>
      <c r="B102" s="1" t="s">
        <v>5</v>
      </c>
      <c r="C102" s="1" t="s">
        <v>116</v>
      </c>
      <c r="D102" s="7">
        <v>12322430</v>
      </c>
      <c r="E102" s="1" t="s">
        <v>10</v>
      </c>
      <c r="F102" s="10">
        <f>_xlfn.IFNA(INDEX('LMTD OSA | 3GB'!A:C,MATCH(DATA!D102,'LMTD OSA | 3GB'!A:A,0),2),0)</f>
        <v>0</v>
      </c>
      <c r="G102" s="10">
        <f>INDEX('LMTD OSA | 3GB'!A:C,MATCH(DATA!D102,'LMTD OSA | 3GB'!A:A,0),3)</f>
        <v>0</v>
      </c>
      <c r="H102" s="11" t="str">
        <f>INDEX('MTD OSA | 3GB'!B:D,MATCH(DATA!D102,'MTD OSA | 3GB'!B:B,0),2)</f>
        <v xml:space="preserve"> -   </v>
      </c>
      <c r="I102" s="12" t="str">
        <f>INDEX('MTD OSA | 3GB'!B:D,MATCH(DATA!D102,'MTD OSA | 3GB'!B:B,0),3)</f>
        <v xml:space="preserve"> -   </v>
      </c>
      <c r="J102" s="12">
        <f>INDEX(BIO!A:E,MATCH(DATA!D102,BIO!A:A,0),3)</f>
        <v>0</v>
      </c>
      <c r="K102" s="14">
        <f>INDEX(BIO!A:E,MATCH(DATA!D102,BIO!A:A,0),2)</f>
        <v>0</v>
      </c>
      <c r="L102" s="15">
        <f t="shared" si="1"/>
        <v>0</v>
      </c>
      <c r="M102" s="14">
        <f>INDEX('JULY VISIT'!A:B,MATCH(DATA!D102,'JULY VISIT'!A:A,0),2)</f>
        <v>0</v>
      </c>
    </row>
    <row r="103" spans="1:13">
      <c r="A103" s="1" t="s">
        <v>1</v>
      </c>
      <c r="B103" s="1" t="s">
        <v>5</v>
      </c>
      <c r="C103" s="1" t="s">
        <v>117</v>
      </c>
      <c r="D103" s="7">
        <v>12324194</v>
      </c>
      <c r="E103" s="1" t="s">
        <v>10</v>
      </c>
      <c r="F103" s="10">
        <f>_xlfn.IFNA(INDEX('LMTD OSA | 3GB'!A:C,MATCH(DATA!D103,'LMTD OSA | 3GB'!A:A,0),2),0)</f>
        <v>0</v>
      </c>
      <c r="G103" s="10">
        <f>INDEX('LMTD OSA | 3GB'!A:C,MATCH(DATA!D103,'LMTD OSA | 3GB'!A:A,0),3)</f>
        <v>0</v>
      </c>
      <c r="H103" s="11" t="str">
        <f>INDEX('MTD OSA | 3GB'!B:D,MATCH(DATA!D103,'MTD OSA | 3GB'!B:B,0),2)</f>
        <v xml:space="preserve"> -   </v>
      </c>
      <c r="I103" s="12" t="str">
        <f>INDEX('MTD OSA | 3GB'!B:D,MATCH(DATA!D103,'MTD OSA | 3GB'!B:B,0),3)</f>
        <v xml:space="preserve"> -   </v>
      </c>
      <c r="J103" s="12">
        <f>INDEX(BIO!A:E,MATCH(DATA!D103,BIO!A:A,0),3)</f>
        <v>0</v>
      </c>
      <c r="K103" s="14">
        <f>INDEX(BIO!A:E,MATCH(DATA!D103,BIO!A:A,0),2)</f>
        <v>0</v>
      </c>
      <c r="L103" s="15">
        <f t="shared" si="1"/>
        <v>0</v>
      </c>
      <c r="M103" s="14">
        <f>INDEX('JULY VISIT'!A:B,MATCH(DATA!D103,'JULY VISIT'!A:A,0),2)</f>
        <v>0</v>
      </c>
    </row>
    <row r="104" spans="1:13">
      <c r="A104" s="1" t="s">
        <v>1</v>
      </c>
      <c r="B104" s="1" t="s">
        <v>5</v>
      </c>
      <c r="C104" s="1" t="s">
        <v>118</v>
      </c>
      <c r="D104" s="7">
        <v>12327316</v>
      </c>
      <c r="E104" s="1" t="s">
        <v>10</v>
      </c>
      <c r="F104" s="10">
        <f>_xlfn.IFNA(INDEX('LMTD OSA | 3GB'!A:C,MATCH(DATA!D104,'LMTD OSA | 3GB'!A:A,0),2),0)</f>
        <v>5</v>
      </c>
      <c r="G104" s="10">
        <f>INDEX('LMTD OSA | 3GB'!A:C,MATCH(DATA!D104,'LMTD OSA | 3GB'!A:A,0),3)</f>
        <v>500000</v>
      </c>
      <c r="H104" s="11" t="str">
        <f>INDEX('MTD OSA | 3GB'!B:D,MATCH(DATA!D104,'MTD OSA | 3GB'!B:B,0),2)</f>
        <v xml:space="preserve"> -   </v>
      </c>
      <c r="I104" s="12" t="str">
        <f>INDEX('MTD OSA | 3GB'!B:D,MATCH(DATA!D104,'MTD OSA | 3GB'!B:B,0),3)</f>
        <v xml:space="preserve"> -   </v>
      </c>
      <c r="J104" s="12">
        <f>INDEX(BIO!A:E,MATCH(DATA!D104,BIO!A:A,0),3)</f>
        <v>1</v>
      </c>
      <c r="K104" s="14">
        <f>INDEX(BIO!A:E,MATCH(DATA!D104,BIO!A:A,0),2)</f>
        <v>1</v>
      </c>
      <c r="L104" s="15">
        <f t="shared" si="1"/>
        <v>0</v>
      </c>
      <c r="M104" s="14">
        <f>INDEX('JULY VISIT'!A:B,MATCH(DATA!D104,'JULY VISIT'!A:A,0),2)</f>
        <v>0</v>
      </c>
    </row>
    <row r="105" spans="1:13">
      <c r="A105" s="1" t="s">
        <v>1</v>
      </c>
      <c r="B105" s="1" t="s">
        <v>5</v>
      </c>
      <c r="C105" s="1" t="s">
        <v>119</v>
      </c>
      <c r="D105" s="7">
        <v>12331450</v>
      </c>
      <c r="E105" s="1" t="s">
        <v>10</v>
      </c>
      <c r="F105" s="10">
        <f>_xlfn.IFNA(INDEX('LMTD OSA | 3GB'!A:C,MATCH(DATA!D105,'LMTD OSA | 3GB'!A:A,0),2),0)</f>
        <v>0</v>
      </c>
      <c r="G105" s="10">
        <f>INDEX('LMTD OSA | 3GB'!A:C,MATCH(DATA!D105,'LMTD OSA | 3GB'!A:A,0),3)</f>
        <v>200000</v>
      </c>
      <c r="H105" s="11" t="str">
        <f>INDEX('MTD OSA | 3GB'!B:D,MATCH(DATA!D105,'MTD OSA | 3GB'!B:B,0),2)</f>
        <v xml:space="preserve"> -   </v>
      </c>
      <c r="I105" s="12">
        <f>INDEX('MTD OSA | 3GB'!B:D,MATCH(DATA!D105,'MTD OSA | 3GB'!B:B,0),3)</f>
        <v>200000</v>
      </c>
      <c r="J105" s="12">
        <f>INDEX(BIO!A:E,MATCH(DATA!D105,BIO!A:A,0),3)</f>
        <v>1</v>
      </c>
      <c r="K105" s="14">
        <f>INDEX(BIO!A:E,MATCH(DATA!D105,BIO!A:A,0),2)</f>
        <v>0</v>
      </c>
      <c r="L105" s="15">
        <f t="shared" si="1"/>
        <v>0</v>
      </c>
      <c r="M105" s="14">
        <f>INDEX('JULY VISIT'!A:B,MATCH(DATA!D105,'JULY VISIT'!A:A,0),2)</f>
        <v>0</v>
      </c>
    </row>
    <row r="106" spans="1:13">
      <c r="A106" s="1" t="s">
        <v>1</v>
      </c>
      <c r="B106" s="1" t="s">
        <v>5</v>
      </c>
      <c r="C106" s="1" t="s">
        <v>120</v>
      </c>
      <c r="D106" s="7">
        <v>12332670</v>
      </c>
      <c r="E106" s="1" t="s">
        <v>10</v>
      </c>
      <c r="F106" s="10">
        <f>_xlfn.IFNA(INDEX('LMTD OSA | 3GB'!A:C,MATCH(DATA!D106,'LMTD OSA | 3GB'!A:A,0),2),0)</f>
        <v>0</v>
      </c>
      <c r="G106" s="10">
        <f>INDEX('LMTD OSA | 3GB'!A:C,MATCH(DATA!D106,'LMTD OSA | 3GB'!A:A,0),3)</f>
        <v>1915000</v>
      </c>
      <c r="H106" s="11" t="str">
        <f>INDEX('MTD OSA | 3GB'!B:D,MATCH(DATA!D106,'MTD OSA | 3GB'!B:B,0),2)</f>
        <v xml:space="preserve"> -   </v>
      </c>
      <c r="I106" s="12">
        <f>INDEX('MTD OSA | 3GB'!B:D,MATCH(DATA!D106,'MTD OSA | 3GB'!B:B,0),3)</f>
        <v>1080000</v>
      </c>
      <c r="J106" s="12">
        <f>INDEX(BIO!A:E,MATCH(DATA!D106,BIO!A:A,0),3)</f>
        <v>1</v>
      </c>
      <c r="K106" s="14">
        <f>INDEX(BIO!A:E,MATCH(DATA!D106,BIO!A:A,0),2)</f>
        <v>5</v>
      </c>
      <c r="L106" s="15">
        <f t="shared" si="1"/>
        <v>4</v>
      </c>
      <c r="M106" s="14">
        <f>INDEX('JULY VISIT'!A:B,MATCH(DATA!D106,'JULY VISIT'!A:A,0),2)</f>
        <v>0</v>
      </c>
    </row>
    <row r="107" spans="1:13">
      <c r="A107" s="1" t="s">
        <v>1</v>
      </c>
      <c r="B107" s="1" t="s">
        <v>5</v>
      </c>
      <c r="C107" s="1" t="s">
        <v>121</v>
      </c>
      <c r="D107" s="7">
        <v>12332811</v>
      </c>
      <c r="E107" s="1" t="s">
        <v>10</v>
      </c>
      <c r="F107" s="10">
        <f>_xlfn.IFNA(INDEX('LMTD OSA | 3GB'!A:C,MATCH(DATA!D107,'LMTD OSA | 3GB'!A:A,0),2),0)</f>
        <v>0</v>
      </c>
      <c r="G107" s="10">
        <f>INDEX('LMTD OSA | 3GB'!A:C,MATCH(DATA!D107,'LMTD OSA | 3GB'!A:A,0),3)</f>
        <v>0</v>
      </c>
      <c r="H107" s="11" t="str">
        <f>INDEX('MTD OSA | 3GB'!B:D,MATCH(DATA!D107,'MTD OSA | 3GB'!B:B,0),2)</f>
        <v xml:space="preserve"> -   </v>
      </c>
      <c r="I107" s="12" t="str">
        <f>INDEX('MTD OSA | 3GB'!B:D,MATCH(DATA!D107,'MTD OSA | 3GB'!B:B,0),3)</f>
        <v xml:space="preserve"> -   </v>
      </c>
      <c r="J107" s="12">
        <f>INDEX(BIO!A:E,MATCH(DATA!D107,BIO!A:A,0),3)</f>
        <v>0</v>
      </c>
      <c r="K107" s="14">
        <f>INDEX(BIO!A:E,MATCH(DATA!D107,BIO!A:A,0),2)</f>
        <v>0</v>
      </c>
      <c r="L107" s="15">
        <f t="shared" si="1"/>
        <v>0</v>
      </c>
      <c r="M107" s="14">
        <f>INDEX('JULY VISIT'!A:B,MATCH(DATA!D107,'JULY VISIT'!A:A,0),2)</f>
        <v>0</v>
      </c>
    </row>
    <row r="108" spans="1:13">
      <c r="A108" s="1" t="s">
        <v>1</v>
      </c>
      <c r="B108" s="1" t="s">
        <v>5</v>
      </c>
      <c r="C108" s="1" t="s">
        <v>122</v>
      </c>
      <c r="D108" s="7">
        <v>12333237</v>
      </c>
      <c r="E108" s="1" t="s">
        <v>10</v>
      </c>
      <c r="F108" s="10">
        <f>_xlfn.IFNA(INDEX('LMTD OSA | 3GB'!A:C,MATCH(DATA!D108,'LMTD OSA | 3GB'!A:A,0),2),0)</f>
        <v>5</v>
      </c>
      <c r="G108" s="10">
        <f>INDEX('LMTD OSA | 3GB'!A:C,MATCH(DATA!D108,'LMTD OSA | 3GB'!A:A,0),3)</f>
        <v>100000</v>
      </c>
      <c r="H108" s="11">
        <f>INDEX('MTD OSA | 3GB'!B:D,MATCH(DATA!D108,'MTD OSA | 3GB'!B:B,0),2)</f>
        <v>4</v>
      </c>
      <c r="I108" s="12">
        <f>INDEX('MTD OSA | 3GB'!B:D,MATCH(DATA!D108,'MTD OSA | 3GB'!B:B,0),3)</f>
        <v>316000</v>
      </c>
      <c r="J108" s="12">
        <f>INDEX(BIO!A:E,MATCH(DATA!D108,BIO!A:A,0),3)</f>
        <v>1</v>
      </c>
      <c r="K108" s="14">
        <f>INDEX(BIO!A:E,MATCH(DATA!D108,BIO!A:A,0),2)</f>
        <v>8</v>
      </c>
      <c r="L108" s="15">
        <f t="shared" si="1"/>
        <v>7</v>
      </c>
      <c r="M108" s="14">
        <f>INDEX('JULY VISIT'!A:B,MATCH(DATA!D108,'JULY VISIT'!A:A,0),2)</f>
        <v>0</v>
      </c>
    </row>
    <row r="109" spans="1:13">
      <c r="A109" s="1" t="s">
        <v>1</v>
      </c>
      <c r="B109" s="1" t="s">
        <v>5</v>
      </c>
      <c r="C109" s="1" t="s">
        <v>123</v>
      </c>
      <c r="D109" s="7">
        <v>12334635</v>
      </c>
      <c r="E109" s="1" t="s">
        <v>10</v>
      </c>
      <c r="F109" s="10">
        <f>_xlfn.IFNA(INDEX('LMTD OSA | 3GB'!A:C,MATCH(DATA!D109,'LMTD OSA | 3GB'!A:A,0),2),0)</f>
        <v>4</v>
      </c>
      <c r="G109" s="10">
        <f>INDEX('LMTD OSA | 3GB'!A:C,MATCH(DATA!D109,'LMTD OSA | 3GB'!A:A,0),3)</f>
        <v>58616000</v>
      </c>
      <c r="H109" s="11">
        <f>INDEX('MTD OSA | 3GB'!B:D,MATCH(DATA!D109,'MTD OSA | 3GB'!B:B,0),2)</f>
        <v>5</v>
      </c>
      <c r="I109" s="12">
        <f>INDEX('MTD OSA | 3GB'!B:D,MATCH(DATA!D109,'MTD OSA | 3GB'!B:B,0),3)</f>
        <v>39377000</v>
      </c>
      <c r="J109" s="12">
        <f>INDEX(BIO!A:E,MATCH(DATA!D109,BIO!A:A,0),3)</f>
        <v>1</v>
      </c>
      <c r="K109" s="14">
        <f>INDEX(BIO!A:E,MATCH(DATA!D109,BIO!A:A,0),2)</f>
        <v>0</v>
      </c>
      <c r="L109" s="15">
        <f t="shared" si="1"/>
        <v>0</v>
      </c>
      <c r="M109" s="14">
        <f>INDEX('JULY VISIT'!A:B,MATCH(DATA!D109,'JULY VISIT'!A:A,0),2)</f>
        <v>1</v>
      </c>
    </row>
    <row r="110" spans="1:13">
      <c r="A110" s="1" t="s">
        <v>1</v>
      </c>
      <c r="B110" s="1" t="s">
        <v>5</v>
      </c>
      <c r="C110" s="1" t="s">
        <v>124</v>
      </c>
      <c r="D110" s="7">
        <v>12334637</v>
      </c>
      <c r="E110" s="1" t="s">
        <v>10</v>
      </c>
      <c r="F110" s="10">
        <f>_xlfn.IFNA(INDEX('LMTD OSA | 3GB'!A:C,MATCH(DATA!D110,'LMTD OSA | 3GB'!A:A,0),2),0)</f>
        <v>4</v>
      </c>
      <c r="G110" s="10">
        <f>INDEX('LMTD OSA | 3GB'!A:C,MATCH(DATA!D110,'LMTD OSA | 3GB'!A:A,0),3)</f>
        <v>46616000</v>
      </c>
      <c r="H110" s="11">
        <f>INDEX('MTD OSA | 3GB'!B:D,MATCH(DATA!D110,'MTD OSA | 3GB'!B:B,0),2)</f>
        <v>13</v>
      </c>
      <c r="I110" s="12">
        <f>INDEX('MTD OSA | 3GB'!B:D,MATCH(DATA!D110,'MTD OSA | 3GB'!B:B,0),3)</f>
        <v>15595000</v>
      </c>
      <c r="J110" s="12">
        <f>INDEX(BIO!A:E,MATCH(DATA!D110,BIO!A:A,0),3)</f>
        <v>1</v>
      </c>
      <c r="K110" s="14">
        <f>INDEX(BIO!A:E,MATCH(DATA!D110,BIO!A:A,0),2)</f>
        <v>2</v>
      </c>
      <c r="L110" s="15">
        <f t="shared" si="1"/>
        <v>1</v>
      </c>
      <c r="M110" s="14">
        <f>INDEX('JULY VISIT'!A:B,MATCH(DATA!D110,'JULY VISIT'!A:A,0),2)</f>
        <v>0</v>
      </c>
    </row>
    <row r="111" spans="1:13">
      <c r="A111" s="1" t="s">
        <v>1</v>
      </c>
      <c r="B111" s="1" t="s">
        <v>5</v>
      </c>
      <c r="C111" s="1" t="s">
        <v>125</v>
      </c>
      <c r="D111" s="7">
        <v>126963</v>
      </c>
      <c r="E111" s="1" t="s">
        <v>10</v>
      </c>
      <c r="F111" s="10">
        <f>_xlfn.IFNA(INDEX('LMTD OSA | 3GB'!A:C,MATCH(DATA!D111,'LMTD OSA | 3GB'!A:A,0),2),0)</f>
        <v>6</v>
      </c>
      <c r="G111" s="10">
        <f>INDEX('LMTD OSA | 3GB'!A:C,MATCH(DATA!D111,'LMTD OSA | 3GB'!A:A,0),3)</f>
        <v>800000</v>
      </c>
      <c r="H111" s="11">
        <f>INDEX('MTD OSA | 3GB'!B:D,MATCH(DATA!D111,'MTD OSA | 3GB'!B:B,0),2)</f>
        <v>4</v>
      </c>
      <c r="I111" s="12">
        <f>INDEX('MTD OSA | 3GB'!B:D,MATCH(DATA!D111,'MTD OSA | 3GB'!B:B,0),3)</f>
        <v>516000</v>
      </c>
      <c r="J111" s="12">
        <f>INDEX(BIO!A:E,MATCH(DATA!D111,BIO!A:A,0),3)</f>
        <v>1</v>
      </c>
      <c r="K111" s="14">
        <f>INDEX(BIO!A:E,MATCH(DATA!D111,BIO!A:A,0),2)</f>
        <v>0</v>
      </c>
      <c r="L111" s="15">
        <f t="shared" si="1"/>
        <v>0</v>
      </c>
      <c r="M111" s="14">
        <f>INDEX('JULY VISIT'!A:B,MATCH(DATA!D111,'JULY VISIT'!A:A,0),2)</f>
        <v>0</v>
      </c>
    </row>
    <row r="112" spans="1:13">
      <c r="A112" s="1" t="s">
        <v>1</v>
      </c>
      <c r="B112" s="1" t="s">
        <v>5</v>
      </c>
      <c r="C112" s="1" t="s">
        <v>126</v>
      </c>
      <c r="D112" s="7">
        <v>127198</v>
      </c>
      <c r="E112" s="1" t="s">
        <v>10</v>
      </c>
      <c r="F112" s="10">
        <f>_xlfn.IFNA(INDEX('LMTD OSA | 3GB'!A:C,MATCH(DATA!D112,'LMTD OSA | 3GB'!A:A,0),2),0)</f>
        <v>29</v>
      </c>
      <c r="G112" s="10">
        <f>INDEX('LMTD OSA | 3GB'!A:C,MATCH(DATA!D112,'LMTD OSA | 3GB'!A:A,0),3)</f>
        <v>4986000</v>
      </c>
      <c r="H112" s="11">
        <f>INDEX('MTD OSA | 3GB'!B:D,MATCH(DATA!D112,'MTD OSA | 3GB'!B:B,0),2)</f>
        <v>4</v>
      </c>
      <c r="I112" s="12">
        <f>INDEX('MTD OSA | 3GB'!B:D,MATCH(DATA!D112,'MTD OSA | 3GB'!B:B,0),3)</f>
        <v>4290000</v>
      </c>
      <c r="J112" s="12">
        <f>INDEX(BIO!A:E,MATCH(DATA!D112,BIO!A:A,0),3)</f>
        <v>2</v>
      </c>
      <c r="K112" s="14">
        <f>INDEX(BIO!A:E,MATCH(DATA!D112,BIO!A:A,0),2)</f>
        <v>14</v>
      </c>
      <c r="L112" s="15">
        <f t="shared" si="1"/>
        <v>12</v>
      </c>
      <c r="M112" s="14">
        <f>INDEX('JULY VISIT'!A:B,MATCH(DATA!D112,'JULY VISIT'!A:A,0),2)</f>
        <v>0</v>
      </c>
    </row>
    <row r="113" spans="1:13">
      <c r="A113" s="1" t="s">
        <v>1</v>
      </c>
      <c r="B113" s="1" t="s">
        <v>5</v>
      </c>
      <c r="C113" s="1" t="s">
        <v>127</v>
      </c>
      <c r="D113" s="7">
        <v>195918</v>
      </c>
      <c r="E113" s="1" t="s">
        <v>10</v>
      </c>
      <c r="F113" s="10">
        <f>_xlfn.IFNA(INDEX('LMTD OSA | 3GB'!A:C,MATCH(DATA!D113,'LMTD OSA | 3GB'!A:A,0),2),0)</f>
        <v>3</v>
      </c>
      <c r="G113" s="10">
        <f>INDEX('LMTD OSA | 3GB'!A:C,MATCH(DATA!D113,'LMTD OSA | 3GB'!A:A,0),3)</f>
        <v>13580000</v>
      </c>
      <c r="H113" s="11" t="str">
        <f>INDEX('MTD OSA | 3GB'!B:D,MATCH(DATA!D113,'MTD OSA | 3GB'!B:B,0),2)</f>
        <v xml:space="preserve"> -   </v>
      </c>
      <c r="I113" s="12">
        <f>INDEX('MTD OSA | 3GB'!B:D,MATCH(DATA!D113,'MTD OSA | 3GB'!B:B,0),3)</f>
        <v>12336999</v>
      </c>
      <c r="J113" s="12">
        <f>INDEX(BIO!A:E,MATCH(DATA!D113,BIO!A:A,0),3)</f>
        <v>0</v>
      </c>
      <c r="K113" s="14">
        <f>INDEX(BIO!A:E,MATCH(DATA!D113,BIO!A:A,0),2)</f>
        <v>4</v>
      </c>
      <c r="L113" s="15">
        <f t="shared" si="1"/>
        <v>4</v>
      </c>
      <c r="M113" s="14">
        <f>INDEX('JULY VISIT'!A:B,MATCH(DATA!D113,'JULY VISIT'!A:A,0),2)</f>
        <v>0</v>
      </c>
    </row>
    <row r="114" spans="1:13">
      <c r="A114" s="1" t="s">
        <v>1</v>
      </c>
      <c r="B114" s="1" t="s">
        <v>5</v>
      </c>
      <c r="C114" s="1" t="s">
        <v>128</v>
      </c>
      <c r="D114" s="7">
        <v>199020</v>
      </c>
      <c r="E114" s="1" t="s">
        <v>10</v>
      </c>
      <c r="F114" s="10">
        <f>_xlfn.IFNA(INDEX('LMTD OSA | 3GB'!A:C,MATCH(DATA!D114,'LMTD OSA | 3GB'!A:A,0),2),0)</f>
        <v>0</v>
      </c>
      <c r="G114" s="10">
        <f>INDEX('LMTD OSA | 3GB'!A:C,MATCH(DATA!D114,'LMTD OSA | 3GB'!A:A,0),3)</f>
        <v>700000</v>
      </c>
      <c r="H114" s="11" t="str">
        <f>INDEX('MTD OSA | 3GB'!B:D,MATCH(DATA!D114,'MTD OSA | 3GB'!B:B,0),2)</f>
        <v xml:space="preserve"> -   </v>
      </c>
      <c r="I114" s="12">
        <f>INDEX('MTD OSA | 3GB'!B:D,MATCH(DATA!D114,'MTD OSA | 3GB'!B:B,0),3)</f>
        <v>500000</v>
      </c>
      <c r="J114" s="12">
        <f>INDEX(BIO!A:E,MATCH(DATA!D114,BIO!A:A,0),3)</f>
        <v>1</v>
      </c>
      <c r="K114" s="14">
        <f>INDEX(BIO!A:E,MATCH(DATA!D114,BIO!A:A,0),2)</f>
        <v>0</v>
      </c>
      <c r="L114" s="15">
        <f t="shared" si="1"/>
        <v>0</v>
      </c>
      <c r="M114" s="14">
        <f>INDEX('JULY VISIT'!A:B,MATCH(DATA!D114,'JULY VISIT'!A:A,0),2)</f>
        <v>0</v>
      </c>
    </row>
    <row r="115" spans="1:13">
      <c r="A115" s="1" t="s">
        <v>1</v>
      </c>
      <c r="B115" s="1" t="s">
        <v>5</v>
      </c>
      <c r="C115" s="1" t="s">
        <v>129</v>
      </c>
      <c r="D115" s="7">
        <v>240084</v>
      </c>
      <c r="E115" s="1" t="s">
        <v>10</v>
      </c>
      <c r="F115" s="10">
        <f>_xlfn.IFNA(INDEX('LMTD OSA | 3GB'!A:C,MATCH(DATA!D115,'LMTD OSA | 3GB'!A:A,0),2),0)</f>
        <v>0</v>
      </c>
      <c r="G115" s="10">
        <f>INDEX('LMTD OSA | 3GB'!A:C,MATCH(DATA!D115,'LMTD OSA | 3GB'!A:A,0),3)</f>
        <v>11500000</v>
      </c>
      <c r="H115" s="11" t="str">
        <f>INDEX('MTD OSA | 3GB'!B:D,MATCH(DATA!D115,'MTD OSA | 3GB'!B:B,0),2)</f>
        <v xml:space="preserve"> -   </v>
      </c>
      <c r="I115" s="12">
        <f>INDEX('MTD OSA | 3GB'!B:D,MATCH(DATA!D115,'MTD OSA | 3GB'!B:B,0),3)</f>
        <v>10000000</v>
      </c>
      <c r="J115" s="12">
        <f>INDEX(BIO!A:E,MATCH(DATA!D115,BIO!A:A,0),3)</f>
        <v>0</v>
      </c>
      <c r="K115" s="14">
        <f>INDEX(BIO!A:E,MATCH(DATA!D115,BIO!A:A,0),2)</f>
        <v>0</v>
      </c>
      <c r="L115" s="15">
        <f t="shared" si="1"/>
        <v>0</v>
      </c>
      <c r="M115" s="14">
        <f>INDEX('JULY VISIT'!A:B,MATCH(DATA!D115,'JULY VISIT'!A:A,0),2)</f>
        <v>0</v>
      </c>
    </row>
    <row r="116" spans="1:13">
      <c r="A116" s="1" t="s">
        <v>1</v>
      </c>
      <c r="B116" s="1" t="s">
        <v>5</v>
      </c>
      <c r="C116" s="1" t="s">
        <v>130</v>
      </c>
      <c r="D116" s="7">
        <v>240713</v>
      </c>
      <c r="E116" s="1" t="s">
        <v>10</v>
      </c>
      <c r="F116" s="10">
        <f>_xlfn.IFNA(INDEX('LMTD OSA | 3GB'!A:C,MATCH(DATA!D116,'LMTD OSA | 3GB'!A:A,0),2),0)</f>
        <v>6</v>
      </c>
      <c r="G116" s="10">
        <f>INDEX('LMTD OSA | 3GB'!A:C,MATCH(DATA!D116,'LMTD OSA | 3GB'!A:A,0),3)</f>
        <v>8700000</v>
      </c>
      <c r="H116" s="11">
        <f>INDEX('MTD OSA | 3GB'!B:D,MATCH(DATA!D116,'MTD OSA | 3GB'!B:B,0),2)</f>
        <v>4</v>
      </c>
      <c r="I116" s="12">
        <f>INDEX('MTD OSA | 3GB'!B:D,MATCH(DATA!D116,'MTD OSA | 3GB'!B:B,0),3)</f>
        <v>6866000</v>
      </c>
      <c r="J116" s="12">
        <f>INDEX(BIO!A:E,MATCH(DATA!D116,BIO!A:A,0),3)</f>
        <v>1</v>
      </c>
      <c r="K116" s="14">
        <f>INDEX(BIO!A:E,MATCH(DATA!D116,BIO!A:A,0),2)</f>
        <v>1</v>
      </c>
      <c r="L116" s="15">
        <f t="shared" si="1"/>
        <v>0</v>
      </c>
      <c r="M116" s="14">
        <f>INDEX('JULY VISIT'!A:B,MATCH(DATA!D116,'JULY VISIT'!A:A,0),2)</f>
        <v>1</v>
      </c>
    </row>
    <row r="117" spans="1:13">
      <c r="A117" s="1" t="s">
        <v>1</v>
      </c>
      <c r="B117" s="1" t="s">
        <v>5</v>
      </c>
      <c r="C117" s="1" t="s">
        <v>131</v>
      </c>
      <c r="D117" s="7">
        <v>304264</v>
      </c>
      <c r="E117" s="1" t="s">
        <v>15</v>
      </c>
      <c r="F117" s="10">
        <f>_xlfn.IFNA(INDEX('LMTD OSA | 3GB'!A:C,MATCH(DATA!D117,'LMTD OSA | 3GB'!A:A,0),2),0)</f>
        <v>0</v>
      </c>
      <c r="G117" s="10">
        <f>INDEX('LMTD OSA | 3GB'!A:C,MATCH(DATA!D117,'LMTD OSA | 3GB'!A:A,0),3)</f>
        <v>529000</v>
      </c>
      <c r="H117" s="11" t="str">
        <f>INDEX('MTD OSA | 3GB'!B:D,MATCH(DATA!D117,'MTD OSA | 3GB'!B:B,0),2)</f>
        <v xml:space="preserve"> -   </v>
      </c>
      <c r="I117" s="12">
        <f>INDEX('MTD OSA | 3GB'!B:D,MATCH(DATA!D117,'MTD OSA | 3GB'!B:B,0),3)</f>
        <v>500000</v>
      </c>
      <c r="J117" s="12">
        <f>INDEX(BIO!A:E,MATCH(DATA!D117,BIO!A:A,0),3)</f>
        <v>1</v>
      </c>
      <c r="K117" s="14">
        <f>INDEX(BIO!A:E,MATCH(DATA!D117,BIO!A:A,0),2)</f>
        <v>1</v>
      </c>
      <c r="L117" s="15">
        <f t="shared" si="1"/>
        <v>0</v>
      </c>
      <c r="M117" s="14">
        <f>INDEX('JULY VISIT'!A:B,MATCH(DATA!D117,'JULY VISIT'!A:A,0),2)</f>
        <v>0</v>
      </c>
    </row>
    <row r="118" spans="1:13">
      <c r="A118" s="1" t="s">
        <v>1</v>
      </c>
      <c r="B118" s="1" t="s">
        <v>5</v>
      </c>
      <c r="C118" s="1" t="s">
        <v>132</v>
      </c>
      <c r="D118" s="7">
        <v>342829</v>
      </c>
      <c r="E118" s="1" t="s">
        <v>10</v>
      </c>
      <c r="F118" s="10">
        <f>_xlfn.IFNA(INDEX('LMTD OSA | 3GB'!A:C,MATCH(DATA!D118,'LMTD OSA | 3GB'!A:A,0),2),0)</f>
        <v>4</v>
      </c>
      <c r="G118" s="10">
        <f>INDEX('LMTD OSA | 3GB'!A:C,MATCH(DATA!D118,'LMTD OSA | 3GB'!A:A,0),3)</f>
        <v>2400000</v>
      </c>
      <c r="H118" s="11">
        <f>INDEX('MTD OSA | 3GB'!B:D,MATCH(DATA!D118,'MTD OSA | 3GB'!B:B,0),2)</f>
        <v>3</v>
      </c>
      <c r="I118" s="12">
        <f>INDEX('MTD OSA | 3GB'!B:D,MATCH(DATA!D118,'MTD OSA | 3GB'!B:B,0),3)</f>
        <v>2587000</v>
      </c>
      <c r="J118" s="12">
        <f>INDEX(BIO!A:E,MATCH(DATA!D118,BIO!A:A,0),3)</f>
        <v>2</v>
      </c>
      <c r="K118" s="14">
        <f>INDEX(BIO!A:E,MATCH(DATA!D118,BIO!A:A,0),2)</f>
        <v>1</v>
      </c>
      <c r="L118" s="15">
        <f t="shared" si="1"/>
        <v>0</v>
      </c>
      <c r="M118" s="14">
        <f>INDEX('JULY VISIT'!A:B,MATCH(DATA!D118,'JULY VISIT'!A:A,0),2)</f>
        <v>0</v>
      </c>
    </row>
    <row r="119" spans="1:13">
      <c r="A119" s="1" t="s">
        <v>1</v>
      </c>
      <c r="B119" s="1" t="s">
        <v>5</v>
      </c>
      <c r="C119" s="1" t="s">
        <v>133</v>
      </c>
      <c r="D119" s="7">
        <v>345427</v>
      </c>
      <c r="E119" s="1" t="s">
        <v>10</v>
      </c>
      <c r="F119" s="10">
        <f>_xlfn.IFNA(INDEX('LMTD OSA | 3GB'!A:C,MATCH(DATA!D119,'LMTD OSA | 3GB'!A:A,0),2),0)</f>
        <v>8</v>
      </c>
      <c r="G119" s="10">
        <f>INDEX('LMTD OSA | 3GB'!A:C,MATCH(DATA!D119,'LMTD OSA | 3GB'!A:A,0),3)</f>
        <v>1800000</v>
      </c>
      <c r="H119" s="11">
        <f>INDEX('MTD OSA | 3GB'!B:D,MATCH(DATA!D119,'MTD OSA | 3GB'!B:B,0),2)</f>
        <v>4</v>
      </c>
      <c r="I119" s="12">
        <f>INDEX('MTD OSA | 3GB'!B:D,MATCH(DATA!D119,'MTD OSA | 3GB'!B:B,0),3)</f>
        <v>1316000</v>
      </c>
      <c r="J119" s="12">
        <f>INDEX(BIO!A:E,MATCH(DATA!D119,BIO!A:A,0),3)</f>
        <v>1</v>
      </c>
      <c r="K119" s="14">
        <f>INDEX(BIO!A:E,MATCH(DATA!D119,BIO!A:A,0),2)</f>
        <v>0</v>
      </c>
      <c r="L119" s="15">
        <f t="shared" si="1"/>
        <v>0</v>
      </c>
      <c r="M119" s="14">
        <f>INDEX('JULY VISIT'!A:B,MATCH(DATA!D119,'JULY VISIT'!A:A,0),2)</f>
        <v>0</v>
      </c>
    </row>
    <row r="120" spans="1:13">
      <c r="A120" s="1" t="s">
        <v>1</v>
      </c>
      <c r="B120" s="1" t="s">
        <v>5</v>
      </c>
      <c r="C120" s="1" t="s">
        <v>134</v>
      </c>
      <c r="D120" s="7">
        <v>352167</v>
      </c>
      <c r="E120" s="1" t="s">
        <v>10</v>
      </c>
      <c r="F120" s="10">
        <f>_xlfn.IFNA(INDEX('LMTD OSA | 3GB'!A:C,MATCH(DATA!D120,'LMTD OSA | 3GB'!A:A,0),2),0)</f>
        <v>0</v>
      </c>
      <c r="G120" s="10">
        <f>INDEX('LMTD OSA | 3GB'!A:C,MATCH(DATA!D120,'LMTD OSA | 3GB'!A:A,0),3)</f>
        <v>998000</v>
      </c>
      <c r="H120" s="11" t="str">
        <f>INDEX('MTD OSA | 3GB'!B:D,MATCH(DATA!D120,'MTD OSA | 3GB'!B:B,0),2)</f>
        <v xml:space="preserve"> -   </v>
      </c>
      <c r="I120" s="12">
        <f>INDEX('MTD OSA | 3GB'!B:D,MATCH(DATA!D120,'MTD OSA | 3GB'!B:B,0),3)</f>
        <v>600000</v>
      </c>
      <c r="J120" s="12">
        <f>INDEX(BIO!A:E,MATCH(DATA!D120,BIO!A:A,0),3)</f>
        <v>0</v>
      </c>
      <c r="K120" s="14">
        <f>INDEX(BIO!A:E,MATCH(DATA!D120,BIO!A:A,0),2)</f>
        <v>1</v>
      </c>
      <c r="L120" s="15">
        <f t="shared" si="1"/>
        <v>1</v>
      </c>
      <c r="M120" s="14">
        <f>INDEX('JULY VISIT'!A:B,MATCH(DATA!D120,'JULY VISIT'!A:A,0),2)</f>
        <v>0</v>
      </c>
    </row>
    <row r="121" spans="1:13">
      <c r="A121" s="1" t="s">
        <v>1</v>
      </c>
      <c r="B121" s="1" t="s">
        <v>5</v>
      </c>
      <c r="C121" s="1" t="s">
        <v>135</v>
      </c>
      <c r="D121" s="7">
        <v>396176</v>
      </c>
      <c r="E121" s="1" t="s">
        <v>10</v>
      </c>
      <c r="F121" s="10">
        <f>_xlfn.IFNA(INDEX('LMTD OSA | 3GB'!A:C,MATCH(DATA!D121,'LMTD OSA | 3GB'!A:A,0),2),0)</f>
        <v>0</v>
      </c>
      <c r="G121" s="10">
        <f>INDEX('LMTD OSA | 3GB'!A:C,MATCH(DATA!D121,'LMTD OSA | 3GB'!A:A,0),3)</f>
        <v>0</v>
      </c>
      <c r="H121" s="11" t="str">
        <f>INDEX('MTD OSA | 3GB'!B:D,MATCH(DATA!D121,'MTD OSA | 3GB'!B:B,0),2)</f>
        <v xml:space="preserve"> -   </v>
      </c>
      <c r="I121" s="12">
        <f>INDEX('MTD OSA | 3GB'!B:D,MATCH(DATA!D121,'MTD OSA | 3GB'!B:B,0),3)</f>
        <v>100000</v>
      </c>
      <c r="J121" s="12">
        <f>INDEX(BIO!A:E,MATCH(DATA!D121,BIO!A:A,0),3)</f>
        <v>0</v>
      </c>
      <c r="K121" s="14">
        <f>INDEX(BIO!A:E,MATCH(DATA!D121,BIO!A:A,0),2)</f>
        <v>1</v>
      </c>
      <c r="L121" s="15">
        <f t="shared" si="1"/>
        <v>1</v>
      </c>
      <c r="M121" s="14">
        <f>INDEX('JULY VISIT'!A:B,MATCH(DATA!D121,'JULY VISIT'!A:A,0),2)</f>
        <v>0</v>
      </c>
    </row>
    <row r="122" spans="1:13">
      <c r="A122" s="1" t="s">
        <v>1</v>
      </c>
      <c r="B122" s="1" t="s">
        <v>5</v>
      </c>
      <c r="C122" s="1" t="s">
        <v>136</v>
      </c>
      <c r="D122" s="7">
        <v>401031</v>
      </c>
      <c r="E122" s="1" t="s">
        <v>10</v>
      </c>
      <c r="F122" s="10">
        <f>_xlfn.IFNA(INDEX('LMTD OSA | 3GB'!A:C,MATCH(DATA!D122,'LMTD OSA | 3GB'!A:A,0),2),0)</f>
        <v>6</v>
      </c>
      <c r="G122" s="10">
        <f>INDEX('LMTD OSA | 3GB'!A:C,MATCH(DATA!D122,'LMTD OSA | 3GB'!A:A,0),3)</f>
        <v>2550000</v>
      </c>
      <c r="H122" s="11" t="str">
        <f>INDEX('MTD OSA | 3GB'!B:D,MATCH(DATA!D122,'MTD OSA | 3GB'!B:B,0),2)</f>
        <v xml:space="preserve"> -   </v>
      </c>
      <c r="I122" s="12">
        <f>INDEX('MTD OSA | 3GB'!B:D,MATCH(DATA!D122,'MTD OSA | 3GB'!B:B,0),3)</f>
        <v>2000000</v>
      </c>
      <c r="J122" s="12">
        <f>INDEX(BIO!A:E,MATCH(DATA!D122,BIO!A:A,0),3)</f>
        <v>0</v>
      </c>
      <c r="K122" s="14">
        <f>INDEX(BIO!A:E,MATCH(DATA!D122,BIO!A:A,0),2)</f>
        <v>0</v>
      </c>
      <c r="L122" s="15">
        <f t="shared" si="1"/>
        <v>0</v>
      </c>
      <c r="M122" s="14">
        <f>INDEX('JULY VISIT'!A:B,MATCH(DATA!D122,'JULY VISIT'!A:A,0),2)</f>
        <v>0</v>
      </c>
    </row>
    <row r="123" spans="1:13">
      <c r="A123" s="1" t="s">
        <v>1</v>
      </c>
      <c r="B123" s="1" t="s">
        <v>5</v>
      </c>
      <c r="C123" s="1" t="s">
        <v>137</v>
      </c>
      <c r="D123" s="7">
        <v>471389</v>
      </c>
      <c r="E123" s="1" t="s">
        <v>10</v>
      </c>
      <c r="F123" s="10">
        <f>_xlfn.IFNA(INDEX('LMTD OSA | 3GB'!A:C,MATCH(DATA!D123,'LMTD OSA | 3GB'!A:A,0),2),0)</f>
        <v>0</v>
      </c>
      <c r="G123" s="10">
        <f>INDEX('LMTD OSA | 3GB'!A:C,MATCH(DATA!D123,'LMTD OSA | 3GB'!A:A,0),3)</f>
        <v>200000</v>
      </c>
      <c r="H123" s="11" t="str">
        <f>INDEX('MTD OSA | 3GB'!B:D,MATCH(DATA!D123,'MTD OSA | 3GB'!B:B,0),2)</f>
        <v xml:space="preserve"> -   </v>
      </c>
      <c r="I123" s="12">
        <f>INDEX('MTD OSA | 3GB'!B:D,MATCH(DATA!D123,'MTD OSA | 3GB'!B:B,0),3)</f>
        <v>200000</v>
      </c>
      <c r="J123" s="12">
        <f>INDEX(BIO!A:E,MATCH(DATA!D123,BIO!A:A,0),3)</f>
        <v>1</v>
      </c>
      <c r="K123" s="14">
        <f>INDEX(BIO!A:E,MATCH(DATA!D123,BIO!A:A,0),2)</f>
        <v>1</v>
      </c>
      <c r="L123" s="15">
        <f t="shared" si="1"/>
        <v>0</v>
      </c>
      <c r="M123" s="14">
        <f>INDEX('JULY VISIT'!A:B,MATCH(DATA!D123,'JULY VISIT'!A:A,0),2)</f>
        <v>0</v>
      </c>
    </row>
    <row r="124" spans="1:13">
      <c r="A124" s="1" t="s">
        <v>1</v>
      </c>
      <c r="B124" s="1" t="s">
        <v>5</v>
      </c>
      <c r="C124" s="1" t="s">
        <v>138</v>
      </c>
      <c r="D124" s="7">
        <v>477625</v>
      </c>
      <c r="E124" s="1" t="s">
        <v>10</v>
      </c>
      <c r="F124" s="10">
        <f>_xlfn.IFNA(INDEX('LMTD OSA | 3GB'!A:C,MATCH(DATA!D124,'LMTD OSA | 3GB'!A:A,0),2),0)</f>
        <v>0</v>
      </c>
      <c r="G124" s="10">
        <f>INDEX('LMTD OSA | 3GB'!A:C,MATCH(DATA!D124,'LMTD OSA | 3GB'!A:A,0),3)</f>
        <v>0</v>
      </c>
      <c r="H124" s="11" t="str">
        <f>INDEX('MTD OSA | 3GB'!B:D,MATCH(DATA!D124,'MTD OSA | 3GB'!B:B,0),2)</f>
        <v xml:space="preserve"> -   </v>
      </c>
      <c r="I124" s="12" t="str">
        <f>INDEX('MTD OSA | 3GB'!B:D,MATCH(DATA!D124,'MTD OSA | 3GB'!B:B,0),3)</f>
        <v xml:space="preserve"> -   </v>
      </c>
      <c r="J124" s="12">
        <f>INDEX(BIO!A:E,MATCH(DATA!D124,BIO!A:A,0),3)</f>
        <v>0</v>
      </c>
      <c r="K124" s="14">
        <f>INDEX(BIO!A:E,MATCH(DATA!D124,BIO!A:A,0),2)</f>
        <v>0</v>
      </c>
      <c r="L124" s="15">
        <f t="shared" si="1"/>
        <v>0</v>
      </c>
      <c r="M124" s="14">
        <f>INDEX('JULY VISIT'!A:B,MATCH(DATA!D124,'JULY VISIT'!A:A,0),2)</f>
        <v>0</v>
      </c>
    </row>
    <row r="125" spans="1:13">
      <c r="A125" s="1" t="s">
        <v>1</v>
      </c>
      <c r="B125" s="1" t="s">
        <v>5</v>
      </c>
      <c r="C125" s="1" t="s">
        <v>139</v>
      </c>
      <c r="D125" s="7">
        <v>481857</v>
      </c>
      <c r="E125" s="1" t="s">
        <v>10</v>
      </c>
      <c r="F125" s="10">
        <f>_xlfn.IFNA(INDEX('LMTD OSA | 3GB'!A:C,MATCH(DATA!D125,'LMTD OSA | 3GB'!A:A,0),2),0)</f>
        <v>6</v>
      </c>
      <c r="G125" s="10">
        <f>INDEX('LMTD OSA | 3GB'!A:C,MATCH(DATA!D125,'LMTD OSA | 3GB'!A:A,0),3)</f>
        <v>750000</v>
      </c>
      <c r="H125" s="11" t="str">
        <f>INDEX('MTD OSA | 3GB'!B:D,MATCH(DATA!D125,'MTD OSA | 3GB'!B:B,0),2)</f>
        <v xml:space="preserve"> -   </v>
      </c>
      <c r="I125" s="12">
        <f>INDEX('MTD OSA | 3GB'!B:D,MATCH(DATA!D125,'MTD OSA | 3GB'!B:B,0),3)</f>
        <v>200000</v>
      </c>
      <c r="J125" s="12">
        <f>INDEX(BIO!A:E,MATCH(DATA!D125,BIO!A:A,0),3)</f>
        <v>1</v>
      </c>
      <c r="K125" s="14">
        <f>INDEX(BIO!A:E,MATCH(DATA!D125,BIO!A:A,0),2)</f>
        <v>0</v>
      </c>
      <c r="L125" s="15">
        <f t="shared" si="1"/>
        <v>0</v>
      </c>
      <c r="M125" s="14">
        <f>INDEX('JULY VISIT'!A:B,MATCH(DATA!D125,'JULY VISIT'!A:A,0),2)</f>
        <v>0</v>
      </c>
    </row>
    <row r="126" spans="1:13">
      <c r="A126" s="1" t="s">
        <v>1</v>
      </c>
      <c r="B126" s="1" t="s">
        <v>5</v>
      </c>
      <c r="C126" s="1" t="s">
        <v>140</v>
      </c>
      <c r="D126" s="7">
        <v>483240</v>
      </c>
      <c r="E126" s="1" t="s">
        <v>10</v>
      </c>
      <c r="F126" s="10">
        <f>_xlfn.IFNA(INDEX('LMTD OSA | 3GB'!A:C,MATCH(DATA!D126,'LMTD OSA | 3GB'!A:A,0),2),0)</f>
        <v>0</v>
      </c>
      <c r="G126" s="10">
        <f>INDEX('LMTD OSA | 3GB'!A:C,MATCH(DATA!D126,'LMTD OSA | 3GB'!A:A,0),3)</f>
        <v>300000</v>
      </c>
      <c r="H126" s="11" t="str">
        <f>INDEX('MTD OSA | 3GB'!B:D,MATCH(DATA!D126,'MTD OSA | 3GB'!B:B,0),2)</f>
        <v xml:space="preserve"> -   </v>
      </c>
      <c r="I126" s="12">
        <f>INDEX('MTD OSA | 3GB'!B:D,MATCH(DATA!D126,'MTD OSA | 3GB'!B:B,0),3)</f>
        <v>250000</v>
      </c>
      <c r="J126" s="12">
        <f>INDEX(BIO!A:E,MATCH(DATA!D126,BIO!A:A,0),3)</f>
        <v>0</v>
      </c>
      <c r="K126" s="14">
        <f>INDEX(BIO!A:E,MATCH(DATA!D126,BIO!A:A,0),2)</f>
        <v>1</v>
      </c>
      <c r="L126" s="15">
        <f t="shared" si="1"/>
        <v>1</v>
      </c>
      <c r="M126" s="14">
        <f>INDEX('JULY VISIT'!A:B,MATCH(DATA!D126,'JULY VISIT'!A:A,0),2)</f>
        <v>0</v>
      </c>
    </row>
    <row r="127" spans="1:13">
      <c r="A127" s="1" t="s">
        <v>1</v>
      </c>
      <c r="B127" s="1" t="s">
        <v>5</v>
      </c>
      <c r="C127" s="1" t="s">
        <v>141</v>
      </c>
      <c r="D127" s="7">
        <v>499483</v>
      </c>
      <c r="E127" s="1" t="s">
        <v>10</v>
      </c>
      <c r="F127" s="10">
        <f>_xlfn.IFNA(INDEX('LMTD OSA | 3GB'!A:C,MATCH(DATA!D127,'LMTD OSA | 3GB'!A:A,0),2),0)</f>
        <v>0</v>
      </c>
      <c r="G127" s="10">
        <f>INDEX('LMTD OSA | 3GB'!A:C,MATCH(DATA!D127,'LMTD OSA | 3GB'!A:A,0),3)</f>
        <v>5500000</v>
      </c>
      <c r="H127" s="11" t="str">
        <f>INDEX('MTD OSA | 3GB'!B:D,MATCH(DATA!D127,'MTD OSA | 3GB'!B:B,0),2)</f>
        <v xml:space="preserve"> -   </v>
      </c>
      <c r="I127" s="12">
        <f>INDEX('MTD OSA | 3GB'!B:D,MATCH(DATA!D127,'MTD OSA | 3GB'!B:B,0),3)</f>
        <v>3300000</v>
      </c>
      <c r="J127" s="12">
        <f>INDEX(BIO!A:E,MATCH(DATA!D127,BIO!A:A,0),3)</f>
        <v>1</v>
      </c>
      <c r="K127" s="14">
        <f>INDEX(BIO!A:E,MATCH(DATA!D127,BIO!A:A,0),2)</f>
        <v>2</v>
      </c>
      <c r="L127" s="15">
        <f t="shared" si="1"/>
        <v>1</v>
      </c>
      <c r="M127" s="14">
        <f>INDEX('JULY VISIT'!A:B,MATCH(DATA!D127,'JULY VISIT'!A:A,0),2)</f>
        <v>0</v>
      </c>
    </row>
    <row r="128" spans="1:13">
      <c r="A128" s="1" t="s">
        <v>1</v>
      </c>
      <c r="B128" s="1" t="s">
        <v>5</v>
      </c>
      <c r="C128" s="1" t="s">
        <v>142</v>
      </c>
      <c r="D128" s="7">
        <v>501141</v>
      </c>
      <c r="E128" s="1" t="s">
        <v>10</v>
      </c>
      <c r="F128" s="10">
        <f>_xlfn.IFNA(INDEX('LMTD OSA | 3GB'!A:C,MATCH(DATA!D128,'LMTD OSA | 3GB'!A:A,0),2),0)</f>
        <v>0</v>
      </c>
      <c r="G128" s="10">
        <f>INDEX('LMTD OSA | 3GB'!A:C,MATCH(DATA!D128,'LMTD OSA | 3GB'!A:A,0),3)</f>
        <v>100000</v>
      </c>
      <c r="H128" s="11" t="str">
        <f>INDEX('MTD OSA | 3GB'!B:D,MATCH(DATA!D128,'MTD OSA | 3GB'!B:B,0),2)</f>
        <v xml:space="preserve"> -   </v>
      </c>
      <c r="I128" s="12" t="str">
        <f>INDEX('MTD OSA | 3GB'!B:D,MATCH(DATA!D128,'MTD OSA | 3GB'!B:B,0),3)</f>
        <v xml:space="preserve"> -   </v>
      </c>
      <c r="J128" s="12">
        <f>INDEX(BIO!A:E,MATCH(DATA!D128,BIO!A:A,0),3)</f>
        <v>1</v>
      </c>
      <c r="K128" s="14">
        <f>INDEX(BIO!A:E,MATCH(DATA!D128,BIO!A:A,0),2)</f>
        <v>0</v>
      </c>
      <c r="L128" s="15">
        <f t="shared" si="1"/>
        <v>0</v>
      </c>
      <c r="M128" s="14">
        <f>INDEX('JULY VISIT'!A:B,MATCH(DATA!D128,'JULY VISIT'!A:A,0),2)</f>
        <v>0</v>
      </c>
    </row>
    <row r="129" spans="1:13">
      <c r="A129" s="1" t="s">
        <v>1</v>
      </c>
      <c r="B129" s="1" t="s">
        <v>5</v>
      </c>
      <c r="C129" s="1" t="s">
        <v>143</v>
      </c>
      <c r="D129" s="7">
        <v>501263</v>
      </c>
      <c r="E129" s="1" t="s">
        <v>10</v>
      </c>
      <c r="F129" s="10">
        <f>_xlfn.IFNA(INDEX('LMTD OSA | 3GB'!A:C,MATCH(DATA!D129,'LMTD OSA | 3GB'!A:A,0),2),0)</f>
        <v>0</v>
      </c>
      <c r="G129" s="10">
        <f>INDEX('LMTD OSA | 3GB'!A:C,MATCH(DATA!D129,'LMTD OSA | 3GB'!A:A,0),3)</f>
        <v>0</v>
      </c>
      <c r="H129" s="11" t="str">
        <f>INDEX('MTD OSA | 3GB'!B:D,MATCH(DATA!D129,'MTD OSA | 3GB'!B:B,0),2)</f>
        <v xml:space="preserve"> -   </v>
      </c>
      <c r="I129" s="12">
        <f>INDEX('MTD OSA | 3GB'!B:D,MATCH(DATA!D129,'MTD OSA | 3GB'!B:B,0),3)</f>
        <v>200000</v>
      </c>
      <c r="J129" s="12">
        <f>INDEX(BIO!A:E,MATCH(DATA!D129,BIO!A:A,0),3)</f>
        <v>1</v>
      </c>
      <c r="K129" s="14">
        <f>INDEX(BIO!A:E,MATCH(DATA!D129,BIO!A:A,0),2)</f>
        <v>1</v>
      </c>
      <c r="L129" s="15">
        <f t="shared" si="1"/>
        <v>0</v>
      </c>
      <c r="M129" s="14">
        <f>INDEX('JULY VISIT'!A:B,MATCH(DATA!D129,'JULY VISIT'!A:A,0),2)</f>
        <v>0</v>
      </c>
    </row>
    <row r="130" spans="1:13">
      <c r="A130" s="1" t="s">
        <v>1</v>
      </c>
      <c r="B130" s="1" t="s">
        <v>5</v>
      </c>
      <c r="C130" s="1" t="s">
        <v>144</v>
      </c>
      <c r="D130" s="7">
        <v>501860</v>
      </c>
      <c r="E130" s="1" t="s">
        <v>10</v>
      </c>
      <c r="F130" s="10">
        <f>_xlfn.IFNA(INDEX('LMTD OSA | 3GB'!A:C,MATCH(DATA!D130,'LMTD OSA | 3GB'!A:A,0),2),0)</f>
        <v>6</v>
      </c>
      <c r="G130" s="10">
        <f>INDEX('LMTD OSA | 3GB'!A:C,MATCH(DATA!D130,'LMTD OSA | 3GB'!A:A,0),3)</f>
        <v>800000</v>
      </c>
      <c r="H130" s="11">
        <f>INDEX('MTD OSA | 3GB'!B:D,MATCH(DATA!D130,'MTD OSA | 3GB'!B:B,0),2)</f>
        <v>4</v>
      </c>
      <c r="I130" s="12">
        <f>INDEX('MTD OSA | 3GB'!B:D,MATCH(DATA!D130,'MTD OSA | 3GB'!B:B,0),3)</f>
        <v>616000</v>
      </c>
      <c r="J130" s="12">
        <f>INDEX(BIO!A:E,MATCH(DATA!D130,BIO!A:A,0),3)</f>
        <v>1</v>
      </c>
      <c r="K130" s="14">
        <f>INDEX(BIO!A:E,MATCH(DATA!D130,BIO!A:A,0),2)</f>
        <v>3</v>
      </c>
      <c r="L130" s="15">
        <f t="shared" si="1"/>
        <v>2</v>
      </c>
      <c r="M130" s="14">
        <f>INDEX('JULY VISIT'!A:B,MATCH(DATA!D130,'JULY VISIT'!A:A,0),2)</f>
        <v>1</v>
      </c>
    </row>
    <row r="131" spans="1:13">
      <c r="A131" s="1" t="s">
        <v>1</v>
      </c>
      <c r="B131" s="1" t="s">
        <v>5</v>
      </c>
      <c r="C131" s="1" t="s">
        <v>145</v>
      </c>
      <c r="D131" s="7">
        <v>510295</v>
      </c>
      <c r="E131" s="1" t="s">
        <v>10</v>
      </c>
      <c r="F131" s="10">
        <f>_xlfn.IFNA(INDEX('LMTD OSA | 3GB'!A:C,MATCH(DATA!D131,'LMTD OSA | 3GB'!A:A,0),2),0)</f>
        <v>5</v>
      </c>
      <c r="G131" s="10">
        <f>INDEX('LMTD OSA | 3GB'!A:C,MATCH(DATA!D131,'LMTD OSA | 3GB'!A:A,0),3)</f>
        <v>250000</v>
      </c>
      <c r="H131" s="11">
        <f>INDEX('MTD OSA | 3GB'!B:D,MATCH(DATA!D131,'MTD OSA | 3GB'!B:B,0),2)</f>
        <v>4</v>
      </c>
      <c r="I131" s="12">
        <f>INDEX('MTD OSA | 3GB'!B:D,MATCH(DATA!D131,'MTD OSA | 3GB'!B:B,0),3)</f>
        <v>466000</v>
      </c>
      <c r="J131" s="12">
        <f>INDEX(BIO!A:E,MATCH(DATA!D131,BIO!A:A,0),3)</f>
        <v>1</v>
      </c>
      <c r="K131" s="14">
        <f>INDEX(BIO!A:E,MATCH(DATA!D131,BIO!A:A,0),2)</f>
        <v>0</v>
      </c>
      <c r="L131" s="15">
        <f t="shared" ref="L131:L146" si="2">IF(K131-J131&lt;=0,0,K131-J131)</f>
        <v>0</v>
      </c>
      <c r="M131" s="14">
        <f>INDEX('JULY VISIT'!A:B,MATCH(DATA!D131,'JULY VISIT'!A:A,0),2)</f>
        <v>0</v>
      </c>
    </row>
    <row r="132" spans="1:13">
      <c r="A132" s="1" t="s">
        <v>1</v>
      </c>
      <c r="B132" s="1" t="s">
        <v>5</v>
      </c>
      <c r="C132" s="1" t="s">
        <v>146</v>
      </c>
      <c r="D132" s="7">
        <v>510299</v>
      </c>
      <c r="E132" s="1" t="s">
        <v>10</v>
      </c>
      <c r="F132" s="10">
        <f>_xlfn.IFNA(INDEX('LMTD OSA | 3GB'!A:C,MATCH(DATA!D132,'LMTD OSA | 3GB'!A:A,0),2),0)</f>
        <v>0</v>
      </c>
      <c r="G132" s="10">
        <f>INDEX('LMTD OSA | 3GB'!A:C,MATCH(DATA!D132,'LMTD OSA | 3GB'!A:A,0),3)</f>
        <v>1000000</v>
      </c>
      <c r="H132" s="11" t="str">
        <f>INDEX('MTD OSA | 3GB'!B:D,MATCH(DATA!D132,'MTD OSA | 3GB'!B:B,0),2)</f>
        <v xml:space="preserve"> -   </v>
      </c>
      <c r="I132" s="12" t="str">
        <f>INDEX('MTD OSA | 3GB'!B:D,MATCH(DATA!D132,'MTD OSA | 3GB'!B:B,0),3)</f>
        <v xml:space="preserve"> -   </v>
      </c>
      <c r="J132" s="12">
        <f>INDEX(BIO!A:E,MATCH(DATA!D132,BIO!A:A,0),3)</f>
        <v>0</v>
      </c>
      <c r="K132" s="14">
        <f>INDEX(BIO!A:E,MATCH(DATA!D132,BIO!A:A,0),2)</f>
        <v>0</v>
      </c>
      <c r="L132" s="15">
        <f t="shared" si="2"/>
        <v>0</v>
      </c>
      <c r="M132" s="14">
        <f>INDEX('JULY VISIT'!A:B,MATCH(DATA!D132,'JULY VISIT'!A:A,0),2)</f>
        <v>0</v>
      </c>
    </row>
    <row r="133" spans="1:13">
      <c r="A133" s="1" t="s">
        <v>1</v>
      </c>
      <c r="B133" s="1" t="s">
        <v>5</v>
      </c>
      <c r="C133" s="1" t="s">
        <v>147</v>
      </c>
      <c r="D133" s="7">
        <v>511584</v>
      </c>
      <c r="E133" s="1" t="s">
        <v>10</v>
      </c>
      <c r="F133" s="10">
        <f>_xlfn.IFNA(INDEX('LMTD OSA | 3GB'!A:C,MATCH(DATA!D133,'LMTD OSA | 3GB'!A:A,0),2),0)</f>
        <v>5</v>
      </c>
      <c r="G133" s="10">
        <f>INDEX('LMTD OSA | 3GB'!A:C,MATCH(DATA!D133,'LMTD OSA | 3GB'!A:A,0),3)</f>
        <v>1300000</v>
      </c>
      <c r="H133" s="11">
        <f>INDEX('MTD OSA | 3GB'!B:D,MATCH(DATA!D133,'MTD OSA | 3GB'!B:B,0),2)</f>
        <v>4</v>
      </c>
      <c r="I133" s="12">
        <f>INDEX('MTD OSA | 3GB'!B:D,MATCH(DATA!D133,'MTD OSA | 3GB'!B:B,0),3)</f>
        <v>116000</v>
      </c>
      <c r="J133" s="12">
        <f>INDEX(BIO!A:E,MATCH(DATA!D133,BIO!A:A,0),3)</f>
        <v>1</v>
      </c>
      <c r="K133" s="14">
        <f>INDEX(BIO!A:E,MATCH(DATA!D133,BIO!A:A,0),2)</f>
        <v>3</v>
      </c>
      <c r="L133" s="15">
        <f t="shared" si="2"/>
        <v>2</v>
      </c>
      <c r="M133" s="14">
        <f>INDEX('JULY VISIT'!A:B,MATCH(DATA!D133,'JULY VISIT'!A:A,0),2)</f>
        <v>0</v>
      </c>
    </row>
    <row r="134" spans="1:13">
      <c r="A134" s="1" t="s">
        <v>1</v>
      </c>
      <c r="B134" s="1" t="s">
        <v>5</v>
      </c>
      <c r="C134" s="1" t="s">
        <v>148</v>
      </c>
      <c r="D134" s="7">
        <v>514589</v>
      </c>
      <c r="E134" s="1" t="s">
        <v>10</v>
      </c>
      <c r="F134" s="10">
        <f>_xlfn.IFNA(INDEX('LMTD OSA | 3GB'!A:C,MATCH(DATA!D134,'LMTD OSA | 3GB'!A:A,0),2),0)</f>
        <v>5</v>
      </c>
      <c r="G134" s="10">
        <f>INDEX('LMTD OSA | 3GB'!A:C,MATCH(DATA!D134,'LMTD OSA | 3GB'!A:A,0),3)</f>
        <v>39061000</v>
      </c>
      <c r="H134" s="11">
        <f>INDEX('MTD OSA | 3GB'!B:D,MATCH(DATA!D134,'MTD OSA | 3GB'!B:B,0),2)</f>
        <v>10</v>
      </c>
      <c r="I134" s="12">
        <f>INDEX('MTD OSA | 3GB'!B:D,MATCH(DATA!D134,'MTD OSA | 3GB'!B:B,0),3)</f>
        <v>17290000</v>
      </c>
      <c r="J134" s="12">
        <f>INDEX(BIO!A:E,MATCH(DATA!D134,BIO!A:A,0),3)</f>
        <v>1</v>
      </c>
      <c r="K134" s="14">
        <f>INDEX(BIO!A:E,MATCH(DATA!D134,BIO!A:A,0),2)</f>
        <v>0</v>
      </c>
      <c r="L134" s="15">
        <f t="shared" si="2"/>
        <v>0</v>
      </c>
      <c r="M134" s="14">
        <f>INDEX('JULY VISIT'!A:B,MATCH(DATA!D134,'JULY VISIT'!A:A,0),2)</f>
        <v>0</v>
      </c>
    </row>
    <row r="135" spans="1:13">
      <c r="A135" s="1" t="s">
        <v>1</v>
      </c>
      <c r="B135" s="1" t="s">
        <v>5</v>
      </c>
      <c r="C135" s="1" t="s">
        <v>149</v>
      </c>
      <c r="D135" s="7">
        <v>523849</v>
      </c>
      <c r="E135" s="1" t="s">
        <v>10</v>
      </c>
      <c r="F135" s="10">
        <f>_xlfn.IFNA(INDEX('LMTD OSA | 3GB'!A:C,MATCH(DATA!D135,'LMTD OSA | 3GB'!A:A,0),2),0)</f>
        <v>0</v>
      </c>
      <c r="G135" s="10">
        <f>INDEX('LMTD OSA | 3GB'!A:C,MATCH(DATA!D135,'LMTD OSA | 3GB'!A:A,0),3)</f>
        <v>100000</v>
      </c>
      <c r="H135" s="11" t="str">
        <f>INDEX('MTD OSA | 3GB'!B:D,MATCH(DATA!D135,'MTD OSA | 3GB'!B:B,0),2)</f>
        <v xml:space="preserve"> -   </v>
      </c>
      <c r="I135" s="12" t="str">
        <f>INDEX('MTD OSA | 3GB'!B:D,MATCH(DATA!D135,'MTD OSA | 3GB'!B:B,0),3)</f>
        <v xml:space="preserve"> -   </v>
      </c>
      <c r="J135" s="12">
        <f>INDEX(BIO!A:E,MATCH(DATA!D135,BIO!A:A,0),3)</f>
        <v>1</v>
      </c>
      <c r="K135" s="14">
        <f>INDEX(BIO!A:E,MATCH(DATA!D135,BIO!A:A,0),2)</f>
        <v>0</v>
      </c>
      <c r="L135" s="15">
        <f t="shared" si="2"/>
        <v>0</v>
      </c>
      <c r="M135" s="14">
        <f>INDEX('JULY VISIT'!A:B,MATCH(DATA!D135,'JULY VISIT'!A:A,0),2)</f>
        <v>0</v>
      </c>
    </row>
    <row r="136" spans="1:13">
      <c r="A136" s="1" t="s">
        <v>1</v>
      </c>
      <c r="B136" s="1" t="s">
        <v>5</v>
      </c>
      <c r="C136" s="1" t="s">
        <v>150</v>
      </c>
      <c r="D136" s="7">
        <v>526916</v>
      </c>
      <c r="E136" s="1" t="s">
        <v>10</v>
      </c>
      <c r="F136" s="10">
        <f>_xlfn.IFNA(INDEX('LMTD OSA | 3GB'!A:C,MATCH(DATA!D136,'LMTD OSA | 3GB'!A:A,0),2),0)</f>
        <v>4</v>
      </c>
      <c r="G136" s="10">
        <f>INDEX('LMTD OSA | 3GB'!A:C,MATCH(DATA!D136,'LMTD OSA | 3GB'!A:A,0),3)</f>
        <v>500000</v>
      </c>
      <c r="H136" s="11">
        <f>INDEX('MTD OSA | 3GB'!B:D,MATCH(DATA!D136,'MTD OSA | 3GB'!B:B,0),2)</f>
        <v>4</v>
      </c>
      <c r="I136" s="12">
        <f>INDEX('MTD OSA | 3GB'!B:D,MATCH(DATA!D136,'MTD OSA | 3GB'!B:B,0),3)</f>
        <v>316000</v>
      </c>
      <c r="J136" s="12">
        <f>INDEX(BIO!A:E,MATCH(DATA!D136,BIO!A:A,0),3)</f>
        <v>2</v>
      </c>
      <c r="K136" s="14">
        <f>INDEX(BIO!A:E,MATCH(DATA!D136,BIO!A:A,0),2)</f>
        <v>3</v>
      </c>
      <c r="L136" s="15">
        <f t="shared" si="2"/>
        <v>1</v>
      </c>
      <c r="M136" s="14">
        <f>INDEX('JULY VISIT'!A:B,MATCH(DATA!D136,'JULY VISIT'!A:A,0),2)</f>
        <v>0</v>
      </c>
    </row>
    <row r="137" spans="1:13">
      <c r="A137" s="1" t="s">
        <v>1</v>
      </c>
      <c r="B137" s="1" t="s">
        <v>5</v>
      </c>
      <c r="C137" s="1" t="s">
        <v>151</v>
      </c>
      <c r="D137" s="7">
        <v>530334</v>
      </c>
      <c r="E137" s="1" t="s">
        <v>10</v>
      </c>
      <c r="F137" s="10">
        <f>_xlfn.IFNA(INDEX('LMTD OSA | 3GB'!A:C,MATCH(DATA!D137,'LMTD OSA | 3GB'!A:A,0),2),0)</f>
        <v>0</v>
      </c>
      <c r="G137" s="10">
        <f>INDEX('LMTD OSA | 3GB'!A:C,MATCH(DATA!D137,'LMTD OSA | 3GB'!A:A,0),3)</f>
        <v>1500000</v>
      </c>
      <c r="H137" s="11" t="str">
        <f>INDEX('MTD OSA | 3GB'!B:D,MATCH(DATA!D137,'MTD OSA | 3GB'!B:B,0),2)</f>
        <v xml:space="preserve"> -   </v>
      </c>
      <c r="I137" s="12">
        <f>INDEX('MTD OSA | 3GB'!B:D,MATCH(DATA!D137,'MTD OSA | 3GB'!B:B,0),3)</f>
        <v>650000</v>
      </c>
      <c r="J137" s="12">
        <f>INDEX(BIO!A:E,MATCH(DATA!D137,BIO!A:A,0),3)</f>
        <v>1</v>
      </c>
      <c r="K137" s="14">
        <f>INDEX(BIO!A:E,MATCH(DATA!D137,BIO!A:A,0),2)</f>
        <v>0</v>
      </c>
      <c r="L137" s="15">
        <f t="shared" si="2"/>
        <v>0</v>
      </c>
      <c r="M137" s="14">
        <f>INDEX('JULY VISIT'!A:B,MATCH(DATA!D137,'JULY VISIT'!A:A,0),2)</f>
        <v>0</v>
      </c>
    </row>
    <row r="138" spans="1:13">
      <c r="A138" s="1" t="s">
        <v>1</v>
      </c>
      <c r="B138" s="1" t="s">
        <v>5</v>
      </c>
      <c r="C138" s="1" t="s">
        <v>152</v>
      </c>
      <c r="D138" s="7">
        <v>543771</v>
      </c>
      <c r="E138" s="1" t="s">
        <v>10</v>
      </c>
      <c r="F138" s="10">
        <f>_xlfn.IFNA(INDEX('LMTD OSA | 3GB'!A:C,MATCH(DATA!D138,'LMTD OSA | 3GB'!A:A,0),2),0)</f>
        <v>0</v>
      </c>
      <c r="G138" s="10">
        <f>INDEX('LMTD OSA | 3GB'!A:C,MATCH(DATA!D138,'LMTD OSA | 3GB'!A:A,0),3)</f>
        <v>300000</v>
      </c>
      <c r="H138" s="11" t="str">
        <f>INDEX('MTD OSA | 3GB'!B:D,MATCH(DATA!D138,'MTD OSA | 3GB'!B:B,0),2)</f>
        <v xml:space="preserve"> -   </v>
      </c>
      <c r="I138" s="12" t="str">
        <f>INDEX('MTD OSA | 3GB'!B:D,MATCH(DATA!D138,'MTD OSA | 3GB'!B:B,0),3)</f>
        <v xml:space="preserve"> -   </v>
      </c>
      <c r="J138" s="12">
        <f>INDEX(BIO!A:E,MATCH(DATA!D138,BIO!A:A,0),3)</f>
        <v>1</v>
      </c>
      <c r="K138" s="14">
        <f>INDEX(BIO!A:E,MATCH(DATA!D138,BIO!A:A,0),2)</f>
        <v>0</v>
      </c>
      <c r="L138" s="15">
        <f t="shared" si="2"/>
        <v>0</v>
      </c>
      <c r="M138" s="14">
        <f>INDEX('JULY VISIT'!A:B,MATCH(DATA!D138,'JULY VISIT'!A:A,0),2)</f>
        <v>1</v>
      </c>
    </row>
    <row r="139" spans="1:13">
      <c r="A139" s="1" t="s">
        <v>1</v>
      </c>
      <c r="B139" s="1" t="s">
        <v>5</v>
      </c>
      <c r="C139" s="1" t="s">
        <v>153</v>
      </c>
      <c r="D139" s="7">
        <v>543826</v>
      </c>
      <c r="E139" s="1" t="s">
        <v>10</v>
      </c>
      <c r="F139" s="10">
        <f>_xlfn.IFNA(INDEX('LMTD OSA | 3GB'!A:C,MATCH(DATA!D139,'LMTD OSA | 3GB'!A:A,0),2),0)</f>
        <v>31</v>
      </c>
      <c r="G139" s="10">
        <f>INDEX('LMTD OSA | 3GB'!A:C,MATCH(DATA!D139,'LMTD OSA | 3GB'!A:A,0),3)</f>
        <v>61670000</v>
      </c>
      <c r="H139" s="11">
        <f>INDEX('MTD OSA | 3GB'!B:D,MATCH(DATA!D139,'MTD OSA | 3GB'!B:B,0),2)</f>
        <v>56</v>
      </c>
      <c r="I139" s="12">
        <f>INDEX('MTD OSA | 3GB'!B:D,MATCH(DATA!D139,'MTD OSA | 3GB'!B:B,0),3)</f>
        <v>19174000</v>
      </c>
      <c r="J139" s="12">
        <f>INDEX(BIO!A:E,MATCH(DATA!D139,BIO!A:A,0),3)</f>
        <v>0</v>
      </c>
      <c r="K139" s="14">
        <f>INDEX(BIO!A:E,MATCH(DATA!D139,BIO!A:A,0),2)</f>
        <v>23</v>
      </c>
      <c r="L139" s="15">
        <f t="shared" si="2"/>
        <v>23</v>
      </c>
      <c r="M139" s="14">
        <f>INDEX('JULY VISIT'!A:B,MATCH(DATA!D139,'JULY VISIT'!A:A,0),2)</f>
        <v>3</v>
      </c>
    </row>
    <row r="140" spans="1:13">
      <c r="A140" s="1" t="s">
        <v>1</v>
      </c>
      <c r="B140" s="1" t="s">
        <v>5</v>
      </c>
      <c r="C140" s="1" t="s">
        <v>154</v>
      </c>
      <c r="D140" s="7">
        <v>546446</v>
      </c>
      <c r="E140" s="1" t="s">
        <v>10</v>
      </c>
      <c r="F140" s="10">
        <f>_xlfn.IFNA(INDEX('LMTD OSA | 3GB'!A:C,MATCH(DATA!D140,'LMTD OSA | 3GB'!A:A,0),2),0)</f>
        <v>1</v>
      </c>
      <c r="G140" s="10">
        <f>INDEX('LMTD OSA | 3GB'!A:C,MATCH(DATA!D140,'LMTD OSA | 3GB'!A:A,0),3)</f>
        <v>400000</v>
      </c>
      <c r="H140" s="11" t="str">
        <f>INDEX('MTD OSA | 3GB'!B:D,MATCH(DATA!D140,'MTD OSA | 3GB'!B:B,0),2)</f>
        <v xml:space="preserve"> -   </v>
      </c>
      <c r="I140" s="12">
        <f>INDEX('MTD OSA | 3GB'!B:D,MATCH(DATA!D140,'MTD OSA | 3GB'!B:B,0),3)</f>
        <v>300000</v>
      </c>
      <c r="J140" s="12">
        <f>INDEX(BIO!A:E,MATCH(DATA!D140,BIO!A:A,0),3)</f>
        <v>0</v>
      </c>
      <c r="K140" s="14">
        <f>INDEX(BIO!A:E,MATCH(DATA!D140,BIO!A:A,0),2)</f>
        <v>2</v>
      </c>
      <c r="L140" s="15">
        <f t="shared" si="2"/>
        <v>2</v>
      </c>
      <c r="M140" s="14">
        <f>INDEX('JULY VISIT'!A:B,MATCH(DATA!D140,'JULY VISIT'!A:A,0),2)</f>
        <v>0</v>
      </c>
    </row>
    <row r="141" spans="1:13">
      <c r="A141" s="1" t="s">
        <v>1</v>
      </c>
      <c r="B141" s="1" t="s">
        <v>5</v>
      </c>
      <c r="C141" s="1" t="s">
        <v>155</v>
      </c>
      <c r="D141" s="7">
        <v>558955</v>
      </c>
      <c r="E141" s="1" t="s">
        <v>15</v>
      </c>
      <c r="F141" s="10">
        <f>_xlfn.IFNA(INDEX('LMTD OSA | 3GB'!A:C,MATCH(DATA!D141,'LMTD OSA | 3GB'!A:A,0),2),0)</f>
        <v>0</v>
      </c>
      <c r="G141" s="10">
        <f>INDEX('LMTD OSA | 3GB'!A:C,MATCH(DATA!D141,'LMTD OSA | 3GB'!A:A,0),3)</f>
        <v>0</v>
      </c>
      <c r="H141" s="11" t="str">
        <f>INDEX('MTD OSA | 3GB'!B:D,MATCH(DATA!D141,'MTD OSA | 3GB'!B:B,0),2)</f>
        <v xml:space="preserve"> -   </v>
      </c>
      <c r="I141" s="12" t="str">
        <f>INDEX('MTD OSA | 3GB'!B:D,MATCH(DATA!D141,'MTD OSA | 3GB'!B:B,0),3)</f>
        <v xml:space="preserve"> -   </v>
      </c>
      <c r="J141" s="12">
        <f>INDEX(BIO!A:E,MATCH(DATA!D141,BIO!A:A,0),3)</f>
        <v>0</v>
      </c>
      <c r="K141" s="14">
        <f>INDEX(BIO!A:E,MATCH(DATA!D141,BIO!A:A,0),2)</f>
        <v>0</v>
      </c>
      <c r="L141" s="15">
        <f t="shared" si="2"/>
        <v>0</v>
      </c>
      <c r="M141" s="14">
        <f>INDEX('JULY VISIT'!A:B,MATCH(DATA!D141,'JULY VISIT'!A:A,0),2)</f>
        <v>0</v>
      </c>
    </row>
    <row r="142" spans="1:13">
      <c r="A142" s="1" t="s">
        <v>1</v>
      </c>
      <c r="B142" s="1" t="s">
        <v>5</v>
      </c>
      <c r="C142" s="1" t="s">
        <v>156</v>
      </c>
      <c r="D142" s="7">
        <v>562953</v>
      </c>
      <c r="E142" s="1" t="s">
        <v>15</v>
      </c>
      <c r="F142" s="10">
        <f>_xlfn.IFNA(INDEX('LMTD OSA | 3GB'!A:C,MATCH(DATA!D142,'LMTD OSA | 3GB'!A:A,0),2),0)</f>
        <v>1</v>
      </c>
      <c r="G142" s="10">
        <f>INDEX('LMTD OSA | 3GB'!A:C,MATCH(DATA!D142,'LMTD OSA | 3GB'!A:A,0),3)</f>
        <v>3500000</v>
      </c>
      <c r="H142" s="11" t="str">
        <f>INDEX('MTD OSA | 3GB'!B:D,MATCH(DATA!D142,'MTD OSA | 3GB'!B:B,0),2)</f>
        <v xml:space="preserve"> -   </v>
      </c>
      <c r="I142" s="12">
        <f>INDEX('MTD OSA | 3GB'!B:D,MATCH(DATA!D142,'MTD OSA | 3GB'!B:B,0),3)</f>
        <v>2500000</v>
      </c>
      <c r="J142" s="12">
        <f>INDEX(BIO!A:E,MATCH(DATA!D142,BIO!A:A,0),3)</f>
        <v>0</v>
      </c>
      <c r="K142" s="14">
        <f>INDEX(BIO!A:E,MATCH(DATA!D142,BIO!A:A,0),2)</f>
        <v>0</v>
      </c>
      <c r="L142" s="15">
        <f t="shared" si="2"/>
        <v>0</v>
      </c>
      <c r="M142" s="14">
        <f>INDEX('JULY VISIT'!A:B,MATCH(DATA!D142,'JULY VISIT'!A:A,0),2)</f>
        <v>0</v>
      </c>
    </row>
    <row r="143" spans="1:13">
      <c r="A143" s="1" t="s">
        <v>1</v>
      </c>
      <c r="B143" s="1" t="s">
        <v>5</v>
      </c>
      <c r="C143" s="1" t="s">
        <v>157</v>
      </c>
      <c r="D143" s="7">
        <v>569298</v>
      </c>
      <c r="E143" s="1" t="s">
        <v>10</v>
      </c>
      <c r="F143" s="10">
        <f>_xlfn.IFNA(INDEX('LMTD OSA | 3GB'!A:C,MATCH(DATA!D143,'LMTD OSA | 3GB'!A:A,0),2),0)</f>
        <v>0</v>
      </c>
      <c r="G143" s="10">
        <f>INDEX('LMTD OSA | 3GB'!A:C,MATCH(DATA!D143,'LMTD OSA | 3GB'!A:A,0),3)</f>
        <v>200000</v>
      </c>
      <c r="H143" s="11">
        <f>INDEX('MTD OSA | 3GB'!B:D,MATCH(DATA!D143,'MTD OSA | 3GB'!B:B,0),2)</f>
        <v>4</v>
      </c>
      <c r="I143" s="12">
        <f>INDEX('MTD OSA | 3GB'!B:D,MATCH(DATA!D143,'MTD OSA | 3GB'!B:B,0),3)</f>
        <v>116000</v>
      </c>
      <c r="J143" s="12">
        <f>INDEX(BIO!A:E,MATCH(DATA!D143,BIO!A:A,0),3)</f>
        <v>1</v>
      </c>
      <c r="K143" s="14">
        <f>INDEX(BIO!A:E,MATCH(DATA!D143,BIO!A:A,0),2)</f>
        <v>0</v>
      </c>
      <c r="L143" s="15">
        <f t="shared" si="2"/>
        <v>0</v>
      </c>
      <c r="M143" s="14">
        <f>INDEX('JULY VISIT'!A:B,MATCH(DATA!D143,'JULY VISIT'!A:A,0),2)</f>
        <v>0</v>
      </c>
    </row>
    <row r="144" spans="1:13">
      <c r="A144" s="1" t="s">
        <v>1</v>
      </c>
      <c r="B144" s="1" t="s">
        <v>5</v>
      </c>
      <c r="C144" s="1" t="s">
        <v>158</v>
      </c>
      <c r="D144" s="7">
        <v>574633</v>
      </c>
      <c r="E144" s="1" t="s">
        <v>10</v>
      </c>
      <c r="F144" s="10">
        <f>_xlfn.IFNA(INDEX('LMTD OSA | 3GB'!A:C,MATCH(DATA!D144,'LMTD OSA | 3GB'!A:A,0),2),0)</f>
        <v>0</v>
      </c>
      <c r="G144" s="10">
        <f>INDEX('LMTD OSA | 3GB'!A:C,MATCH(DATA!D144,'LMTD OSA | 3GB'!A:A,0),3)</f>
        <v>0</v>
      </c>
      <c r="H144" s="11" t="str">
        <f>INDEX('MTD OSA | 3GB'!B:D,MATCH(DATA!D144,'MTD OSA | 3GB'!B:B,0),2)</f>
        <v xml:space="preserve"> -   </v>
      </c>
      <c r="I144" s="12" t="str">
        <f>INDEX('MTD OSA | 3GB'!B:D,MATCH(DATA!D144,'MTD OSA | 3GB'!B:B,0),3)</f>
        <v xml:space="preserve"> -   </v>
      </c>
      <c r="J144" s="12">
        <f>INDEX(BIO!A:E,MATCH(DATA!D144,BIO!A:A,0),3)</f>
        <v>0</v>
      </c>
      <c r="K144" s="14">
        <f>INDEX(BIO!A:E,MATCH(DATA!D144,BIO!A:A,0),2)</f>
        <v>0</v>
      </c>
      <c r="L144" s="15">
        <f t="shared" si="2"/>
        <v>0</v>
      </c>
      <c r="M144" s="14">
        <f>INDEX('JULY VISIT'!A:B,MATCH(DATA!D144,'JULY VISIT'!A:A,0),2)</f>
        <v>0</v>
      </c>
    </row>
    <row r="145" spans="1:13">
      <c r="A145" s="1" t="s">
        <v>1</v>
      </c>
      <c r="B145" s="1" t="s">
        <v>5</v>
      </c>
      <c r="C145" s="1" t="s">
        <v>159</v>
      </c>
      <c r="D145" s="7">
        <v>61688</v>
      </c>
      <c r="E145" s="1" t="s">
        <v>10</v>
      </c>
      <c r="F145" s="10">
        <f>_xlfn.IFNA(INDEX('LMTD OSA | 3GB'!A:C,MATCH(DATA!D145,'LMTD OSA | 3GB'!A:A,0),2),0)</f>
        <v>3</v>
      </c>
      <c r="G145" s="10">
        <f>INDEX('LMTD OSA | 3GB'!A:C,MATCH(DATA!D145,'LMTD OSA | 3GB'!A:A,0),3)</f>
        <v>450000</v>
      </c>
      <c r="H145" s="11" t="str">
        <f>INDEX('MTD OSA | 3GB'!B:D,MATCH(DATA!D145,'MTD OSA | 3GB'!B:B,0),2)</f>
        <v xml:space="preserve"> -   </v>
      </c>
      <c r="I145" s="12">
        <f>INDEX('MTD OSA | 3GB'!B:D,MATCH(DATA!D145,'MTD OSA | 3GB'!B:B,0),3)</f>
        <v>150000</v>
      </c>
      <c r="J145" s="12">
        <f>INDEX(BIO!A:E,MATCH(DATA!D145,BIO!A:A,0),3)</f>
        <v>1</v>
      </c>
      <c r="K145" s="14">
        <f>INDEX(BIO!A:E,MATCH(DATA!D145,BIO!A:A,0),2)</f>
        <v>4</v>
      </c>
      <c r="L145" s="15">
        <f t="shared" si="2"/>
        <v>3</v>
      </c>
      <c r="M145" s="14">
        <f>INDEX('JULY VISIT'!A:B,MATCH(DATA!D145,'JULY VISIT'!A:A,0),2)</f>
        <v>0</v>
      </c>
    </row>
    <row r="146" spans="1:13">
      <c r="A146" s="1" t="s">
        <v>1</v>
      </c>
      <c r="B146" s="1" t="s">
        <v>5</v>
      </c>
      <c r="C146" s="1" t="s">
        <v>97</v>
      </c>
      <c r="D146" s="7" t="s">
        <v>160</v>
      </c>
      <c r="E146" s="1" t="s">
        <v>10</v>
      </c>
      <c r="F146" s="10">
        <f>_xlfn.IFNA(INDEX('LMTD OSA | 3GB'!A:C,MATCH(DATA!D146,'LMTD OSA | 3GB'!A:A,0),2),0)</f>
        <v>0</v>
      </c>
      <c r="G146" s="10">
        <f>INDEX('LMTD OSA | 3GB'!A:C,MATCH(DATA!D146,'LMTD OSA | 3GB'!A:A,0),3)</f>
        <v>2600000</v>
      </c>
      <c r="H146" s="11" t="str">
        <f>INDEX('MTD OSA | 3GB'!B:D,MATCH(DATA!D146,'MTD OSA | 3GB'!B:B,0),2)</f>
        <v xml:space="preserve"> -   </v>
      </c>
      <c r="I146" s="12">
        <f>INDEX('MTD OSA | 3GB'!B:D,MATCH(DATA!D146,'MTD OSA | 3GB'!B:B,0),3)</f>
        <v>1300000</v>
      </c>
      <c r="J146" s="12">
        <f>INDEX(BIO!A:E,MATCH(DATA!D146,BIO!A:A,0),3)</f>
        <v>0</v>
      </c>
      <c r="K146" s="14">
        <f>INDEX(BIO!A:E,MATCH(DATA!D146,BIO!A:A,0),2)</f>
        <v>0</v>
      </c>
      <c r="L146" s="15">
        <f t="shared" si="2"/>
        <v>0</v>
      </c>
      <c r="M146" s="14">
        <f>INDEX('JULY VISIT'!A:B,MATCH(DATA!D146,'JULY VISIT'!A:A,0),2)</f>
        <v>0</v>
      </c>
    </row>
  </sheetData>
  <autoFilter ref="B1:M146" xr:uid="{992F0BB8-1CA9-4379-9049-AB6F95C27E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456D1-6F14-4AB3-B1E2-1E97523234D2}">
  <dimension ref="A1:F4"/>
  <sheetViews>
    <sheetView workbookViewId="0">
      <selection activeCell="E12" sqref="E12"/>
    </sheetView>
  </sheetViews>
  <sheetFormatPr defaultRowHeight="15"/>
  <cols>
    <col min="1" max="1" width="21" bestFit="1" customWidth="1"/>
    <col min="2" max="2" width="14.7109375" bestFit="1" customWidth="1"/>
    <col min="3" max="3" width="19.42578125" customWidth="1"/>
    <col min="4" max="4" width="18.7109375" bestFit="1" customWidth="1"/>
    <col min="5" max="5" width="20.42578125" bestFit="1" customWidth="1"/>
  </cols>
  <sheetData>
    <row r="1" spans="1:6">
      <c r="A1" s="17" t="s">
        <v>0</v>
      </c>
      <c r="B1" s="17" t="s">
        <v>2</v>
      </c>
      <c r="C1" s="22" t="s">
        <v>174</v>
      </c>
      <c r="D1" s="22" t="s">
        <v>175</v>
      </c>
      <c r="E1" s="22" t="s">
        <v>189</v>
      </c>
      <c r="F1" s="22" t="s">
        <v>190</v>
      </c>
    </row>
    <row r="2" spans="1:6">
      <c r="A2" s="23" t="s">
        <v>1</v>
      </c>
      <c r="B2" s="23" t="s">
        <v>3</v>
      </c>
      <c r="C2" s="24">
        <v>161453444</v>
      </c>
      <c r="D2" s="25">
        <v>123</v>
      </c>
      <c r="E2">
        <v>40</v>
      </c>
      <c r="F2">
        <v>20</v>
      </c>
    </row>
    <row r="3" spans="1:6">
      <c r="A3" s="23" t="s">
        <v>1</v>
      </c>
      <c r="B3" s="26" t="s">
        <v>4</v>
      </c>
      <c r="C3" s="24">
        <v>226554560</v>
      </c>
      <c r="D3" s="25">
        <v>136</v>
      </c>
      <c r="E3">
        <v>40</v>
      </c>
      <c r="F3">
        <v>20</v>
      </c>
    </row>
    <row r="4" spans="1:6">
      <c r="A4" s="23" t="s">
        <v>1</v>
      </c>
      <c r="B4" s="26" t="s">
        <v>5</v>
      </c>
      <c r="C4" s="24">
        <v>343337958</v>
      </c>
      <c r="D4" s="25">
        <v>570</v>
      </c>
      <c r="E4">
        <v>40</v>
      </c>
      <c r="F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7AAF-1FE9-4AA8-8261-C5E7933640AD}">
  <dimension ref="A1:F146"/>
  <sheetViews>
    <sheetView workbookViewId="0">
      <selection activeCell="G12" sqref="G12"/>
    </sheetView>
  </sheetViews>
  <sheetFormatPr defaultRowHeight="15"/>
  <cols>
    <col min="1" max="1" width="12" style="29" customWidth="1"/>
    <col min="2" max="2" width="8" bestFit="1" customWidth="1"/>
    <col min="4" max="4" width="24.85546875" bestFit="1" customWidth="1"/>
    <col min="6" max="6" width="23.85546875" bestFit="1" customWidth="1"/>
  </cols>
  <sheetData>
    <row r="1" spans="1:6">
      <c r="A1" s="29" t="s">
        <v>171</v>
      </c>
      <c r="B1" t="s">
        <v>173</v>
      </c>
      <c r="C1" t="s">
        <v>183</v>
      </c>
      <c r="D1" t="s">
        <v>182</v>
      </c>
    </row>
    <row r="2" spans="1:6">
      <c r="A2">
        <v>240713</v>
      </c>
      <c r="B2" s="14">
        <v>1</v>
      </c>
      <c r="C2">
        <f>INDEX('BIO WAHYU'!B:F,MATCH(BIO!A2,'BIO WAHYU'!B:B,0),5)</f>
        <v>1</v>
      </c>
      <c r="D2" t="str">
        <f>INDEX(DATA!C:D,MATCH(BIO!A2,DATA!D:D,0),1)</f>
        <v>Naldy cell</v>
      </c>
    </row>
    <row r="3" spans="1:6">
      <c r="A3">
        <v>12331450</v>
      </c>
      <c r="B3" s="14">
        <v>0</v>
      </c>
      <c r="C3">
        <f>INDEX('BIO WAHYU'!B:F,MATCH(BIO!A3,'BIO WAHYU'!B:B,0),5)</f>
        <v>1</v>
      </c>
      <c r="D3" t="str">
        <f>INDEX(DATA!C:D,MATCH(BIO!A3,DATA!D:D,0),1)</f>
        <v>Purple Cell</v>
      </c>
    </row>
    <row r="4" spans="1:6">
      <c r="A4">
        <v>292836</v>
      </c>
      <c r="B4" s="14">
        <v>0</v>
      </c>
      <c r="C4">
        <f>INDEX('BIO WAHYU'!B:F,MATCH(BIO!A4,'BIO WAHYU'!B:B,0),5)</f>
        <v>0</v>
      </c>
      <c r="D4" t="str">
        <f>INDEX(DATA!C:D,MATCH(BIO!A4,DATA!D:D,0),1)</f>
        <v>PROMO CELL</v>
      </c>
    </row>
    <row r="5" spans="1:6">
      <c r="A5">
        <v>12321243</v>
      </c>
      <c r="B5" s="14">
        <v>90</v>
      </c>
      <c r="C5">
        <f>INDEX('BIO WAHYU'!B:F,MATCH(BIO!A5,'BIO WAHYU'!B:B,0),5)</f>
        <v>2</v>
      </c>
      <c r="D5" t="str">
        <f>INDEX(DATA!C:D,MATCH(BIO!A5,DATA!D:D,0),1)</f>
        <v>Ria Cell</v>
      </c>
      <c r="F5" t="s">
        <v>188</v>
      </c>
    </row>
    <row r="6" spans="1:6">
      <c r="A6">
        <v>12320853</v>
      </c>
      <c r="B6" s="14">
        <v>0</v>
      </c>
      <c r="C6">
        <f>INDEX('BIO WAHYU'!B:F,MATCH(BIO!A6,'BIO WAHYU'!B:B,0),5)</f>
        <v>1</v>
      </c>
      <c r="D6" t="str">
        <f>INDEX(DATA!C:D,MATCH(BIO!A6,DATA!D:D,0),1)</f>
        <v>BINTANG CELL</v>
      </c>
    </row>
    <row r="7" spans="1:6">
      <c r="A7">
        <v>501860</v>
      </c>
      <c r="B7" s="14">
        <v>3</v>
      </c>
      <c r="C7">
        <f>INDEX('BIO WAHYU'!B:F,MATCH(BIO!A7,'BIO WAHYU'!B:B,0),5)</f>
        <v>1</v>
      </c>
      <c r="D7" t="str">
        <f>INDEX(DATA!C:D,MATCH(BIO!A7,DATA!D:D,0),1)</f>
        <v>ASTER CELL</v>
      </c>
    </row>
    <row r="8" spans="1:6">
      <c r="A8">
        <v>12322483</v>
      </c>
      <c r="B8" s="14">
        <v>0</v>
      </c>
      <c r="C8">
        <f>INDEX('BIO WAHYU'!B:F,MATCH(BIO!A8,'BIO WAHYU'!B:B,0),5)</f>
        <v>0</v>
      </c>
      <c r="D8" t="str">
        <f>INDEX(DATA!C:D,MATCH(BIO!A8,DATA!D:D,0),1)</f>
        <v>Mitra A2</v>
      </c>
    </row>
    <row r="9" spans="1:6">
      <c r="A9">
        <v>503354</v>
      </c>
      <c r="B9" s="14">
        <v>0</v>
      </c>
      <c r="C9">
        <f>INDEX('BIO WAHYU'!B:F,MATCH(BIO!A9,'BIO WAHYU'!B:B,0),5)</f>
        <v>1</v>
      </c>
      <c r="D9" t="str">
        <f>INDEX(DATA!C:D,MATCH(BIO!A9,DATA!D:D,0),1)</f>
        <v>Mantari Cell</v>
      </c>
    </row>
    <row r="10" spans="1:6">
      <c r="A10">
        <v>524283</v>
      </c>
      <c r="B10" s="14">
        <v>0</v>
      </c>
      <c r="C10">
        <f>INDEX('BIO WAHYU'!B:F,MATCH(BIO!A10,'BIO WAHYU'!B:B,0),5)</f>
        <v>1</v>
      </c>
      <c r="D10" t="str">
        <f>INDEX(DATA!C:D,MATCH(BIO!A10,DATA!D:D,0),1)</f>
        <v>FF CELL</v>
      </c>
    </row>
    <row r="11" spans="1:6">
      <c r="A11">
        <v>569298</v>
      </c>
      <c r="B11" s="14">
        <v>0</v>
      </c>
      <c r="C11">
        <f>INDEX('BIO WAHYU'!B:F,MATCH(BIO!A11,'BIO WAHYU'!B:B,0),5)</f>
        <v>1</v>
      </c>
      <c r="D11" t="str">
        <f>INDEX(DATA!C:D,MATCH(BIO!A11,DATA!D:D,0),1)</f>
        <v>EL333 cell</v>
      </c>
    </row>
    <row r="12" spans="1:6">
      <c r="A12">
        <v>481857</v>
      </c>
      <c r="B12" s="14">
        <v>0</v>
      </c>
      <c r="C12">
        <f>INDEX('BIO WAHYU'!B:F,MATCH(BIO!A12,'BIO WAHYU'!B:B,0),5)</f>
        <v>1</v>
      </c>
      <c r="D12" t="str">
        <f>INDEX(DATA!C:D,MATCH(BIO!A12,DATA!D:D,0),1)</f>
        <v>Eliana Cell</v>
      </c>
    </row>
    <row r="13" spans="1:6">
      <c r="A13">
        <v>558955</v>
      </c>
      <c r="B13" s="14">
        <v>0</v>
      </c>
      <c r="C13">
        <f>INDEX('BIO WAHYU'!B:F,MATCH(BIO!A13,'BIO WAHYU'!B:B,0),5)</f>
        <v>0</v>
      </c>
      <c r="D13" t="str">
        <f>INDEX(DATA!C:D,MATCH(BIO!A13,DATA!D:D,0),1)</f>
        <v>KK STORE</v>
      </c>
    </row>
    <row r="14" spans="1:6">
      <c r="A14">
        <v>12323218</v>
      </c>
      <c r="B14" s="14">
        <v>1</v>
      </c>
      <c r="C14">
        <f>INDEX('BIO WAHYU'!B:F,MATCH(BIO!A14,'BIO WAHYU'!B:B,0),5)</f>
        <v>1</v>
      </c>
      <c r="D14" t="str">
        <f>INDEX(DATA!C:D,MATCH(BIO!A14,DATA!D:D,0),1)</f>
        <v>michael cell</v>
      </c>
    </row>
    <row r="15" spans="1:6">
      <c r="A15">
        <v>501643</v>
      </c>
      <c r="B15" s="14">
        <v>0</v>
      </c>
      <c r="C15">
        <f>INDEX('BIO WAHYU'!B:F,MATCH(BIO!A15,'BIO WAHYU'!B:B,0),5)</f>
        <v>1</v>
      </c>
      <c r="D15" t="str">
        <f>INDEX(DATA!C:D,MATCH(BIO!A15,DATA!D:D,0),1)</f>
        <v>Shield Cell</v>
      </c>
    </row>
    <row r="16" spans="1:6">
      <c r="A16">
        <v>408290</v>
      </c>
      <c r="B16" s="14">
        <v>2</v>
      </c>
      <c r="C16">
        <f>INDEX('BIO WAHYU'!B:F,MATCH(BIO!A16,'BIO WAHYU'!B:B,0),5)</f>
        <v>1</v>
      </c>
      <c r="D16" t="str">
        <f>INDEX(DATA!C:D,MATCH(BIO!A16,DATA!D:D,0),1)</f>
        <v>king cell</v>
      </c>
    </row>
    <row r="17" spans="1:4">
      <c r="A17">
        <v>12326313</v>
      </c>
      <c r="B17" s="14">
        <v>1</v>
      </c>
      <c r="C17">
        <f>INDEX('BIO WAHYU'!B:F,MATCH(BIO!A17,'BIO WAHYU'!B:B,0),5)</f>
        <v>1</v>
      </c>
      <c r="D17" t="str">
        <f>INDEX(DATA!C:D,MATCH(BIO!A17,DATA!D:D,0),1)</f>
        <v>Doax Cell</v>
      </c>
    </row>
    <row r="18" spans="1:4">
      <c r="A18">
        <v>228872</v>
      </c>
      <c r="B18" s="14">
        <v>0</v>
      </c>
      <c r="C18">
        <f>INDEX('BIO WAHYU'!B:F,MATCH(BIO!A18,'BIO WAHYU'!B:B,0),5)</f>
        <v>1</v>
      </c>
      <c r="D18" t="str">
        <f>INDEX(DATA!C:D,MATCH(BIO!A18,DATA!D:D,0),1)</f>
        <v>KLABAT  CELL</v>
      </c>
    </row>
    <row r="19" spans="1:4">
      <c r="A19">
        <v>12332670</v>
      </c>
      <c r="B19" s="14">
        <v>5</v>
      </c>
      <c r="C19">
        <f>INDEX('BIO WAHYU'!B:F,MATCH(BIO!A19,'BIO WAHYU'!B:B,0),5)</f>
        <v>1</v>
      </c>
      <c r="D19" t="str">
        <f>INDEX(DATA!C:D,MATCH(BIO!A19,DATA!D:D,0),1)</f>
        <v>Tasya cell</v>
      </c>
    </row>
    <row r="20" spans="1:4">
      <c r="A20">
        <v>543771</v>
      </c>
      <c r="B20" s="14">
        <v>0</v>
      </c>
      <c r="C20">
        <f>INDEX('BIO WAHYU'!B:F,MATCH(BIO!A20,'BIO WAHYU'!B:B,0),5)</f>
        <v>1</v>
      </c>
      <c r="D20" t="str">
        <f>INDEX(DATA!C:D,MATCH(BIO!A20,DATA!D:D,0),1)</f>
        <v>carter cell</v>
      </c>
    </row>
    <row r="21" spans="1:4">
      <c r="A21">
        <v>12322237</v>
      </c>
      <c r="B21" s="14">
        <v>1</v>
      </c>
      <c r="C21">
        <f>INDEX('BIO WAHYU'!B:F,MATCH(BIO!A21,'BIO WAHYU'!B:B,0),5)</f>
        <v>1</v>
      </c>
      <c r="D21" t="str">
        <f>INDEX(DATA!C:D,MATCH(BIO!A21,DATA!D:D,0),1)</f>
        <v>Hikma ponsel</v>
      </c>
    </row>
    <row r="22" spans="1:4">
      <c r="A22">
        <v>483240</v>
      </c>
      <c r="B22" s="14">
        <v>1</v>
      </c>
      <c r="C22">
        <f>INDEX('BIO WAHYU'!B:F,MATCH(BIO!A22,'BIO WAHYU'!B:B,0),5)</f>
        <v>0</v>
      </c>
      <c r="D22" t="str">
        <f>INDEX(DATA!C:D,MATCH(BIO!A22,DATA!D:D,0),1)</f>
        <v>PINK CELL</v>
      </c>
    </row>
    <row r="23" spans="1:4">
      <c r="A23">
        <v>510295</v>
      </c>
      <c r="B23" s="14">
        <v>0</v>
      </c>
      <c r="C23">
        <f>INDEX('BIO WAHYU'!B:F,MATCH(BIO!A23,'BIO WAHYU'!B:B,0),5)</f>
        <v>1</v>
      </c>
      <c r="D23" t="str">
        <f>INDEX(DATA!C:D,MATCH(BIO!A23,DATA!D:D,0),1)</f>
        <v>nyox cell</v>
      </c>
    </row>
    <row r="24" spans="1:4">
      <c r="A24">
        <v>12295717</v>
      </c>
      <c r="B24" s="14">
        <v>1</v>
      </c>
      <c r="C24">
        <f>INDEX('BIO WAHYU'!B:F,MATCH(BIO!A24,'BIO WAHYU'!B:B,0),5)</f>
        <v>1</v>
      </c>
      <c r="D24" t="str">
        <f>INDEX(DATA!C:D,MATCH(BIO!A24,DATA!D:D,0),1)</f>
        <v>BALERINNA CELL</v>
      </c>
    </row>
    <row r="25" spans="1:4">
      <c r="A25">
        <v>12317091</v>
      </c>
      <c r="B25" s="14">
        <v>0</v>
      </c>
      <c r="C25">
        <f>INDEX('BIO WAHYU'!B:F,MATCH(BIO!A25,'BIO WAHYU'!B:B,0),5)</f>
        <v>0</v>
      </c>
      <c r="D25" t="str">
        <f>INDEX(DATA!C:D,MATCH(BIO!A25,DATA!D:D,0),1)</f>
        <v>Pandi cell</v>
      </c>
    </row>
    <row r="26" spans="1:4">
      <c r="A26">
        <v>195514</v>
      </c>
      <c r="B26" s="14">
        <v>0</v>
      </c>
      <c r="C26">
        <f>INDEX('BIO WAHYU'!B:F,MATCH(BIO!A26,'BIO WAHYU'!B:B,0),5)</f>
        <v>1</v>
      </c>
      <c r="D26" t="str">
        <f>INDEX(DATA!C:D,MATCH(BIO!A26,DATA!D:D,0),1)</f>
        <v>Bless Cell</v>
      </c>
    </row>
    <row r="27" spans="1:4">
      <c r="A27">
        <v>560814</v>
      </c>
      <c r="B27" s="14">
        <v>2</v>
      </c>
      <c r="C27">
        <f>INDEX('BIO WAHYU'!B:F,MATCH(BIO!A27,'BIO WAHYU'!B:B,0),5)</f>
        <v>1</v>
      </c>
      <c r="D27" t="str">
        <f>INDEX(DATA!C:D,MATCH(BIO!A27,DATA!D:D,0),1)</f>
        <v>bellvaido cell</v>
      </c>
    </row>
    <row r="28" spans="1:4">
      <c r="A28" t="s">
        <v>98</v>
      </c>
      <c r="B28" s="14">
        <v>34</v>
      </c>
      <c r="C28">
        <f>INDEX('BIO WAHYU'!B:F,MATCH(BIO!A28,'BIO WAHYU'!B:B,0),5)</f>
        <v>0</v>
      </c>
      <c r="D28" t="str">
        <f>INDEX(DATA!C:D,MATCH(BIO!A28,DATA!D:D,0),1)</f>
        <v>PELANGI CELL</v>
      </c>
    </row>
    <row r="29" spans="1:4">
      <c r="A29">
        <v>12332811</v>
      </c>
      <c r="B29" s="14">
        <v>0</v>
      </c>
      <c r="C29">
        <f>INDEX('BIO WAHYU'!B:F,MATCH(BIO!A29,'BIO WAHYU'!B:B,0),5)</f>
        <v>0</v>
      </c>
      <c r="D29" t="str">
        <f>INDEX(DATA!C:D,MATCH(BIO!A29,DATA!D:D,0),1)</f>
        <v>Jefone cell</v>
      </c>
    </row>
    <row r="30" spans="1:4">
      <c r="A30">
        <v>12326533</v>
      </c>
      <c r="B30" s="14">
        <v>0</v>
      </c>
      <c r="C30">
        <f>INDEX('BIO WAHYU'!B:F,MATCH(BIO!A30,'BIO WAHYU'!B:B,0),5)</f>
        <v>30</v>
      </c>
      <c r="D30" t="str">
        <f>INDEX(DATA!C:D,MATCH(BIO!A30,DATA!D:D,0),1)</f>
        <v>Johanis Cell</v>
      </c>
    </row>
    <row r="31" spans="1:4">
      <c r="A31" t="s">
        <v>100</v>
      </c>
      <c r="B31" s="14">
        <v>2</v>
      </c>
      <c r="C31">
        <f>INDEX('BIO WAHYU'!B:F,MATCH(BIO!A31,'BIO WAHYU'!B:B,0),5)</f>
        <v>1</v>
      </c>
      <c r="D31" t="str">
        <f>INDEX(DATA!C:D,MATCH(BIO!A31,DATA!D:D,0),1)</f>
        <v>QALBI 2 CELL</v>
      </c>
    </row>
    <row r="32" spans="1:4">
      <c r="A32">
        <v>126952</v>
      </c>
      <c r="B32" s="14">
        <v>0</v>
      </c>
      <c r="C32">
        <f>INDEX('BIO WAHYU'!B:F,MATCH(BIO!A32,'BIO WAHYU'!B:B,0),5)</f>
        <v>0</v>
      </c>
      <c r="D32" t="str">
        <f>INDEX(DATA!C:D,MATCH(BIO!A32,DATA!D:D,0),1)</f>
        <v>ABADI CELL</v>
      </c>
    </row>
    <row r="33" spans="1:4">
      <c r="A33">
        <v>530345</v>
      </c>
      <c r="B33" s="14">
        <v>1</v>
      </c>
      <c r="C33">
        <f>INDEX('BIO WAHYU'!B:F,MATCH(BIO!A33,'BIO WAHYU'!B:B,0),5)</f>
        <v>1</v>
      </c>
      <c r="D33" t="str">
        <f>INDEX(DATA!C:D,MATCH(BIO!A33,DATA!D:D,0),1)</f>
        <v>Kios Saudara 03 Cell</v>
      </c>
    </row>
    <row r="34" spans="1:4">
      <c r="A34">
        <v>523935</v>
      </c>
      <c r="B34" s="14">
        <v>0</v>
      </c>
      <c r="C34">
        <f>INDEX('BIO WAHYU'!B:F,MATCH(BIO!A34,'BIO WAHYU'!B:B,0),5)</f>
        <v>1</v>
      </c>
      <c r="D34" t="str">
        <f>INDEX(DATA!C:D,MATCH(BIO!A34,DATA!D:D,0),1)</f>
        <v>ANI Cell</v>
      </c>
    </row>
    <row r="35" spans="1:4">
      <c r="A35">
        <v>501263</v>
      </c>
      <c r="B35" s="14">
        <v>1</v>
      </c>
      <c r="C35">
        <f>INDEX('BIO WAHYU'!B:F,MATCH(BIO!A35,'BIO WAHYU'!B:B,0),5)</f>
        <v>1</v>
      </c>
      <c r="D35" t="str">
        <f>INDEX(DATA!C:D,MATCH(BIO!A35,DATA!D:D,0),1)</f>
        <v>Bontel Cell</v>
      </c>
    </row>
    <row r="36" spans="1:4">
      <c r="A36">
        <v>510299</v>
      </c>
      <c r="B36" s="14">
        <v>0</v>
      </c>
      <c r="C36">
        <f>INDEX('BIO WAHYU'!B:F,MATCH(BIO!A36,'BIO WAHYU'!B:B,0),5)</f>
        <v>0</v>
      </c>
      <c r="D36" t="str">
        <f>INDEX(DATA!C:D,MATCH(BIO!A36,DATA!D:D,0),1)</f>
        <v>hermon cell</v>
      </c>
    </row>
    <row r="37" spans="1:4">
      <c r="A37">
        <v>10466</v>
      </c>
      <c r="B37" s="14">
        <v>1</v>
      </c>
      <c r="C37">
        <f>INDEX('BIO WAHYU'!B:F,MATCH(BIO!A37,'BIO WAHYU'!B:B,0),5)</f>
        <v>1</v>
      </c>
      <c r="D37" t="str">
        <f>INDEX(DATA!C:D,MATCH(BIO!A37,DATA!D:D,0),1)</f>
        <v>DIPAN CELL</v>
      </c>
    </row>
    <row r="38" spans="1:4">
      <c r="A38">
        <v>1661</v>
      </c>
      <c r="B38" s="14">
        <v>0</v>
      </c>
      <c r="C38">
        <f>INDEX('BIO WAHYU'!B:F,MATCH(BIO!A38,'BIO WAHYU'!B:B,0),5)</f>
        <v>1</v>
      </c>
      <c r="D38" t="str">
        <f>INDEX(DATA!C:D,MATCH(BIO!A38,DATA!D:D,0),1)</f>
        <v>Ike CELL</v>
      </c>
    </row>
    <row r="39" spans="1:4">
      <c r="A39">
        <v>523430</v>
      </c>
      <c r="B39" s="14">
        <v>0</v>
      </c>
      <c r="C39">
        <f>INDEX('BIO WAHYU'!B:F,MATCH(BIO!A39,'BIO WAHYU'!B:B,0),5)</f>
        <v>2</v>
      </c>
      <c r="D39" t="str">
        <f>INDEX(DATA!C:D,MATCH(BIO!A39,DATA!D:D,0),1)</f>
        <v>NIZMA CELL</v>
      </c>
    </row>
    <row r="40" spans="1:4">
      <c r="A40">
        <v>127198</v>
      </c>
      <c r="B40" s="14">
        <v>14</v>
      </c>
      <c r="C40">
        <f>INDEX('BIO WAHYU'!B:F,MATCH(BIO!A40,'BIO WAHYU'!B:B,0),5)</f>
        <v>2</v>
      </c>
      <c r="D40" t="str">
        <f>INDEX(DATA!C:D,MATCH(BIO!A40,DATA!D:D,0),1)</f>
        <v>gaul cell</v>
      </c>
    </row>
    <row r="41" spans="1:4">
      <c r="A41">
        <v>571174</v>
      </c>
      <c r="B41" s="14">
        <v>0</v>
      </c>
      <c r="C41">
        <f>INDEX('BIO WAHYU'!B:F,MATCH(BIO!A41,'BIO WAHYU'!B:B,0),5)</f>
        <v>1</v>
      </c>
      <c r="D41" t="str">
        <f>INDEX(DATA!C:D,MATCH(BIO!A41,DATA!D:D,0),1)</f>
        <v>ALIBABA CELL</v>
      </c>
    </row>
    <row r="42" spans="1:4">
      <c r="A42">
        <v>416191</v>
      </c>
      <c r="B42" s="14">
        <v>0</v>
      </c>
      <c r="C42">
        <f>INDEX('BIO WAHYU'!B:F,MATCH(BIO!A42,'BIO WAHYU'!B:B,0),5)</f>
        <v>1</v>
      </c>
      <c r="D42" t="str">
        <f>INDEX(DATA!C:D,MATCH(BIO!A42,DATA!D:D,0),1)</f>
        <v>SIGIT CELL</v>
      </c>
    </row>
    <row r="43" spans="1:4">
      <c r="A43">
        <v>12295592</v>
      </c>
      <c r="B43" s="14">
        <v>10</v>
      </c>
      <c r="C43">
        <f>INDEX('BIO WAHYU'!B:F,MATCH(BIO!A43,'BIO WAHYU'!B:B,0),5)</f>
        <v>1</v>
      </c>
      <c r="D43" t="str">
        <f>INDEX(DATA!C:D,MATCH(BIO!A43,DATA!D:D,0),1)</f>
        <v>Juniver cell</v>
      </c>
    </row>
    <row r="44" spans="1:4">
      <c r="A44">
        <v>510053</v>
      </c>
      <c r="B44" s="14">
        <v>0</v>
      </c>
      <c r="C44">
        <f>INDEX('BIO WAHYU'!B:F,MATCH(BIO!A44,'BIO WAHYU'!B:B,0),5)</f>
        <v>1</v>
      </c>
      <c r="D44" t="str">
        <f>INDEX(DATA!C:D,MATCH(BIO!A44,DATA!D:D,0),1)</f>
        <v>KEENAN CELL</v>
      </c>
    </row>
    <row r="45" spans="1:4">
      <c r="A45">
        <v>503866</v>
      </c>
      <c r="B45" s="14">
        <v>2</v>
      </c>
      <c r="C45">
        <f>INDEX('BIO WAHYU'!B:F,MATCH(BIO!A45,'BIO WAHYU'!B:B,0),5)</f>
        <v>1</v>
      </c>
      <c r="D45" t="str">
        <f>INDEX(DATA!C:D,MATCH(BIO!A45,DATA!D:D,0),1)</f>
        <v>Ayang Cell</v>
      </c>
    </row>
    <row r="46" spans="1:4">
      <c r="A46">
        <v>524281</v>
      </c>
      <c r="B46" s="14">
        <v>0</v>
      </c>
      <c r="C46">
        <f>INDEX('BIO WAHYU'!B:F,MATCH(BIO!A46,'BIO WAHYU'!B:B,0),5)</f>
        <v>1</v>
      </c>
      <c r="D46" t="str">
        <f>INDEX(DATA!C:D,MATCH(BIO!A46,DATA!D:D,0),1)</f>
        <v>Blesing cell</v>
      </c>
    </row>
    <row r="47" spans="1:4">
      <c r="A47">
        <v>12295833</v>
      </c>
      <c r="B47" s="14">
        <v>0</v>
      </c>
      <c r="C47">
        <f>INDEX('BIO WAHYU'!B:F,MATCH(BIO!A47,'BIO WAHYU'!B:B,0),5)</f>
        <v>0</v>
      </c>
      <c r="D47" t="str">
        <f>INDEX(DATA!C:D,MATCH(BIO!A47,DATA!D:D,0),1)</f>
        <v>intan cell</v>
      </c>
    </row>
    <row r="48" spans="1:4">
      <c r="A48">
        <v>240048</v>
      </c>
      <c r="B48" s="14">
        <v>2</v>
      </c>
      <c r="C48">
        <f>INDEX('BIO WAHYU'!B:F,MATCH(BIO!A48,'BIO WAHYU'!B:B,0),5)</f>
        <v>1</v>
      </c>
      <c r="D48" t="str">
        <f>INDEX(DATA!C:D,MATCH(BIO!A48,DATA!D:D,0),1)</f>
        <v>KJ CELL</v>
      </c>
    </row>
    <row r="49" spans="1:4">
      <c r="A49">
        <v>246732</v>
      </c>
      <c r="B49" s="14">
        <v>0</v>
      </c>
      <c r="C49">
        <f>INDEX('BIO WAHYU'!B:F,MATCH(BIO!A49,'BIO WAHYU'!B:B,0),5)</f>
        <v>1</v>
      </c>
      <c r="D49" t="str">
        <f>INDEX(DATA!C:D,MATCH(BIO!A49,DATA!D:D,0),1)</f>
        <v>ONE CELL</v>
      </c>
    </row>
    <row r="50" spans="1:4">
      <c r="A50">
        <v>530334</v>
      </c>
      <c r="B50" s="14">
        <v>0</v>
      </c>
      <c r="C50">
        <f>INDEX('BIO WAHYU'!B:F,MATCH(BIO!A50,'BIO WAHYU'!B:B,0),5)</f>
        <v>1</v>
      </c>
      <c r="D50" t="str">
        <f>INDEX(DATA!C:D,MATCH(BIO!A50,DATA!D:D,0),1)</f>
        <v>2 putra</v>
      </c>
    </row>
    <row r="51" spans="1:4">
      <c r="A51">
        <v>211794</v>
      </c>
      <c r="B51" s="14">
        <v>2</v>
      </c>
      <c r="C51">
        <f>INDEX('BIO WAHYU'!B:F,MATCH(BIO!A51,'BIO WAHYU'!B:B,0),5)</f>
        <v>1</v>
      </c>
      <c r="D51" t="str">
        <f>INDEX(DATA!C:D,MATCH(BIO!A51,DATA!D:D,0),1)</f>
        <v>DENTHA CELL</v>
      </c>
    </row>
    <row r="52" spans="1:4">
      <c r="A52">
        <v>535790</v>
      </c>
      <c r="B52" s="14">
        <v>3</v>
      </c>
      <c r="C52">
        <f>INDEX('BIO WAHYU'!B:F,MATCH(BIO!A52,'BIO WAHYU'!B:B,0),5)</f>
        <v>1</v>
      </c>
      <c r="D52" t="str">
        <f>INDEX(DATA!C:D,MATCH(BIO!A52,DATA!D:D,0),1)</f>
        <v>CHA CHA CELL MATUNGKAS</v>
      </c>
    </row>
    <row r="53" spans="1:4">
      <c r="A53">
        <v>62086</v>
      </c>
      <c r="B53" s="14">
        <v>0</v>
      </c>
      <c r="C53">
        <f>INDEX('BIO WAHYU'!B:F,MATCH(BIO!A53,'BIO WAHYU'!B:B,0),5)</f>
        <v>0</v>
      </c>
      <c r="D53" t="str">
        <f>INDEX(DATA!C:D,MATCH(BIO!A53,DATA!D:D,0),1)</f>
        <v>DR CELL</v>
      </c>
    </row>
    <row r="54" spans="1:4">
      <c r="A54">
        <v>116871</v>
      </c>
      <c r="B54" s="14">
        <v>5</v>
      </c>
      <c r="C54">
        <f>INDEX('BIO WAHYU'!B:F,MATCH(BIO!A54,'BIO WAHYU'!B:B,0),5)</f>
        <v>2</v>
      </c>
      <c r="D54" t="str">
        <f>INDEX(DATA!C:D,MATCH(BIO!A54,DATA!D:D,0),1)</f>
        <v>QALBI  CELL</v>
      </c>
    </row>
    <row r="55" spans="1:4">
      <c r="A55">
        <v>304264</v>
      </c>
      <c r="B55" s="14">
        <v>1</v>
      </c>
      <c r="C55">
        <f>INDEX('BIO WAHYU'!B:F,MATCH(BIO!A55,'BIO WAHYU'!B:B,0),5)</f>
        <v>1</v>
      </c>
      <c r="D55" t="str">
        <f>INDEX(DATA!C:D,MATCH(BIO!A55,DATA!D:D,0),1)</f>
        <v>COCO CELL</v>
      </c>
    </row>
    <row r="56" spans="1:4">
      <c r="A56">
        <v>549259</v>
      </c>
      <c r="B56" s="14">
        <v>0</v>
      </c>
      <c r="C56">
        <f>INDEX('BIO WAHYU'!B:F,MATCH(BIO!A56,'BIO WAHYU'!B:B,0),5)</f>
        <v>0</v>
      </c>
      <c r="D56" t="str">
        <f>INDEX(DATA!C:D,MATCH(BIO!A56,DATA!D:D,0),1)</f>
        <v>Fai cell 2</v>
      </c>
    </row>
    <row r="57" spans="1:4">
      <c r="A57">
        <v>523938</v>
      </c>
      <c r="B57" s="14">
        <v>0</v>
      </c>
      <c r="C57">
        <f>INDEX('BIO WAHYU'!B:F,MATCH(BIO!A57,'BIO WAHYU'!B:B,0),5)</f>
        <v>1</v>
      </c>
      <c r="D57" t="str">
        <f>INDEX(DATA!C:D,MATCH(BIO!A57,DATA!D:D,0),1)</f>
        <v>Nab cell 1</v>
      </c>
    </row>
    <row r="58" spans="1:4">
      <c r="A58">
        <v>523849</v>
      </c>
      <c r="B58" s="14">
        <v>0</v>
      </c>
      <c r="C58">
        <f>INDEX('BIO WAHYU'!B:F,MATCH(BIO!A58,'BIO WAHYU'!B:B,0),5)</f>
        <v>1</v>
      </c>
      <c r="D58" t="str">
        <f>INDEX(DATA!C:D,MATCH(BIO!A58,DATA!D:D,0),1)</f>
        <v>MilanQueen</v>
      </c>
    </row>
    <row r="59" spans="1:4">
      <c r="A59">
        <v>12295826</v>
      </c>
      <c r="B59" s="14">
        <v>0</v>
      </c>
      <c r="C59">
        <f>INDEX('BIO WAHYU'!B:F,MATCH(BIO!A59,'BIO WAHYU'!B:B,0),5)</f>
        <v>0</v>
      </c>
      <c r="D59" t="str">
        <f>INDEX(DATA!C:D,MATCH(BIO!A59,DATA!D:D,0),1)</f>
        <v>KLABAT JAYA CELL</v>
      </c>
    </row>
    <row r="60" spans="1:4">
      <c r="A60">
        <v>385575</v>
      </c>
      <c r="B60" s="14">
        <v>0</v>
      </c>
      <c r="C60">
        <f>INDEX('BIO WAHYU'!B:F,MATCH(BIO!A60,'BIO WAHYU'!B:B,0),5)</f>
        <v>0</v>
      </c>
      <c r="D60" t="str">
        <f>INDEX(DATA!C:D,MATCH(BIO!A60,DATA!D:D,0),1)</f>
        <v>joy cell</v>
      </c>
    </row>
    <row r="61" spans="1:4">
      <c r="A61">
        <v>12326920</v>
      </c>
      <c r="B61" s="14">
        <v>0</v>
      </c>
      <c r="C61">
        <f>INDEX('BIO WAHYU'!B:F,MATCH(BIO!A61,'BIO WAHYU'!B:B,0),5)</f>
        <v>1</v>
      </c>
      <c r="D61" t="str">
        <f>INDEX(DATA!C:D,MATCH(BIO!A61,DATA!D:D,0),1)</f>
        <v>RAINBOW CELL</v>
      </c>
    </row>
    <row r="62" spans="1:4">
      <c r="A62">
        <v>484741</v>
      </c>
      <c r="B62" s="14">
        <v>0</v>
      </c>
      <c r="C62">
        <f>INDEX('BIO WAHYU'!B:F,MATCH(BIO!A62,'BIO WAHYU'!B:B,0),5)</f>
        <v>1</v>
      </c>
      <c r="D62" t="str">
        <f>INDEX(DATA!C:D,MATCH(BIO!A62,DATA!D:D,0),1)</f>
        <v>cici cell</v>
      </c>
    </row>
    <row r="63" spans="1:4">
      <c r="A63">
        <v>12327316</v>
      </c>
      <c r="B63" s="14">
        <v>1</v>
      </c>
      <c r="C63">
        <f>INDEX('BIO WAHYU'!B:F,MATCH(BIO!A63,'BIO WAHYU'!B:B,0),5)</f>
        <v>1</v>
      </c>
      <c r="D63" t="str">
        <f>INDEX(DATA!C:D,MATCH(BIO!A63,DATA!D:D,0),1)</f>
        <v>ALhafiz cell</v>
      </c>
    </row>
    <row r="64" spans="1:4">
      <c r="A64">
        <v>12334635</v>
      </c>
      <c r="B64" s="14">
        <v>0</v>
      </c>
      <c r="C64">
        <f>INDEX('BIO WAHYU'!B:F,MATCH(BIO!A64,'BIO WAHYU'!B:B,0),5)</f>
        <v>1</v>
      </c>
      <c r="D64" t="str">
        <f>INDEX(DATA!C:D,MATCH(BIO!A64,DATA!D:D,0),1)</f>
        <v>Atan cell</v>
      </c>
    </row>
    <row r="65" spans="1:4">
      <c r="A65">
        <v>12326118</v>
      </c>
      <c r="B65" s="14">
        <v>1</v>
      </c>
      <c r="C65">
        <f>INDEX('BIO WAHYU'!B:F,MATCH(BIO!A65,'BIO WAHYU'!B:B,0),5)</f>
        <v>1</v>
      </c>
      <c r="D65" t="str">
        <f>INDEX(DATA!C:D,MATCH(BIO!A65,DATA!D:D,0),1)</f>
        <v>TRIPLE M CELL</v>
      </c>
    </row>
    <row r="66" spans="1:4">
      <c r="A66">
        <v>345427</v>
      </c>
      <c r="B66" s="14">
        <v>0</v>
      </c>
      <c r="C66">
        <f>INDEX('BIO WAHYU'!B:F,MATCH(BIO!A66,'BIO WAHYU'!B:B,0),5)</f>
        <v>1</v>
      </c>
      <c r="D66" t="str">
        <f>INDEX(DATA!C:D,MATCH(BIO!A66,DATA!D:D,0),1)</f>
        <v>Rey Cell</v>
      </c>
    </row>
    <row r="67" spans="1:4">
      <c r="A67">
        <v>499483</v>
      </c>
      <c r="B67" s="14">
        <v>2</v>
      </c>
      <c r="C67">
        <f>INDEX('BIO WAHYU'!B:F,MATCH(BIO!A67,'BIO WAHYU'!B:B,0),5)</f>
        <v>1</v>
      </c>
      <c r="D67" t="str">
        <f>INDEX(DATA!C:D,MATCH(BIO!A67,DATA!D:D,0),1)</f>
        <v>INDRA CELL</v>
      </c>
    </row>
    <row r="68" spans="1:4">
      <c r="A68">
        <v>195918</v>
      </c>
      <c r="B68" s="14">
        <v>4</v>
      </c>
      <c r="C68">
        <f>INDEX('BIO WAHYU'!B:F,MATCH(BIO!A68,'BIO WAHYU'!B:B,0),5)</f>
        <v>0</v>
      </c>
      <c r="D68" t="str">
        <f>INDEX(DATA!C:D,MATCH(BIO!A68,DATA!D:D,0),1)</f>
        <v>3 V</v>
      </c>
    </row>
    <row r="69" spans="1:4">
      <c r="A69">
        <v>126951</v>
      </c>
      <c r="B69" s="14">
        <v>3</v>
      </c>
      <c r="C69">
        <f>INDEX('BIO WAHYU'!B:F,MATCH(BIO!A69,'BIO WAHYU'!B:B,0),5)</f>
        <v>2</v>
      </c>
      <c r="D69" t="str">
        <f>INDEX(DATA!C:D,MATCH(BIO!A69,DATA!D:D,0),1)</f>
        <v>tuti cell</v>
      </c>
    </row>
    <row r="70" spans="1:4">
      <c r="A70">
        <v>63887</v>
      </c>
      <c r="B70" s="14">
        <v>1</v>
      </c>
      <c r="C70">
        <f>INDEX('BIO WAHYU'!B:F,MATCH(BIO!A70,'BIO WAHYU'!B:B,0),5)</f>
        <v>0</v>
      </c>
      <c r="D70" t="str">
        <f>INDEX(DATA!C:D,MATCH(BIO!A70,DATA!D:D,0),1)</f>
        <v>BERKAT INDAH CELL</v>
      </c>
    </row>
    <row r="71" spans="1:4">
      <c r="A71">
        <v>229765</v>
      </c>
      <c r="B71" s="14">
        <v>21</v>
      </c>
      <c r="C71">
        <f>INDEX('BIO WAHYU'!B:F,MATCH(BIO!A71,'BIO WAHYU'!B:B,0),5)</f>
        <v>4</v>
      </c>
      <c r="D71" t="str">
        <f>INDEX(DATA!C:D,MATCH(BIO!A71,DATA!D:D,0),1)</f>
        <v>Blessed cell</v>
      </c>
    </row>
    <row r="72" spans="1:4">
      <c r="A72">
        <v>574633</v>
      </c>
      <c r="B72" s="14">
        <v>0</v>
      </c>
      <c r="C72">
        <f>INDEX('BIO WAHYU'!B:F,MATCH(BIO!A72,'BIO WAHYU'!B:B,0),5)</f>
        <v>0</v>
      </c>
      <c r="D72" t="str">
        <f>INDEX(DATA!C:D,MATCH(BIO!A72,DATA!D:D,0),1)</f>
        <v>nia cell</v>
      </c>
    </row>
    <row r="73" spans="1:4">
      <c r="A73">
        <v>61688</v>
      </c>
      <c r="B73" s="14">
        <v>4</v>
      </c>
      <c r="C73">
        <f>INDEX('BIO WAHYU'!B:F,MATCH(BIO!A73,'BIO WAHYU'!B:B,0),5)</f>
        <v>1</v>
      </c>
      <c r="D73" t="str">
        <f>INDEX(DATA!C:D,MATCH(BIO!A73,DATA!D:D,0),1)</f>
        <v>Asia Jaya Cell</v>
      </c>
    </row>
    <row r="74" spans="1:4">
      <c r="A74" t="s">
        <v>104</v>
      </c>
      <c r="B74" s="14">
        <v>0</v>
      </c>
      <c r="C74">
        <f>INDEX('BIO WAHYU'!B:F,MATCH(BIO!A74,'BIO WAHYU'!B:B,0),5)</f>
        <v>1</v>
      </c>
      <c r="D74" t="str">
        <f>INDEX(DATA!C:D,MATCH(BIO!A74,DATA!D:D,0),1)</f>
        <v>DZIKRA CELL KAUDITAN</v>
      </c>
    </row>
    <row r="75" spans="1:4">
      <c r="A75">
        <v>12295724</v>
      </c>
      <c r="B75" s="14">
        <v>1</v>
      </c>
      <c r="C75">
        <f>INDEX('BIO WAHYU'!B:F,MATCH(BIO!A75,'BIO WAHYU'!B:B,0),5)</f>
        <v>1</v>
      </c>
      <c r="D75" t="str">
        <f>INDEX(DATA!C:D,MATCH(BIO!A75,DATA!D:D,0),1)</f>
        <v>Qian Qian Cell</v>
      </c>
    </row>
    <row r="76" spans="1:4">
      <c r="A76">
        <v>12325263</v>
      </c>
      <c r="B76" s="14">
        <v>0</v>
      </c>
      <c r="C76">
        <f>INDEX('BIO WAHYU'!B:F,MATCH(BIO!A76,'BIO WAHYU'!B:B,0),5)</f>
        <v>0</v>
      </c>
      <c r="D76" t="str">
        <f>INDEX(DATA!C:D,MATCH(BIO!A76,DATA!D:D,0),1)</f>
        <v>KIOS TASYA</v>
      </c>
    </row>
    <row r="77" spans="1:4">
      <c r="A77">
        <v>12324194</v>
      </c>
      <c r="B77" s="14">
        <v>0</v>
      </c>
      <c r="C77">
        <f>INDEX('BIO WAHYU'!B:F,MATCH(BIO!A77,'BIO WAHYU'!B:B,0),5)</f>
        <v>0</v>
      </c>
      <c r="D77" t="str">
        <f>INDEX(DATA!C:D,MATCH(BIO!A77,DATA!D:D,0),1)</f>
        <v>ARJUNA CELL</v>
      </c>
    </row>
    <row r="78" spans="1:4">
      <c r="A78">
        <v>486638</v>
      </c>
      <c r="B78" s="14">
        <v>1</v>
      </c>
      <c r="C78">
        <f>INDEX('BIO WAHYU'!B:F,MATCH(BIO!A78,'BIO WAHYU'!B:B,0),5)</f>
        <v>1</v>
      </c>
      <c r="D78" t="str">
        <f>INDEX(DATA!C:D,MATCH(BIO!A78,DATA!D:D,0),1)</f>
        <v>TIARA CELL</v>
      </c>
    </row>
    <row r="79" spans="1:4">
      <c r="A79">
        <v>530058</v>
      </c>
      <c r="B79" s="14">
        <v>1</v>
      </c>
      <c r="C79">
        <f>INDEX('BIO WAHYU'!B:F,MATCH(BIO!A79,'BIO WAHYU'!B:B,0),5)</f>
        <v>1</v>
      </c>
      <c r="D79" t="str">
        <f>INDEX(DATA!C:D,MATCH(BIO!A79,DATA!D:D,0),1)</f>
        <v>Dipan Cell Matungkas</v>
      </c>
    </row>
    <row r="80" spans="1:4">
      <c r="A80">
        <v>231278</v>
      </c>
      <c r="B80" s="14">
        <v>0</v>
      </c>
      <c r="C80">
        <f>INDEX('BIO WAHYU'!B:F,MATCH(BIO!A80,'BIO WAHYU'!B:B,0),5)</f>
        <v>1</v>
      </c>
      <c r="D80" t="str">
        <f>INDEX(DATA!C:D,MATCH(BIO!A80,DATA!D:D,0),1)</f>
        <v>KENZIE CELL</v>
      </c>
    </row>
    <row r="81" spans="1:4">
      <c r="A81">
        <v>199217</v>
      </c>
      <c r="B81" s="14">
        <v>0</v>
      </c>
      <c r="C81">
        <f>INDEX('BIO WAHYU'!B:F,MATCH(BIO!A81,'BIO WAHYU'!B:B,0),5)</f>
        <v>1</v>
      </c>
      <c r="D81" t="str">
        <f>INDEX(DATA!C:D,MATCH(BIO!A81,DATA!D:D,0),1)</f>
        <v>PRIMA PONSEL</v>
      </c>
    </row>
    <row r="82" spans="1:4">
      <c r="A82">
        <v>222816</v>
      </c>
      <c r="B82" s="14">
        <v>1</v>
      </c>
      <c r="C82">
        <f>INDEX('BIO WAHYU'!B:F,MATCH(BIO!A82,'BIO WAHYU'!B:B,0),5)</f>
        <v>1</v>
      </c>
      <c r="D82" t="str">
        <f>INDEX(DATA!C:D,MATCH(BIO!A82,DATA!D:D,0),1)</f>
        <v>keren moren cell</v>
      </c>
    </row>
    <row r="83" spans="1:4">
      <c r="A83">
        <v>342829</v>
      </c>
      <c r="B83" s="14">
        <v>1</v>
      </c>
      <c r="C83">
        <f>INDEX('BIO WAHYU'!B:F,MATCH(BIO!A83,'BIO WAHYU'!B:B,0),5)</f>
        <v>2</v>
      </c>
      <c r="D83" t="str">
        <f>INDEX(DATA!C:D,MATCH(BIO!A83,DATA!D:D,0),1)</f>
        <v>denny cell</v>
      </c>
    </row>
    <row r="84" spans="1:4">
      <c r="A84">
        <v>543826</v>
      </c>
      <c r="B84" s="14">
        <v>23</v>
      </c>
      <c r="C84">
        <f>INDEX('BIO WAHYU'!B:F,MATCH(BIO!A84,'BIO WAHYU'!B:B,0),5)</f>
        <v>0</v>
      </c>
      <c r="D84" t="str">
        <f>INDEX(DATA!C:D,MATCH(BIO!A84,DATA!D:D,0),1)</f>
        <v>Floria cell</v>
      </c>
    </row>
    <row r="85" spans="1:4">
      <c r="A85" t="s">
        <v>160</v>
      </c>
      <c r="B85" s="14">
        <v>0</v>
      </c>
      <c r="C85">
        <f>INDEX('BIO WAHYU'!B:F,MATCH(BIO!A85,'BIO WAHYU'!B:B,0),5)</f>
        <v>0</v>
      </c>
      <c r="D85" t="str">
        <f>INDEX(DATA!C:D,MATCH(BIO!A85,DATA!D:D,0),1)</f>
        <v>PELANGI CELL</v>
      </c>
    </row>
    <row r="86" spans="1:4">
      <c r="A86">
        <v>287622</v>
      </c>
      <c r="B86" s="14">
        <v>0</v>
      </c>
      <c r="C86">
        <f>INDEX('BIO WAHYU'!B:F,MATCH(BIO!A86,'BIO WAHYU'!B:B,0),5)</f>
        <v>1</v>
      </c>
      <c r="D86" t="str">
        <f>INDEX(DATA!C:D,MATCH(BIO!A86,DATA!D:D,0),1)</f>
        <v>Acox Pulsa</v>
      </c>
    </row>
    <row r="87" spans="1:4">
      <c r="A87">
        <v>542823</v>
      </c>
      <c r="B87" s="14">
        <v>2</v>
      </c>
      <c r="C87">
        <f>INDEX('BIO WAHYU'!B:F,MATCH(BIO!A87,'BIO WAHYU'!B:B,0),5)</f>
        <v>1</v>
      </c>
      <c r="D87" t="str">
        <f>INDEX(DATA!C:D,MATCH(BIO!A87,DATA!D:D,0),1)</f>
        <v>JMW CELL</v>
      </c>
    </row>
    <row r="88" spans="1:4">
      <c r="A88">
        <v>12295887</v>
      </c>
      <c r="B88" s="14">
        <v>0</v>
      </c>
      <c r="C88">
        <f>INDEX('BIO WAHYU'!B:F,MATCH(BIO!A88,'BIO WAHYU'!B:B,0),5)</f>
        <v>0</v>
      </c>
      <c r="D88" t="str">
        <f>INDEX(DATA!C:D,MATCH(BIO!A88,DATA!D:D,0),1)</f>
        <v>KIOS NADYA</v>
      </c>
    </row>
    <row r="89" spans="1:4">
      <c r="A89">
        <v>12333237</v>
      </c>
      <c r="B89" s="14">
        <v>8</v>
      </c>
      <c r="C89">
        <f>INDEX('BIO WAHYU'!B:F,MATCH(BIO!A89,'BIO WAHYU'!B:B,0),5)</f>
        <v>1</v>
      </c>
      <c r="D89" t="str">
        <f>INDEX(DATA!C:D,MATCH(BIO!A89,DATA!D:D,0),1)</f>
        <v>anugerah cell</v>
      </c>
    </row>
    <row r="90" spans="1:4">
      <c r="A90">
        <v>477625</v>
      </c>
      <c r="B90" s="14">
        <v>0</v>
      </c>
      <c r="C90">
        <f>INDEX('BIO WAHYU'!B:F,MATCH(BIO!A90,'BIO WAHYU'!B:B,0),5)</f>
        <v>0</v>
      </c>
      <c r="D90" t="str">
        <f>INDEX(DATA!C:D,MATCH(BIO!A90,DATA!D:D,0),1)</f>
        <v>Yunita Cell</v>
      </c>
    </row>
    <row r="91" spans="1:4">
      <c r="A91">
        <v>12295980</v>
      </c>
      <c r="B91" s="14">
        <v>0</v>
      </c>
      <c r="C91">
        <f>INDEX('BIO WAHYU'!B:F,MATCH(BIO!A91,'BIO WAHYU'!B:B,0),5)</f>
        <v>0</v>
      </c>
      <c r="D91" t="str">
        <f>INDEX(DATA!C:D,MATCH(BIO!A91,DATA!D:D,0),1)</f>
        <v>Zall Cell</v>
      </c>
    </row>
    <row r="92" spans="1:4">
      <c r="A92">
        <v>12295626</v>
      </c>
      <c r="B92" s="14">
        <v>0</v>
      </c>
      <c r="C92">
        <f>INDEX('BIO WAHYU'!B:F,MATCH(BIO!A92,'BIO WAHYU'!B:B,0),5)</f>
        <v>0</v>
      </c>
      <c r="D92" t="str">
        <f>INDEX(DATA!C:D,MATCH(BIO!A92,DATA!D:D,0),1)</f>
        <v>Ansi cell</v>
      </c>
    </row>
    <row r="93" spans="1:4">
      <c r="A93">
        <v>126963</v>
      </c>
      <c r="B93" s="14">
        <v>0</v>
      </c>
      <c r="C93">
        <f>INDEX('BIO WAHYU'!B:F,MATCH(BIO!A93,'BIO WAHYU'!B:B,0),5)</f>
        <v>1</v>
      </c>
      <c r="D93" t="str">
        <f>INDEX(DATA!C:D,MATCH(BIO!A93,DATA!D:D,0),1)</f>
        <v>NYOMAN CELL</v>
      </c>
    </row>
    <row r="94" spans="1:4">
      <c r="A94">
        <v>199007</v>
      </c>
      <c r="B94" s="14">
        <v>0</v>
      </c>
      <c r="C94">
        <f>INDEX('BIO WAHYU'!B:F,MATCH(BIO!A94,'BIO WAHYU'!B:B,0),5)</f>
        <v>0</v>
      </c>
      <c r="D94" t="str">
        <f>INDEX(DATA!C:D,MATCH(BIO!A94,DATA!D:D,0),1)</f>
        <v>Ribby Cell</v>
      </c>
    </row>
    <row r="95" spans="1:4">
      <c r="A95">
        <v>12295536</v>
      </c>
      <c r="B95" s="14">
        <v>1</v>
      </c>
      <c r="C95">
        <f>INDEX('BIO WAHYU'!B:F,MATCH(BIO!A95,'BIO WAHYU'!B:B,0),5)</f>
        <v>0</v>
      </c>
      <c r="D95" t="str">
        <f>INDEX(DATA!C:D,MATCH(BIO!A95,DATA!D:D,0),1)</f>
        <v>Club cell</v>
      </c>
    </row>
    <row r="96" spans="1:4">
      <c r="A96">
        <v>213944</v>
      </c>
      <c r="B96" s="14">
        <v>4</v>
      </c>
      <c r="C96">
        <f>INDEX('BIO WAHYU'!B:F,MATCH(BIO!A96,'BIO WAHYU'!B:B,0),5)</f>
        <v>1</v>
      </c>
      <c r="D96" t="str">
        <f>INDEX(DATA!C:D,MATCH(BIO!A96,DATA!D:D,0),1)</f>
        <v>KIRAN CELL</v>
      </c>
    </row>
    <row r="97" spans="1:4">
      <c r="A97">
        <v>278608</v>
      </c>
      <c r="B97" s="14">
        <v>4</v>
      </c>
      <c r="C97">
        <f>INDEX('BIO WAHYU'!B:F,MATCH(BIO!A97,'BIO WAHYU'!B:B,0),5)</f>
        <v>2</v>
      </c>
      <c r="D97" t="str">
        <f>INDEX(DATA!C:D,MATCH(BIO!A97,DATA!D:D,0),1)</f>
        <v>aurel cell</v>
      </c>
    </row>
    <row r="98" spans="1:4">
      <c r="A98">
        <v>12323463</v>
      </c>
      <c r="B98" s="14">
        <v>91</v>
      </c>
      <c r="C98">
        <f>INDEX('BIO WAHYU'!B:F,MATCH(BIO!A98,'BIO WAHYU'!B:B,0),5)</f>
        <v>18</v>
      </c>
      <c r="D98" t="str">
        <f>INDEX(DATA!C:D,MATCH(BIO!A98,DATA!D:D,0),1)</f>
        <v>ALEYA CELL</v>
      </c>
    </row>
    <row r="99" spans="1:4">
      <c r="A99">
        <v>12321241</v>
      </c>
      <c r="B99" s="14">
        <v>21</v>
      </c>
      <c r="C99">
        <f>INDEX('BIO WAHYU'!B:F,MATCH(BIO!A99,'BIO WAHYU'!B:B,0),5)</f>
        <v>3</v>
      </c>
      <c r="D99" t="str">
        <f>INDEX(DATA!C:D,MATCH(BIO!A99,DATA!D:D,0),1)</f>
        <v>Dhivaa cell</v>
      </c>
    </row>
    <row r="100" spans="1:4">
      <c r="A100">
        <v>287403</v>
      </c>
      <c r="B100" s="14">
        <v>0</v>
      </c>
      <c r="C100">
        <f>INDEX('BIO WAHYU'!B:F,MATCH(BIO!A100,'BIO WAHYU'!B:B,0),5)</f>
        <v>1</v>
      </c>
      <c r="D100" t="str">
        <f>INDEX(DATA!C:D,MATCH(BIO!A100,DATA!D:D,0),1)</f>
        <v>AUDREY CELL</v>
      </c>
    </row>
    <row r="101" spans="1:4">
      <c r="A101" t="s">
        <v>102</v>
      </c>
      <c r="B101" s="14">
        <v>0</v>
      </c>
      <c r="C101">
        <f>INDEX('BIO WAHYU'!B:F,MATCH(BIO!A101,'BIO WAHYU'!B:B,0),5)</f>
        <v>3</v>
      </c>
      <c r="D101" t="str">
        <f>INDEX(DATA!C:D,MATCH(BIO!A101,DATA!D:D,0),1)</f>
        <v>Yuke Cell</v>
      </c>
    </row>
    <row r="102" spans="1:4">
      <c r="A102">
        <v>511584</v>
      </c>
      <c r="B102" s="14">
        <v>3</v>
      </c>
      <c r="C102">
        <f>INDEX('BIO WAHYU'!B:F,MATCH(BIO!A102,'BIO WAHYU'!B:B,0),5)</f>
        <v>1</v>
      </c>
      <c r="D102" t="str">
        <f>INDEX(DATA!C:D,MATCH(BIO!A102,DATA!D:D,0),1)</f>
        <v>46 Cell</v>
      </c>
    </row>
    <row r="103" spans="1:4">
      <c r="A103">
        <v>12295542</v>
      </c>
      <c r="B103" s="14">
        <v>2</v>
      </c>
      <c r="C103">
        <f>INDEX('BIO WAHYU'!B:F,MATCH(BIO!A103,'BIO WAHYU'!B:B,0),5)</f>
        <v>1</v>
      </c>
      <c r="D103" t="str">
        <f>INDEX(DATA!C:D,MATCH(BIO!A103,DATA!D:D,0),1)</f>
        <v>Loni cell</v>
      </c>
    </row>
    <row r="104" spans="1:4">
      <c r="A104">
        <v>546446</v>
      </c>
      <c r="B104" s="14">
        <v>2</v>
      </c>
      <c r="C104">
        <f>INDEX('BIO WAHYU'!B:F,MATCH(BIO!A104,'BIO WAHYU'!B:B,0),5)</f>
        <v>0</v>
      </c>
      <c r="D104" t="str">
        <f>INDEX(DATA!C:D,MATCH(BIO!A104,DATA!D:D,0),1)</f>
        <v>CRP Cell</v>
      </c>
    </row>
    <row r="105" spans="1:4">
      <c r="A105">
        <v>199020</v>
      </c>
      <c r="B105" s="14">
        <v>0</v>
      </c>
      <c r="C105">
        <f>INDEX('BIO WAHYU'!B:F,MATCH(BIO!A105,'BIO WAHYU'!B:B,0),5)</f>
        <v>1</v>
      </c>
      <c r="D105" t="str">
        <f>INDEX(DATA!C:D,MATCH(BIO!A105,DATA!D:D,0),1)</f>
        <v>PRIMA CELL</v>
      </c>
    </row>
    <row r="106" spans="1:4">
      <c r="A106">
        <v>522623</v>
      </c>
      <c r="B106" s="14">
        <v>10</v>
      </c>
      <c r="C106">
        <f>INDEX('BIO WAHYU'!B:F,MATCH(BIO!A106,'BIO WAHYU'!B:B,0),5)</f>
        <v>1</v>
      </c>
      <c r="D106" t="str">
        <f>INDEX(DATA!C:D,MATCH(BIO!A106,DATA!D:D,0),1)</f>
        <v>PUTRI CELL 1</v>
      </c>
    </row>
    <row r="107" spans="1:4">
      <c r="A107">
        <v>12303072</v>
      </c>
      <c r="B107" s="14">
        <v>2</v>
      </c>
      <c r="C107">
        <f>INDEX('BIO WAHYU'!B:F,MATCH(BIO!A107,'BIO WAHYU'!B:B,0),5)</f>
        <v>2</v>
      </c>
      <c r="D107" t="str">
        <f>INDEX(DATA!C:D,MATCH(BIO!A107,DATA!D:D,0),1)</f>
        <v>YANI CELL</v>
      </c>
    </row>
    <row r="108" spans="1:4">
      <c r="A108">
        <v>12295820</v>
      </c>
      <c r="B108" s="14">
        <v>0</v>
      </c>
      <c r="C108">
        <f>INDEX('BIO WAHYU'!B:F,MATCH(BIO!A108,'BIO WAHYU'!B:B,0),5)</f>
        <v>0</v>
      </c>
      <c r="D108" t="str">
        <f>INDEX(DATA!C:D,MATCH(BIO!A108,DATA!D:D,0),1)</f>
        <v>CGS CELL</v>
      </c>
    </row>
    <row r="109" spans="1:4">
      <c r="A109">
        <v>358231</v>
      </c>
      <c r="B109" s="14">
        <v>0</v>
      </c>
      <c r="C109">
        <f>INDEX('BIO WAHYU'!B:F,MATCH(BIO!A109,'BIO WAHYU'!B:B,0),5)</f>
        <v>1</v>
      </c>
      <c r="D109" t="str">
        <f>INDEX(DATA!C:D,MATCH(BIO!A109,DATA!D:D,0),1)</f>
        <v>Acox Link</v>
      </c>
    </row>
    <row r="110" spans="1:4">
      <c r="A110">
        <v>396176</v>
      </c>
      <c r="B110" s="14">
        <v>1</v>
      </c>
      <c r="C110">
        <f>INDEX('BIO WAHYU'!B:F,MATCH(BIO!A110,'BIO WAHYU'!B:B,0),5)</f>
        <v>0</v>
      </c>
      <c r="D110" t="str">
        <f>INDEX(DATA!C:D,MATCH(BIO!A110,DATA!D:D,0),1)</f>
        <v>zidan cell</v>
      </c>
    </row>
    <row r="111" spans="1:4">
      <c r="A111">
        <v>539088</v>
      </c>
      <c r="B111" s="14">
        <v>2</v>
      </c>
      <c r="C111">
        <f>INDEX('BIO WAHYU'!B:F,MATCH(BIO!A111,'BIO WAHYU'!B:B,0),5)</f>
        <v>0</v>
      </c>
      <c r="D111" t="str">
        <f>INDEX(DATA!C:D,MATCH(BIO!A111,DATA!D:D,0),1)</f>
        <v>Hikmah cell</v>
      </c>
    </row>
    <row r="112" spans="1:4">
      <c r="A112">
        <v>525590</v>
      </c>
      <c r="B112" s="14">
        <v>1</v>
      </c>
      <c r="C112">
        <f>INDEX('BIO WAHYU'!B:F,MATCH(BIO!A112,'BIO WAHYU'!B:B,0),5)</f>
        <v>2</v>
      </c>
      <c r="D112" t="str">
        <f>INDEX(DATA!C:D,MATCH(BIO!A112,DATA!D:D,0),1)</f>
        <v>mj cell</v>
      </c>
    </row>
    <row r="113" spans="1:4">
      <c r="A113">
        <v>368809</v>
      </c>
      <c r="B113" s="14">
        <v>1</v>
      </c>
      <c r="C113">
        <f>INDEX('BIO WAHYU'!B:F,MATCH(BIO!A113,'BIO WAHYU'!B:B,0),5)</f>
        <v>1</v>
      </c>
      <c r="D113" t="str">
        <f>INDEX(DATA!C:D,MATCH(BIO!A113,DATA!D:D,0),1)</f>
        <v>def cell</v>
      </c>
    </row>
    <row r="114" spans="1:4">
      <c r="A114">
        <v>199010</v>
      </c>
      <c r="B114" s="14">
        <v>1</v>
      </c>
      <c r="C114">
        <f>INDEX('BIO WAHYU'!B:F,MATCH(BIO!A114,'BIO WAHYU'!B:B,0),5)</f>
        <v>1</v>
      </c>
      <c r="D114" t="str">
        <f>INDEX(DATA!C:D,MATCH(BIO!A114,DATA!D:D,0),1)</f>
        <v>ayu cell</v>
      </c>
    </row>
    <row r="115" spans="1:4">
      <c r="A115">
        <v>519286</v>
      </c>
      <c r="B115" s="14">
        <v>1</v>
      </c>
      <c r="C115">
        <f>INDEX('BIO WAHYU'!B:F,MATCH(BIO!A115,'BIO WAHYU'!B:B,0),5)</f>
        <v>1</v>
      </c>
      <c r="D115" t="str">
        <f>INDEX(DATA!C:D,MATCH(BIO!A115,DATA!D:D,0),1)</f>
        <v>ja cell</v>
      </c>
    </row>
    <row r="116" spans="1:4">
      <c r="A116">
        <v>523194</v>
      </c>
      <c r="B116" s="14">
        <v>1</v>
      </c>
      <c r="C116">
        <f>INDEX('BIO WAHYU'!B:F,MATCH(BIO!A116,'BIO WAHYU'!B:B,0),5)</f>
        <v>2</v>
      </c>
      <c r="D116" t="str">
        <f>INDEX(DATA!C:D,MATCH(BIO!A116,DATA!D:D,0),1)</f>
        <v>jefik cell</v>
      </c>
    </row>
    <row r="117" spans="1:4">
      <c r="A117">
        <v>61690</v>
      </c>
      <c r="B117" s="14">
        <v>0</v>
      </c>
      <c r="C117">
        <f>INDEX('BIO WAHYU'!B:F,MATCH(BIO!A117,'BIO WAHYU'!B:B,0),5)</f>
        <v>1</v>
      </c>
      <c r="D117" t="str">
        <f>INDEX(DATA!C:D,MATCH(BIO!A117,DATA!D:D,0),1)</f>
        <v>ARYA CELL</v>
      </c>
    </row>
    <row r="118" spans="1:4">
      <c r="A118">
        <v>12312295</v>
      </c>
      <c r="B118" s="14">
        <v>1</v>
      </c>
      <c r="C118">
        <f>INDEX('BIO WAHYU'!B:F,MATCH(BIO!A118,'BIO WAHYU'!B:B,0),5)</f>
        <v>2</v>
      </c>
      <c r="D118" t="str">
        <f>INDEX(DATA!C:D,MATCH(BIO!A118,DATA!D:D,0),1)</f>
        <v>Dinda Celll</v>
      </c>
    </row>
    <row r="119" spans="1:4">
      <c r="A119">
        <v>12318079</v>
      </c>
      <c r="B119" s="14">
        <v>3</v>
      </c>
      <c r="C119">
        <f>INDEX('BIO WAHYU'!B:F,MATCH(BIO!A119,'BIO WAHYU'!B:B,0),5)</f>
        <v>1</v>
      </c>
      <c r="D119" t="str">
        <f>INDEX(DATA!C:D,MATCH(BIO!A119,DATA!D:D,0),1)</f>
        <v>BERRY CELL</v>
      </c>
    </row>
    <row r="120" spans="1:4">
      <c r="A120">
        <v>12321230</v>
      </c>
      <c r="B120" s="14">
        <v>2</v>
      </c>
      <c r="C120">
        <f>INDEX('BIO WAHYU'!B:F,MATCH(BIO!A120,'BIO WAHYU'!B:B,0),5)</f>
        <v>0</v>
      </c>
      <c r="D120" t="str">
        <f>INDEX(DATA!C:D,MATCH(BIO!A120,DATA!D:D,0),1)</f>
        <v>DAP CELL</v>
      </c>
    </row>
    <row r="121" spans="1:4">
      <c r="A121">
        <v>12301356</v>
      </c>
      <c r="B121" s="14">
        <v>3</v>
      </c>
      <c r="C121">
        <f>INDEX('BIO WAHYU'!B:F,MATCH(BIO!A121,'BIO WAHYU'!B:B,0),5)</f>
        <v>1</v>
      </c>
      <c r="D121" t="str">
        <f>INDEX(DATA!C:D,MATCH(BIO!A121,DATA!D:D,0),1)</f>
        <v>JESIKA CELL</v>
      </c>
    </row>
    <row r="122" spans="1:4">
      <c r="A122">
        <v>12295752</v>
      </c>
      <c r="B122" s="14">
        <v>1</v>
      </c>
      <c r="C122">
        <f>INDEX('BIO WAHYU'!B:F,MATCH(BIO!A122,'BIO WAHYU'!B:B,0),5)</f>
        <v>2</v>
      </c>
      <c r="D122" t="str">
        <f>INDEX(DATA!C:D,MATCH(BIO!A122,DATA!D:D,0),1)</f>
        <v>C2w cell</v>
      </c>
    </row>
    <row r="123" spans="1:4">
      <c r="A123">
        <v>12313881</v>
      </c>
      <c r="B123" s="14">
        <v>20</v>
      </c>
      <c r="C123">
        <f>INDEX('BIO WAHYU'!B:F,MATCH(BIO!A123,'BIO WAHYU'!B:B,0),5)</f>
        <v>1</v>
      </c>
      <c r="D123" t="str">
        <f>INDEX(DATA!C:D,MATCH(BIO!A123,DATA!D:D,0),1)</f>
        <v>Niks cell</v>
      </c>
    </row>
    <row r="124" spans="1:4">
      <c r="A124">
        <v>12302808</v>
      </c>
      <c r="B124" s="14">
        <v>0</v>
      </c>
      <c r="C124">
        <f>INDEX('BIO WAHYU'!B:F,MATCH(BIO!A124,'BIO WAHYU'!B:B,0),5)</f>
        <v>0</v>
      </c>
      <c r="D124" t="str">
        <f>INDEX(DATA!C:D,MATCH(BIO!A124,DATA!D:D,0),1)</f>
        <v>RIO CELL</v>
      </c>
    </row>
    <row r="125" spans="1:4">
      <c r="A125">
        <v>12334637</v>
      </c>
      <c r="B125" s="14">
        <v>2</v>
      </c>
      <c r="C125">
        <f>INDEX('BIO WAHYU'!B:F,MATCH(BIO!A125,'BIO WAHYU'!B:B,0),5)</f>
        <v>1</v>
      </c>
      <c r="D125" t="str">
        <f>INDEX(DATA!C:D,MATCH(BIO!A125,DATA!D:D,0),1)</f>
        <v>Fred cell</v>
      </c>
    </row>
    <row r="126" spans="1:4">
      <c r="A126">
        <v>471389</v>
      </c>
      <c r="B126" s="14">
        <v>1</v>
      </c>
      <c r="C126">
        <f>INDEX('BIO WAHYU'!B:F,MATCH(BIO!A126,'BIO WAHYU'!B:B,0),5)</f>
        <v>1</v>
      </c>
      <c r="D126" t="str">
        <f>INDEX(DATA!C:D,MATCH(BIO!A126,DATA!D:D,0),1)</f>
        <v>Jihan Cell</v>
      </c>
    </row>
    <row r="127" spans="1:4">
      <c r="A127">
        <v>529249</v>
      </c>
      <c r="B127" s="14">
        <v>0</v>
      </c>
      <c r="C127">
        <f>INDEX('BIO WAHYU'!B:F,MATCH(BIO!A127,'BIO WAHYU'!B:B,0),5)</f>
        <v>1</v>
      </c>
      <c r="D127" t="str">
        <f>INDEX(DATA!C:D,MATCH(BIO!A127,DATA!D:D,0),1)</f>
        <v>Alchris Cell</v>
      </c>
    </row>
    <row r="128" spans="1:4">
      <c r="A128">
        <v>366702</v>
      </c>
      <c r="B128" s="14">
        <v>2</v>
      </c>
      <c r="C128">
        <f>INDEX('BIO WAHYU'!B:F,MATCH(BIO!A128,'BIO WAHYU'!B:B,0),5)</f>
        <v>1</v>
      </c>
      <c r="D128" t="str">
        <f>INDEX(DATA!C:D,MATCH(BIO!A128,DATA!D:D,0),1)</f>
        <v>DZIKRA CELL</v>
      </c>
    </row>
    <row r="129" spans="1:4">
      <c r="A129">
        <v>514589</v>
      </c>
      <c r="B129" s="14">
        <v>0</v>
      </c>
      <c r="C129">
        <f>INDEX('BIO WAHYU'!B:F,MATCH(BIO!A129,'BIO WAHYU'!B:B,0),5)</f>
        <v>1</v>
      </c>
      <c r="D129" t="str">
        <f>INDEX(DATA!C:D,MATCH(BIO!A129,DATA!D:D,0),1)</f>
        <v>kios honey cell</v>
      </c>
    </row>
    <row r="130" spans="1:4">
      <c r="A130">
        <v>401031</v>
      </c>
      <c r="B130" s="14">
        <v>0</v>
      </c>
      <c r="C130">
        <f>INDEX('BIO WAHYU'!B:F,MATCH(BIO!A130,'BIO WAHYU'!B:B,0),5)</f>
        <v>0</v>
      </c>
      <c r="D130" t="str">
        <f>INDEX(DATA!C:D,MATCH(BIO!A130,DATA!D:D,0),1)</f>
        <v>HAWE Cell</v>
      </c>
    </row>
    <row r="131" spans="1:4">
      <c r="A131">
        <v>562953</v>
      </c>
      <c r="B131" s="14">
        <v>0</v>
      </c>
      <c r="C131">
        <f>INDEX('BIO WAHYU'!B:F,MATCH(BIO!A131,'BIO WAHYU'!B:B,0),5)</f>
        <v>0</v>
      </c>
      <c r="D131" t="str">
        <f>INDEX(DATA!C:D,MATCH(BIO!A131,DATA!D:D,0),1)</f>
        <v>Prisilia Cell</v>
      </c>
    </row>
    <row r="132" spans="1:4">
      <c r="A132">
        <v>529090</v>
      </c>
      <c r="B132" s="14">
        <v>1</v>
      </c>
      <c r="C132">
        <f>INDEX('BIO WAHYU'!B:F,MATCH(BIO!A132,'BIO WAHYU'!B:B,0),5)</f>
        <v>0</v>
      </c>
      <c r="D132" t="str">
        <f>INDEX(DATA!C:D,MATCH(BIO!A132,DATA!D:D,0),1)</f>
        <v>ZANNA CELL</v>
      </c>
    </row>
    <row r="133" spans="1:4">
      <c r="A133">
        <v>345691</v>
      </c>
      <c r="B133" s="14">
        <v>1</v>
      </c>
      <c r="C133">
        <f>INDEX('BIO WAHYU'!B:F,MATCH(BIO!A133,'BIO WAHYU'!B:B,0),5)</f>
        <v>2</v>
      </c>
      <c r="D133" t="str">
        <f>INDEX(DATA!C:D,MATCH(BIO!A133,DATA!D:D,0),1)</f>
        <v>DINA CELL</v>
      </c>
    </row>
    <row r="134" spans="1:4">
      <c r="A134">
        <v>347538</v>
      </c>
      <c r="B134" s="14">
        <v>2</v>
      </c>
      <c r="C134">
        <f>INDEX('BIO WAHYU'!B:F,MATCH(BIO!A134,'BIO WAHYU'!B:B,0),5)</f>
        <v>1</v>
      </c>
      <c r="D134" t="str">
        <f>INDEX(DATA!C:D,MATCH(BIO!A134,DATA!D:D,0),1)</f>
        <v>Kios Mba Rati</v>
      </c>
    </row>
    <row r="135" spans="1:4">
      <c r="A135">
        <v>301600</v>
      </c>
      <c r="B135" s="14">
        <v>2</v>
      </c>
      <c r="C135">
        <f>INDEX('BIO WAHYU'!B:F,MATCH(BIO!A135,'BIO WAHYU'!B:B,0),5)</f>
        <v>1</v>
      </c>
      <c r="D135" t="str">
        <f>INDEX(DATA!C:D,MATCH(BIO!A135,DATA!D:D,0),1)</f>
        <v>Queen CELL</v>
      </c>
    </row>
    <row r="136" spans="1:4">
      <c r="A136">
        <v>563095</v>
      </c>
      <c r="B136" s="14">
        <v>0</v>
      </c>
      <c r="C136">
        <f>INDEX('BIO WAHYU'!B:F,MATCH(BIO!A136,'BIO WAHYU'!B:B,0),5)</f>
        <v>2</v>
      </c>
      <c r="D136" t="str">
        <f>INDEX(DATA!C:D,MATCH(BIO!A136,DATA!D:D,0),1)</f>
        <v>Crisilia Cell</v>
      </c>
    </row>
    <row r="137" spans="1:4">
      <c r="A137">
        <v>480658</v>
      </c>
      <c r="B137" s="14">
        <v>2</v>
      </c>
      <c r="C137">
        <f>INDEX('BIO WAHYU'!B:F,MATCH(BIO!A137,'BIO WAHYU'!B:B,0),5)</f>
        <v>1</v>
      </c>
      <c r="D137" t="str">
        <f>INDEX(DATA!C:D,MATCH(BIO!A137,DATA!D:D,0),1)</f>
        <v>marques cell</v>
      </c>
    </row>
    <row r="138" spans="1:4">
      <c r="A138">
        <v>543720</v>
      </c>
      <c r="B138" s="14">
        <v>1</v>
      </c>
      <c r="C138">
        <f>INDEX('BIO WAHYU'!B:F,MATCH(BIO!A138,'BIO WAHYU'!B:B,0),5)</f>
        <v>1</v>
      </c>
      <c r="D138" t="str">
        <f>INDEX(DATA!C:D,MATCH(BIO!A138,DATA!D:D,0),1)</f>
        <v>Sweet Cell</v>
      </c>
    </row>
    <row r="139" spans="1:4">
      <c r="A139">
        <v>352167</v>
      </c>
      <c r="B139" s="14">
        <v>1</v>
      </c>
      <c r="C139">
        <f>INDEX('BIO WAHYU'!B:F,MATCH(BIO!A139,'BIO WAHYU'!B:B,0),5)</f>
        <v>0</v>
      </c>
      <c r="D139" t="str">
        <f>INDEX(DATA!C:D,MATCH(BIO!A139,DATA!D:D,0),1)</f>
        <v>w3 cell</v>
      </c>
    </row>
    <row r="140" spans="1:4">
      <c r="A140">
        <v>526916</v>
      </c>
      <c r="B140" s="14">
        <v>3</v>
      </c>
      <c r="C140">
        <f>INDEX('BIO WAHYU'!B:F,MATCH(BIO!A140,'BIO WAHYU'!B:B,0),5)</f>
        <v>2</v>
      </c>
      <c r="D140" t="str">
        <f>INDEX(DATA!C:D,MATCH(BIO!A140,DATA!D:D,0),1)</f>
        <v>FR3S Cell</v>
      </c>
    </row>
    <row r="141" spans="1:4">
      <c r="A141">
        <v>491288</v>
      </c>
      <c r="B141" s="14">
        <v>0</v>
      </c>
      <c r="C141">
        <f>INDEX('BIO WAHYU'!B:F,MATCH(BIO!A141,'BIO WAHYU'!B:B,0),5)</f>
        <v>1</v>
      </c>
      <c r="D141" t="str">
        <f>INDEX(DATA!C:D,MATCH(BIO!A141,DATA!D:D,0),1)</f>
        <v>The The Cell</v>
      </c>
    </row>
    <row r="142" spans="1:4">
      <c r="A142">
        <v>501141</v>
      </c>
      <c r="B142" s="14">
        <v>0</v>
      </c>
      <c r="C142">
        <f>INDEX('BIO WAHYU'!B:F,MATCH(BIO!A142,'BIO WAHYU'!B:B,0),5)</f>
        <v>1</v>
      </c>
      <c r="D142" t="str">
        <f>INDEX(DATA!C:D,MATCH(BIO!A142,DATA!D:D,0),1)</f>
        <v>Djeiske cell</v>
      </c>
    </row>
    <row r="143" spans="1:4">
      <c r="A143">
        <v>240084</v>
      </c>
      <c r="B143" s="14">
        <v>0</v>
      </c>
      <c r="C143">
        <f>INDEX('BIO WAHYU'!B:F,MATCH(BIO!A143,'BIO WAHYU'!B:B,0),5)</f>
        <v>0</v>
      </c>
      <c r="D143" t="str">
        <f>INDEX(DATA!C:D,MATCH(BIO!A143,DATA!D:D,0),1)</f>
        <v>Monalisa Cell</v>
      </c>
    </row>
    <row r="144" spans="1:4">
      <c r="A144">
        <v>12324647</v>
      </c>
      <c r="B144" s="14">
        <v>0</v>
      </c>
      <c r="C144">
        <f>INDEX('BIO WAHYU'!B:F,MATCH(BIO!A144,'BIO WAHYU'!B:B,0),5)</f>
        <v>0</v>
      </c>
      <c r="D144" t="str">
        <f>INDEX(DATA!C:D,MATCH(BIO!A144,DATA!D:D,0),1)</f>
        <v>Zaini Cell</v>
      </c>
    </row>
    <row r="145" spans="1:4">
      <c r="A145">
        <v>503633</v>
      </c>
      <c r="B145" s="14">
        <v>0</v>
      </c>
      <c r="C145">
        <f>INDEX('BIO WAHYU'!B:F,MATCH(BIO!A145,'BIO WAHYU'!B:B,0),5)</f>
        <v>1</v>
      </c>
      <c r="D145" t="str">
        <f>INDEX(DATA!C:D,MATCH(BIO!A145,DATA!D:D,0),1)</f>
        <v>Kuffy Cell</v>
      </c>
    </row>
    <row r="146" spans="1:4">
      <c r="A146">
        <v>12322430</v>
      </c>
      <c r="B146" s="14">
        <v>0</v>
      </c>
      <c r="C146">
        <f>INDEX('BIO WAHYU'!B:F,MATCH(BIO!A146,'BIO WAHYU'!B:B,0),5)</f>
        <v>0</v>
      </c>
      <c r="D146" t="str">
        <f>INDEX(DATA!C:D,MATCH(BIO!A146,DATA!D:D,0),1)</f>
        <v>Mandiri jaya cell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61436-38CC-431B-A51C-30EF6130A417}">
  <dimension ref="A1:E146"/>
  <sheetViews>
    <sheetView workbookViewId="0">
      <selection activeCell="B2" sqref="B2:B146"/>
    </sheetView>
  </sheetViews>
  <sheetFormatPr defaultRowHeight="15"/>
  <cols>
    <col min="5" max="5" width="30.140625" bestFit="1" customWidth="1"/>
  </cols>
  <sheetData>
    <row r="1" spans="1:5">
      <c r="A1" t="s">
        <v>185</v>
      </c>
      <c r="B1" t="s">
        <v>184</v>
      </c>
    </row>
    <row r="2" spans="1:5">
      <c r="A2" s="27">
        <v>10466</v>
      </c>
      <c r="B2" s="28">
        <v>1</v>
      </c>
    </row>
    <row r="3" spans="1:5">
      <c r="A3" s="27">
        <v>12295592</v>
      </c>
      <c r="B3" s="28">
        <v>0</v>
      </c>
    </row>
    <row r="4" spans="1:5">
      <c r="A4" s="27">
        <v>12295626</v>
      </c>
      <c r="B4" s="28">
        <v>0</v>
      </c>
      <c r="E4" t="s">
        <v>187</v>
      </c>
    </row>
    <row r="5" spans="1:5">
      <c r="A5" s="27">
        <v>12295724</v>
      </c>
      <c r="B5" s="28">
        <v>2</v>
      </c>
    </row>
    <row r="6" spans="1:5">
      <c r="A6" s="27">
        <v>12295752</v>
      </c>
      <c r="B6" s="28">
        <v>2</v>
      </c>
    </row>
    <row r="7" spans="1:5">
      <c r="A7" s="27">
        <v>12295820</v>
      </c>
      <c r="B7" s="28">
        <v>0</v>
      </c>
    </row>
    <row r="8" spans="1:5">
      <c r="A8" s="27">
        <v>12295826</v>
      </c>
      <c r="B8" s="28">
        <v>0</v>
      </c>
    </row>
    <row r="9" spans="1:5">
      <c r="A9" s="27">
        <v>12295833</v>
      </c>
      <c r="B9" s="28">
        <v>0</v>
      </c>
    </row>
    <row r="10" spans="1:5">
      <c r="A10" s="27">
        <v>12301356</v>
      </c>
      <c r="B10" s="28">
        <v>0</v>
      </c>
    </row>
    <row r="11" spans="1:5">
      <c r="A11" s="27">
        <v>12323218</v>
      </c>
      <c r="B11" s="28">
        <v>0</v>
      </c>
    </row>
    <row r="12" spans="1:5">
      <c r="A12" s="27">
        <v>12324647</v>
      </c>
      <c r="B12" s="28">
        <v>0</v>
      </c>
    </row>
    <row r="13" spans="1:5">
      <c r="A13" s="27">
        <v>12326118</v>
      </c>
      <c r="B13" s="28">
        <v>4</v>
      </c>
    </row>
    <row r="14" spans="1:5">
      <c r="A14" s="27">
        <v>12326313</v>
      </c>
      <c r="B14" s="28">
        <v>0</v>
      </c>
    </row>
    <row r="15" spans="1:5">
      <c r="A15" s="27">
        <v>12326533</v>
      </c>
      <c r="B15" s="28">
        <v>0</v>
      </c>
    </row>
    <row r="16" spans="1:5">
      <c r="A16" s="27">
        <v>12326920</v>
      </c>
      <c r="B16" s="28">
        <v>2</v>
      </c>
    </row>
    <row r="17" spans="1:2">
      <c r="A17" s="27">
        <v>1661</v>
      </c>
      <c r="B17" s="28">
        <v>0</v>
      </c>
    </row>
    <row r="18" spans="1:2">
      <c r="A18" s="27">
        <v>213944</v>
      </c>
      <c r="B18" s="28">
        <v>0</v>
      </c>
    </row>
    <row r="19" spans="1:2">
      <c r="A19" s="27">
        <v>240048</v>
      </c>
      <c r="B19" s="28">
        <v>2</v>
      </c>
    </row>
    <row r="20" spans="1:2">
      <c r="A20" s="27">
        <v>287403</v>
      </c>
      <c r="B20" s="28">
        <v>3</v>
      </c>
    </row>
    <row r="21" spans="1:2">
      <c r="A21" s="27">
        <v>287622</v>
      </c>
      <c r="B21" s="28">
        <v>1</v>
      </c>
    </row>
    <row r="22" spans="1:2">
      <c r="A22" s="27">
        <v>301600</v>
      </c>
      <c r="B22" s="28">
        <v>1</v>
      </c>
    </row>
    <row r="23" spans="1:2">
      <c r="A23" s="27">
        <v>347538</v>
      </c>
      <c r="B23" s="28">
        <v>1</v>
      </c>
    </row>
    <row r="24" spans="1:2">
      <c r="A24" s="27">
        <v>358231</v>
      </c>
      <c r="B24" s="28">
        <v>0</v>
      </c>
    </row>
    <row r="25" spans="1:2">
      <c r="A25" s="27">
        <v>368809</v>
      </c>
      <c r="B25" s="28">
        <v>0</v>
      </c>
    </row>
    <row r="26" spans="1:2">
      <c r="A26" s="27">
        <v>385575</v>
      </c>
      <c r="B26" s="28">
        <v>0</v>
      </c>
    </row>
    <row r="27" spans="1:2">
      <c r="A27" s="27">
        <v>408290</v>
      </c>
      <c r="B27" s="28">
        <v>1</v>
      </c>
    </row>
    <row r="28" spans="1:2">
      <c r="A28" s="27">
        <v>416191</v>
      </c>
      <c r="B28" s="28">
        <v>1</v>
      </c>
    </row>
    <row r="29" spans="1:2">
      <c r="A29" s="27">
        <v>484741</v>
      </c>
      <c r="B29" s="28">
        <v>1</v>
      </c>
    </row>
    <row r="30" spans="1:2">
      <c r="A30" s="27">
        <v>486638</v>
      </c>
      <c r="B30" s="28">
        <v>2</v>
      </c>
    </row>
    <row r="31" spans="1:2">
      <c r="A31" s="27">
        <v>491288</v>
      </c>
      <c r="B31" s="28">
        <v>0</v>
      </c>
    </row>
    <row r="32" spans="1:2">
      <c r="A32" s="27">
        <v>501643</v>
      </c>
      <c r="B32" s="28">
        <v>0</v>
      </c>
    </row>
    <row r="33" spans="1:2">
      <c r="A33" s="27">
        <v>519286</v>
      </c>
      <c r="B33" s="28">
        <v>0</v>
      </c>
    </row>
    <row r="34" spans="1:2">
      <c r="A34" s="27">
        <v>522623</v>
      </c>
      <c r="B34" s="28">
        <v>0</v>
      </c>
    </row>
    <row r="35" spans="1:2">
      <c r="A35" s="27">
        <v>523194</v>
      </c>
      <c r="B35" s="28">
        <v>0</v>
      </c>
    </row>
    <row r="36" spans="1:2">
      <c r="A36" s="27">
        <v>523935</v>
      </c>
      <c r="B36" s="28">
        <v>0</v>
      </c>
    </row>
    <row r="37" spans="1:2">
      <c r="A37" s="27">
        <v>523938</v>
      </c>
      <c r="B37" s="28">
        <v>0</v>
      </c>
    </row>
    <row r="38" spans="1:2">
      <c r="A38" s="27">
        <v>524281</v>
      </c>
      <c r="B38" s="28">
        <v>0</v>
      </c>
    </row>
    <row r="39" spans="1:2">
      <c r="A39" s="27">
        <v>524283</v>
      </c>
      <c r="B39" s="28">
        <v>0</v>
      </c>
    </row>
    <row r="40" spans="1:2">
      <c r="A40" s="27">
        <v>525590</v>
      </c>
      <c r="B40" s="28">
        <v>0</v>
      </c>
    </row>
    <row r="41" spans="1:2">
      <c r="A41" s="27">
        <v>530058</v>
      </c>
      <c r="B41" s="28">
        <v>3</v>
      </c>
    </row>
    <row r="42" spans="1:2">
      <c r="A42" s="27">
        <v>535790</v>
      </c>
      <c r="B42" s="28">
        <v>1</v>
      </c>
    </row>
    <row r="43" spans="1:2">
      <c r="A43" s="27">
        <v>542823</v>
      </c>
      <c r="B43" s="28">
        <v>0</v>
      </c>
    </row>
    <row r="44" spans="1:2">
      <c r="A44" s="27">
        <v>549259</v>
      </c>
      <c r="B44" s="28">
        <v>0</v>
      </c>
    </row>
    <row r="45" spans="1:2">
      <c r="A45" s="27">
        <v>571174</v>
      </c>
      <c r="B45" s="28">
        <v>0</v>
      </c>
    </row>
    <row r="46" spans="1:2">
      <c r="A46" s="27">
        <v>62086</v>
      </c>
      <c r="B46" s="28">
        <v>0</v>
      </c>
    </row>
    <row r="47" spans="1:2">
      <c r="A47" s="27">
        <v>63887</v>
      </c>
      <c r="B47" s="28">
        <v>0</v>
      </c>
    </row>
    <row r="48" spans="1:2">
      <c r="A48" s="27">
        <v>116871</v>
      </c>
      <c r="B48" s="28">
        <v>6</v>
      </c>
    </row>
    <row r="49" spans="1:2">
      <c r="A49" s="27">
        <v>12295542</v>
      </c>
      <c r="B49" s="28">
        <v>3</v>
      </c>
    </row>
    <row r="50" spans="1:2">
      <c r="A50" s="27">
        <v>12295717</v>
      </c>
      <c r="B50" s="28">
        <v>0</v>
      </c>
    </row>
    <row r="51" spans="1:2">
      <c r="A51" s="27">
        <v>12295887</v>
      </c>
      <c r="B51" s="28">
        <v>0</v>
      </c>
    </row>
    <row r="52" spans="1:2">
      <c r="A52" s="27">
        <v>12312295</v>
      </c>
      <c r="B52" s="28">
        <v>0</v>
      </c>
    </row>
    <row r="53" spans="1:2">
      <c r="A53" s="27">
        <v>12322237</v>
      </c>
      <c r="B53" s="28">
        <v>1</v>
      </c>
    </row>
    <row r="54" spans="1:2">
      <c r="A54" s="27">
        <v>12322483</v>
      </c>
      <c r="B54" s="28">
        <v>0</v>
      </c>
    </row>
    <row r="55" spans="1:2">
      <c r="A55" s="27">
        <v>12323463</v>
      </c>
      <c r="B55" s="28">
        <v>2</v>
      </c>
    </row>
    <row r="56" spans="1:2">
      <c r="A56" s="27">
        <v>12325263</v>
      </c>
      <c r="B56" s="28">
        <v>0</v>
      </c>
    </row>
    <row r="57" spans="1:2">
      <c r="A57" s="27">
        <v>126951</v>
      </c>
      <c r="B57" s="28">
        <v>2</v>
      </c>
    </row>
    <row r="58" spans="1:2">
      <c r="A58" s="27">
        <v>126952</v>
      </c>
      <c r="B58" s="28">
        <v>0</v>
      </c>
    </row>
    <row r="59" spans="1:2">
      <c r="A59" s="27">
        <v>195514</v>
      </c>
      <c r="B59" s="28">
        <v>0</v>
      </c>
    </row>
    <row r="60" spans="1:2">
      <c r="A60" s="27">
        <v>199007</v>
      </c>
      <c r="B60" s="28">
        <v>0</v>
      </c>
    </row>
    <row r="61" spans="1:2">
      <c r="A61" s="27">
        <v>199010</v>
      </c>
      <c r="B61" s="28">
        <v>0</v>
      </c>
    </row>
    <row r="62" spans="1:2">
      <c r="A62" s="27">
        <v>199217</v>
      </c>
      <c r="B62" s="28">
        <v>3</v>
      </c>
    </row>
    <row r="63" spans="1:2">
      <c r="A63" s="27">
        <v>211794</v>
      </c>
      <c r="B63" s="28">
        <v>0</v>
      </c>
    </row>
    <row r="64" spans="1:2">
      <c r="A64" s="27">
        <v>222816</v>
      </c>
      <c r="B64" s="28">
        <v>3</v>
      </c>
    </row>
    <row r="65" spans="1:2">
      <c r="A65" s="27">
        <v>228872</v>
      </c>
      <c r="B65" s="28">
        <v>0</v>
      </c>
    </row>
    <row r="66" spans="1:2">
      <c r="A66" s="27">
        <v>229765</v>
      </c>
      <c r="B66" s="28">
        <v>3</v>
      </c>
    </row>
    <row r="67" spans="1:2">
      <c r="A67" s="27">
        <v>231278</v>
      </c>
      <c r="B67" s="28">
        <v>0</v>
      </c>
    </row>
    <row r="68" spans="1:2">
      <c r="A68" s="27">
        <v>246732</v>
      </c>
      <c r="B68" s="28">
        <v>0</v>
      </c>
    </row>
    <row r="69" spans="1:2">
      <c r="A69" s="27">
        <v>278608</v>
      </c>
      <c r="B69" s="28">
        <v>3</v>
      </c>
    </row>
    <row r="70" spans="1:2">
      <c r="A70" s="27">
        <v>292836</v>
      </c>
      <c r="B70" s="28">
        <v>0</v>
      </c>
    </row>
    <row r="71" spans="1:2">
      <c r="A71" s="27">
        <v>345691</v>
      </c>
      <c r="B71" s="28">
        <v>0</v>
      </c>
    </row>
    <row r="72" spans="1:2">
      <c r="A72" s="27">
        <v>366702</v>
      </c>
      <c r="B72" s="28">
        <v>0</v>
      </c>
    </row>
    <row r="73" spans="1:2">
      <c r="A73" s="27">
        <v>480658</v>
      </c>
      <c r="B73" s="28">
        <v>0</v>
      </c>
    </row>
    <row r="74" spans="1:2">
      <c r="A74" s="27">
        <v>503354</v>
      </c>
      <c r="B74" s="28">
        <v>0</v>
      </c>
    </row>
    <row r="75" spans="1:2">
      <c r="A75" s="27">
        <v>503633</v>
      </c>
      <c r="B75" s="28">
        <v>0</v>
      </c>
    </row>
    <row r="76" spans="1:2">
      <c r="A76" s="27">
        <v>503866</v>
      </c>
      <c r="B76" s="28">
        <v>0</v>
      </c>
    </row>
    <row r="77" spans="1:2">
      <c r="A77" s="27">
        <v>510053</v>
      </c>
      <c r="B77" s="28">
        <v>1</v>
      </c>
    </row>
    <row r="78" spans="1:2">
      <c r="A78" s="27">
        <v>523430</v>
      </c>
      <c r="B78" s="28">
        <v>2</v>
      </c>
    </row>
    <row r="79" spans="1:2">
      <c r="A79" s="27">
        <v>529090</v>
      </c>
      <c r="B79" s="28">
        <v>0</v>
      </c>
    </row>
    <row r="80" spans="1:2">
      <c r="A80" s="27">
        <v>529249</v>
      </c>
      <c r="B80" s="28">
        <v>0</v>
      </c>
    </row>
    <row r="81" spans="1:2">
      <c r="A81" s="27">
        <v>530345</v>
      </c>
      <c r="B81" s="28">
        <v>1</v>
      </c>
    </row>
    <row r="82" spans="1:2">
      <c r="A82" s="27">
        <v>539088</v>
      </c>
      <c r="B82" s="28">
        <v>4</v>
      </c>
    </row>
    <row r="83" spans="1:2">
      <c r="A83" s="27">
        <v>543720</v>
      </c>
      <c r="B83" s="28">
        <v>0</v>
      </c>
    </row>
    <row r="84" spans="1:2">
      <c r="A84" s="27">
        <v>560814</v>
      </c>
      <c r="B84" s="28">
        <v>0</v>
      </c>
    </row>
    <row r="85" spans="1:2">
      <c r="A85" s="27">
        <v>563095</v>
      </c>
      <c r="B85" s="28">
        <v>0</v>
      </c>
    </row>
    <row r="86" spans="1:2">
      <c r="A86" s="27">
        <v>61690</v>
      </c>
      <c r="B86" s="28">
        <v>4</v>
      </c>
    </row>
    <row r="87" spans="1:2">
      <c r="A87" s="27" t="s">
        <v>98</v>
      </c>
      <c r="B87" s="28">
        <v>1</v>
      </c>
    </row>
    <row r="88" spans="1:2">
      <c r="A88" s="27" t="s">
        <v>100</v>
      </c>
      <c r="B88" s="28">
        <v>0</v>
      </c>
    </row>
    <row r="89" spans="1:2">
      <c r="A89" s="27" t="s">
        <v>102</v>
      </c>
      <c r="B89" s="28">
        <v>0</v>
      </c>
    </row>
    <row r="90" spans="1:2">
      <c r="A90" s="27" t="s">
        <v>104</v>
      </c>
      <c r="B90" s="28">
        <v>0</v>
      </c>
    </row>
    <row r="91" spans="1:2">
      <c r="A91" s="27">
        <v>12295536</v>
      </c>
      <c r="B91" s="28">
        <v>2</v>
      </c>
    </row>
    <row r="92" spans="1:2">
      <c r="A92" s="27">
        <v>12295980</v>
      </c>
      <c r="B92" s="28">
        <v>0</v>
      </c>
    </row>
    <row r="93" spans="1:2">
      <c r="A93" s="27">
        <v>12302808</v>
      </c>
      <c r="B93" s="28">
        <v>0</v>
      </c>
    </row>
    <row r="94" spans="1:2">
      <c r="A94" s="27">
        <v>12303072</v>
      </c>
      <c r="B94" s="28">
        <v>0</v>
      </c>
    </row>
    <row r="95" spans="1:2">
      <c r="A95" s="27">
        <v>12313881</v>
      </c>
      <c r="B95" s="28">
        <v>3</v>
      </c>
    </row>
    <row r="96" spans="1:2">
      <c r="A96" s="27">
        <v>12317091</v>
      </c>
      <c r="B96" s="28">
        <v>0</v>
      </c>
    </row>
    <row r="97" spans="1:2">
      <c r="A97" s="27">
        <v>12318079</v>
      </c>
      <c r="B97" s="28">
        <v>0</v>
      </c>
    </row>
    <row r="98" spans="1:2">
      <c r="A98" s="27">
        <v>12320853</v>
      </c>
      <c r="B98" s="28">
        <v>0</v>
      </c>
    </row>
    <row r="99" spans="1:2">
      <c r="A99" s="27">
        <v>12321230</v>
      </c>
      <c r="B99" s="28">
        <v>0</v>
      </c>
    </row>
    <row r="100" spans="1:2">
      <c r="A100" s="27">
        <v>12321241</v>
      </c>
      <c r="B100" s="28">
        <v>3</v>
      </c>
    </row>
    <row r="101" spans="1:2">
      <c r="A101" s="27">
        <v>12321243</v>
      </c>
      <c r="B101" s="28">
        <v>3</v>
      </c>
    </row>
    <row r="102" spans="1:2">
      <c r="A102" s="27">
        <v>12322430</v>
      </c>
      <c r="B102" s="28">
        <v>0</v>
      </c>
    </row>
    <row r="103" spans="1:2">
      <c r="A103" s="27">
        <v>12324194</v>
      </c>
      <c r="B103" s="28">
        <v>0</v>
      </c>
    </row>
    <row r="104" spans="1:2">
      <c r="A104" s="27">
        <v>12327316</v>
      </c>
      <c r="B104" s="28">
        <v>0</v>
      </c>
    </row>
    <row r="105" spans="1:2">
      <c r="A105" s="27">
        <v>12331450</v>
      </c>
      <c r="B105" s="28">
        <v>0</v>
      </c>
    </row>
    <row r="106" spans="1:2">
      <c r="A106" s="27">
        <v>12332670</v>
      </c>
      <c r="B106" s="28">
        <v>0</v>
      </c>
    </row>
    <row r="107" spans="1:2">
      <c r="A107" s="27">
        <v>12332811</v>
      </c>
      <c r="B107" s="28">
        <v>0</v>
      </c>
    </row>
    <row r="108" spans="1:2">
      <c r="A108" s="27">
        <v>12333237</v>
      </c>
      <c r="B108" s="28">
        <v>0</v>
      </c>
    </row>
    <row r="109" spans="1:2">
      <c r="A109" s="27">
        <v>12334635</v>
      </c>
      <c r="B109" s="28">
        <v>1</v>
      </c>
    </row>
    <row r="110" spans="1:2">
      <c r="A110" s="27">
        <v>12334637</v>
      </c>
      <c r="B110" s="28">
        <v>0</v>
      </c>
    </row>
    <row r="111" spans="1:2">
      <c r="A111" s="27">
        <v>126963</v>
      </c>
      <c r="B111" s="28">
        <v>0</v>
      </c>
    </row>
    <row r="112" spans="1:2">
      <c r="A112" s="27">
        <v>127198</v>
      </c>
      <c r="B112" s="28">
        <v>0</v>
      </c>
    </row>
    <row r="113" spans="1:2">
      <c r="A113" s="27">
        <v>195918</v>
      </c>
      <c r="B113" s="28">
        <v>0</v>
      </c>
    </row>
    <row r="114" spans="1:2">
      <c r="A114" s="27">
        <v>199020</v>
      </c>
      <c r="B114" s="28">
        <v>0</v>
      </c>
    </row>
    <row r="115" spans="1:2">
      <c r="A115" s="27">
        <v>240084</v>
      </c>
      <c r="B115" s="28">
        <v>0</v>
      </c>
    </row>
    <row r="116" spans="1:2">
      <c r="A116" s="27">
        <v>240713</v>
      </c>
      <c r="B116" s="28">
        <v>1</v>
      </c>
    </row>
    <row r="117" spans="1:2">
      <c r="A117" s="27">
        <v>304264</v>
      </c>
      <c r="B117" s="28">
        <v>0</v>
      </c>
    </row>
    <row r="118" spans="1:2">
      <c r="A118" s="27">
        <v>342829</v>
      </c>
      <c r="B118" s="28">
        <v>0</v>
      </c>
    </row>
    <row r="119" spans="1:2">
      <c r="A119" s="27">
        <v>345427</v>
      </c>
      <c r="B119" s="28">
        <v>0</v>
      </c>
    </row>
    <row r="120" spans="1:2">
      <c r="A120" s="27">
        <v>352167</v>
      </c>
      <c r="B120" s="28">
        <v>0</v>
      </c>
    </row>
    <row r="121" spans="1:2">
      <c r="A121" s="27">
        <v>396176</v>
      </c>
      <c r="B121" s="28">
        <v>0</v>
      </c>
    </row>
    <row r="122" spans="1:2">
      <c r="A122" s="27">
        <v>401031</v>
      </c>
      <c r="B122" s="28">
        <v>0</v>
      </c>
    </row>
    <row r="123" spans="1:2">
      <c r="A123" s="27">
        <v>471389</v>
      </c>
      <c r="B123" s="28">
        <v>0</v>
      </c>
    </row>
    <row r="124" spans="1:2">
      <c r="A124" s="27">
        <v>477625</v>
      </c>
      <c r="B124" s="28">
        <v>0</v>
      </c>
    </row>
    <row r="125" spans="1:2">
      <c r="A125" s="27">
        <v>481857</v>
      </c>
      <c r="B125" s="28">
        <v>0</v>
      </c>
    </row>
    <row r="126" spans="1:2">
      <c r="A126" s="27">
        <v>483240</v>
      </c>
      <c r="B126" s="28">
        <v>0</v>
      </c>
    </row>
    <row r="127" spans="1:2">
      <c r="A127" s="27">
        <v>499483</v>
      </c>
      <c r="B127" s="28">
        <v>0</v>
      </c>
    </row>
    <row r="128" spans="1:2">
      <c r="A128" s="27">
        <v>501141</v>
      </c>
      <c r="B128" s="28">
        <v>0</v>
      </c>
    </row>
    <row r="129" spans="1:2">
      <c r="A129" s="27">
        <v>501263</v>
      </c>
      <c r="B129" s="28">
        <v>0</v>
      </c>
    </row>
    <row r="130" spans="1:2">
      <c r="A130" s="27">
        <v>501860</v>
      </c>
      <c r="B130" s="28">
        <v>1</v>
      </c>
    </row>
    <row r="131" spans="1:2">
      <c r="A131" s="27">
        <v>510295</v>
      </c>
      <c r="B131" s="28">
        <v>0</v>
      </c>
    </row>
    <row r="132" spans="1:2">
      <c r="A132" s="27">
        <v>510299</v>
      </c>
      <c r="B132" s="28">
        <v>0</v>
      </c>
    </row>
    <row r="133" spans="1:2">
      <c r="A133" s="27">
        <v>511584</v>
      </c>
      <c r="B133" s="28">
        <v>0</v>
      </c>
    </row>
    <row r="134" spans="1:2">
      <c r="A134" s="27">
        <v>514589</v>
      </c>
      <c r="B134" s="28">
        <v>0</v>
      </c>
    </row>
    <row r="135" spans="1:2">
      <c r="A135" s="27">
        <v>523849</v>
      </c>
      <c r="B135" s="28">
        <v>0</v>
      </c>
    </row>
    <row r="136" spans="1:2">
      <c r="A136" s="27">
        <v>526916</v>
      </c>
      <c r="B136" s="28">
        <v>0</v>
      </c>
    </row>
    <row r="137" spans="1:2">
      <c r="A137" s="27">
        <v>530334</v>
      </c>
      <c r="B137" s="28">
        <v>0</v>
      </c>
    </row>
    <row r="138" spans="1:2">
      <c r="A138" s="27">
        <v>543771</v>
      </c>
      <c r="B138" s="28">
        <v>1</v>
      </c>
    </row>
    <row r="139" spans="1:2">
      <c r="A139" s="27">
        <v>543826</v>
      </c>
      <c r="B139" s="28">
        <v>3</v>
      </c>
    </row>
    <row r="140" spans="1:2">
      <c r="A140" s="27">
        <v>546446</v>
      </c>
      <c r="B140" s="28">
        <v>0</v>
      </c>
    </row>
    <row r="141" spans="1:2">
      <c r="A141" s="27">
        <v>558955</v>
      </c>
      <c r="B141" s="28">
        <v>0</v>
      </c>
    </row>
    <row r="142" spans="1:2">
      <c r="A142" s="27">
        <v>562953</v>
      </c>
      <c r="B142" s="28">
        <v>0</v>
      </c>
    </row>
    <row r="143" spans="1:2">
      <c r="A143" s="27">
        <v>569298</v>
      </c>
      <c r="B143" s="28">
        <v>0</v>
      </c>
    </row>
    <row r="144" spans="1:2">
      <c r="A144" s="27">
        <v>574633</v>
      </c>
      <c r="B144" s="28">
        <v>0</v>
      </c>
    </row>
    <row r="145" spans="1:2">
      <c r="A145" s="27">
        <v>61688</v>
      </c>
      <c r="B145" s="28">
        <v>0</v>
      </c>
    </row>
    <row r="146" spans="1:2">
      <c r="A146" s="27" t="s">
        <v>160</v>
      </c>
      <c r="B146" s="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5235-A8E0-42AF-8D8D-5D5BD306AC0F}">
  <dimension ref="A1:D146"/>
  <sheetViews>
    <sheetView workbookViewId="0">
      <selection activeCell="G12" sqref="G12"/>
    </sheetView>
  </sheetViews>
  <sheetFormatPr defaultRowHeight="15"/>
  <cols>
    <col min="1" max="1" width="27.28515625" bestFit="1" customWidth="1"/>
    <col min="2" max="2" width="19.28515625" bestFit="1" customWidth="1"/>
    <col min="3" max="3" width="12.85546875" bestFit="1" customWidth="1"/>
    <col min="4" max="4" width="10.42578125" bestFit="1" customWidth="1"/>
  </cols>
  <sheetData>
    <row r="1" spans="1:4">
      <c r="A1" s="31" t="s">
        <v>6</v>
      </c>
      <c r="B1" s="32" t="s">
        <v>7</v>
      </c>
      <c r="C1" s="5" t="s">
        <v>161</v>
      </c>
      <c r="D1" s="6" t="s">
        <v>162</v>
      </c>
    </row>
    <row r="2" spans="1:4">
      <c r="A2" s="1" t="s">
        <v>9</v>
      </c>
      <c r="B2" s="23">
        <v>10466</v>
      </c>
      <c r="C2" s="2">
        <v>5</v>
      </c>
      <c r="D2" s="3">
        <v>1765000</v>
      </c>
    </row>
    <row r="3" spans="1:4">
      <c r="A3" s="1" t="s">
        <v>11</v>
      </c>
      <c r="B3" s="23">
        <v>12295592</v>
      </c>
      <c r="C3" s="2">
        <v>3</v>
      </c>
      <c r="D3" s="3">
        <v>3106000</v>
      </c>
    </row>
    <row r="4" spans="1:4">
      <c r="A4" s="1" t="s">
        <v>12</v>
      </c>
      <c r="B4" s="23">
        <v>12295626</v>
      </c>
      <c r="C4" s="2" t="s">
        <v>186</v>
      </c>
      <c r="D4" s="4">
        <v>1000</v>
      </c>
    </row>
    <row r="5" spans="1:4">
      <c r="A5" s="1" t="s">
        <v>13</v>
      </c>
      <c r="B5" s="23">
        <v>12295724</v>
      </c>
      <c r="C5" s="2">
        <v>1</v>
      </c>
      <c r="D5" s="2" t="s">
        <v>186</v>
      </c>
    </row>
    <row r="6" spans="1:4">
      <c r="A6" s="1" t="s">
        <v>14</v>
      </c>
      <c r="B6" s="23">
        <v>12295752</v>
      </c>
      <c r="C6" s="2">
        <v>1</v>
      </c>
      <c r="D6" s="3">
        <v>369000</v>
      </c>
    </row>
    <row r="7" spans="1:4">
      <c r="A7" s="1" t="s">
        <v>16</v>
      </c>
      <c r="B7" s="23">
        <v>12295820</v>
      </c>
      <c r="C7" s="2" t="s">
        <v>186</v>
      </c>
      <c r="D7" s="3">
        <v>2000000</v>
      </c>
    </row>
    <row r="8" spans="1:4">
      <c r="A8" s="1" t="s">
        <v>17</v>
      </c>
      <c r="B8" s="23">
        <v>12295826</v>
      </c>
      <c r="C8" s="2" t="s">
        <v>186</v>
      </c>
      <c r="D8" s="4">
        <v>1000</v>
      </c>
    </row>
    <row r="9" spans="1:4">
      <c r="A9" s="1" t="s">
        <v>18</v>
      </c>
      <c r="B9" s="23">
        <v>12295833</v>
      </c>
      <c r="C9" s="2" t="s">
        <v>186</v>
      </c>
      <c r="D9" s="2" t="s">
        <v>186</v>
      </c>
    </row>
    <row r="10" spans="1:4">
      <c r="A10" s="1" t="s">
        <v>19</v>
      </c>
      <c r="B10" s="23">
        <v>12301356</v>
      </c>
      <c r="C10" s="2">
        <v>11</v>
      </c>
      <c r="D10" s="3">
        <v>2113700</v>
      </c>
    </row>
    <row r="11" spans="1:4">
      <c r="A11" s="1" t="s">
        <v>20</v>
      </c>
      <c r="B11" s="23">
        <v>12323218</v>
      </c>
      <c r="C11" s="2">
        <v>12</v>
      </c>
      <c r="D11" s="3">
        <v>1979000</v>
      </c>
    </row>
    <row r="12" spans="1:4">
      <c r="A12" s="1" t="s">
        <v>21</v>
      </c>
      <c r="B12" s="23">
        <v>12324647</v>
      </c>
      <c r="C12" s="2" t="s">
        <v>186</v>
      </c>
      <c r="D12" s="2" t="s">
        <v>186</v>
      </c>
    </row>
    <row r="13" spans="1:4">
      <c r="A13" s="1" t="s">
        <v>22</v>
      </c>
      <c r="B13" s="23">
        <v>12326118</v>
      </c>
      <c r="C13" s="2">
        <v>5</v>
      </c>
      <c r="D13" s="3">
        <v>7634000</v>
      </c>
    </row>
    <row r="14" spans="1:4">
      <c r="A14" s="1" t="s">
        <v>23</v>
      </c>
      <c r="B14" s="23">
        <v>12326313</v>
      </c>
      <c r="C14" s="2">
        <v>87</v>
      </c>
      <c r="D14" s="3">
        <v>7410500</v>
      </c>
    </row>
    <row r="15" spans="1:4">
      <c r="A15" s="1" t="s">
        <v>24</v>
      </c>
      <c r="B15" s="23">
        <v>12326533</v>
      </c>
      <c r="C15" s="2">
        <v>3</v>
      </c>
      <c r="D15" s="4">
        <v>150000</v>
      </c>
    </row>
    <row r="16" spans="1:4">
      <c r="A16" s="1" t="s">
        <v>25</v>
      </c>
      <c r="B16" s="23">
        <v>12326920</v>
      </c>
      <c r="C16" s="2" t="s">
        <v>186</v>
      </c>
      <c r="D16" s="3">
        <v>20255350</v>
      </c>
    </row>
    <row r="17" spans="1:4">
      <c r="A17" s="1" t="s">
        <v>26</v>
      </c>
      <c r="B17" s="23">
        <v>1661</v>
      </c>
      <c r="C17" s="2" t="s">
        <v>186</v>
      </c>
      <c r="D17" s="2" t="s">
        <v>186</v>
      </c>
    </row>
    <row r="18" spans="1:4">
      <c r="A18" s="1" t="s">
        <v>27</v>
      </c>
      <c r="B18" s="23">
        <v>213944</v>
      </c>
      <c r="C18" s="2" t="s">
        <v>186</v>
      </c>
      <c r="D18" s="3">
        <v>2200000</v>
      </c>
    </row>
    <row r="19" spans="1:4">
      <c r="A19" s="1" t="s">
        <v>28</v>
      </c>
      <c r="B19" s="23">
        <v>240048</v>
      </c>
      <c r="C19" s="2">
        <v>5</v>
      </c>
      <c r="D19" s="4">
        <v>200000</v>
      </c>
    </row>
    <row r="20" spans="1:4">
      <c r="A20" s="1" t="s">
        <v>30</v>
      </c>
      <c r="B20" s="23">
        <v>287403</v>
      </c>
      <c r="C20" s="2">
        <v>1</v>
      </c>
      <c r="D20" s="3">
        <v>2542800</v>
      </c>
    </row>
    <row r="21" spans="1:4">
      <c r="A21" s="1" t="s">
        <v>31</v>
      </c>
      <c r="B21" s="23">
        <v>287622</v>
      </c>
      <c r="C21" s="2">
        <v>3</v>
      </c>
      <c r="D21" s="3">
        <v>1617000</v>
      </c>
    </row>
    <row r="22" spans="1:4">
      <c r="A22" s="1" t="s">
        <v>32</v>
      </c>
      <c r="B22" s="23">
        <v>301600</v>
      </c>
      <c r="C22" s="2" t="s">
        <v>186</v>
      </c>
      <c r="D22" s="3">
        <v>1000000</v>
      </c>
    </row>
    <row r="23" spans="1:4">
      <c r="A23" s="1" t="s">
        <v>33</v>
      </c>
      <c r="B23" s="23">
        <v>347538</v>
      </c>
      <c r="C23" s="2" t="s">
        <v>186</v>
      </c>
      <c r="D23" s="3">
        <v>766000</v>
      </c>
    </row>
    <row r="24" spans="1:4">
      <c r="A24" s="1" t="s">
        <v>34</v>
      </c>
      <c r="B24" s="23">
        <v>358231</v>
      </c>
      <c r="C24" s="2">
        <v>3</v>
      </c>
      <c r="D24" s="3">
        <v>3000000</v>
      </c>
    </row>
    <row r="25" spans="1:4">
      <c r="A25" s="1" t="s">
        <v>35</v>
      </c>
      <c r="B25" s="23">
        <v>368809</v>
      </c>
      <c r="C25" s="2" t="s">
        <v>186</v>
      </c>
      <c r="D25" s="3">
        <v>1615000</v>
      </c>
    </row>
    <row r="26" spans="1:4">
      <c r="A26" s="1" t="s">
        <v>36</v>
      </c>
      <c r="B26" s="23">
        <v>385575</v>
      </c>
      <c r="C26" s="2" t="s">
        <v>186</v>
      </c>
      <c r="D26" s="4">
        <v>1000</v>
      </c>
    </row>
    <row r="27" spans="1:4">
      <c r="A27" s="1" t="s">
        <v>37</v>
      </c>
      <c r="B27" s="23">
        <v>408290</v>
      </c>
      <c r="C27" s="2">
        <v>1</v>
      </c>
      <c r="D27" s="3">
        <v>5500000</v>
      </c>
    </row>
    <row r="28" spans="1:4">
      <c r="A28" s="1" t="s">
        <v>38</v>
      </c>
      <c r="B28" s="23">
        <v>416191</v>
      </c>
      <c r="C28" s="2">
        <v>3</v>
      </c>
      <c r="D28" s="3">
        <v>513200</v>
      </c>
    </row>
    <row r="29" spans="1:4">
      <c r="A29" s="1" t="s">
        <v>39</v>
      </c>
      <c r="B29" s="23">
        <v>484741</v>
      </c>
      <c r="C29" s="2" t="s">
        <v>186</v>
      </c>
      <c r="D29" s="3">
        <v>1650000</v>
      </c>
    </row>
    <row r="30" spans="1:4">
      <c r="A30" s="1" t="s">
        <v>40</v>
      </c>
      <c r="B30" s="23">
        <v>486638</v>
      </c>
      <c r="C30" s="2" t="s">
        <v>186</v>
      </c>
      <c r="D30" s="3">
        <v>2700000</v>
      </c>
    </row>
    <row r="31" spans="1:4">
      <c r="A31" s="1" t="s">
        <v>41</v>
      </c>
      <c r="B31" s="23">
        <v>491288</v>
      </c>
      <c r="C31" s="2" t="s">
        <v>186</v>
      </c>
      <c r="D31" s="4">
        <v>270500</v>
      </c>
    </row>
    <row r="32" spans="1:4">
      <c r="A32" s="1" t="s">
        <v>42</v>
      </c>
      <c r="B32" s="23">
        <v>501643</v>
      </c>
      <c r="C32" s="2" t="s">
        <v>186</v>
      </c>
      <c r="D32" s="3">
        <v>6500000</v>
      </c>
    </row>
    <row r="33" spans="1:4">
      <c r="A33" s="1" t="s">
        <v>43</v>
      </c>
      <c r="B33" s="23">
        <v>519286</v>
      </c>
      <c r="C33" s="2">
        <v>3</v>
      </c>
      <c r="D33" s="3">
        <v>1009000</v>
      </c>
    </row>
    <row r="34" spans="1:4">
      <c r="A34" s="1" t="s">
        <v>44</v>
      </c>
      <c r="B34" s="23">
        <v>522623</v>
      </c>
      <c r="C34" s="2">
        <v>4</v>
      </c>
      <c r="D34" s="3">
        <v>1414000</v>
      </c>
    </row>
    <row r="35" spans="1:4">
      <c r="A35" s="1" t="s">
        <v>45</v>
      </c>
      <c r="B35" s="23">
        <v>523194</v>
      </c>
      <c r="C35" s="2">
        <v>1</v>
      </c>
      <c r="D35" s="4">
        <v>200000</v>
      </c>
    </row>
    <row r="36" spans="1:4">
      <c r="A36" s="1" t="s">
        <v>46</v>
      </c>
      <c r="B36" s="23">
        <v>523935</v>
      </c>
      <c r="C36" s="2" t="s">
        <v>186</v>
      </c>
      <c r="D36" s="3">
        <v>4150000</v>
      </c>
    </row>
    <row r="37" spans="1:4">
      <c r="A37" s="1" t="s">
        <v>47</v>
      </c>
      <c r="B37" s="23">
        <v>523938</v>
      </c>
      <c r="C37" s="2" t="s">
        <v>186</v>
      </c>
      <c r="D37" s="4">
        <v>220500</v>
      </c>
    </row>
    <row r="38" spans="1:4">
      <c r="A38" s="1" t="s">
        <v>48</v>
      </c>
      <c r="B38" s="23">
        <v>524281</v>
      </c>
      <c r="C38" s="2" t="s">
        <v>186</v>
      </c>
      <c r="D38" s="3">
        <v>300000</v>
      </c>
    </row>
    <row r="39" spans="1:4">
      <c r="A39" s="1" t="s">
        <v>49</v>
      </c>
      <c r="B39" s="23">
        <v>524283</v>
      </c>
      <c r="C39" s="2" t="s">
        <v>186</v>
      </c>
      <c r="D39" s="4">
        <v>141000</v>
      </c>
    </row>
    <row r="40" spans="1:4">
      <c r="A40" s="1" t="s">
        <v>50</v>
      </c>
      <c r="B40" s="23">
        <v>525590</v>
      </c>
      <c r="C40" s="2">
        <v>4</v>
      </c>
      <c r="D40" s="3">
        <v>9369000</v>
      </c>
    </row>
    <row r="41" spans="1:4">
      <c r="A41" s="1" t="s">
        <v>51</v>
      </c>
      <c r="B41" s="23">
        <v>530058</v>
      </c>
      <c r="C41" s="2" t="s">
        <v>186</v>
      </c>
      <c r="D41" s="3">
        <v>1400000</v>
      </c>
    </row>
    <row r="42" spans="1:4">
      <c r="A42" s="1" t="s">
        <v>52</v>
      </c>
      <c r="B42" s="23">
        <v>535790</v>
      </c>
      <c r="C42" s="2">
        <v>3</v>
      </c>
      <c r="D42" s="3">
        <v>1800000</v>
      </c>
    </row>
    <row r="43" spans="1:4">
      <c r="A43" s="1" t="s">
        <v>53</v>
      </c>
      <c r="B43" s="23">
        <v>542823</v>
      </c>
      <c r="C43" s="2">
        <v>3</v>
      </c>
      <c r="D43" s="3">
        <v>450000</v>
      </c>
    </row>
    <row r="44" spans="1:4">
      <c r="A44" s="1" t="s">
        <v>54</v>
      </c>
      <c r="B44" s="23">
        <v>549259</v>
      </c>
      <c r="C44" s="2" t="s">
        <v>186</v>
      </c>
      <c r="D44" s="2" t="s">
        <v>186</v>
      </c>
    </row>
    <row r="45" spans="1:4">
      <c r="A45" s="1" t="s">
        <v>55</v>
      </c>
      <c r="B45" s="23">
        <v>571174</v>
      </c>
      <c r="C45" s="2" t="s">
        <v>186</v>
      </c>
      <c r="D45" s="3">
        <v>610500</v>
      </c>
    </row>
    <row r="46" spans="1:4">
      <c r="A46" s="1" t="s">
        <v>56</v>
      </c>
      <c r="B46" s="23">
        <v>62086</v>
      </c>
      <c r="C46" s="2">
        <v>3</v>
      </c>
      <c r="D46" s="4">
        <v>100000</v>
      </c>
    </row>
    <row r="47" spans="1:4">
      <c r="A47" s="1" t="s">
        <v>57</v>
      </c>
      <c r="B47" s="23">
        <v>63887</v>
      </c>
      <c r="C47" s="2" t="s">
        <v>186</v>
      </c>
      <c r="D47" s="3">
        <v>500000</v>
      </c>
    </row>
    <row r="48" spans="1:4">
      <c r="A48" s="1" t="s">
        <v>58</v>
      </c>
      <c r="B48" s="23">
        <v>116871</v>
      </c>
      <c r="C48" s="2">
        <v>54</v>
      </c>
      <c r="D48" s="3">
        <v>24058000</v>
      </c>
    </row>
    <row r="49" spans="1:4">
      <c r="A49" s="1" t="s">
        <v>59</v>
      </c>
      <c r="B49" s="23">
        <v>12295542</v>
      </c>
      <c r="C49" s="2">
        <v>11</v>
      </c>
      <c r="D49" s="2" t="s">
        <v>186</v>
      </c>
    </row>
    <row r="50" spans="1:4">
      <c r="A50" s="1" t="s">
        <v>60</v>
      </c>
      <c r="B50" s="23">
        <v>12295717</v>
      </c>
      <c r="C50" s="2">
        <v>3</v>
      </c>
      <c r="D50" s="4">
        <v>50000</v>
      </c>
    </row>
    <row r="51" spans="1:4">
      <c r="A51" s="1" t="s">
        <v>61</v>
      </c>
      <c r="B51" s="23">
        <v>12295887</v>
      </c>
      <c r="C51" s="2">
        <v>2</v>
      </c>
      <c r="D51" s="4">
        <v>7000</v>
      </c>
    </row>
    <row r="52" spans="1:4">
      <c r="A52" s="1" t="s">
        <v>62</v>
      </c>
      <c r="B52" s="23">
        <v>12312295</v>
      </c>
      <c r="C52" s="2">
        <v>3</v>
      </c>
      <c r="D52" s="2" t="s">
        <v>186</v>
      </c>
    </row>
    <row r="53" spans="1:4">
      <c r="A53" s="1" t="s">
        <v>63</v>
      </c>
      <c r="B53" s="23">
        <v>12322237</v>
      </c>
      <c r="C53" s="2" t="s">
        <v>186</v>
      </c>
      <c r="D53" s="2" t="s">
        <v>186</v>
      </c>
    </row>
    <row r="54" spans="1:4">
      <c r="A54" s="1" t="s">
        <v>64</v>
      </c>
      <c r="B54" s="23">
        <v>12322483</v>
      </c>
      <c r="C54" s="2">
        <v>3</v>
      </c>
      <c r="D54" s="4">
        <v>1000</v>
      </c>
    </row>
    <row r="55" spans="1:4">
      <c r="A55" s="1" t="s">
        <v>65</v>
      </c>
      <c r="B55" s="23">
        <v>12323463</v>
      </c>
      <c r="C55" s="2">
        <v>40</v>
      </c>
      <c r="D55" s="3">
        <v>1175000</v>
      </c>
    </row>
    <row r="56" spans="1:4">
      <c r="A56" s="1" t="s">
        <v>66</v>
      </c>
      <c r="B56" s="23">
        <v>12325263</v>
      </c>
      <c r="C56" s="2">
        <v>3</v>
      </c>
      <c r="D56" s="4">
        <v>7000</v>
      </c>
    </row>
    <row r="57" spans="1:4">
      <c r="A57" s="1" t="s">
        <v>67</v>
      </c>
      <c r="B57" s="23">
        <v>126951</v>
      </c>
      <c r="C57" s="2" t="s">
        <v>186</v>
      </c>
      <c r="D57" s="3">
        <v>2000000</v>
      </c>
    </row>
    <row r="58" spans="1:4">
      <c r="A58" s="1" t="s">
        <v>68</v>
      </c>
      <c r="B58" s="23">
        <v>126952</v>
      </c>
      <c r="C58" s="2">
        <v>3</v>
      </c>
      <c r="D58" s="4">
        <v>7000</v>
      </c>
    </row>
    <row r="59" spans="1:4">
      <c r="A59" s="1" t="s">
        <v>69</v>
      </c>
      <c r="B59" s="23">
        <v>195514</v>
      </c>
      <c r="C59" s="2" t="s">
        <v>186</v>
      </c>
      <c r="D59" s="4">
        <v>50000</v>
      </c>
    </row>
    <row r="60" spans="1:4">
      <c r="A60" s="1" t="s">
        <v>70</v>
      </c>
      <c r="B60" s="23">
        <v>199007</v>
      </c>
      <c r="C60" s="2" t="s">
        <v>186</v>
      </c>
      <c r="D60" s="2" t="s">
        <v>186</v>
      </c>
    </row>
    <row r="61" spans="1:4">
      <c r="A61" s="1" t="s">
        <v>71</v>
      </c>
      <c r="B61" s="23">
        <v>199010</v>
      </c>
      <c r="C61" s="2" t="s">
        <v>186</v>
      </c>
      <c r="D61" s="3">
        <v>1050000</v>
      </c>
    </row>
    <row r="62" spans="1:4">
      <c r="A62" s="1" t="s">
        <v>72</v>
      </c>
      <c r="B62" s="23">
        <v>199217</v>
      </c>
      <c r="C62" s="2">
        <v>3</v>
      </c>
      <c r="D62" s="4">
        <v>57000</v>
      </c>
    </row>
    <row r="63" spans="1:4">
      <c r="A63" s="1" t="s">
        <v>73</v>
      </c>
      <c r="B63" s="23">
        <v>211794</v>
      </c>
      <c r="C63" s="2" t="s">
        <v>186</v>
      </c>
      <c r="D63" s="3">
        <v>700000</v>
      </c>
    </row>
    <row r="64" spans="1:4">
      <c r="A64" s="1" t="s">
        <v>74</v>
      </c>
      <c r="B64" s="23">
        <v>222816</v>
      </c>
      <c r="C64" s="2" t="s">
        <v>186</v>
      </c>
      <c r="D64" s="3">
        <v>6500000</v>
      </c>
    </row>
    <row r="65" spans="1:4">
      <c r="A65" s="1" t="s">
        <v>75</v>
      </c>
      <c r="B65" s="23">
        <v>228872</v>
      </c>
      <c r="C65" s="2">
        <v>3</v>
      </c>
      <c r="D65" s="3">
        <v>3500000</v>
      </c>
    </row>
    <row r="66" spans="1:4">
      <c r="A66" s="1" t="s">
        <v>76</v>
      </c>
      <c r="B66" s="23">
        <v>229765</v>
      </c>
      <c r="C66" s="2">
        <v>12</v>
      </c>
      <c r="D66" s="3">
        <v>16000000</v>
      </c>
    </row>
    <row r="67" spans="1:4">
      <c r="A67" s="1" t="s">
        <v>77</v>
      </c>
      <c r="B67" s="23">
        <v>231278</v>
      </c>
      <c r="C67" s="2" t="s">
        <v>186</v>
      </c>
      <c r="D67" s="3">
        <v>500000</v>
      </c>
    </row>
    <row r="68" spans="1:4">
      <c r="A68" s="1" t="s">
        <v>78</v>
      </c>
      <c r="B68" s="23">
        <v>246732</v>
      </c>
      <c r="C68" s="2" t="s">
        <v>186</v>
      </c>
      <c r="D68" s="4">
        <v>200000</v>
      </c>
    </row>
    <row r="69" spans="1:4">
      <c r="A69" s="1" t="s">
        <v>79</v>
      </c>
      <c r="B69" s="23">
        <v>278608</v>
      </c>
      <c r="C69" s="2">
        <v>3</v>
      </c>
      <c r="D69" s="3">
        <v>3250000</v>
      </c>
    </row>
    <row r="70" spans="1:4">
      <c r="A70" s="1" t="s">
        <v>80</v>
      </c>
      <c r="B70" s="23">
        <v>292836</v>
      </c>
      <c r="C70" s="2" t="s">
        <v>186</v>
      </c>
      <c r="D70" s="2" t="s">
        <v>186</v>
      </c>
    </row>
    <row r="71" spans="1:4">
      <c r="A71" s="1" t="s">
        <v>81</v>
      </c>
      <c r="B71" s="23">
        <v>345691</v>
      </c>
      <c r="C71" s="2">
        <v>3</v>
      </c>
      <c r="D71" s="3">
        <v>1955000</v>
      </c>
    </row>
    <row r="72" spans="1:4">
      <c r="A72" s="1" t="s">
        <v>82</v>
      </c>
      <c r="B72" s="23">
        <v>366702</v>
      </c>
      <c r="C72" s="2">
        <v>2</v>
      </c>
      <c r="D72" s="3">
        <v>6450000</v>
      </c>
    </row>
    <row r="73" spans="1:4">
      <c r="A73" s="1" t="s">
        <v>83</v>
      </c>
      <c r="B73" s="23">
        <v>480658</v>
      </c>
      <c r="C73" s="2">
        <v>3</v>
      </c>
      <c r="D73" s="3">
        <v>700000</v>
      </c>
    </row>
    <row r="74" spans="1:4">
      <c r="A74" s="1" t="s">
        <v>84</v>
      </c>
      <c r="B74" s="23">
        <v>503354</v>
      </c>
      <c r="C74" s="2">
        <v>3</v>
      </c>
      <c r="D74" s="3">
        <v>1600000</v>
      </c>
    </row>
    <row r="75" spans="1:4">
      <c r="A75" s="1" t="s">
        <v>85</v>
      </c>
      <c r="B75" s="23">
        <v>503633</v>
      </c>
      <c r="C75" s="2" t="s">
        <v>186</v>
      </c>
      <c r="D75" s="4">
        <v>200000</v>
      </c>
    </row>
    <row r="76" spans="1:4">
      <c r="A76" s="1" t="s">
        <v>86</v>
      </c>
      <c r="B76" s="23">
        <v>503866</v>
      </c>
      <c r="C76" s="2">
        <v>4</v>
      </c>
      <c r="D76" s="3">
        <v>3050000</v>
      </c>
    </row>
    <row r="77" spans="1:4">
      <c r="A77" s="1" t="s">
        <v>87</v>
      </c>
      <c r="B77" s="23">
        <v>510053</v>
      </c>
      <c r="C77" s="2">
        <v>1</v>
      </c>
      <c r="D77" s="3">
        <v>658000</v>
      </c>
    </row>
    <row r="78" spans="1:4">
      <c r="A78" s="1" t="s">
        <v>88</v>
      </c>
      <c r="B78" s="23">
        <v>523430</v>
      </c>
      <c r="C78" s="2" t="s">
        <v>186</v>
      </c>
      <c r="D78" s="3">
        <v>7520000</v>
      </c>
    </row>
    <row r="79" spans="1:4">
      <c r="A79" s="1" t="s">
        <v>89</v>
      </c>
      <c r="B79" s="23">
        <v>529090</v>
      </c>
      <c r="C79" s="2">
        <v>3</v>
      </c>
      <c r="D79" s="2" t="s">
        <v>186</v>
      </c>
    </row>
    <row r="80" spans="1:4">
      <c r="A80" s="1" t="s">
        <v>90</v>
      </c>
      <c r="B80" s="23">
        <v>529249</v>
      </c>
      <c r="C80" s="2">
        <v>3</v>
      </c>
      <c r="D80" s="2" t="s">
        <v>186</v>
      </c>
    </row>
    <row r="81" spans="1:4">
      <c r="A81" s="1" t="s">
        <v>91</v>
      </c>
      <c r="B81" s="23">
        <v>530345</v>
      </c>
      <c r="C81" s="2">
        <v>3</v>
      </c>
      <c r="D81" s="3">
        <v>6000000</v>
      </c>
    </row>
    <row r="82" spans="1:4">
      <c r="A82" s="1" t="s">
        <v>92</v>
      </c>
      <c r="B82" s="23">
        <v>539088</v>
      </c>
      <c r="C82" s="2">
        <v>1</v>
      </c>
      <c r="D82" s="3">
        <v>6684000</v>
      </c>
    </row>
    <row r="83" spans="1:4">
      <c r="A83" s="1" t="s">
        <v>93</v>
      </c>
      <c r="B83" s="23">
        <v>543720</v>
      </c>
      <c r="C83" s="2">
        <v>3</v>
      </c>
      <c r="D83" s="2" t="s">
        <v>186</v>
      </c>
    </row>
    <row r="84" spans="1:4">
      <c r="A84" s="1" t="s">
        <v>94</v>
      </c>
      <c r="B84" s="23">
        <v>560814</v>
      </c>
      <c r="C84" s="2">
        <v>3</v>
      </c>
      <c r="D84" s="2" t="s">
        <v>186</v>
      </c>
    </row>
    <row r="85" spans="1:4">
      <c r="A85" s="1" t="s">
        <v>95</v>
      </c>
      <c r="B85" s="23">
        <v>563095</v>
      </c>
      <c r="C85" s="2" t="s">
        <v>186</v>
      </c>
      <c r="D85" s="3">
        <v>4000000</v>
      </c>
    </row>
    <row r="86" spans="1:4">
      <c r="A86" s="1" t="s">
        <v>96</v>
      </c>
      <c r="B86" s="23">
        <v>61690</v>
      </c>
      <c r="C86" s="2">
        <v>2</v>
      </c>
      <c r="D86" s="3">
        <v>10000000</v>
      </c>
    </row>
    <row r="87" spans="1:4">
      <c r="A87" s="1" t="s">
        <v>97</v>
      </c>
      <c r="B87" s="23" t="s">
        <v>98</v>
      </c>
      <c r="C87" s="2">
        <v>32</v>
      </c>
      <c r="D87" s="3">
        <v>11831000</v>
      </c>
    </row>
    <row r="88" spans="1:4">
      <c r="A88" s="1" t="s">
        <v>99</v>
      </c>
      <c r="B88" s="23" t="s">
        <v>100</v>
      </c>
      <c r="C88" s="2" t="s">
        <v>186</v>
      </c>
      <c r="D88" s="3">
        <v>18752000</v>
      </c>
    </row>
    <row r="89" spans="1:4">
      <c r="A89" s="1" t="s">
        <v>101</v>
      </c>
      <c r="B89" s="23" t="s">
        <v>102</v>
      </c>
      <c r="C89" s="2" t="s">
        <v>186</v>
      </c>
      <c r="D89" s="2" t="s">
        <v>186</v>
      </c>
    </row>
    <row r="90" spans="1:4">
      <c r="A90" s="1" t="s">
        <v>103</v>
      </c>
      <c r="B90" s="23" t="s">
        <v>104</v>
      </c>
      <c r="C90" s="2" t="s">
        <v>186</v>
      </c>
      <c r="D90" s="3">
        <v>1300000</v>
      </c>
    </row>
    <row r="91" spans="1:4">
      <c r="A91" s="1" t="s">
        <v>105</v>
      </c>
      <c r="B91" s="23">
        <v>12295536</v>
      </c>
      <c r="C91" s="2" t="s">
        <v>186</v>
      </c>
      <c r="D91" s="2" t="s">
        <v>186</v>
      </c>
    </row>
    <row r="92" spans="1:4">
      <c r="A92" s="1" t="s">
        <v>106</v>
      </c>
      <c r="B92" s="23">
        <v>12295980</v>
      </c>
      <c r="C92" s="2" t="s">
        <v>186</v>
      </c>
      <c r="D92" s="2" t="s">
        <v>186</v>
      </c>
    </row>
    <row r="93" spans="1:4">
      <c r="A93" s="1" t="s">
        <v>107</v>
      </c>
      <c r="B93" s="23">
        <v>12302808</v>
      </c>
      <c r="C93" s="2" t="s">
        <v>186</v>
      </c>
      <c r="D93" s="2" t="s">
        <v>186</v>
      </c>
    </row>
    <row r="94" spans="1:4">
      <c r="A94" s="1" t="s">
        <v>108</v>
      </c>
      <c r="B94" s="23">
        <v>12303072</v>
      </c>
      <c r="C94" s="2" t="s">
        <v>186</v>
      </c>
      <c r="D94" s="2" t="s">
        <v>186</v>
      </c>
    </row>
    <row r="95" spans="1:4">
      <c r="A95" s="1" t="s">
        <v>109</v>
      </c>
      <c r="B95" s="23">
        <v>12313881</v>
      </c>
      <c r="C95" s="2">
        <v>21</v>
      </c>
      <c r="D95" s="3">
        <v>13609000</v>
      </c>
    </row>
    <row r="96" spans="1:4">
      <c r="A96" s="1" t="s">
        <v>110</v>
      </c>
      <c r="B96" s="23">
        <v>12317091</v>
      </c>
      <c r="C96" s="2" t="s">
        <v>186</v>
      </c>
      <c r="D96" s="2" t="s">
        <v>186</v>
      </c>
    </row>
    <row r="97" spans="1:4">
      <c r="A97" s="1" t="s">
        <v>111</v>
      </c>
      <c r="B97" s="23">
        <v>12318079</v>
      </c>
      <c r="C97" s="2">
        <v>4</v>
      </c>
      <c r="D97" s="3">
        <v>466000</v>
      </c>
    </row>
    <row r="98" spans="1:4">
      <c r="A98" s="1" t="s">
        <v>112</v>
      </c>
      <c r="B98" s="23">
        <v>12320853</v>
      </c>
      <c r="C98" s="2" t="s">
        <v>186</v>
      </c>
      <c r="D98" s="2" t="s">
        <v>186</v>
      </c>
    </row>
    <row r="99" spans="1:4">
      <c r="A99" s="1" t="s">
        <v>113</v>
      </c>
      <c r="B99" s="23">
        <v>12321230</v>
      </c>
      <c r="C99" s="2" t="s">
        <v>186</v>
      </c>
      <c r="D99" s="2" t="s">
        <v>186</v>
      </c>
    </row>
    <row r="100" spans="1:4">
      <c r="A100" s="1" t="s">
        <v>114</v>
      </c>
      <c r="B100" s="23">
        <v>12321241</v>
      </c>
      <c r="C100" s="2">
        <v>8</v>
      </c>
      <c r="D100" s="3">
        <v>19232000</v>
      </c>
    </row>
    <row r="101" spans="1:4">
      <c r="A101" s="1" t="s">
        <v>115</v>
      </c>
      <c r="B101" s="23">
        <v>12321243</v>
      </c>
      <c r="C101" s="2">
        <v>307</v>
      </c>
      <c r="D101" s="3">
        <v>19203000</v>
      </c>
    </row>
    <row r="102" spans="1:4">
      <c r="A102" s="1" t="s">
        <v>116</v>
      </c>
      <c r="B102" s="23">
        <v>12322430</v>
      </c>
      <c r="C102" s="2" t="s">
        <v>186</v>
      </c>
      <c r="D102" s="2" t="s">
        <v>186</v>
      </c>
    </row>
    <row r="103" spans="1:4">
      <c r="A103" s="1" t="s">
        <v>117</v>
      </c>
      <c r="B103" s="23">
        <v>12324194</v>
      </c>
      <c r="C103" s="2" t="s">
        <v>186</v>
      </c>
      <c r="D103" s="2" t="s">
        <v>186</v>
      </c>
    </row>
    <row r="104" spans="1:4">
      <c r="A104" s="1" t="s">
        <v>118</v>
      </c>
      <c r="B104" s="23">
        <v>12327316</v>
      </c>
      <c r="C104" s="2" t="s">
        <v>186</v>
      </c>
      <c r="D104" s="2" t="s">
        <v>186</v>
      </c>
    </row>
    <row r="105" spans="1:4">
      <c r="A105" s="1" t="s">
        <v>119</v>
      </c>
      <c r="B105" s="23">
        <v>12331450</v>
      </c>
      <c r="C105" s="2" t="s">
        <v>186</v>
      </c>
      <c r="D105" s="4">
        <v>200000</v>
      </c>
    </row>
    <row r="106" spans="1:4">
      <c r="A106" s="1" t="s">
        <v>120</v>
      </c>
      <c r="B106" s="23">
        <v>12332670</v>
      </c>
      <c r="C106" s="2" t="s">
        <v>186</v>
      </c>
      <c r="D106" s="3">
        <v>1080000</v>
      </c>
    </row>
    <row r="107" spans="1:4">
      <c r="A107" s="1" t="s">
        <v>121</v>
      </c>
      <c r="B107" s="23">
        <v>12332811</v>
      </c>
      <c r="C107" s="2" t="s">
        <v>186</v>
      </c>
      <c r="D107" s="2" t="s">
        <v>186</v>
      </c>
    </row>
    <row r="108" spans="1:4">
      <c r="A108" s="1" t="s">
        <v>122</v>
      </c>
      <c r="B108" s="23">
        <v>12333237</v>
      </c>
      <c r="C108" s="2">
        <v>4</v>
      </c>
      <c r="D108" s="3">
        <v>316000</v>
      </c>
    </row>
    <row r="109" spans="1:4">
      <c r="A109" s="1" t="s">
        <v>123</v>
      </c>
      <c r="B109" s="23">
        <v>12334635</v>
      </c>
      <c r="C109" s="2">
        <v>5</v>
      </c>
      <c r="D109" s="3">
        <v>39377000</v>
      </c>
    </row>
    <row r="110" spans="1:4">
      <c r="A110" s="1" t="s">
        <v>124</v>
      </c>
      <c r="B110" s="23">
        <v>12334637</v>
      </c>
      <c r="C110" s="2">
        <v>13</v>
      </c>
      <c r="D110" s="3">
        <v>15595000</v>
      </c>
    </row>
    <row r="111" spans="1:4">
      <c r="A111" s="1" t="s">
        <v>125</v>
      </c>
      <c r="B111" s="23">
        <v>126963</v>
      </c>
      <c r="C111" s="2">
        <v>4</v>
      </c>
      <c r="D111" s="3">
        <v>516000</v>
      </c>
    </row>
    <row r="112" spans="1:4">
      <c r="A112" s="1" t="s">
        <v>126</v>
      </c>
      <c r="B112" s="23">
        <v>127198</v>
      </c>
      <c r="C112" s="2">
        <v>4</v>
      </c>
      <c r="D112" s="3">
        <v>4290000</v>
      </c>
    </row>
    <row r="113" spans="1:4">
      <c r="A113" s="1" t="s">
        <v>127</v>
      </c>
      <c r="B113" s="23">
        <v>195918</v>
      </c>
      <c r="C113" s="2" t="s">
        <v>186</v>
      </c>
      <c r="D113" s="3">
        <v>12336999</v>
      </c>
    </row>
    <row r="114" spans="1:4">
      <c r="A114" s="1" t="s">
        <v>128</v>
      </c>
      <c r="B114" s="23">
        <v>199020</v>
      </c>
      <c r="C114" s="2" t="s">
        <v>186</v>
      </c>
      <c r="D114" s="3">
        <v>500000</v>
      </c>
    </row>
    <row r="115" spans="1:4">
      <c r="A115" s="1" t="s">
        <v>129</v>
      </c>
      <c r="B115" s="23">
        <v>240084</v>
      </c>
      <c r="C115" s="2" t="s">
        <v>186</v>
      </c>
      <c r="D115" s="3">
        <v>10000000</v>
      </c>
    </row>
    <row r="116" spans="1:4">
      <c r="A116" s="1" t="s">
        <v>130</v>
      </c>
      <c r="B116" s="23">
        <v>240713</v>
      </c>
      <c r="C116" s="2">
        <v>4</v>
      </c>
      <c r="D116" s="3">
        <v>6866000</v>
      </c>
    </row>
    <row r="117" spans="1:4">
      <c r="A117" s="1" t="s">
        <v>131</v>
      </c>
      <c r="B117" s="23">
        <v>304264</v>
      </c>
      <c r="C117" s="2" t="s">
        <v>186</v>
      </c>
      <c r="D117" s="3">
        <v>500000</v>
      </c>
    </row>
    <row r="118" spans="1:4">
      <c r="A118" s="1" t="s">
        <v>132</v>
      </c>
      <c r="B118" s="23">
        <v>342829</v>
      </c>
      <c r="C118" s="2">
        <v>3</v>
      </c>
      <c r="D118" s="3">
        <v>2587000</v>
      </c>
    </row>
    <row r="119" spans="1:4">
      <c r="A119" s="1" t="s">
        <v>133</v>
      </c>
      <c r="B119" s="23">
        <v>345427</v>
      </c>
      <c r="C119" s="2">
        <v>4</v>
      </c>
      <c r="D119" s="3">
        <v>1316000</v>
      </c>
    </row>
    <row r="120" spans="1:4">
      <c r="A120" s="1" t="s">
        <v>134</v>
      </c>
      <c r="B120" s="23">
        <v>352167</v>
      </c>
      <c r="C120" s="2" t="s">
        <v>186</v>
      </c>
      <c r="D120" s="3">
        <v>600000</v>
      </c>
    </row>
    <row r="121" spans="1:4">
      <c r="A121" s="1" t="s">
        <v>135</v>
      </c>
      <c r="B121" s="23">
        <v>396176</v>
      </c>
      <c r="C121" s="2" t="s">
        <v>186</v>
      </c>
      <c r="D121" s="4">
        <v>100000</v>
      </c>
    </row>
    <row r="122" spans="1:4">
      <c r="A122" s="1" t="s">
        <v>136</v>
      </c>
      <c r="B122" s="23">
        <v>401031</v>
      </c>
      <c r="C122" s="2" t="s">
        <v>186</v>
      </c>
      <c r="D122" s="3">
        <v>2000000</v>
      </c>
    </row>
    <row r="123" spans="1:4">
      <c r="A123" s="1" t="s">
        <v>137</v>
      </c>
      <c r="B123" s="23">
        <v>471389</v>
      </c>
      <c r="C123" s="2" t="s">
        <v>186</v>
      </c>
      <c r="D123" s="4">
        <v>200000</v>
      </c>
    </row>
    <row r="124" spans="1:4">
      <c r="A124" s="1" t="s">
        <v>138</v>
      </c>
      <c r="B124" s="23">
        <v>477625</v>
      </c>
      <c r="C124" s="2" t="s">
        <v>186</v>
      </c>
      <c r="D124" s="2" t="s">
        <v>186</v>
      </c>
    </row>
    <row r="125" spans="1:4">
      <c r="A125" s="1" t="s">
        <v>139</v>
      </c>
      <c r="B125" s="23">
        <v>481857</v>
      </c>
      <c r="C125" s="2" t="s">
        <v>186</v>
      </c>
      <c r="D125" s="4">
        <v>200000</v>
      </c>
    </row>
    <row r="126" spans="1:4">
      <c r="A126" s="1" t="s">
        <v>140</v>
      </c>
      <c r="B126" s="23">
        <v>483240</v>
      </c>
      <c r="C126" s="2" t="s">
        <v>186</v>
      </c>
      <c r="D126" s="4">
        <v>250000</v>
      </c>
    </row>
    <row r="127" spans="1:4">
      <c r="A127" s="1" t="s">
        <v>141</v>
      </c>
      <c r="B127" s="23">
        <v>499483</v>
      </c>
      <c r="C127" s="2" t="s">
        <v>186</v>
      </c>
      <c r="D127" s="3">
        <v>3300000</v>
      </c>
    </row>
    <row r="128" spans="1:4">
      <c r="A128" s="1" t="s">
        <v>142</v>
      </c>
      <c r="B128" s="23">
        <v>501141</v>
      </c>
      <c r="C128" s="2" t="s">
        <v>186</v>
      </c>
      <c r="D128" s="2" t="s">
        <v>186</v>
      </c>
    </row>
    <row r="129" spans="1:4">
      <c r="A129" s="1" t="s">
        <v>143</v>
      </c>
      <c r="B129" s="23">
        <v>501263</v>
      </c>
      <c r="C129" s="2" t="s">
        <v>186</v>
      </c>
      <c r="D129" s="4">
        <v>200000</v>
      </c>
    </row>
    <row r="130" spans="1:4">
      <c r="A130" s="1" t="s">
        <v>144</v>
      </c>
      <c r="B130" s="23">
        <v>501860</v>
      </c>
      <c r="C130" s="2">
        <v>4</v>
      </c>
      <c r="D130" s="3">
        <v>616000</v>
      </c>
    </row>
    <row r="131" spans="1:4">
      <c r="A131" s="1" t="s">
        <v>145</v>
      </c>
      <c r="B131" s="23">
        <v>510295</v>
      </c>
      <c r="C131" s="2">
        <v>4</v>
      </c>
      <c r="D131" s="3">
        <v>466000</v>
      </c>
    </row>
    <row r="132" spans="1:4">
      <c r="A132" s="1" t="s">
        <v>146</v>
      </c>
      <c r="B132" s="23">
        <v>510299</v>
      </c>
      <c r="C132" s="2" t="s">
        <v>186</v>
      </c>
      <c r="D132" s="2" t="s">
        <v>186</v>
      </c>
    </row>
    <row r="133" spans="1:4">
      <c r="A133" s="1" t="s">
        <v>147</v>
      </c>
      <c r="B133" s="23">
        <v>511584</v>
      </c>
      <c r="C133" s="2">
        <v>4</v>
      </c>
      <c r="D133" s="4">
        <v>116000</v>
      </c>
    </row>
    <row r="134" spans="1:4">
      <c r="A134" s="1" t="s">
        <v>148</v>
      </c>
      <c r="B134" s="23">
        <v>514589</v>
      </c>
      <c r="C134" s="2">
        <v>10</v>
      </c>
      <c r="D134" s="3">
        <v>17290000</v>
      </c>
    </row>
    <row r="135" spans="1:4">
      <c r="A135" s="1" t="s">
        <v>149</v>
      </c>
      <c r="B135" s="23">
        <v>523849</v>
      </c>
      <c r="C135" s="2" t="s">
        <v>186</v>
      </c>
      <c r="D135" s="2" t="s">
        <v>186</v>
      </c>
    </row>
    <row r="136" spans="1:4">
      <c r="A136" s="1" t="s">
        <v>150</v>
      </c>
      <c r="B136" s="23">
        <v>526916</v>
      </c>
      <c r="C136" s="2">
        <v>4</v>
      </c>
      <c r="D136" s="3">
        <v>316000</v>
      </c>
    </row>
    <row r="137" spans="1:4">
      <c r="A137" s="1" t="s">
        <v>151</v>
      </c>
      <c r="B137" s="23">
        <v>530334</v>
      </c>
      <c r="C137" s="2" t="s">
        <v>186</v>
      </c>
      <c r="D137" s="3">
        <v>650000</v>
      </c>
    </row>
    <row r="138" spans="1:4">
      <c r="A138" s="1" t="s">
        <v>152</v>
      </c>
      <c r="B138" s="23">
        <v>543771</v>
      </c>
      <c r="C138" s="2" t="s">
        <v>186</v>
      </c>
      <c r="D138" s="2" t="s">
        <v>186</v>
      </c>
    </row>
    <row r="139" spans="1:4">
      <c r="A139" s="1" t="s">
        <v>153</v>
      </c>
      <c r="B139" s="23">
        <v>543826</v>
      </c>
      <c r="C139" s="2">
        <v>56</v>
      </c>
      <c r="D139" s="3">
        <v>19174000</v>
      </c>
    </row>
    <row r="140" spans="1:4">
      <c r="A140" s="1" t="s">
        <v>154</v>
      </c>
      <c r="B140" s="23">
        <v>546446</v>
      </c>
      <c r="C140" s="2" t="s">
        <v>186</v>
      </c>
      <c r="D140" s="3">
        <v>300000</v>
      </c>
    </row>
    <row r="141" spans="1:4">
      <c r="A141" s="1" t="s">
        <v>155</v>
      </c>
      <c r="B141" s="23">
        <v>558955</v>
      </c>
      <c r="C141" s="2" t="s">
        <v>186</v>
      </c>
      <c r="D141" s="2" t="s">
        <v>186</v>
      </c>
    </row>
    <row r="142" spans="1:4">
      <c r="A142" s="1" t="s">
        <v>156</v>
      </c>
      <c r="B142" s="23">
        <v>562953</v>
      </c>
      <c r="C142" s="2" t="s">
        <v>186</v>
      </c>
      <c r="D142" s="3">
        <v>2500000</v>
      </c>
    </row>
    <row r="143" spans="1:4">
      <c r="A143" s="1" t="s">
        <v>157</v>
      </c>
      <c r="B143" s="23">
        <v>569298</v>
      </c>
      <c r="C143" s="2">
        <v>4</v>
      </c>
      <c r="D143" s="4">
        <v>116000</v>
      </c>
    </row>
    <row r="144" spans="1:4">
      <c r="A144" s="1" t="s">
        <v>158</v>
      </c>
      <c r="B144" s="23">
        <v>574633</v>
      </c>
      <c r="C144" s="2" t="s">
        <v>186</v>
      </c>
      <c r="D144" s="2" t="s">
        <v>186</v>
      </c>
    </row>
    <row r="145" spans="1:4">
      <c r="A145" s="1" t="s">
        <v>159</v>
      </c>
      <c r="B145" s="23">
        <v>61688</v>
      </c>
      <c r="C145" s="2" t="s">
        <v>186</v>
      </c>
      <c r="D145" s="4">
        <v>150000</v>
      </c>
    </row>
    <row r="146" spans="1:4">
      <c r="A146" s="1" t="s">
        <v>97</v>
      </c>
      <c r="B146" s="23" t="s">
        <v>160</v>
      </c>
      <c r="C146" s="2" t="s">
        <v>186</v>
      </c>
      <c r="D146" s="3">
        <v>1300000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FB2D-1CEE-48C0-A9E8-35B42FA19955}">
  <dimension ref="A1:C149"/>
  <sheetViews>
    <sheetView workbookViewId="0">
      <selection activeCell="G10" sqref="G10"/>
    </sheetView>
  </sheetViews>
  <sheetFormatPr defaultRowHeight="15"/>
  <cols>
    <col min="1" max="1" width="19.28515625" style="9" bestFit="1" customWidth="1"/>
    <col min="2" max="2" width="12.85546875" bestFit="1" customWidth="1"/>
    <col min="3" max="3" width="10.140625" bestFit="1" customWidth="1"/>
  </cols>
  <sheetData>
    <row r="1" spans="1:3">
      <c r="A1" s="8" t="s">
        <v>7</v>
      </c>
      <c r="B1" s="5" t="s">
        <v>161</v>
      </c>
      <c r="C1" s="6" t="s">
        <v>162</v>
      </c>
    </row>
    <row r="2" spans="1:3">
      <c r="A2" s="7">
        <v>116871</v>
      </c>
      <c r="B2" s="2">
        <v>3</v>
      </c>
      <c r="C2" s="3">
        <v>26116000</v>
      </c>
    </row>
    <row r="3" spans="1:3">
      <c r="A3" s="7">
        <v>228872</v>
      </c>
      <c r="B3" s="2">
        <v>8</v>
      </c>
      <c r="C3" s="3">
        <v>4000000</v>
      </c>
    </row>
    <row r="4" spans="1:3">
      <c r="A4" s="7">
        <v>12320853</v>
      </c>
      <c r="B4" s="2">
        <v>5</v>
      </c>
      <c r="C4" s="2">
        <v>0</v>
      </c>
    </row>
    <row r="5" spans="1:3">
      <c r="A5" s="7">
        <v>12326118</v>
      </c>
      <c r="B5" s="2">
        <v>3</v>
      </c>
      <c r="C5" s="3">
        <v>8770000</v>
      </c>
    </row>
    <row r="6" spans="1:3">
      <c r="A6" s="7">
        <v>12295826</v>
      </c>
      <c r="B6" s="2">
        <v>0</v>
      </c>
      <c r="C6" s="2">
        <v>0</v>
      </c>
    </row>
    <row r="7" spans="1:3">
      <c r="A7" s="7">
        <v>12295752</v>
      </c>
      <c r="B7" s="2">
        <v>0</v>
      </c>
      <c r="C7" s="3">
        <v>3000000</v>
      </c>
    </row>
    <row r="8" spans="1:3">
      <c r="A8" s="7">
        <v>526916</v>
      </c>
      <c r="B8" s="2">
        <v>4</v>
      </c>
      <c r="C8" s="3">
        <v>500000</v>
      </c>
    </row>
    <row r="9" spans="1:3">
      <c r="A9" s="7">
        <v>12326920</v>
      </c>
      <c r="B9" s="2">
        <v>3</v>
      </c>
      <c r="C9" s="3">
        <v>5433500</v>
      </c>
    </row>
    <row r="10" spans="1:3">
      <c r="A10" s="7">
        <v>292836</v>
      </c>
      <c r="B10" s="2">
        <v>0</v>
      </c>
      <c r="C10" s="3">
        <v>2000000</v>
      </c>
    </row>
    <row r="11" spans="1:3">
      <c r="A11" s="7">
        <v>63887</v>
      </c>
      <c r="B11" s="2">
        <v>0</v>
      </c>
      <c r="C11" s="3">
        <v>1800000</v>
      </c>
    </row>
    <row r="12" spans="1:3">
      <c r="A12" s="7">
        <v>12312295</v>
      </c>
      <c r="B12" s="2">
        <v>0</v>
      </c>
      <c r="C12" s="3">
        <v>10523500</v>
      </c>
    </row>
    <row r="13" spans="1:3">
      <c r="A13" s="7">
        <v>523849</v>
      </c>
      <c r="B13" s="2">
        <v>0</v>
      </c>
      <c r="C13" s="4">
        <v>100000</v>
      </c>
    </row>
    <row r="14" spans="1:3">
      <c r="A14" s="7">
        <v>530341</v>
      </c>
      <c r="B14" s="2">
        <v>0</v>
      </c>
      <c r="C14" s="2">
        <v>0</v>
      </c>
    </row>
    <row r="15" spans="1:3">
      <c r="A15" s="7">
        <v>480658</v>
      </c>
      <c r="B15" s="2">
        <v>6</v>
      </c>
      <c r="C15" s="3">
        <v>1000000</v>
      </c>
    </row>
    <row r="16" spans="1:3">
      <c r="A16" s="7">
        <v>366702</v>
      </c>
      <c r="B16" s="2">
        <v>3</v>
      </c>
      <c r="C16" s="3">
        <v>8175000</v>
      </c>
    </row>
    <row r="17" spans="1:3">
      <c r="A17" s="7">
        <v>501141</v>
      </c>
      <c r="B17" s="2">
        <v>0</v>
      </c>
      <c r="C17" s="4">
        <v>100000</v>
      </c>
    </row>
    <row r="18" spans="1:3">
      <c r="A18" s="7">
        <v>12303072</v>
      </c>
      <c r="B18" s="2">
        <v>3</v>
      </c>
      <c r="C18" s="2">
        <v>0</v>
      </c>
    </row>
    <row r="19" spans="1:3">
      <c r="A19" s="7">
        <v>501860</v>
      </c>
      <c r="B19" s="2">
        <v>6</v>
      </c>
      <c r="C19" s="3">
        <v>800000</v>
      </c>
    </row>
    <row r="20" spans="1:3">
      <c r="A20" s="7">
        <v>543771</v>
      </c>
      <c r="B20" s="2">
        <v>0</v>
      </c>
      <c r="C20" s="3">
        <v>300000</v>
      </c>
    </row>
    <row r="21" spans="1:3">
      <c r="A21" s="7">
        <v>222816</v>
      </c>
      <c r="B21" s="2">
        <v>3</v>
      </c>
      <c r="C21" s="3">
        <v>8800000</v>
      </c>
    </row>
    <row r="22" spans="1:3">
      <c r="A22" s="7">
        <v>522623</v>
      </c>
      <c r="B22" s="2">
        <v>3</v>
      </c>
      <c r="C22" s="3">
        <v>6930000</v>
      </c>
    </row>
    <row r="23" spans="1:3">
      <c r="A23" s="7">
        <v>12301356</v>
      </c>
      <c r="B23" s="2">
        <v>3</v>
      </c>
      <c r="C23" s="3">
        <v>8681000</v>
      </c>
    </row>
    <row r="24" spans="1:3">
      <c r="A24" s="7">
        <v>12295724</v>
      </c>
      <c r="B24" s="2">
        <v>4</v>
      </c>
      <c r="C24" s="3">
        <v>2700000</v>
      </c>
    </row>
    <row r="25" spans="1:3">
      <c r="A25" s="7">
        <v>539088</v>
      </c>
      <c r="B25" s="2">
        <v>0</v>
      </c>
      <c r="C25" s="2">
        <v>0</v>
      </c>
    </row>
    <row r="26" spans="1:3">
      <c r="A26" s="7">
        <v>61688</v>
      </c>
      <c r="B26" s="2">
        <v>3</v>
      </c>
      <c r="C26" s="3">
        <v>450000</v>
      </c>
    </row>
    <row r="27" spans="1:3">
      <c r="A27" s="7">
        <v>304264</v>
      </c>
      <c r="B27" s="2">
        <v>0</v>
      </c>
      <c r="C27" s="3">
        <v>529000</v>
      </c>
    </row>
    <row r="28" spans="1:3">
      <c r="A28" s="7">
        <v>126951</v>
      </c>
      <c r="B28" s="2">
        <v>3</v>
      </c>
      <c r="C28" s="3">
        <v>6000000</v>
      </c>
    </row>
    <row r="29" spans="1:3">
      <c r="A29" s="7">
        <v>301600</v>
      </c>
      <c r="B29" s="2">
        <v>3</v>
      </c>
      <c r="C29" s="3">
        <v>6604000</v>
      </c>
    </row>
    <row r="30" spans="1:3">
      <c r="A30" s="7">
        <v>523194</v>
      </c>
      <c r="B30" s="2">
        <v>3</v>
      </c>
      <c r="C30" s="3">
        <v>308000</v>
      </c>
    </row>
    <row r="31" spans="1:3">
      <c r="A31" s="7">
        <v>211794</v>
      </c>
      <c r="B31" s="2">
        <v>3</v>
      </c>
      <c r="C31" s="3">
        <v>1500000</v>
      </c>
    </row>
    <row r="32" spans="1:3">
      <c r="A32" s="7">
        <v>574633</v>
      </c>
      <c r="B32" s="2">
        <v>0</v>
      </c>
      <c r="C32" s="2">
        <v>0</v>
      </c>
    </row>
    <row r="33" spans="1:3">
      <c r="A33" s="7">
        <v>558955</v>
      </c>
      <c r="B33" s="2">
        <v>0</v>
      </c>
      <c r="C33" s="2">
        <v>0</v>
      </c>
    </row>
    <row r="34" spans="1:3">
      <c r="A34" s="7">
        <v>12295820</v>
      </c>
      <c r="B34" s="2">
        <v>0</v>
      </c>
      <c r="C34" s="3">
        <v>2500000</v>
      </c>
    </row>
    <row r="35" spans="1:3">
      <c r="A35" s="7">
        <v>571174</v>
      </c>
      <c r="B35" s="2">
        <v>1</v>
      </c>
      <c r="C35" s="3">
        <v>3475500</v>
      </c>
    </row>
    <row r="36" spans="1:3">
      <c r="A36" s="7">
        <v>199010</v>
      </c>
      <c r="B36" s="2">
        <v>3</v>
      </c>
      <c r="C36" s="3">
        <v>5050000</v>
      </c>
    </row>
    <row r="37" spans="1:3">
      <c r="A37" s="7">
        <v>12295833</v>
      </c>
      <c r="B37" s="2">
        <v>0</v>
      </c>
      <c r="C37" s="2">
        <v>0</v>
      </c>
    </row>
    <row r="38" spans="1:3">
      <c r="A38" s="7">
        <v>352167</v>
      </c>
      <c r="B38" s="2">
        <v>0</v>
      </c>
      <c r="C38" s="3">
        <v>998000</v>
      </c>
    </row>
    <row r="39" spans="1:3">
      <c r="A39" s="7">
        <v>510299</v>
      </c>
      <c r="B39" s="2">
        <v>0</v>
      </c>
      <c r="C39" s="3">
        <v>1000000</v>
      </c>
    </row>
    <row r="40" spans="1:3">
      <c r="A40" s="7">
        <v>484741</v>
      </c>
      <c r="B40" s="2">
        <v>3</v>
      </c>
      <c r="C40" s="3">
        <v>3000000</v>
      </c>
    </row>
    <row r="41" spans="1:3">
      <c r="A41" s="7">
        <v>12324194</v>
      </c>
      <c r="B41" s="2">
        <v>0</v>
      </c>
      <c r="C41" s="2">
        <v>0</v>
      </c>
    </row>
    <row r="42" spans="1:3">
      <c r="A42" s="7">
        <v>523938</v>
      </c>
      <c r="B42" s="2">
        <v>3</v>
      </c>
      <c r="C42" s="3">
        <v>1631000</v>
      </c>
    </row>
    <row r="43" spans="1:3">
      <c r="A43" s="7">
        <v>543720</v>
      </c>
      <c r="B43" s="2">
        <v>0</v>
      </c>
      <c r="C43" s="2">
        <v>0</v>
      </c>
    </row>
    <row r="44" spans="1:3">
      <c r="A44" s="7">
        <v>12326533</v>
      </c>
      <c r="B44" s="2">
        <v>11</v>
      </c>
      <c r="C44" s="3">
        <v>8702500</v>
      </c>
    </row>
    <row r="45" spans="1:3">
      <c r="A45" s="7">
        <v>477625</v>
      </c>
      <c r="B45" s="2">
        <v>0</v>
      </c>
      <c r="C45" s="2">
        <v>0</v>
      </c>
    </row>
    <row r="46" spans="1:3">
      <c r="A46" s="7">
        <v>126963</v>
      </c>
      <c r="B46" s="2">
        <v>6</v>
      </c>
      <c r="C46" s="3">
        <v>800000</v>
      </c>
    </row>
    <row r="47" spans="1:3">
      <c r="A47" s="7">
        <v>12318079</v>
      </c>
      <c r="B47" s="2">
        <v>6</v>
      </c>
      <c r="C47" s="3">
        <v>950000</v>
      </c>
    </row>
    <row r="48" spans="1:3">
      <c r="A48" s="7">
        <v>347538</v>
      </c>
      <c r="B48" s="2">
        <v>3</v>
      </c>
      <c r="C48" s="3">
        <v>1050200</v>
      </c>
    </row>
    <row r="49" spans="1:3">
      <c r="A49" s="7">
        <v>12326313</v>
      </c>
      <c r="B49" s="2">
        <v>3</v>
      </c>
      <c r="C49" s="3">
        <v>11704000</v>
      </c>
    </row>
    <row r="50" spans="1:3">
      <c r="A50" s="7">
        <v>195918</v>
      </c>
      <c r="B50" s="2">
        <v>3</v>
      </c>
      <c r="C50" s="3">
        <v>13580000</v>
      </c>
    </row>
    <row r="51" spans="1:3">
      <c r="A51" s="7">
        <v>535790</v>
      </c>
      <c r="B51" s="2">
        <v>3</v>
      </c>
      <c r="C51" s="3">
        <v>4100000</v>
      </c>
    </row>
    <row r="52" spans="1:3">
      <c r="A52" s="7">
        <v>287622</v>
      </c>
      <c r="B52" s="2">
        <v>19</v>
      </c>
      <c r="C52" s="3">
        <v>1800000</v>
      </c>
    </row>
    <row r="53" spans="1:3">
      <c r="A53" s="7">
        <v>529090</v>
      </c>
      <c r="B53" s="2">
        <v>0</v>
      </c>
      <c r="C53" s="2">
        <v>0</v>
      </c>
    </row>
    <row r="54" spans="1:3">
      <c r="A54" s="7">
        <v>10466</v>
      </c>
      <c r="B54" s="2">
        <v>3</v>
      </c>
      <c r="C54" s="3">
        <v>2058000</v>
      </c>
    </row>
    <row r="55" spans="1:3">
      <c r="A55" s="7">
        <v>511584</v>
      </c>
      <c r="B55" s="2">
        <v>5</v>
      </c>
      <c r="C55" s="3">
        <v>1300000</v>
      </c>
    </row>
    <row r="56" spans="1:3">
      <c r="A56" s="7">
        <v>12323218</v>
      </c>
      <c r="B56" s="2">
        <v>2</v>
      </c>
      <c r="C56" s="3">
        <v>6750900</v>
      </c>
    </row>
    <row r="57" spans="1:3">
      <c r="A57" s="7">
        <v>12322430</v>
      </c>
      <c r="B57" s="2">
        <v>0</v>
      </c>
      <c r="C57" s="2">
        <v>0</v>
      </c>
    </row>
    <row r="58" spans="1:3">
      <c r="A58" s="7">
        <v>127198</v>
      </c>
      <c r="B58" s="2">
        <v>29</v>
      </c>
      <c r="C58" s="3">
        <v>4986000</v>
      </c>
    </row>
    <row r="59" spans="1:3">
      <c r="A59" s="7">
        <v>499483</v>
      </c>
      <c r="B59" s="2">
        <v>0</v>
      </c>
      <c r="C59" s="3">
        <v>5500000</v>
      </c>
    </row>
    <row r="60" spans="1:3">
      <c r="A60" s="7">
        <v>231278</v>
      </c>
      <c r="B60" s="2">
        <v>0</v>
      </c>
      <c r="C60" s="2">
        <v>0</v>
      </c>
    </row>
    <row r="61" spans="1:3">
      <c r="A61" s="7">
        <v>12313881</v>
      </c>
      <c r="B61" s="2">
        <v>6</v>
      </c>
      <c r="C61" s="3">
        <v>58067000</v>
      </c>
    </row>
    <row r="62" spans="1:3">
      <c r="A62" s="7">
        <v>510295</v>
      </c>
      <c r="B62" s="2">
        <v>5</v>
      </c>
      <c r="C62" s="4">
        <v>250000</v>
      </c>
    </row>
    <row r="63" spans="1:3">
      <c r="A63" s="7">
        <v>199007</v>
      </c>
      <c r="B63" s="2">
        <v>0</v>
      </c>
      <c r="C63" s="2">
        <v>0</v>
      </c>
    </row>
    <row r="64" spans="1:3">
      <c r="A64" s="7">
        <v>396176</v>
      </c>
      <c r="B64" s="2">
        <v>0</v>
      </c>
      <c r="C64" s="2">
        <v>0</v>
      </c>
    </row>
    <row r="65" spans="1:3">
      <c r="A65" s="7">
        <v>62086</v>
      </c>
      <c r="B65" s="2">
        <v>0</v>
      </c>
      <c r="C65" s="2">
        <v>0</v>
      </c>
    </row>
    <row r="66" spans="1:3">
      <c r="A66" s="7">
        <v>408290</v>
      </c>
      <c r="B66" s="2">
        <v>3</v>
      </c>
      <c r="C66" s="3">
        <v>9058000</v>
      </c>
    </row>
    <row r="67" spans="1:3">
      <c r="A67" s="7">
        <v>240713</v>
      </c>
      <c r="B67" s="2">
        <v>6</v>
      </c>
      <c r="C67" s="3">
        <v>8700000</v>
      </c>
    </row>
    <row r="68" spans="1:3">
      <c r="A68" s="7">
        <v>503633</v>
      </c>
      <c r="B68" s="2">
        <v>3</v>
      </c>
      <c r="C68" s="3">
        <v>350000</v>
      </c>
    </row>
    <row r="69" spans="1:3">
      <c r="A69" s="7">
        <v>345427</v>
      </c>
      <c r="B69" s="2">
        <v>8</v>
      </c>
      <c r="C69" s="3">
        <v>1800000</v>
      </c>
    </row>
    <row r="70" spans="1:3">
      <c r="A70" s="7">
        <v>12317091</v>
      </c>
      <c r="B70" s="2">
        <v>0</v>
      </c>
      <c r="C70" s="2">
        <v>0</v>
      </c>
    </row>
    <row r="71" spans="1:3">
      <c r="A71" s="7">
        <v>471389</v>
      </c>
      <c r="B71" s="2">
        <v>0</v>
      </c>
      <c r="C71" s="4">
        <v>200000</v>
      </c>
    </row>
    <row r="72" spans="1:3">
      <c r="A72" s="7">
        <v>501263</v>
      </c>
      <c r="B72" s="2">
        <v>0</v>
      </c>
      <c r="C72" s="2">
        <v>0</v>
      </c>
    </row>
    <row r="73" spans="1:3">
      <c r="A73" s="7">
        <v>229765</v>
      </c>
      <c r="B73" s="2">
        <v>3</v>
      </c>
      <c r="C73" s="3">
        <v>22000000</v>
      </c>
    </row>
    <row r="74" spans="1:3">
      <c r="A74" s="7">
        <v>358231</v>
      </c>
      <c r="B74" s="2">
        <v>2</v>
      </c>
      <c r="C74" s="3">
        <v>4800000</v>
      </c>
    </row>
    <row r="75" spans="1:3">
      <c r="A75" s="7">
        <v>483240</v>
      </c>
      <c r="B75" s="2">
        <v>0</v>
      </c>
      <c r="C75" s="3">
        <v>300000</v>
      </c>
    </row>
    <row r="76" spans="1:3">
      <c r="A76" s="7">
        <v>510053</v>
      </c>
      <c r="B76" s="2">
        <v>3</v>
      </c>
      <c r="C76" s="3">
        <v>500000</v>
      </c>
    </row>
    <row r="77" spans="1:3">
      <c r="A77" s="7">
        <v>12295717</v>
      </c>
      <c r="B77" s="2">
        <v>5</v>
      </c>
      <c r="C77" s="4">
        <v>100000</v>
      </c>
    </row>
    <row r="78" spans="1:3">
      <c r="A78" s="7">
        <v>12323463</v>
      </c>
      <c r="B78" s="2">
        <v>102</v>
      </c>
      <c r="C78" s="3">
        <v>17855500</v>
      </c>
    </row>
    <row r="79" spans="1:3">
      <c r="A79" s="7">
        <v>524281</v>
      </c>
      <c r="B79" s="2">
        <v>3</v>
      </c>
      <c r="C79" s="4">
        <v>29000</v>
      </c>
    </row>
    <row r="80" spans="1:3">
      <c r="A80" s="7">
        <v>530345</v>
      </c>
      <c r="B80" s="2">
        <v>0</v>
      </c>
      <c r="C80" s="3">
        <v>7000000</v>
      </c>
    </row>
    <row r="81" spans="1:3">
      <c r="A81" s="7">
        <v>12321241</v>
      </c>
      <c r="B81" s="2">
        <v>520</v>
      </c>
      <c r="C81" s="3">
        <v>58323000</v>
      </c>
    </row>
    <row r="82" spans="1:3">
      <c r="A82" s="7">
        <v>12325263</v>
      </c>
      <c r="B82" s="2">
        <v>0</v>
      </c>
      <c r="C82" s="2">
        <v>0</v>
      </c>
    </row>
    <row r="83" spans="1:3">
      <c r="A83" s="7">
        <v>278608</v>
      </c>
      <c r="B83" s="2">
        <v>11</v>
      </c>
      <c r="C83" s="3">
        <v>3600000</v>
      </c>
    </row>
    <row r="84" spans="1:3">
      <c r="A84" s="7">
        <v>12295626</v>
      </c>
      <c r="B84" s="2">
        <v>0</v>
      </c>
      <c r="C84" s="2">
        <v>0</v>
      </c>
    </row>
    <row r="85" spans="1:3">
      <c r="A85" s="7">
        <v>525590</v>
      </c>
      <c r="B85" s="2">
        <v>11</v>
      </c>
      <c r="C85" s="3">
        <v>6983500</v>
      </c>
    </row>
    <row r="86" spans="1:3">
      <c r="A86" s="7">
        <v>523935</v>
      </c>
      <c r="B86" s="2">
        <v>3</v>
      </c>
      <c r="C86" s="3">
        <v>5100000</v>
      </c>
    </row>
    <row r="87" spans="1:3">
      <c r="A87" s="7">
        <v>342829</v>
      </c>
      <c r="B87" s="2">
        <v>4</v>
      </c>
      <c r="C87" s="3">
        <v>2400000</v>
      </c>
    </row>
    <row r="88" spans="1:3">
      <c r="A88" s="7">
        <v>12322483</v>
      </c>
      <c r="B88" s="2">
        <v>0</v>
      </c>
      <c r="C88" s="2">
        <v>0</v>
      </c>
    </row>
    <row r="89" spans="1:3">
      <c r="A89" s="7">
        <v>12295887</v>
      </c>
      <c r="B89" s="2">
        <v>0</v>
      </c>
      <c r="C89" s="2">
        <v>0</v>
      </c>
    </row>
    <row r="90" spans="1:3">
      <c r="A90" s="7">
        <v>12295542</v>
      </c>
      <c r="B90" s="2">
        <v>0</v>
      </c>
      <c r="C90" s="3">
        <v>34616800</v>
      </c>
    </row>
    <row r="91" spans="1:3">
      <c r="A91" s="7">
        <v>514589</v>
      </c>
      <c r="B91" s="2">
        <v>5</v>
      </c>
      <c r="C91" s="3">
        <v>39061000</v>
      </c>
    </row>
    <row r="92" spans="1:3">
      <c r="A92" s="7">
        <v>481857</v>
      </c>
      <c r="B92" s="2">
        <v>6</v>
      </c>
      <c r="C92" s="3">
        <v>750000</v>
      </c>
    </row>
    <row r="93" spans="1:3">
      <c r="A93" s="7">
        <v>562953</v>
      </c>
      <c r="B93" s="2">
        <v>1</v>
      </c>
      <c r="C93" s="3">
        <v>3500000</v>
      </c>
    </row>
    <row r="94" spans="1:3">
      <c r="A94" s="7">
        <v>523430</v>
      </c>
      <c r="B94" s="2">
        <v>3</v>
      </c>
      <c r="C94" s="3">
        <v>9670000</v>
      </c>
    </row>
    <row r="95" spans="1:3">
      <c r="A95" s="7">
        <v>549259</v>
      </c>
      <c r="B95" s="2">
        <v>0</v>
      </c>
      <c r="C95" s="2">
        <v>0</v>
      </c>
    </row>
    <row r="96" spans="1:3">
      <c r="A96" s="7">
        <v>12324647</v>
      </c>
      <c r="B96" s="2">
        <v>0</v>
      </c>
      <c r="C96" s="2">
        <v>0</v>
      </c>
    </row>
    <row r="97" spans="1:3">
      <c r="A97" s="7">
        <v>12302808</v>
      </c>
      <c r="B97" s="2">
        <v>1</v>
      </c>
      <c r="C97" s="4">
        <v>50000</v>
      </c>
    </row>
    <row r="98" spans="1:3">
      <c r="A98" s="7">
        <v>542823</v>
      </c>
      <c r="B98" s="2">
        <v>3</v>
      </c>
      <c r="C98" s="3">
        <v>766000</v>
      </c>
    </row>
    <row r="99" spans="1:3">
      <c r="A99" s="7">
        <v>345691</v>
      </c>
      <c r="B99" s="2">
        <v>3</v>
      </c>
      <c r="C99" s="3">
        <v>2667000</v>
      </c>
    </row>
    <row r="100" spans="1:3">
      <c r="A100" s="7">
        <v>529249</v>
      </c>
      <c r="B100" s="2">
        <v>0</v>
      </c>
      <c r="C100" s="3">
        <v>4735000</v>
      </c>
    </row>
    <row r="101" spans="1:3">
      <c r="A101" s="7">
        <v>246732</v>
      </c>
      <c r="B101" s="2">
        <v>3</v>
      </c>
      <c r="C101" s="4">
        <v>150000</v>
      </c>
    </row>
    <row r="102" spans="1:3">
      <c r="A102" s="7">
        <v>491288</v>
      </c>
      <c r="B102" s="2">
        <v>3</v>
      </c>
      <c r="C102" s="3">
        <v>700000</v>
      </c>
    </row>
    <row r="103" spans="1:3">
      <c r="A103" s="7">
        <v>530334</v>
      </c>
      <c r="B103" s="2">
        <v>0</v>
      </c>
      <c r="C103" s="3">
        <v>1500000</v>
      </c>
    </row>
    <row r="104" spans="1:3">
      <c r="A104" s="7">
        <v>199020</v>
      </c>
      <c r="B104" s="2">
        <v>0</v>
      </c>
      <c r="C104" s="3">
        <v>700000</v>
      </c>
    </row>
    <row r="105" spans="1:3">
      <c r="A105" s="7">
        <v>240048</v>
      </c>
      <c r="B105" s="2">
        <v>3</v>
      </c>
      <c r="C105" s="3">
        <v>1029000</v>
      </c>
    </row>
    <row r="106" spans="1:3">
      <c r="A106" s="7">
        <v>560814</v>
      </c>
      <c r="B106" s="2">
        <v>0</v>
      </c>
      <c r="C106" s="3">
        <v>4950000</v>
      </c>
    </row>
    <row r="107" spans="1:3">
      <c r="A107" s="7">
        <v>1661</v>
      </c>
      <c r="B107" s="2">
        <v>1</v>
      </c>
      <c r="C107" s="4">
        <v>58000</v>
      </c>
    </row>
    <row r="108" spans="1:3">
      <c r="A108" s="7">
        <v>519286</v>
      </c>
      <c r="B108" s="2">
        <v>32</v>
      </c>
      <c r="C108" s="3">
        <v>7684000</v>
      </c>
    </row>
    <row r="109" spans="1:3">
      <c r="A109" s="7">
        <v>385575</v>
      </c>
      <c r="B109" s="2">
        <v>0</v>
      </c>
      <c r="C109" s="2">
        <v>0</v>
      </c>
    </row>
    <row r="110" spans="1:3">
      <c r="A110" s="7">
        <v>569298</v>
      </c>
      <c r="B110" s="2">
        <v>0</v>
      </c>
      <c r="C110" s="4">
        <v>200000</v>
      </c>
    </row>
    <row r="111" spans="1:3">
      <c r="A111" s="7">
        <v>199217</v>
      </c>
      <c r="B111" s="2">
        <v>3</v>
      </c>
      <c r="C111" s="4">
        <v>58000</v>
      </c>
    </row>
    <row r="112" spans="1:3">
      <c r="A112" s="7">
        <v>12321230</v>
      </c>
      <c r="B112" s="2">
        <v>0</v>
      </c>
      <c r="C112" s="4">
        <v>203000</v>
      </c>
    </row>
    <row r="113" spans="1:3">
      <c r="A113" s="7">
        <v>12295592</v>
      </c>
      <c r="B113" s="2">
        <v>60</v>
      </c>
      <c r="C113" s="3">
        <v>8236800</v>
      </c>
    </row>
    <row r="114" spans="1:3">
      <c r="A114" s="7">
        <v>287403</v>
      </c>
      <c r="B114" s="2">
        <v>11</v>
      </c>
      <c r="C114" s="3">
        <v>3478900</v>
      </c>
    </row>
    <row r="115" spans="1:3">
      <c r="A115" s="7">
        <v>486638</v>
      </c>
      <c r="B115" s="2">
        <v>3</v>
      </c>
      <c r="C115" s="3">
        <v>1100000</v>
      </c>
    </row>
    <row r="116" spans="1:3">
      <c r="A116" s="7">
        <v>195514</v>
      </c>
      <c r="B116" s="2">
        <v>3</v>
      </c>
      <c r="C116" s="4">
        <v>200000</v>
      </c>
    </row>
    <row r="117" spans="1:3">
      <c r="A117" s="7">
        <v>240084</v>
      </c>
      <c r="B117" s="2">
        <v>0</v>
      </c>
      <c r="C117" s="3">
        <v>11500000</v>
      </c>
    </row>
    <row r="118" spans="1:3">
      <c r="A118" s="7">
        <v>530349</v>
      </c>
      <c r="B118" s="2">
        <v>3</v>
      </c>
      <c r="C118" s="2">
        <v>0</v>
      </c>
    </row>
    <row r="119" spans="1:3">
      <c r="A119" s="7">
        <v>530058</v>
      </c>
      <c r="B119" s="2">
        <v>3</v>
      </c>
      <c r="C119" s="3">
        <v>3058000</v>
      </c>
    </row>
    <row r="120" spans="1:3">
      <c r="A120" s="7">
        <v>546446</v>
      </c>
      <c r="B120" s="2">
        <v>1</v>
      </c>
      <c r="C120" s="3">
        <v>400000</v>
      </c>
    </row>
    <row r="121" spans="1:3">
      <c r="A121" s="7">
        <v>524283</v>
      </c>
      <c r="B121" s="2">
        <v>1</v>
      </c>
      <c r="C121" s="3">
        <v>427000</v>
      </c>
    </row>
    <row r="122" spans="1:3">
      <c r="A122" s="7">
        <v>416191</v>
      </c>
      <c r="B122" s="2">
        <v>3</v>
      </c>
      <c r="C122" s="3">
        <v>1021900</v>
      </c>
    </row>
    <row r="123" spans="1:3">
      <c r="A123" s="7">
        <v>12322237</v>
      </c>
      <c r="B123" s="2">
        <v>1</v>
      </c>
      <c r="C123" s="2">
        <v>0</v>
      </c>
    </row>
    <row r="124" spans="1:3">
      <c r="A124" s="7">
        <v>563095</v>
      </c>
      <c r="B124" s="2">
        <v>3</v>
      </c>
      <c r="C124" s="3">
        <v>6000000</v>
      </c>
    </row>
    <row r="125" spans="1:3">
      <c r="A125" s="7">
        <v>501643</v>
      </c>
      <c r="B125" s="2">
        <v>1</v>
      </c>
      <c r="C125" s="3">
        <v>9458000</v>
      </c>
    </row>
    <row r="126" spans="1:3">
      <c r="A126" s="7">
        <v>503866</v>
      </c>
      <c r="B126" s="2">
        <v>3</v>
      </c>
      <c r="C126" s="3">
        <v>4508000</v>
      </c>
    </row>
    <row r="127" spans="1:3">
      <c r="A127" s="7">
        <v>503354</v>
      </c>
      <c r="B127" s="2">
        <v>2</v>
      </c>
      <c r="C127" s="3">
        <v>2300000</v>
      </c>
    </row>
    <row r="128" spans="1:3">
      <c r="A128" s="7">
        <v>12327316</v>
      </c>
      <c r="B128" s="2">
        <v>5</v>
      </c>
      <c r="C128" s="3">
        <v>500000</v>
      </c>
    </row>
    <row r="129" spans="1:3">
      <c r="A129" s="7">
        <v>368809</v>
      </c>
      <c r="B129" s="2">
        <v>3</v>
      </c>
      <c r="C129" s="3">
        <v>3895000</v>
      </c>
    </row>
    <row r="130" spans="1:3">
      <c r="A130" s="7">
        <v>12295536</v>
      </c>
      <c r="B130" s="2">
        <v>6</v>
      </c>
      <c r="C130" s="3">
        <v>1029000</v>
      </c>
    </row>
    <row r="131" spans="1:3">
      <c r="A131" s="7">
        <v>12321243</v>
      </c>
      <c r="B131" s="2">
        <v>38</v>
      </c>
      <c r="C131" s="3">
        <v>53322000</v>
      </c>
    </row>
    <row r="132" spans="1:3">
      <c r="A132" s="7">
        <v>543826</v>
      </c>
      <c r="B132" s="2">
        <v>31</v>
      </c>
      <c r="C132" s="3">
        <v>61670000</v>
      </c>
    </row>
    <row r="133" spans="1:3">
      <c r="A133" s="7">
        <v>401031</v>
      </c>
      <c r="B133" s="2">
        <v>6</v>
      </c>
      <c r="C133" s="3">
        <v>2550000</v>
      </c>
    </row>
    <row r="134" spans="1:3">
      <c r="A134" s="7">
        <v>12332811</v>
      </c>
      <c r="B134" s="2">
        <v>0</v>
      </c>
      <c r="C134" s="2">
        <v>0</v>
      </c>
    </row>
    <row r="135" spans="1:3">
      <c r="A135" s="7">
        <v>12332670</v>
      </c>
      <c r="B135" s="2">
        <v>0</v>
      </c>
      <c r="C135" s="3">
        <v>1915000</v>
      </c>
    </row>
    <row r="136" spans="1:3">
      <c r="A136" s="7">
        <v>12333237</v>
      </c>
      <c r="B136" s="2">
        <v>5</v>
      </c>
      <c r="C136" s="4">
        <v>100000</v>
      </c>
    </row>
    <row r="137" spans="1:3">
      <c r="A137" s="7">
        <v>12331450</v>
      </c>
      <c r="B137" s="2">
        <v>0</v>
      </c>
      <c r="C137" s="4">
        <v>200000</v>
      </c>
    </row>
    <row r="138" spans="1:3">
      <c r="A138" s="7">
        <v>61690</v>
      </c>
      <c r="B138" s="2">
        <v>3</v>
      </c>
      <c r="C138" s="3">
        <v>18058000</v>
      </c>
    </row>
    <row r="139" spans="1:3">
      <c r="A139" s="7">
        <v>12295980</v>
      </c>
      <c r="B139" s="2">
        <v>0</v>
      </c>
      <c r="C139" s="2">
        <v>0</v>
      </c>
    </row>
    <row r="140" spans="1:3">
      <c r="A140" s="7">
        <v>213944</v>
      </c>
      <c r="B140" s="2">
        <v>3</v>
      </c>
      <c r="C140" s="3">
        <v>4529000</v>
      </c>
    </row>
    <row r="141" spans="1:3">
      <c r="A141" s="7" t="s">
        <v>102</v>
      </c>
      <c r="B141" s="2">
        <v>0</v>
      </c>
      <c r="C141" s="3">
        <v>300000</v>
      </c>
    </row>
    <row r="142" spans="1:3">
      <c r="A142" s="7" t="s">
        <v>100</v>
      </c>
      <c r="B142" s="2">
        <v>4</v>
      </c>
      <c r="C142" s="3">
        <v>3000000</v>
      </c>
    </row>
    <row r="143" spans="1:3">
      <c r="A143" s="7" t="s">
        <v>160</v>
      </c>
      <c r="B143" s="2">
        <v>0</v>
      </c>
      <c r="C143" s="3">
        <v>2600000</v>
      </c>
    </row>
    <row r="144" spans="1:3">
      <c r="A144" s="7" t="s">
        <v>98</v>
      </c>
      <c r="B144" s="2">
        <v>55</v>
      </c>
      <c r="C144" s="3">
        <v>11815000</v>
      </c>
    </row>
    <row r="145" spans="1:3">
      <c r="A145" s="7">
        <v>12334749</v>
      </c>
      <c r="B145" s="2">
        <v>0</v>
      </c>
      <c r="C145" s="2">
        <v>0</v>
      </c>
    </row>
    <row r="146" spans="1:3">
      <c r="A146" s="7">
        <v>12334635</v>
      </c>
      <c r="B146" s="2">
        <v>4</v>
      </c>
      <c r="C146" s="3">
        <v>58616000</v>
      </c>
    </row>
    <row r="147" spans="1:3">
      <c r="A147" s="7">
        <v>12334637</v>
      </c>
      <c r="B147" s="2">
        <v>4</v>
      </c>
      <c r="C147" s="3">
        <v>46616000</v>
      </c>
    </row>
    <row r="148" spans="1:3">
      <c r="A148" s="7">
        <v>12334667</v>
      </c>
      <c r="B148" s="2">
        <v>18</v>
      </c>
      <c r="C148" s="3">
        <v>1419000</v>
      </c>
    </row>
    <row r="149" spans="1:3">
      <c r="A149" s="7" t="s">
        <v>104</v>
      </c>
      <c r="B149" s="2">
        <v>3</v>
      </c>
      <c r="C149" s="3">
        <v>300000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E2FEA-7579-4105-BB5C-707DD11104C2}">
  <dimension ref="A1:L146"/>
  <sheetViews>
    <sheetView workbookViewId="0">
      <selection activeCell="F1" sqref="F1"/>
    </sheetView>
  </sheetViews>
  <sheetFormatPr defaultRowHeight="15"/>
  <cols>
    <col min="1" max="1" width="15.28515625" bestFit="1" customWidth="1"/>
    <col min="2" max="2" width="9.7109375" bestFit="1" customWidth="1"/>
    <col min="3" max="3" width="27.28515625" bestFit="1" customWidth="1"/>
    <col min="4" max="4" width="8.7109375" bestFit="1" customWidth="1"/>
    <col min="5" max="6" width="8.85546875" bestFit="1" customWidth="1"/>
    <col min="7" max="7" width="4.7109375" bestFit="1" customWidth="1"/>
    <col min="8" max="8" width="8.42578125" bestFit="1" customWidth="1"/>
    <col min="11" max="11" width="15.28515625" bestFit="1" customWidth="1"/>
    <col min="12" max="12" width="17" bestFit="1" customWidth="1"/>
  </cols>
  <sheetData>
    <row r="1" spans="1:12" ht="63.75">
      <c r="A1" s="33" t="s">
        <v>170</v>
      </c>
      <c r="B1" s="33" t="s">
        <v>163</v>
      </c>
      <c r="C1" s="34" t="s">
        <v>164</v>
      </c>
      <c r="D1" s="35" t="s">
        <v>165</v>
      </c>
      <c r="E1" s="36" t="s">
        <v>166</v>
      </c>
      <c r="F1" s="36" t="s">
        <v>167</v>
      </c>
      <c r="G1" s="36" t="s">
        <v>168</v>
      </c>
      <c r="H1" s="36" t="s">
        <v>169</v>
      </c>
      <c r="I1" s="38" t="s">
        <v>191</v>
      </c>
    </row>
    <row r="2" spans="1:12">
      <c r="A2" s="27" t="s">
        <v>3</v>
      </c>
      <c r="B2" s="27">
        <v>10466</v>
      </c>
      <c r="C2" s="27" t="s">
        <v>9</v>
      </c>
      <c r="D2" s="27">
        <v>0</v>
      </c>
      <c r="E2" s="28">
        <v>1</v>
      </c>
      <c r="F2" s="37">
        <v>1</v>
      </c>
      <c r="G2" s="37">
        <v>0</v>
      </c>
      <c r="H2" s="28">
        <v>0</v>
      </c>
      <c r="I2">
        <f>IF(G2&gt;=3,1,0)</f>
        <v>0</v>
      </c>
    </row>
    <row r="3" spans="1:12">
      <c r="A3" s="27" t="s">
        <v>3</v>
      </c>
      <c r="B3" s="27">
        <v>12295592</v>
      </c>
      <c r="C3" s="27" t="s">
        <v>11</v>
      </c>
      <c r="D3" s="27">
        <v>1</v>
      </c>
      <c r="E3" s="28">
        <v>0</v>
      </c>
      <c r="F3" s="37">
        <v>1</v>
      </c>
      <c r="G3" s="37">
        <v>5</v>
      </c>
      <c r="H3" s="28">
        <v>4</v>
      </c>
      <c r="I3">
        <f t="shared" ref="I3:I66" si="0">IF(G3&gt;=3,1,0)</f>
        <v>1</v>
      </c>
    </row>
    <row r="4" spans="1:12">
      <c r="A4" s="27" t="s">
        <v>3</v>
      </c>
      <c r="B4" s="27">
        <v>12295626</v>
      </c>
      <c r="C4" s="27" t="s">
        <v>12</v>
      </c>
      <c r="D4" s="27">
        <v>0</v>
      </c>
      <c r="E4" s="28">
        <v>0</v>
      </c>
      <c r="F4" s="37">
        <v>0</v>
      </c>
      <c r="G4" s="37">
        <v>0</v>
      </c>
      <c r="H4" s="28">
        <v>0</v>
      </c>
      <c r="I4">
        <f t="shared" si="0"/>
        <v>0</v>
      </c>
      <c r="K4" s="39" t="s">
        <v>195</v>
      </c>
      <c r="L4" t="s">
        <v>194</v>
      </c>
    </row>
    <row r="5" spans="1:12">
      <c r="A5" s="27" t="s">
        <v>3</v>
      </c>
      <c r="B5" s="27">
        <v>12295724</v>
      </c>
      <c r="C5" s="27" t="s">
        <v>13</v>
      </c>
      <c r="D5" s="27">
        <v>0</v>
      </c>
      <c r="E5" s="28">
        <v>2</v>
      </c>
      <c r="F5" s="37">
        <v>1</v>
      </c>
      <c r="G5" s="37">
        <v>0</v>
      </c>
      <c r="H5" s="28">
        <v>0</v>
      </c>
      <c r="I5">
        <f t="shared" si="0"/>
        <v>0</v>
      </c>
      <c r="K5" s="30" t="s">
        <v>3</v>
      </c>
      <c r="L5" s="40">
        <v>3</v>
      </c>
    </row>
    <row r="6" spans="1:12">
      <c r="A6" s="27" t="s">
        <v>3</v>
      </c>
      <c r="B6" s="27">
        <v>12295752</v>
      </c>
      <c r="C6" s="27" t="s">
        <v>14</v>
      </c>
      <c r="D6" s="27">
        <v>1</v>
      </c>
      <c r="E6" s="28">
        <v>2</v>
      </c>
      <c r="F6" s="37">
        <v>2</v>
      </c>
      <c r="G6" s="37">
        <v>1</v>
      </c>
      <c r="H6" s="28">
        <v>0</v>
      </c>
      <c r="I6">
        <f t="shared" si="0"/>
        <v>0</v>
      </c>
      <c r="K6" s="30" t="s">
        <v>4</v>
      </c>
      <c r="L6" s="40">
        <v>7</v>
      </c>
    </row>
    <row r="7" spans="1:12">
      <c r="A7" s="27" t="s">
        <v>3</v>
      </c>
      <c r="B7" s="27">
        <v>12295820</v>
      </c>
      <c r="C7" s="27" t="s">
        <v>16</v>
      </c>
      <c r="D7" s="27">
        <v>0</v>
      </c>
      <c r="E7" s="28">
        <v>0</v>
      </c>
      <c r="F7" s="37">
        <v>0</v>
      </c>
      <c r="G7" s="37">
        <v>0</v>
      </c>
      <c r="H7" s="28">
        <v>0</v>
      </c>
      <c r="I7">
        <f t="shared" si="0"/>
        <v>0</v>
      </c>
      <c r="K7" s="30" t="s">
        <v>5</v>
      </c>
      <c r="L7" s="40">
        <v>9</v>
      </c>
    </row>
    <row r="8" spans="1:12">
      <c r="A8" s="27" t="s">
        <v>3</v>
      </c>
      <c r="B8" s="27">
        <v>12295826</v>
      </c>
      <c r="C8" s="27" t="s">
        <v>17</v>
      </c>
      <c r="D8" s="27">
        <v>0</v>
      </c>
      <c r="E8" s="28">
        <v>0</v>
      </c>
      <c r="F8" s="37">
        <v>0</v>
      </c>
      <c r="G8" s="37">
        <v>0</v>
      </c>
      <c r="H8" s="28">
        <v>0</v>
      </c>
      <c r="I8">
        <f t="shared" si="0"/>
        <v>0</v>
      </c>
      <c r="K8" s="30" t="s">
        <v>193</v>
      </c>
      <c r="L8" s="40">
        <v>19</v>
      </c>
    </row>
    <row r="9" spans="1:12">
      <c r="A9" s="27" t="s">
        <v>3</v>
      </c>
      <c r="B9" s="27">
        <v>12295833</v>
      </c>
      <c r="C9" s="27" t="s">
        <v>18</v>
      </c>
      <c r="D9" s="27">
        <v>0</v>
      </c>
      <c r="E9" s="28">
        <v>0</v>
      </c>
      <c r="F9" s="37">
        <v>0</v>
      </c>
      <c r="G9" s="37">
        <v>0</v>
      </c>
      <c r="H9" s="28">
        <v>0</v>
      </c>
      <c r="I9">
        <f t="shared" si="0"/>
        <v>0</v>
      </c>
    </row>
    <row r="10" spans="1:12">
      <c r="A10" s="27" t="s">
        <v>3</v>
      </c>
      <c r="B10" s="27">
        <v>12301356</v>
      </c>
      <c r="C10" s="27" t="s">
        <v>19</v>
      </c>
      <c r="D10" s="27">
        <v>1</v>
      </c>
      <c r="E10" s="28">
        <v>0</v>
      </c>
      <c r="F10" s="37">
        <v>1</v>
      </c>
      <c r="G10" s="37">
        <v>2</v>
      </c>
      <c r="H10" s="28">
        <v>1</v>
      </c>
      <c r="I10">
        <f t="shared" si="0"/>
        <v>0</v>
      </c>
    </row>
    <row r="11" spans="1:12">
      <c r="A11" s="27" t="s">
        <v>3</v>
      </c>
      <c r="B11" s="27">
        <v>12323218</v>
      </c>
      <c r="C11" s="27" t="s">
        <v>20</v>
      </c>
      <c r="D11" s="27">
        <v>1</v>
      </c>
      <c r="E11" s="28">
        <v>0</v>
      </c>
      <c r="F11" s="37">
        <v>1</v>
      </c>
      <c r="G11" s="37">
        <v>1</v>
      </c>
      <c r="H11" s="28">
        <v>0</v>
      </c>
      <c r="I11">
        <f t="shared" si="0"/>
        <v>0</v>
      </c>
    </row>
    <row r="12" spans="1:12">
      <c r="A12" s="27" t="s">
        <v>3</v>
      </c>
      <c r="B12" s="27">
        <v>12324647</v>
      </c>
      <c r="C12" s="27" t="s">
        <v>21</v>
      </c>
      <c r="D12" s="27">
        <v>0</v>
      </c>
      <c r="E12" s="28">
        <v>0</v>
      </c>
      <c r="F12" s="37">
        <v>0</v>
      </c>
      <c r="G12" s="37">
        <v>0</v>
      </c>
      <c r="H12" s="28">
        <v>0</v>
      </c>
      <c r="I12">
        <f t="shared" si="0"/>
        <v>0</v>
      </c>
      <c r="K12" t="s">
        <v>196</v>
      </c>
    </row>
    <row r="13" spans="1:12">
      <c r="A13" s="27" t="s">
        <v>3</v>
      </c>
      <c r="B13" s="27">
        <v>12326118</v>
      </c>
      <c r="C13" s="27" t="s">
        <v>22</v>
      </c>
      <c r="D13" s="27">
        <v>1</v>
      </c>
      <c r="E13" s="28">
        <v>4</v>
      </c>
      <c r="F13" s="37">
        <v>1</v>
      </c>
      <c r="G13" s="37">
        <v>1</v>
      </c>
      <c r="H13" s="28">
        <v>0</v>
      </c>
      <c r="I13">
        <f t="shared" si="0"/>
        <v>0</v>
      </c>
      <c r="K13" s="39" t="s">
        <v>192</v>
      </c>
      <c r="L13" t="s">
        <v>197</v>
      </c>
    </row>
    <row r="14" spans="1:12">
      <c r="A14" s="27" t="s">
        <v>3</v>
      </c>
      <c r="B14" s="27">
        <v>12326313</v>
      </c>
      <c r="C14" s="27" t="s">
        <v>23</v>
      </c>
      <c r="D14" s="27">
        <v>1</v>
      </c>
      <c r="E14" s="28">
        <v>0</v>
      </c>
      <c r="F14" s="37">
        <v>1</v>
      </c>
      <c r="G14" s="37">
        <v>1</v>
      </c>
      <c r="H14" s="28">
        <v>0</v>
      </c>
      <c r="I14">
        <f t="shared" si="0"/>
        <v>0</v>
      </c>
      <c r="K14" s="30" t="s">
        <v>3</v>
      </c>
      <c r="L14" s="40">
        <v>46</v>
      </c>
    </row>
    <row r="15" spans="1:12">
      <c r="A15" s="27" t="s">
        <v>3</v>
      </c>
      <c r="B15" s="27">
        <v>12326533</v>
      </c>
      <c r="C15" s="27" t="s">
        <v>24</v>
      </c>
      <c r="D15" s="27">
        <v>0</v>
      </c>
      <c r="E15" s="28">
        <v>0</v>
      </c>
      <c r="F15" s="37">
        <v>30</v>
      </c>
      <c r="G15" s="37">
        <v>0</v>
      </c>
      <c r="H15" s="28">
        <v>0</v>
      </c>
      <c r="I15">
        <f t="shared" si="0"/>
        <v>0</v>
      </c>
      <c r="K15" s="30" t="s">
        <v>4</v>
      </c>
      <c r="L15" s="40">
        <v>43</v>
      </c>
    </row>
    <row r="16" spans="1:12">
      <c r="A16" s="27" t="s">
        <v>3</v>
      </c>
      <c r="B16" s="27">
        <v>12326920</v>
      </c>
      <c r="C16" s="27" t="s">
        <v>25</v>
      </c>
      <c r="D16" s="27">
        <v>0</v>
      </c>
      <c r="E16" s="28">
        <v>2</v>
      </c>
      <c r="F16" s="37">
        <v>1</v>
      </c>
      <c r="G16" s="37">
        <v>0</v>
      </c>
      <c r="H16" s="28">
        <v>0</v>
      </c>
      <c r="I16">
        <f t="shared" si="0"/>
        <v>0</v>
      </c>
      <c r="K16" s="30" t="s">
        <v>5</v>
      </c>
      <c r="L16" s="40">
        <v>56</v>
      </c>
    </row>
    <row r="17" spans="1:12">
      <c r="A17" s="27" t="s">
        <v>3</v>
      </c>
      <c r="B17" s="27">
        <v>1661</v>
      </c>
      <c r="C17" s="27" t="s">
        <v>26</v>
      </c>
      <c r="D17" s="27">
        <v>0</v>
      </c>
      <c r="E17" s="28">
        <v>0</v>
      </c>
      <c r="F17" s="37">
        <v>1</v>
      </c>
      <c r="G17" s="37">
        <v>0</v>
      </c>
      <c r="H17" s="28">
        <v>0</v>
      </c>
      <c r="I17">
        <f t="shared" si="0"/>
        <v>0</v>
      </c>
      <c r="K17" s="30" t="s">
        <v>193</v>
      </c>
      <c r="L17" s="40">
        <v>145</v>
      </c>
    </row>
    <row r="18" spans="1:12">
      <c r="A18" s="27" t="s">
        <v>3</v>
      </c>
      <c r="B18" s="27">
        <v>213944</v>
      </c>
      <c r="C18" s="27" t="s">
        <v>27</v>
      </c>
      <c r="D18" s="27">
        <v>1</v>
      </c>
      <c r="E18" s="28">
        <v>0</v>
      </c>
      <c r="F18" s="37">
        <v>1</v>
      </c>
      <c r="G18" s="37">
        <v>3</v>
      </c>
      <c r="H18" s="28">
        <v>2</v>
      </c>
      <c r="I18">
        <f t="shared" si="0"/>
        <v>1</v>
      </c>
    </row>
    <row r="19" spans="1:12">
      <c r="A19" s="27" t="s">
        <v>3</v>
      </c>
      <c r="B19" s="27">
        <v>240048</v>
      </c>
      <c r="C19" s="27" t="s">
        <v>28</v>
      </c>
      <c r="D19" s="27">
        <v>1</v>
      </c>
      <c r="E19" s="28">
        <v>2</v>
      </c>
      <c r="F19" s="37">
        <v>1</v>
      </c>
      <c r="G19" s="37">
        <v>1</v>
      </c>
      <c r="H19" s="28">
        <v>0</v>
      </c>
      <c r="I19">
        <f t="shared" si="0"/>
        <v>0</v>
      </c>
    </row>
    <row r="20" spans="1:12">
      <c r="A20" s="27" t="s">
        <v>3</v>
      </c>
      <c r="B20" s="27">
        <v>287403</v>
      </c>
      <c r="C20" s="27" t="s">
        <v>30</v>
      </c>
      <c r="D20" s="27">
        <v>0</v>
      </c>
      <c r="E20" s="28">
        <v>3</v>
      </c>
      <c r="F20" s="37">
        <v>1</v>
      </c>
      <c r="G20" s="37">
        <v>0</v>
      </c>
      <c r="H20" s="28">
        <v>0</v>
      </c>
      <c r="I20">
        <f t="shared" si="0"/>
        <v>0</v>
      </c>
    </row>
    <row r="21" spans="1:12">
      <c r="A21" s="27" t="s">
        <v>3</v>
      </c>
      <c r="B21" s="27">
        <v>287622</v>
      </c>
      <c r="C21" s="27" t="s">
        <v>31</v>
      </c>
      <c r="D21" s="27">
        <v>0</v>
      </c>
      <c r="E21" s="28">
        <v>1</v>
      </c>
      <c r="F21" s="37">
        <v>1</v>
      </c>
      <c r="G21" s="37">
        <v>0</v>
      </c>
      <c r="H21" s="28">
        <v>0</v>
      </c>
      <c r="I21">
        <f t="shared" si="0"/>
        <v>0</v>
      </c>
    </row>
    <row r="22" spans="1:12">
      <c r="A22" s="27" t="s">
        <v>3</v>
      </c>
      <c r="B22" s="27">
        <v>301600</v>
      </c>
      <c r="C22" s="27" t="s">
        <v>32</v>
      </c>
      <c r="D22" s="27">
        <v>0</v>
      </c>
      <c r="E22" s="28">
        <v>1</v>
      </c>
      <c r="F22" s="37">
        <v>1</v>
      </c>
      <c r="G22" s="37">
        <v>0</v>
      </c>
      <c r="H22" s="28">
        <v>0</v>
      </c>
      <c r="I22">
        <f t="shared" si="0"/>
        <v>0</v>
      </c>
    </row>
    <row r="23" spans="1:12">
      <c r="A23" s="27" t="s">
        <v>3</v>
      </c>
      <c r="B23" s="27">
        <v>347538</v>
      </c>
      <c r="C23" s="27" t="s">
        <v>33</v>
      </c>
      <c r="D23" s="27">
        <v>0</v>
      </c>
      <c r="E23" s="28">
        <v>1</v>
      </c>
      <c r="F23" s="37">
        <v>1</v>
      </c>
      <c r="G23" s="37">
        <v>0</v>
      </c>
      <c r="H23" s="28">
        <v>0</v>
      </c>
      <c r="I23">
        <f t="shared" si="0"/>
        <v>0</v>
      </c>
    </row>
    <row r="24" spans="1:12">
      <c r="A24" s="27" t="s">
        <v>3</v>
      </c>
      <c r="B24" s="27">
        <v>358231</v>
      </c>
      <c r="C24" s="27" t="s">
        <v>34</v>
      </c>
      <c r="D24" s="27">
        <v>0</v>
      </c>
      <c r="E24" s="28">
        <v>0</v>
      </c>
      <c r="F24" s="37">
        <v>1</v>
      </c>
      <c r="G24" s="37">
        <v>0</v>
      </c>
      <c r="H24" s="28">
        <v>0</v>
      </c>
      <c r="I24">
        <f t="shared" si="0"/>
        <v>0</v>
      </c>
    </row>
    <row r="25" spans="1:12">
      <c r="A25" s="27" t="s">
        <v>3</v>
      </c>
      <c r="B25" s="27">
        <v>368809</v>
      </c>
      <c r="C25" s="27" t="s">
        <v>35</v>
      </c>
      <c r="D25" s="27">
        <v>1</v>
      </c>
      <c r="E25" s="28">
        <v>0</v>
      </c>
      <c r="F25" s="37">
        <v>1</v>
      </c>
      <c r="G25" s="37">
        <v>1</v>
      </c>
      <c r="H25" s="28">
        <v>0</v>
      </c>
      <c r="I25">
        <f t="shared" si="0"/>
        <v>0</v>
      </c>
    </row>
    <row r="26" spans="1:12">
      <c r="A26" s="27" t="s">
        <v>3</v>
      </c>
      <c r="B26" s="27">
        <v>385575</v>
      </c>
      <c r="C26" s="27" t="s">
        <v>36</v>
      </c>
      <c r="D26" s="27">
        <v>0</v>
      </c>
      <c r="E26" s="28">
        <v>0</v>
      </c>
      <c r="F26" s="37">
        <v>0</v>
      </c>
      <c r="G26" s="37">
        <v>0</v>
      </c>
      <c r="H26" s="28">
        <v>0</v>
      </c>
      <c r="I26">
        <f t="shared" si="0"/>
        <v>0</v>
      </c>
    </row>
    <row r="27" spans="1:12">
      <c r="A27" s="27" t="s">
        <v>3</v>
      </c>
      <c r="B27" s="27">
        <v>408290</v>
      </c>
      <c r="C27" s="27" t="s">
        <v>37</v>
      </c>
      <c r="D27" s="27">
        <v>1</v>
      </c>
      <c r="E27" s="28">
        <v>1</v>
      </c>
      <c r="F27" s="37">
        <v>1</v>
      </c>
      <c r="G27" s="37">
        <v>1</v>
      </c>
      <c r="H27" s="28">
        <v>0</v>
      </c>
      <c r="I27">
        <f t="shared" si="0"/>
        <v>0</v>
      </c>
    </row>
    <row r="28" spans="1:12">
      <c r="A28" s="27" t="s">
        <v>3</v>
      </c>
      <c r="B28" s="27">
        <v>416191</v>
      </c>
      <c r="C28" s="27" t="s">
        <v>38</v>
      </c>
      <c r="D28" s="27">
        <v>0</v>
      </c>
      <c r="E28" s="28">
        <v>1</v>
      </c>
      <c r="F28" s="37">
        <v>1</v>
      </c>
      <c r="G28" s="37">
        <v>0</v>
      </c>
      <c r="H28" s="28">
        <v>0</v>
      </c>
      <c r="I28">
        <f t="shared" si="0"/>
        <v>0</v>
      </c>
    </row>
    <row r="29" spans="1:12">
      <c r="A29" s="27" t="s">
        <v>3</v>
      </c>
      <c r="B29" s="27">
        <v>484741</v>
      </c>
      <c r="C29" s="27" t="s">
        <v>39</v>
      </c>
      <c r="D29" s="27">
        <v>0</v>
      </c>
      <c r="E29" s="28">
        <v>1</v>
      </c>
      <c r="F29" s="37">
        <v>1</v>
      </c>
      <c r="G29" s="37">
        <v>0</v>
      </c>
      <c r="H29" s="28">
        <v>0</v>
      </c>
      <c r="I29">
        <f t="shared" si="0"/>
        <v>0</v>
      </c>
    </row>
    <row r="30" spans="1:12">
      <c r="A30" s="27" t="s">
        <v>3</v>
      </c>
      <c r="B30" s="27">
        <v>486638</v>
      </c>
      <c r="C30" s="27" t="s">
        <v>40</v>
      </c>
      <c r="D30" s="27">
        <v>1</v>
      </c>
      <c r="E30" s="28">
        <v>2</v>
      </c>
      <c r="F30" s="37">
        <v>1</v>
      </c>
      <c r="G30" s="37">
        <v>1</v>
      </c>
      <c r="H30" s="28">
        <v>0</v>
      </c>
      <c r="I30">
        <f t="shared" si="0"/>
        <v>0</v>
      </c>
    </row>
    <row r="31" spans="1:12">
      <c r="A31" s="27" t="s">
        <v>3</v>
      </c>
      <c r="B31" s="27">
        <v>491288</v>
      </c>
      <c r="C31" s="27" t="s">
        <v>41</v>
      </c>
      <c r="D31" s="27">
        <v>0</v>
      </c>
      <c r="E31" s="28">
        <v>0</v>
      </c>
      <c r="F31" s="37">
        <v>1</v>
      </c>
      <c r="G31" s="37">
        <v>0</v>
      </c>
      <c r="H31" s="28">
        <v>0</v>
      </c>
      <c r="I31">
        <f t="shared" si="0"/>
        <v>0</v>
      </c>
    </row>
    <row r="32" spans="1:12">
      <c r="A32" s="27" t="s">
        <v>3</v>
      </c>
      <c r="B32" s="27">
        <v>501643</v>
      </c>
      <c r="C32" s="27" t="s">
        <v>42</v>
      </c>
      <c r="D32" s="27">
        <v>0</v>
      </c>
      <c r="E32" s="28">
        <v>0</v>
      </c>
      <c r="F32" s="37">
        <v>1</v>
      </c>
      <c r="G32" s="37">
        <v>0</v>
      </c>
      <c r="H32" s="28">
        <v>0</v>
      </c>
      <c r="I32">
        <f t="shared" si="0"/>
        <v>0</v>
      </c>
    </row>
    <row r="33" spans="1:9">
      <c r="A33" s="27" t="s">
        <v>3</v>
      </c>
      <c r="B33" s="27">
        <v>519286</v>
      </c>
      <c r="C33" s="27" t="s">
        <v>43</v>
      </c>
      <c r="D33" s="27">
        <v>0</v>
      </c>
      <c r="E33" s="28">
        <v>0</v>
      </c>
      <c r="F33" s="37">
        <v>1</v>
      </c>
      <c r="G33" s="37">
        <v>0</v>
      </c>
      <c r="H33" s="28">
        <v>0</v>
      </c>
      <c r="I33">
        <f t="shared" si="0"/>
        <v>0</v>
      </c>
    </row>
    <row r="34" spans="1:9">
      <c r="A34" s="27" t="s">
        <v>3</v>
      </c>
      <c r="B34" s="27">
        <v>522623</v>
      </c>
      <c r="C34" s="27" t="s">
        <v>44</v>
      </c>
      <c r="D34" s="27">
        <v>1</v>
      </c>
      <c r="E34" s="28">
        <v>0</v>
      </c>
      <c r="F34" s="37">
        <v>1</v>
      </c>
      <c r="G34" s="37">
        <v>5</v>
      </c>
      <c r="H34" s="28">
        <v>4</v>
      </c>
      <c r="I34">
        <f t="shared" si="0"/>
        <v>1</v>
      </c>
    </row>
    <row r="35" spans="1:9">
      <c r="A35" s="27" t="s">
        <v>3</v>
      </c>
      <c r="B35" s="27">
        <v>523194</v>
      </c>
      <c r="C35" s="27" t="s">
        <v>45</v>
      </c>
      <c r="D35" s="27">
        <v>1</v>
      </c>
      <c r="E35" s="28">
        <v>0</v>
      </c>
      <c r="F35" s="37">
        <v>2</v>
      </c>
      <c r="G35" s="37">
        <v>1</v>
      </c>
      <c r="H35" s="28">
        <v>0</v>
      </c>
      <c r="I35">
        <f t="shared" si="0"/>
        <v>0</v>
      </c>
    </row>
    <row r="36" spans="1:9">
      <c r="A36" s="27" t="s">
        <v>3</v>
      </c>
      <c r="B36" s="27">
        <v>523935</v>
      </c>
      <c r="C36" s="27" t="s">
        <v>46</v>
      </c>
      <c r="D36" s="27">
        <v>0</v>
      </c>
      <c r="E36" s="28">
        <v>0</v>
      </c>
      <c r="F36" s="37">
        <v>1</v>
      </c>
      <c r="G36" s="37">
        <v>0</v>
      </c>
      <c r="H36" s="28">
        <v>0</v>
      </c>
      <c r="I36">
        <f t="shared" si="0"/>
        <v>0</v>
      </c>
    </row>
    <row r="37" spans="1:9">
      <c r="A37" s="27" t="s">
        <v>3</v>
      </c>
      <c r="B37" s="27">
        <v>523938</v>
      </c>
      <c r="C37" s="27" t="s">
        <v>47</v>
      </c>
      <c r="D37" s="27">
        <v>0</v>
      </c>
      <c r="E37" s="28">
        <v>0</v>
      </c>
      <c r="F37" s="37">
        <v>1</v>
      </c>
      <c r="G37" s="37">
        <v>0</v>
      </c>
      <c r="H37" s="28">
        <v>0</v>
      </c>
      <c r="I37">
        <f t="shared" si="0"/>
        <v>0</v>
      </c>
    </row>
    <row r="38" spans="1:9">
      <c r="A38" s="27" t="s">
        <v>3</v>
      </c>
      <c r="B38" s="27">
        <v>524281</v>
      </c>
      <c r="C38" s="27" t="s">
        <v>48</v>
      </c>
      <c r="D38" s="27">
        <v>0</v>
      </c>
      <c r="E38" s="28">
        <v>0</v>
      </c>
      <c r="F38" s="37">
        <v>1</v>
      </c>
      <c r="G38" s="37">
        <v>0</v>
      </c>
      <c r="H38" s="28">
        <v>0</v>
      </c>
      <c r="I38">
        <f t="shared" si="0"/>
        <v>0</v>
      </c>
    </row>
    <row r="39" spans="1:9">
      <c r="A39" s="27" t="s">
        <v>3</v>
      </c>
      <c r="B39" s="27">
        <v>524283</v>
      </c>
      <c r="C39" s="27" t="s">
        <v>49</v>
      </c>
      <c r="D39" s="27">
        <v>0</v>
      </c>
      <c r="E39" s="28">
        <v>0</v>
      </c>
      <c r="F39" s="37">
        <v>1</v>
      </c>
      <c r="G39" s="37">
        <v>0</v>
      </c>
      <c r="H39" s="28">
        <v>0</v>
      </c>
      <c r="I39">
        <f t="shared" si="0"/>
        <v>0</v>
      </c>
    </row>
    <row r="40" spans="1:9">
      <c r="A40" s="27" t="s">
        <v>3</v>
      </c>
      <c r="B40" s="27">
        <v>525590</v>
      </c>
      <c r="C40" s="27" t="s">
        <v>50</v>
      </c>
      <c r="D40" s="27">
        <v>0</v>
      </c>
      <c r="E40" s="28">
        <v>0</v>
      </c>
      <c r="F40" s="37">
        <v>2</v>
      </c>
      <c r="G40" s="37">
        <v>0</v>
      </c>
      <c r="H40" s="28">
        <v>0</v>
      </c>
      <c r="I40">
        <f t="shared" si="0"/>
        <v>0</v>
      </c>
    </row>
    <row r="41" spans="1:9">
      <c r="A41" s="27" t="s">
        <v>3</v>
      </c>
      <c r="B41" s="27">
        <v>530058</v>
      </c>
      <c r="C41" s="27" t="s">
        <v>51</v>
      </c>
      <c r="D41" s="27">
        <v>0</v>
      </c>
      <c r="E41" s="28">
        <v>3</v>
      </c>
      <c r="F41" s="37">
        <v>1</v>
      </c>
      <c r="G41" s="37">
        <v>0</v>
      </c>
      <c r="H41" s="28">
        <v>0</v>
      </c>
      <c r="I41">
        <f t="shared" si="0"/>
        <v>0</v>
      </c>
    </row>
    <row r="42" spans="1:9">
      <c r="A42" s="27" t="s">
        <v>3</v>
      </c>
      <c r="B42" s="27">
        <v>535790</v>
      </c>
      <c r="C42" s="27" t="s">
        <v>52</v>
      </c>
      <c r="D42" s="27">
        <v>1</v>
      </c>
      <c r="E42" s="28">
        <v>1</v>
      </c>
      <c r="F42" s="37">
        <v>1</v>
      </c>
      <c r="G42" s="37">
        <v>2</v>
      </c>
      <c r="H42" s="28">
        <v>1</v>
      </c>
      <c r="I42">
        <f t="shared" si="0"/>
        <v>0</v>
      </c>
    </row>
    <row r="43" spans="1:9">
      <c r="A43" s="27" t="s">
        <v>3</v>
      </c>
      <c r="B43" s="27">
        <v>542823</v>
      </c>
      <c r="C43" s="27" t="s">
        <v>53</v>
      </c>
      <c r="D43" s="27">
        <v>0</v>
      </c>
      <c r="E43" s="28">
        <v>0</v>
      </c>
      <c r="F43" s="37">
        <v>1</v>
      </c>
      <c r="G43" s="37">
        <v>0</v>
      </c>
      <c r="H43" s="28">
        <v>0</v>
      </c>
      <c r="I43">
        <f t="shared" si="0"/>
        <v>0</v>
      </c>
    </row>
    <row r="44" spans="1:9">
      <c r="A44" s="27" t="s">
        <v>3</v>
      </c>
      <c r="B44" s="27">
        <v>549259</v>
      </c>
      <c r="C44" s="27" t="s">
        <v>54</v>
      </c>
      <c r="D44" s="27">
        <v>0</v>
      </c>
      <c r="E44" s="28">
        <v>0</v>
      </c>
      <c r="F44" s="37">
        <v>0</v>
      </c>
      <c r="G44" s="37">
        <v>0</v>
      </c>
      <c r="H44" s="28">
        <v>0</v>
      </c>
      <c r="I44">
        <f t="shared" si="0"/>
        <v>0</v>
      </c>
    </row>
    <row r="45" spans="1:9">
      <c r="A45" s="27" t="s">
        <v>3</v>
      </c>
      <c r="B45" s="27">
        <v>571174</v>
      </c>
      <c r="C45" s="27" t="s">
        <v>55</v>
      </c>
      <c r="D45" s="27">
        <v>0</v>
      </c>
      <c r="E45" s="28">
        <v>0</v>
      </c>
      <c r="F45" s="37">
        <v>1</v>
      </c>
      <c r="G45" s="37">
        <v>0</v>
      </c>
      <c r="H45" s="28">
        <v>0</v>
      </c>
      <c r="I45">
        <f t="shared" si="0"/>
        <v>0</v>
      </c>
    </row>
    <row r="46" spans="1:9">
      <c r="A46" s="27" t="s">
        <v>3</v>
      </c>
      <c r="B46" s="27">
        <v>62086</v>
      </c>
      <c r="C46" s="27" t="s">
        <v>56</v>
      </c>
      <c r="D46" s="27">
        <v>0</v>
      </c>
      <c r="E46" s="28">
        <v>0</v>
      </c>
      <c r="F46" s="37">
        <v>0</v>
      </c>
      <c r="G46" s="37">
        <v>0</v>
      </c>
      <c r="H46" s="28">
        <v>0</v>
      </c>
      <c r="I46">
        <f t="shared" si="0"/>
        <v>0</v>
      </c>
    </row>
    <row r="47" spans="1:9">
      <c r="A47" s="27" t="s">
        <v>3</v>
      </c>
      <c r="B47" s="27">
        <v>63887</v>
      </c>
      <c r="C47" s="27" t="s">
        <v>57</v>
      </c>
      <c r="D47" s="27">
        <v>1</v>
      </c>
      <c r="E47" s="28">
        <v>0</v>
      </c>
      <c r="F47" s="37">
        <v>0</v>
      </c>
      <c r="G47" s="37">
        <v>1</v>
      </c>
      <c r="H47" s="28">
        <v>1</v>
      </c>
      <c r="I47">
        <f t="shared" si="0"/>
        <v>0</v>
      </c>
    </row>
    <row r="48" spans="1:9">
      <c r="A48" s="27" t="s">
        <v>4</v>
      </c>
      <c r="B48" s="27">
        <v>116871</v>
      </c>
      <c r="C48" s="27" t="s">
        <v>58</v>
      </c>
      <c r="D48" s="27">
        <v>1</v>
      </c>
      <c r="E48" s="28">
        <v>6</v>
      </c>
      <c r="F48" s="37">
        <v>2</v>
      </c>
      <c r="G48" s="37">
        <v>4</v>
      </c>
      <c r="H48" s="28">
        <v>2</v>
      </c>
      <c r="I48">
        <f t="shared" si="0"/>
        <v>1</v>
      </c>
    </row>
    <row r="49" spans="1:9">
      <c r="A49" s="27" t="s">
        <v>4</v>
      </c>
      <c r="B49" s="27">
        <v>12295542</v>
      </c>
      <c r="C49" s="27" t="s">
        <v>59</v>
      </c>
      <c r="D49" s="27">
        <v>1</v>
      </c>
      <c r="E49" s="28">
        <v>3</v>
      </c>
      <c r="F49" s="37">
        <v>1</v>
      </c>
      <c r="G49" s="37">
        <v>1</v>
      </c>
      <c r="H49" s="28">
        <v>0</v>
      </c>
      <c r="I49">
        <f t="shared" si="0"/>
        <v>0</v>
      </c>
    </row>
    <row r="50" spans="1:9">
      <c r="A50" s="27" t="s">
        <v>4</v>
      </c>
      <c r="B50" s="27">
        <v>12295717</v>
      </c>
      <c r="C50" s="27" t="s">
        <v>60</v>
      </c>
      <c r="D50" s="27">
        <v>0</v>
      </c>
      <c r="E50" s="28">
        <v>0</v>
      </c>
      <c r="F50" s="37">
        <v>1</v>
      </c>
      <c r="G50" s="37">
        <v>0</v>
      </c>
      <c r="H50" s="28">
        <v>0</v>
      </c>
      <c r="I50">
        <f t="shared" si="0"/>
        <v>0</v>
      </c>
    </row>
    <row r="51" spans="1:9">
      <c r="A51" s="27" t="s">
        <v>4</v>
      </c>
      <c r="B51" s="27">
        <v>12295887</v>
      </c>
      <c r="C51" s="27" t="s">
        <v>61</v>
      </c>
      <c r="D51" s="27">
        <v>0</v>
      </c>
      <c r="E51" s="28">
        <v>0</v>
      </c>
      <c r="F51" s="37">
        <v>0</v>
      </c>
      <c r="G51" s="37">
        <v>0</v>
      </c>
      <c r="H51" s="28">
        <v>0</v>
      </c>
      <c r="I51">
        <f t="shared" si="0"/>
        <v>0</v>
      </c>
    </row>
    <row r="52" spans="1:9">
      <c r="A52" s="27" t="s">
        <v>4</v>
      </c>
      <c r="B52" s="27">
        <v>12312295</v>
      </c>
      <c r="C52" s="27" t="s">
        <v>62</v>
      </c>
      <c r="D52" s="27">
        <v>1</v>
      </c>
      <c r="E52" s="28">
        <v>0</v>
      </c>
      <c r="F52" s="37">
        <v>2</v>
      </c>
      <c r="G52" s="37">
        <v>1</v>
      </c>
      <c r="H52" s="28">
        <v>0</v>
      </c>
      <c r="I52">
        <f t="shared" si="0"/>
        <v>0</v>
      </c>
    </row>
    <row r="53" spans="1:9">
      <c r="A53" s="27" t="s">
        <v>4</v>
      </c>
      <c r="B53" s="27">
        <v>12322237</v>
      </c>
      <c r="C53" s="27" t="s">
        <v>63</v>
      </c>
      <c r="D53" s="27">
        <v>0</v>
      </c>
      <c r="E53" s="28">
        <v>1</v>
      </c>
      <c r="F53" s="37">
        <v>1</v>
      </c>
      <c r="G53" s="37">
        <v>0</v>
      </c>
      <c r="H53" s="28">
        <v>0</v>
      </c>
      <c r="I53">
        <f t="shared" si="0"/>
        <v>0</v>
      </c>
    </row>
    <row r="54" spans="1:9">
      <c r="A54" s="27" t="s">
        <v>4</v>
      </c>
      <c r="B54" s="27">
        <v>12322483</v>
      </c>
      <c r="C54" s="27" t="s">
        <v>64</v>
      </c>
      <c r="D54" s="27">
        <v>0</v>
      </c>
      <c r="E54" s="28">
        <v>0</v>
      </c>
      <c r="F54" s="37">
        <v>0</v>
      </c>
      <c r="G54" s="37">
        <v>0</v>
      </c>
      <c r="H54" s="28">
        <v>0</v>
      </c>
      <c r="I54">
        <f t="shared" si="0"/>
        <v>0</v>
      </c>
    </row>
    <row r="55" spans="1:9">
      <c r="A55" s="27" t="s">
        <v>4</v>
      </c>
      <c r="B55" s="27">
        <v>12323463</v>
      </c>
      <c r="C55" s="27" t="s">
        <v>65</v>
      </c>
      <c r="D55" s="27">
        <v>1</v>
      </c>
      <c r="E55" s="28">
        <v>2</v>
      </c>
      <c r="F55" s="37">
        <v>18</v>
      </c>
      <c r="G55" s="37">
        <v>72</v>
      </c>
      <c r="H55" s="28">
        <v>54</v>
      </c>
      <c r="I55">
        <f t="shared" si="0"/>
        <v>1</v>
      </c>
    </row>
    <row r="56" spans="1:9">
      <c r="A56" s="27" t="s">
        <v>4</v>
      </c>
      <c r="B56" s="27">
        <v>12325263</v>
      </c>
      <c r="C56" s="27" t="s">
        <v>66</v>
      </c>
      <c r="D56" s="27">
        <v>0</v>
      </c>
      <c r="E56" s="28">
        <v>0</v>
      </c>
      <c r="F56" s="37">
        <v>0</v>
      </c>
      <c r="G56" s="37">
        <v>0</v>
      </c>
      <c r="H56" s="28">
        <v>0</v>
      </c>
      <c r="I56">
        <f t="shared" si="0"/>
        <v>0</v>
      </c>
    </row>
    <row r="57" spans="1:9">
      <c r="A57" s="27" t="s">
        <v>4</v>
      </c>
      <c r="B57" s="27">
        <v>126951</v>
      </c>
      <c r="C57" s="27" t="s">
        <v>67</v>
      </c>
      <c r="D57" s="27">
        <v>1</v>
      </c>
      <c r="E57" s="28">
        <v>2</v>
      </c>
      <c r="F57" s="37">
        <v>2</v>
      </c>
      <c r="G57" s="37">
        <v>4</v>
      </c>
      <c r="H57" s="28">
        <v>2</v>
      </c>
      <c r="I57">
        <f t="shared" si="0"/>
        <v>1</v>
      </c>
    </row>
    <row r="58" spans="1:9">
      <c r="A58" s="27" t="s">
        <v>4</v>
      </c>
      <c r="B58" s="27">
        <v>126952</v>
      </c>
      <c r="C58" s="27" t="s">
        <v>68</v>
      </c>
      <c r="D58" s="27">
        <v>0</v>
      </c>
      <c r="E58" s="28">
        <v>0</v>
      </c>
      <c r="F58" s="37">
        <v>0</v>
      </c>
      <c r="G58" s="37">
        <v>0</v>
      </c>
      <c r="H58" s="28">
        <v>0</v>
      </c>
      <c r="I58">
        <f t="shared" si="0"/>
        <v>0</v>
      </c>
    </row>
    <row r="59" spans="1:9">
      <c r="A59" s="27" t="s">
        <v>4</v>
      </c>
      <c r="B59" s="27">
        <v>195514</v>
      </c>
      <c r="C59" s="27" t="s">
        <v>69</v>
      </c>
      <c r="D59" s="27">
        <v>0</v>
      </c>
      <c r="E59" s="28">
        <v>0</v>
      </c>
      <c r="F59" s="37">
        <v>1</v>
      </c>
      <c r="G59" s="37">
        <v>0</v>
      </c>
      <c r="H59" s="28">
        <v>0</v>
      </c>
      <c r="I59">
        <f t="shared" si="0"/>
        <v>0</v>
      </c>
    </row>
    <row r="60" spans="1:9">
      <c r="A60" s="27" t="s">
        <v>4</v>
      </c>
      <c r="B60" s="27">
        <v>199007</v>
      </c>
      <c r="C60" s="27" t="s">
        <v>70</v>
      </c>
      <c r="D60" s="27">
        <v>0</v>
      </c>
      <c r="E60" s="28">
        <v>0</v>
      </c>
      <c r="F60" s="37">
        <v>0</v>
      </c>
      <c r="G60" s="37">
        <v>0</v>
      </c>
      <c r="H60" s="28">
        <v>0</v>
      </c>
      <c r="I60">
        <f t="shared" si="0"/>
        <v>0</v>
      </c>
    </row>
    <row r="61" spans="1:9">
      <c r="A61" s="27" t="s">
        <v>4</v>
      </c>
      <c r="B61" s="27">
        <v>199010</v>
      </c>
      <c r="C61" s="27" t="s">
        <v>71</v>
      </c>
      <c r="D61" s="27">
        <v>0</v>
      </c>
      <c r="E61" s="28">
        <v>0</v>
      </c>
      <c r="F61" s="37">
        <v>1</v>
      </c>
      <c r="G61" s="37">
        <v>0</v>
      </c>
      <c r="H61" s="28">
        <v>0</v>
      </c>
      <c r="I61">
        <f t="shared" si="0"/>
        <v>0</v>
      </c>
    </row>
    <row r="62" spans="1:9">
      <c r="A62" s="27" t="s">
        <v>4</v>
      </c>
      <c r="B62" s="27">
        <v>199217</v>
      </c>
      <c r="C62" s="27" t="s">
        <v>72</v>
      </c>
      <c r="D62" s="27">
        <v>1</v>
      </c>
      <c r="E62" s="28">
        <v>3</v>
      </c>
      <c r="F62" s="37">
        <v>1</v>
      </c>
      <c r="G62" s="37">
        <v>8</v>
      </c>
      <c r="H62" s="28">
        <v>7</v>
      </c>
      <c r="I62">
        <f t="shared" si="0"/>
        <v>1</v>
      </c>
    </row>
    <row r="63" spans="1:9">
      <c r="A63" s="27" t="s">
        <v>4</v>
      </c>
      <c r="B63" s="27">
        <v>211794</v>
      </c>
      <c r="C63" s="27" t="s">
        <v>73</v>
      </c>
      <c r="D63" s="27">
        <v>1</v>
      </c>
      <c r="E63" s="28">
        <v>0</v>
      </c>
      <c r="F63" s="37">
        <v>1</v>
      </c>
      <c r="G63" s="37">
        <v>2</v>
      </c>
      <c r="H63" s="28">
        <v>1</v>
      </c>
      <c r="I63">
        <f t="shared" si="0"/>
        <v>0</v>
      </c>
    </row>
    <row r="64" spans="1:9">
      <c r="A64" s="27" t="s">
        <v>4</v>
      </c>
      <c r="B64" s="27">
        <v>222816</v>
      </c>
      <c r="C64" s="27" t="s">
        <v>74</v>
      </c>
      <c r="D64" s="27">
        <v>1</v>
      </c>
      <c r="E64" s="28">
        <v>3</v>
      </c>
      <c r="F64" s="37">
        <v>1</v>
      </c>
      <c r="G64" s="37">
        <v>1</v>
      </c>
      <c r="H64" s="28">
        <v>0</v>
      </c>
      <c r="I64">
        <f t="shared" si="0"/>
        <v>0</v>
      </c>
    </row>
    <row r="65" spans="1:9">
      <c r="A65" s="27" t="s">
        <v>4</v>
      </c>
      <c r="B65" s="27">
        <v>228872</v>
      </c>
      <c r="C65" s="27" t="s">
        <v>75</v>
      </c>
      <c r="D65" s="27">
        <v>0</v>
      </c>
      <c r="E65" s="28">
        <v>0</v>
      </c>
      <c r="F65" s="37">
        <v>1</v>
      </c>
      <c r="G65" s="37">
        <v>0</v>
      </c>
      <c r="H65" s="28">
        <v>0</v>
      </c>
      <c r="I65">
        <f t="shared" si="0"/>
        <v>0</v>
      </c>
    </row>
    <row r="66" spans="1:9">
      <c r="A66" s="27" t="s">
        <v>4</v>
      </c>
      <c r="B66" s="27">
        <v>229765</v>
      </c>
      <c r="C66" s="27" t="s">
        <v>76</v>
      </c>
      <c r="D66" s="27">
        <v>1</v>
      </c>
      <c r="E66" s="28">
        <v>3</v>
      </c>
      <c r="F66" s="37">
        <v>4</v>
      </c>
      <c r="G66" s="37">
        <v>20</v>
      </c>
      <c r="H66" s="28">
        <v>16</v>
      </c>
      <c r="I66">
        <f t="shared" si="0"/>
        <v>1</v>
      </c>
    </row>
    <row r="67" spans="1:9">
      <c r="A67" s="27" t="s">
        <v>4</v>
      </c>
      <c r="B67" s="27">
        <v>231278</v>
      </c>
      <c r="C67" s="27" t="s">
        <v>77</v>
      </c>
      <c r="D67" s="27">
        <v>0</v>
      </c>
      <c r="E67" s="28">
        <v>0</v>
      </c>
      <c r="F67" s="37">
        <v>1</v>
      </c>
      <c r="G67" s="37">
        <v>0</v>
      </c>
      <c r="H67" s="28">
        <v>0</v>
      </c>
      <c r="I67">
        <f t="shared" ref="I67:I130" si="1">IF(G67&gt;=3,1,0)</f>
        <v>0</v>
      </c>
    </row>
    <row r="68" spans="1:9">
      <c r="A68" s="27" t="s">
        <v>4</v>
      </c>
      <c r="B68" s="27">
        <v>246732</v>
      </c>
      <c r="C68" s="27" t="s">
        <v>78</v>
      </c>
      <c r="D68" s="27">
        <v>0</v>
      </c>
      <c r="E68" s="28">
        <v>0</v>
      </c>
      <c r="F68" s="37">
        <v>1</v>
      </c>
      <c r="G68" s="37">
        <v>0</v>
      </c>
      <c r="H68" s="28">
        <v>0</v>
      </c>
      <c r="I68">
        <f t="shared" si="1"/>
        <v>0</v>
      </c>
    </row>
    <row r="69" spans="1:9">
      <c r="A69" s="27" t="s">
        <v>4</v>
      </c>
      <c r="B69" s="27">
        <v>278608</v>
      </c>
      <c r="C69" s="27" t="s">
        <v>79</v>
      </c>
      <c r="D69" s="27">
        <v>1</v>
      </c>
      <c r="E69" s="28">
        <v>3</v>
      </c>
      <c r="F69" s="37">
        <v>2</v>
      </c>
      <c r="G69" s="37">
        <v>2</v>
      </c>
      <c r="H69" s="28">
        <v>0</v>
      </c>
      <c r="I69">
        <f t="shared" si="1"/>
        <v>0</v>
      </c>
    </row>
    <row r="70" spans="1:9">
      <c r="A70" s="27" t="s">
        <v>4</v>
      </c>
      <c r="B70" s="27">
        <v>292836</v>
      </c>
      <c r="C70" s="27" t="s">
        <v>80</v>
      </c>
      <c r="D70" s="27">
        <v>0</v>
      </c>
      <c r="E70" s="28">
        <v>0</v>
      </c>
      <c r="F70" s="37">
        <v>0</v>
      </c>
      <c r="G70" s="37">
        <v>0</v>
      </c>
      <c r="H70" s="28">
        <v>0</v>
      </c>
      <c r="I70">
        <f t="shared" si="1"/>
        <v>0</v>
      </c>
    </row>
    <row r="71" spans="1:9">
      <c r="A71" s="27" t="s">
        <v>4</v>
      </c>
      <c r="B71" s="27">
        <v>345691</v>
      </c>
      <c r="C71" s="27" t="s">
        <v>81</v>
      </c>
      <c r="D71" s="27">
        <v>1</v>
      </c>
      <c r="E71" s="28">
        <v>0</v>
      </c>
      <c r="F71" s="37">
        <v>2</v>
      </c>
      <c r="G71" s="37">
        <v>1</v>
      </c>
      <c r="H71" s="28">
        <v>0</v>
      </c>
      <c r="I71">
        <f t="shared" si="1"/>
        <v>0</v>
      </c>
    </row>
    <row r="72" spans="1:9">
      <c r="A72" s="27" t="s">
        <v>4</v>
      </c>
      <c r="B72" s="27">
        <v>366702</v>
      </c>
      <c r="C72" s="27" t="s">
        <v>82</v>
      </c>
      <c r="D72" s="27">
        <v>1</v>
      </c>
      <c r="E72" s="28">
        <v>0</v>
      </c>
      <c r="F72" s="37">
        <v>1</v>
      </c>
      <c r="G72" s="37">
        <v>1</v>
      </c>
      <c r="H72" s="28">
        <v>0</v>
      </c>
      <c r="I72">
        <f t="shared" si="1"/>
        <v>0</v>
      </c>
    </row>
    <row r="73" spans="1:9">
      <c r="A73" s="27" t="s">
        <v>4</v>
      </c>
      <c r="B73" s="27">
        <v>480658</v>
      </c>
      <c r="C73" s="27" t="s">
        <v>83</v>
      </c>
      <c r="D73" s="27">
        <v>1</v>
      </c>
      <c r="E73" s="28">
        <v>0</v>
      </c>
      <c r="F73" s="37">
        <v>1</v>
      </c>
      <c r="G73" s="37">
        <v>2</v>
      </c>
      <c r="H73" s="28">
        <v>1</v>
      </c>
      <c r="I73">
        <f t="shared" si="1"/>
        <v>0</v>
      </c>
    </row>
    <row r="74" spans="1:9">
      <c r="A74" s="27" t="s">
        <v>4</v>
      </c>
      <c r="B74" s="27">
        <v>503354</v>
      </c>
      <c r="C74" s="27" t="s">
        <v>84</v>
      </c>
      <c r="D74" s="27">
        <v>0</v>
      </c>
      <c r="E74" s="28">
        <v>0</v>
      </c>
      <c r="F74" s="37">
        <v>1</v>
      </c>
      <c r="G74" s="37">
        <v>0</v>
      </c>
      <c r="H74" s="28">
        <v>0</v>
      </c>
      <c r="I74">
        <f t="shared" si="1"/>
        <v>0</v>
      </c>
    </row>
    <row r="75" spans="1:9">
      <c r="A75" s="27" t="s">
        <v>4</v>
      </c>
      <c r="B75" s="27">
        <v>503633</v>
      </c>
      <c r="C75" s="27" t="s">
        <v>85</v>
      </c>
      <c r="D75" s="27">
        <v>0</v>
      </c>
      <c r="E75" s="28">
        <v>0</v>
      </c>
      <c r="F75" s="37">
        <v>1</v>
      </c>
      <c r="G75" s="37">
        <v>0</v>
      </c>
      <c r="H75" s="28">
        <v>0</v>
      </c>
      <c r="I75">
        <f t="shared" si="1"/>
        <v>0</v>
      </c>
    </row>
    <row r="76" spans="1:9">
      <c r="A76" s="27" t="s">
        <v>4</v>
      </c>
      <c r="B76" s="27">
        <v>503866</v>
      </c>
      <c r="C76" s="27" t="s">
        <v>86</v>
      </c>
      <c r="D76" s="27">
        <v>1</v>
      </c>
      <c r="E76" s="28">
        <v>0</v>
      </c>
      <c r="F76" s="37">
        <v>1</v>
      </c>
      <c r="G76" s="37">
        <v>2</v>
      </c>
      <c r="H76" s="28">
        <v>1</v>
      </c>
      <c r="I76">
        <f t="shared" si="1"/>
        <v>0</v>
      </c>
    </row>
    <row r="77" spans="1:9">
      <c r="A77" s="27" t="s">
        <v>4</v>
      </c>
      <c r="B77" s="27">
        <v>510053</v>
      </c>
      <c r="C77" s="27" t="s">
        <v>87</v>
      </c>
      <c r="D77" s="27">
        <v>0</v>
      </c>
      <c r="E77" s="28">
        <v>1</v>
      </c>
      <c r="F77" s="37">
        <v>1</v>
      </c>
      <c r="G77" s="37">
        <v>0</v>
      </c>
      <c r="H77" s="28">
        <v>0</v>
      </c>
      <c r="I77">
        <f t="shared" si="1"/>
        <v>0</v>
      </c>
    </row>
    <row r="78" spans="1:9">
      <c r="A78" s="27" t="s">
        <v>4</v>
      </c>
      <c r="B78" s="27">
        <v>523430</v>
      </c>
      <c r="C78" s="27" t="s">
        <v>88</v>
      </c>
      <c r="D78" s="27">
        <v>0</v>
      </c>
      <c r="E78" s="28">
        <v>2</v>
      </c>
      <c r="F78" s="37">
        <v>2</v>
      </c>
      <c r="G78" s="37">
        <v>0</v>
      </c>
      <c r="H78" s="28">
        <v>0</v>
      </c>
      <c r="I78">
        <f t="shared" si="1"/>
        <v>0</v>
      </c>
    </row>
    <row r="79" spans="1:9">
      <c r="A79" s="27" t="s">
        <v>4</v>
      </c>
      <c r="B79" s="27">
        <v>529090</v>
      </c>
      <c r="C79" s="27" t="s">
        <v>89</v>
      </c>
      <c r="D79" s="27">
        <v>1</v>
      </c>
      <c r="E79" s="28">
        <v>0</v>
      </c>
      <c r="F79" s="37">
        <v>0</v>
      </c>
      <c r="G79" s="37">
        <v>1</v>
      </c>
      <c r="H79" s="28">
        <v>1</v>
      </c>
      <c r="I79">
        <f t="shared" si="1"/>
        <v>0</v>
      </c>
    </row>
    <row r="80" spans="1:9">
      <c r="A80" s="27" t="s">
        <v>4</v>
      </c>
      <c r="B80" s="27">
        <v>529249</v>
      </c>
      <c r="C80" s="27" t="s">
        <v>90</v>
      </c>
      <c r="D80" s="27">
        <v>0</v>
      </c>
      <c r="E80" s="28">
        <v>0</v>
      </c>
      <c r="F80" s="37">
        <v>1</v>
      </c>
      <c r="G80" s="37">
        <v>0</v>
      </c>
      <c r="H80" s="28">
        <v>0</v>
      </c>
      <c r="I80">
        <f t="shared" si="1"/>
        <v>0</v>
      </c>
    </row>
    <row r="81" spans="1:9">
      <c r="A81" s="27" t="s">
        <v>4</v>
      </c>
      <c r="B81" s="27">
        <v>530345</v>
      </c>
      <c r="C81" s="27" t="s">
        <v>91</v>
      </c>
      <c r="D81" s="27">
        <v>0</v>
      </c>
      <c r="E81" s="28">
        <v>1</v>
      </c>
      <c r="F81" s="37">
        <v>1</v>
      </c>
      <c r="G81" s="37">
        <v>0</v>
      </c>
      <c r="H81" s="28">
        <v>0</v>
      </c>
      <c r="I81">
        <f t="shared" si="1"/>
        <v>0</v>
      </c>
    </row>
    <row r="82" spans="1:9">
      <c r="A82" s="27" t="s">
        <v>4</v>
      </c>
      <c r="B82" s="27">
        <v>539088</v>
      </c>
      <c r="C82" s="27" t="s">
        <v>92</v>
      </c>
      <c r="D82" s="27">
        <v>1</v>
      </c>
      <c r="E82" s="28">
        <v>4</v>
      </c>
      <c r="F82" s="37">
        <v>0</v>
      </c>
      <c r="G82" s="37">
        <v>3</v>
      </c>
      <c r="H82" s="28">
        <v>3</v>
      </c>
      <c r="I82">
        <f t="shared" si="1"/>
        <v>1</v>
      </c>
    </row>
    <row r="83" spans="1:9">
      <c r="A83" s="27" t="s">
        <v>4</v>
      </c>
      <c r="B83" s="27">
        <v>543720</v>
      </c>
      <c r="C83" s="27" t="s">
        <v>93</v>
      </c>
      <c r="D83" s="27">
        <v>1</v>
      </c>
      <c r="E83" s="28">
        <v>0</v>
      </c>
      <c r="F83" s="37">
        <v>1</v>
      </c>
      <c r="G83" s="37">
        <v>1</v>
      </c>
      <c r="H83" s="28">
        <v>0</v>
      </c>
      <c r="I83">
        <f t="shared" si="1"/>
        <v>0</v>
      </c>
    </row>
    <row r="84" spans="1:9">
      <c r="A84" s="27" t="s">
        <v>4</v>
      </c>
      <c r="B84" s="27">
        <v>560814</v>
      </c>
      <c r="C84" s="27" t="s">
        <v>94</v>
      </c>
      <c r="D84" s="27">
        <v>1</v>
      </c>
      <c r="E84" s="28">
        <v>0</v>
      </c>
      <c r="F84" s="37">
        <v>1</v>
      </c>
      <c r="G84" s="37">
        <v>1</v>
      </c>
      <c r="H84" s="28">
        <v>0</v>
      </c>
      <c r="I84">
        <f t="shared" si="1"/>
        <v>0</v>
      </c>
    </row>
    <row r="85" spans="1:9">
      <c r="A85" s="27" t="s">
        <v>4</v>
      </c>
      <c r="B85" s="27">
        <v>563095</v>
      </c>
      <c r="C85" s="27" t="s">
        <v>95</v>
      </c>
      <c r="D85" s="27">
        <v>0</v>
      </c>
      <c r="E85" s="28">
        <v>0</v>
      </c>
      <c r="F85" s="37">
        <v>2</v>
      </c>
      <c r="G85" s="37">
        <v>0</v>
      </c>
      <c r="H85" s="28">
        <v>0</v>
      </c>
      <c r="I85">
        <f t="shared" si="1"/>
        <v>0</v>
      </c>
    </row>
    <row r="86" spans="1:9">
      <c r="A86" s="27" t="s">
        <v>4</v>
      </c>
      <c r="B86" s="27">
        <v>61690</v>
      </c>
      <c r="C86" s="27" t="s">
        <v>96</v>
      </c>
      <c r="D86" s="27">
        <v>0</v>
      </c>
      <c r="E86" s="28">
        <v>4</v>
      </c>
      <c r="F86" s="37">
        <v>1</v>
      </c>
      <c r="G86" s="37">
        <v>0</v>
      </c>
      <c r="H86" s="28">
        <v>0</v>
      </c>
      <c r="I86">
        <f t="shared" si="1"/>
        <v>0</v>
      </c>
    </row>
    <row r="87" spans="1:9">
      <c r="A87" s="27" t="s">
        <v>4</v>
      </c>
      <c r="B87" s="27" t="s">
        <v>98</v>
      </c>
      <c r="C87" s="27" t="s">
        <v>97</v>
      </c>
      <c r="D87" s="27">
        <v>1</v>
      </c>
      <c r="E87" s="28">
        <v>1</v>
      </c>
      <c r="F87" s="37">
        <v>0</v>
      </c>
      <c r="G87" s="37">
        <v>3</v>
      </c>
      <c r="H87" s="28">
        <v>3</v>
      </c>
      <c r="I87">
        <f t="shared" si="1"/>
        <v>1</v>
      </c>
    </row>
    <row r="88" spans="1:9">
      <c r="A88" s="27" t="s">
        <v>4</v>
      </c>
      <c r="B88" s="27" t="s">
        <v>100</v>
      </c>
      <c r="C88" s="27" t="s">
        <v>99</v>
      </c>
      <c r="D88" s="27">
        <v>1</v>
      </c>
      <c r="E88" s="28">
        <v>0</v>
      </c>
      <c r="F88" s="37">
        <v>1</v>
      </c>
      <c r="G88" s="37">
        <v>2</v>
      </c>
      <c r="H88" s="28">
        <v>1</v>
      </c>
      <c r="I88">
        <f t="shared" si="1"/>
        <v>0</v>
      </c>
    </row>
    <row r="89" spans="1:9">
      <c r="A89" s="27" t="s">
        <v>4</v>
      </c>
      <c r="B89" s="27" t="s">
        <v>102</v>
      </c>
      <c r="C89" s="27" t="s">
        <v>101</v>
      </c>
      <c r="D89" s="27">
        <v>0</v>
      </c>
      <c r="E89" s="28">
        <v>0</v>
      </c>
      <c r="F89" s="37">
        <v>3</v>
      </c>
      <c r="G89" s="37">
        <v>0</v>
      </c>
      <c r="H89" s="28">
        <v>0</v>
      </c>
      <c r="I89">
        <f t="shared" si="1"/>
        <v>0</v>
      </c>
    </row>
    <row r="90" spans="1:9">
      <c r="A90" s="27" t="s">
        <v>4</v>
      </c>
      <c r="B90" s="27" t="s">
        <v>104</v>
      </c>
      <c r="C90" s="27" t="s">
        <v>103</v>
      </c>
      <c r="D90" s="27">
        <v>0</v>
      </c>
      <c r="E90" s="28">
        <v>0</v>
      </c>
      <c r="F90" s="37">
        <v>1</v>
      </c>
      <c r="G90" s="37">
        <v>0</v>
      </c>
      <c r="H90" s="28">
        <v>0</v>
      </c>
      <c r="I90">
        <f t="shared" si="1"/>
        <v>0</v>
      </c>
    </row>
    <row r="91" spans="1:9">
      <c r="A91" s="27" t="s">
        <v>5</v>
      </c>
      <c r="B91" s="27">
        <v>12295536</v>
      </c>
      <c r="C91" s="27" t="s">
        <v>105</v>
      </c>
      <c r="D91" s="27">
        <v>1</v>
      </c>
      <c r="E91" s="28">
        <v>2</v>
      </c>
      <c r="F91" s="37">
        <v>0</v>
      </c>
      <c r="G91" s="37">
        <v>1</v>
      </c>
      <c r="H91" s="28">
        <v>1</v>
      </c>
      <c r="I91">
        <f t="shared" si="1"/>
        <v>0</v>
      </c>
    </row>
    <row r="92" spans="1:9">
      <c r="A92" s="27" t="s">
        <v>5</v>
      </c>
      <c r="B92" s="27">
        <v>12295980</v>
      </c>
      <c r="C92" s="27" t="s">
        <v>106</v>
      </c>
      <c r="D92" s="27">
        <v>0</v>
      </c>
      <c r="E92" s="28">
        <v>0</v>
      </c>
      <c r="F92" s="37">
        <v>0</v>
      </c>
      <c r="G92" s="37">
        <v>0</v>
      </c>
      <c r="H92" s="28">
        <v>0</v>
      </c>
      <c r="I92">
        <f t="shared" si="1"/>
        <v>0</v>
      </c>
    </row>
    <row r="93" spans="1:9">
      <c r="A93" s="27" t="s">
        <v>5</v>
      </c>
      <c r="B93" s="27">
        <v>12302808</v>
      </c>
      <c r="C93" s="27" t="s">
        <v>107</v>
      </c>
      <c r="D93" s="27">
        <v>0</v>
      </c>
      <c r="E93" s="28">
        <v>0</v>
      </c>
      <c r="F93" s="37">
        <v>0</v>
      </c>
      <c r="G93" s="37">
        <v>0</v>
      </c>
      <c r="H93" s="28">
        <v>0</v>
      </c>
      <c r="I93">
        <f t="shared" si="1"/>
        <v>0</v>
      </c>
    </row>
    <row r="94" spans="1:9">
      <c r="A94" s="27" t="s">
        <v>5</v>
      </c>
      <c r="B94" s="27">
        <v>12303072</v>
      </c>
      <c r="C94" s="27" t="s">
        <v>108</v>
      </c>
      <c r="D94" s="27">
        <v>1</v>
      </c>
      <c r="E94" s="28">
        <v>0</v>
      </c>
      <c r="F94" s="37">
        <v>2</v>
      </c>
      <c r="G94" s="37">
        <v>2</v>
      </c>
      <c r="H94" s="28">
        <v>0</v>
      </c>
      <c r="I94">
        <f t="shared" si="1"/>
        <v>0</v>
      </c>
    </row>
    <row r="95" spans="1:9">
      <c r="A95" s="27" t="s">
        <v>5</v>
      </c>
      <c r="B95" s="27">
        <v>12313881</v>
      </c>
      <c r="C95" s="27" t="s">
        <v>109</v>
      </c>
      <c r="D95" s="27">
        <v>1</v>
      </c>
      <c r="E95" s="28">
        <v>3</v>
      </c>
      <c r="F95" s="37">
        <v>1</v>
      </c>
      <c r="G95" s="37">
        <v>18</v>
      </c>
      <c r="H95" s="28">
        <v>17</v>
      </c>
      <c r="I95">
        <f t="shared" si="1"/>
        <v>1</v>
      </c>
    </row>
    <row r="96" spans="1:9">
      <c r="A96" s="27" t="s">
        <v>5</v>
      </c>
      <c r="B96" s="27">
        <v>12317091</v>
      </c>
      <c r="C96" s="27" t="s">
        <v>110</v>
      </c>
      <c r="D96" s="27">
        <v>0</v>
      </c>
      <c r="E96" s="28">
        <v>0</v>
      </c>
      <c r="F96" s="37">
        <v>0</v>
      </c>
      <c r="G96" s="37">
        <v>0</v>
      </c>
      <c r="H96" s="28">
        <v>0</v>
      </c>
      <c r="I96">
        <f t="shared" si="1"/>
        <v>0</v>
      </c>
    </row>
    <row r="97" spans="1:9">
      <c r="A97" s="27" t="s">
        <v>5</v>
      </c>
      <c r="B97" s="27">
        <v>12318079</v>
      </c>
      <c r="C97" s="27" t="s">
        <v>111</v>
      </c>
      <c r="D97" s="27">
        <v>1</v>
      </c>
      <c r="E97" s="28">
        <v>0</v>
      </c>
      <c r="F97" s="37">
        <v>1</v>
      </c>
      <c r="G97" s="37">
        <v>2</v>
      </c>
      <c r="H97" s="28">
        <v>1</v>
      </c>
      <c r="I97">
        <f t="shared" si="1"/>
        <v>0</v>
      </c>
    </row>
    <row r="98" spans="1:9">
      <c r="A98" s="27" t="s">
        <v>5</v>
      </c>
      <c r="B98" s="27">
        <v>12320853</v>
      </c>
      <c r="C98" s="27" t="s">
        <v>112</v>
      </c>
      <c r="D98" s="27">
        <v>0</v>
      </c>
      <c r="E98" s="28">
        <v>0</v>
      </c>
      <c r="F98" s="37">
        <v>1</v>
      </c>
      <c r="G98" s="37">
        <v>0</v>
      </c>
      <c r="H98" s="28">
        <v>0</v>
      </c>
      <c r="I98">
        <f t="shared" si="1"/>
        <v>0</v>
      </c>
    </row>
    <row r="99" spans="1:9">
      <c r="A99" s="27" t="s">
        <v>5</v>
      </c>
      <c r="B99" s="27">
        <v>12321230</v>
      </c>
      <c r="C99" s="27" t="s">
        <v>113</v>
      </c>
      <c r="D99" s="27">
        <v>1</v>
      </c>
      <c r="E99" s="28">
        <v>0</v>
      </c>
      <c r="F99" s="37">
        <v>0</v>
      </c>
      <c r="G99" s="37">
        <v>2</v>
      </c>
      <c r="H99" s="28">
        <v>2</v>
      </c>
      <c r="I99">
        <f t="shared" si="1"/>
        <v>0</v>
      </c>
    </row>
    <row r="100" spans="1:9">
      <c r="A100" s="27" t="s">
        <v>5</v>
      </c>
      <c r="B100" s="27">
        <v>12321241</v>
      </c>
      <c r="C100" s="27" t="s">
        <v>114</v>
      </c>
      <c r="D100" s="27">
        <v>1</v>
      </c>
      <c r="E100" s="28">
        <v>3</v>
      </c>
      <c r="F100" s="37">
        <v>3</v>
      </c>
      <c r="G100" s="37">
        <v>11</v>
      </c>
      <c r="H100" s="28">
        <v>8</v>
      </c>
      <c r="I100">
        <f t="shared" si="1"/>
        <v>1</v>
      </c>
    </row>
    <row r="101" spans="1:9">
      <c r="A101" s="27" t="s">
        <v>5</v>
      </c>
      <c r="B101" s="27">
        <v>12321243</v>
      </c>
      <c r="C101" s="27" t="s">
        <v>115</v>
      </c>
      <c r="D101" s="27">
        <v>1</v>
      </c>
      <c r="E101" s="28">
        <v>3</v>
      </c>
      <c r="F101" s="37">
        <v>2</v>
      </c>
      <c r="G101" s="37">
        <v>74</v>
      </c>
      <c r="H101" s="28">
        <v>72</v>
      </c>
      <c r="I101">
        <f t="shared" si="1"/>
        <v>1</v>
      </c>
    </row>
    <row r="102" spans="1:9">
      <c r="A102" s="27" t="s">
        <v>5</v>
      </c>
      <c r="B102" s="27">
        <v>12322430</v>
      </c>
      <c r="C102" s="27" t="s">
        <v>116</v>
      </c>
      <c r="D102" s="27">
        <v>0</v>
      </c>
      <c r="E102" s="28">
        <v>0</v>
      </c>
      <c r="F102" s="37">
        <v>0</v>
      </c>
      <c r="G102" s="37">
        <v>0</v>
      </c>
      <c r="H102" s="28">
        <v>0</v>
      </c>
      <c r="I102">
        <f t="shared" si="1"/>
        <v>0</v>
      </c>
    </row>
    <row r="103" spans="1:9">
      <c r="A103" s="27" t="s">
        <v>5</v>
      </c>
      <c r="B103" s="27">
        <v>12324194</v>
      </c>
      <c r="C103" s="27" t="s">
        <v>117</v>
      </c>
      <c r="D103" s="27">
        <v>0</v>
      </c>
      <c r="E103" s="28">
        <v>0</v>
      </c>
      <c r="F103" s="37">
        <v>0</v>
      </c>
      <c r="G103" s="37">
        <v>0</v>
      </c>
      <c r="H103" s="28">
        <v>0</v>
      </c>
      <c r="I103">
        <f t="shared" si="1"/>
        <v>0</v>
      </c>
    </row>
    <row r="104" spans="1:9">
      <c r="A104" s="27" t="s">
        <v>5</v>
      </c>
      <c r="B104" s="27">
        <v>12327316</v>
      </c>
      <c r="C104" s="27" t="s">
        <v>118</v>
      </c>
      <c r="D104" s="27">
        <v>1</v>
      </c>
      <c r="E104" s="28">
        <v>0</v>
      </c>
      <c r="F104" s="37">
        <v>1</v>
      </c>
      <c r="G104" s="37">
        <v>1</v>
      </c>
      <c r="H104" s="28">
        <v>0</v>
      </c>
      <c r="I104">
        <f t="shared" si="1"/>
        <v>0</v>
      </c>
    </row>
    <row r="105" spans="1:9">
      <c r="A105" s="27" t="s">
        <v>5</v>
      </c>
      <c r="B105" s="27">
        <v>12331450</v>
      </c>
      <c r="C105" s="27" t="s">
        <v>119</v>
      </c>
      <c r="D105" s="27">
        <v>0</v>
      </c>
      <c r="E105" s="28">
        <v>0</v>
      </c>
      <c r="F105" s="37">
        <v>1</v>
      </c>
      <c r="G105" s="37">
        <v>0</v>
      </c>
      <c r="H105" s="28">
        <v>0</v>
      </c>
      <c r="I105">
        <f t="shared" si="1"/>
        <v>0</v>
      </c>
    </row>
    <row r="106" spans="1:9">
      <c r="A106" s="27" t="s">
        <v>5</v>
      </c>
      <c r="B106" s="27">
        <v>12332670</v>
      </c>
      <c r="C106" s="27" t="s">
        <v>120</v>
      </c>
      <c r="D106" s="27">
        <v>1</v>
      </c>
      <c r="E106" s="28">
        <v>0</v>
      </c>
      <c r="F106" s="37">
        <v>1</v>
      </c>
      <c r="G106" s="37">
        <v>2</v>
      </c>
      <c r="H106" s="28">
        <v>1</v>
      </c>
      <c r="I106">
        <f t="shared" si="1"/>
        <v>0</v>
      </c>
    </row>
    <row r="107" spans="1:9">
      <c r="A107" s="27" t="s">
        <v>5</v>
      </c>
      <c r="B107" s="27">
        <v>12332811</v>
      </c>
      <c r="C107" s="27" t="s">
        <v>121</v>
      </c>
      <c r="D107" s="27">
        <v>0</v>
      </c>
      <c r="E107" s="28">
        <v>0</v>
      </c>
      <c r="F107" s="37">
        <v>0</v>
      </c>
      <c r="G107" s="37">
        <v>0</v>
      </c>
      <c r="H107" s="28">
        <v>0</v>
      </c>
      <c r="I107">
        <f t="shared" si="1"/>
        <v>0</v>
      </c>
    </row>
    <row r="108" spans="1:9">
      <c r="A108" s="27" t="s">
        <v>5</v>
      </c>
      <c r="B108" s="27">
        <v>12333237</v>
      </c>
      <c r="C108" s="27" t="s">
        <v>122</v>
      </c>
      <c r="D108" s="27">
        <v>1</v>
      </c>
      <c r="E108" s="28">
        <v>0</v>
      </c>
      <c r="F108" s="37">
        <v>1</v>
      </c>
      <c r="G108" s="37">
        <v>7</v>
      </c>
      <c r="H108" s="28">
        <v>6</v>
      </c>
      <c r="I108">
        <f t="shared" si="1"/>
        <v>1</v>
      </c>
    </row>
    <row r="109" spans="1:9">
      <c r="A109" s="27" t="s">
        <v>5</v>
      </c>
      <c r="B109" s="27">
        <v>12334635</v>
      </c>
      <c r="C109" s="27" t="s">
        <v>123</v>
      </c>
      <c r="D109" s="27">
        <v>0</v>
      </c>
      <c r="E109" s="28">
        <v>1</v>
      </c>
      <c r="F109" s="37">
        <v>1</v>
      </c>
      <c r="G109" s="37">
        <v>0</v>
      </c>
      <c r="H109" s="28">
        <v>0</v>
      </c>
      <c r="I109">
        <f t="shared" si="1"/>
        <v>0</v>
      </c>
    </row>
    <row r="110" spans="1:9">
      <c r="A110" s="27" t="s">
        <v>5</v>
      </c>
      <c r="B110" s="27">
        <v>12334637</v>
      </c>
      <c r="C110" s="27" t="s">
        <v>124</v>
      </c>
      <c r="D110" s="27">
        <v>1</v>
      </c>
      <c r="E110" s="28">
        <v>0</v>
      </c>
      <c r="F110" s="37">
        <v>1</v>
      </c>
      <c r="G110" s="37">
        <v>1</v>
      </c>
      <c r="H110" s="28">
        <v>0</v>
      </c>
      <c r="I110">
        <f t="shared" si="1"/>
        <v>0</v>
      </c>
    </row>
    <row r="111" spans="1:9">
      <c r="A111" s="27" t="s">
        <v>5</v>
      </c>
      <c r="B111" s="27">
        <v>126963</v>
      </c>
      <c r="C111" s="27" t="s">
        <v>125</v>
      </c>
      <c r="D111" s="27">
        <v>0</v>
      </c>
      <c r="E111" s="28">
        <v>0</v>
      </c>
      <c r="F111" s="37">
        <v>1</v>
      </c>
      <c r="G111" s="37">
        <v>0</v>
      </c>
      <c r="H111" s="28">
        <v>0</v>
      </c>
      <c r="I111">
        <f t="shared" si="1"/>
        <v>0</v>
      </c>
    </row>
    <row r="112" spans="1:9">
      <c r="A112" s="27" t="s">
        <v>5</v>
      </c>
      <c r="B112" s="27">
        <v>127198</v>
      </c>
      <c r="C112" s="27" t="s">
        <v>126</v>
      </c>
      <c r="D112" s="27">
        <v>1</v>
      </c>
      <c r="E112" s="28">
        <v>0</v>
      </c>
      <c r="F112" s="37">
        <v>2</v>
      </c>
      <c r="G112" s="37">
        <v>7</v>
      </c>
      <c r="H112" s="28">
        <v>5</v>
      </c>
      <c r="I112">
        <f t="shared" si="1"/>
        <v>1</v>
      </c>
    </row>
    <row r="113" spans="1:9">
      <c r="A113" s="27" t="s">
        <v>5</v>
      </c>
      <c r="B113" s="27">
        <v>195918</v>
      </c>
      <c r="C113" s="27" t="s">
        <v>127</v>
      </c>
      <c r="D113" s="27">
        <v>1</v>
      </c>
      <c r="E113" s="28">
        <v>0</v>
      </c>
      <c r="F113" s="37">
        <v>0</v>
      </c>
      <c r="G113" s="37">
        <v>1</v>
      </c>
      <c r="H113" s="28">
        <v>1</v>
      </c>
      <c r="I113">
        <f t="shared" si="1"/>
        <v>0</v>
      </c>
    </row>
    <row r="114" spans="1:9">
      <c r="A114" s="27" t="s">
        <v>5</v>
      </c>
      <c r="B114" s="27">
        <v>199020</v>
      </c>
      <c r="C114" s="27" t="s">
        <v>128</v>
      </c>
      <c r="D114" s="27">
        <v>0</v>
      </c>
      <c r="E114" s="28">
        <v>0</v>
      </c>
      <c r="F114" s="37">
        <v>1</v>
      </c>
      <c r="G114" s="37">
        <v>0</v>
      </c>
      <c r="H114" s="28">
        <v>0</v>
      </c>
      <c r="I114">
        <f t="shared" si="1"/>
        <v>0</v>
      </c>
    </row>
    <row r="115" spans="1:9">
      <c r="A115" s="27" t="s">
        <v>5</v>
      </c>
      <c r="B115" s="27">
        <v>240084</v>
      </c>
      <c r="C115" s="27" t="s">
        <v>129</v>
      </c>
      <c r="D115" s="27">
        <v>0</v>
      </c>
      <c r="E115" s="28">
        <v>0</v>
      </c>
      <c r="F115" s="37">
        <v>0</v>
      </c>
      <c r="G115" s="37">
        <v>0</v>
      </c>
      <c r="H115" s="28">
        <v>0</v>
      </c>
      <c r="I115">
        <f t="shared" si="1"/>
        <v>0</v>
      </c>
    </row>
    <row r="116" spans="1:9">
      <c r="A116" s="27" t="s">
        <v>5</v>
      </c>
      <c r="B116" s="27">
        <v>240713</v>
      </c>
      <c r="C116" s="27" t="s">
        <v>130</v>
      </c>
      <c r="D116" s="27">
        <v>1</v>
      </c>
      <c r="E116" s="28">
        <v>1</v>
      </c>
      <c r="F116" s="37">
        <v>1</v>
      </c>
      <c r="G116" s="37">
        <v>1</v>
      </c>
      <c r="H116" s="28">
        <v>0</v>
      </c>
      <c r="I116">
        <f t="shared" si="1"/>
        <v>0</v>
      </c>
    </row>
    <row r="117" spans="1:9">
      <c r="A117" s="27" t="s">
        <v>5</v>
      </c>
      <c r="B117" s="27">
        <v>304264</v>
      </c>
      <c r="C117" s="27" t="s">
        <v>131</v>
      </c>
      <c r="D117" s="27">
        <v>1</v>
      </c>
      <c r="E117" s="28">
        <v>0</v>
      </c>
      <c r="F117" s="37">
        <v>1</v>
      </c>
      <c r="G117" s="37">
        <v>1</v>
      </c>
      <c r="H117" s="28">
        <v>0</v>
      </c>
      <c r="I117">
        <f t="shared" si="1"/>
        <v>0</v>
      </c>
    </row>
    <row r="118" spans="1:9">
      <c r="A118" s="27" t="s">
        <v>5</v>
      </c>
      <c r="B118" s="27">
        <v>342829</v>
      </c>
      <c r="C118" s="27" t="s">
        <v>132</v>
      </c>
      <c r="D118" s="27">
        <v>1</v>
      </c>
      <c r="E118" s="28">
        <v>0</v>
      </c>
      <c r="F118" s="37">
        <v>2</v>
      </c>
      <c r="G118" s="37">
        <v>1</v>
      </c>
      <c r="H118" s="28">
        <v>0</v>
      </c>
      <c r="I118">
        <f t="shared" si="1"/>
        <v>0</v>
      </c>
    </row>
    <row r="119" spans="1:9">
      <c r="A119" s="27" t="s">
        <v>5</v>
      </c>
      <c r="B119" s="27">
        <v>345427</v>
      </c>
      <c r="C119" s="27" t="s">
        <v>133</v>
      </c>
      <c r="D119" s="27">
        <v>0</v>
      </c>
      <c r="E119" s="28">
        <v>0</v>
      </c>
      <c r="F119" s="37">
        <v>1</v>
      </c>
      <c r="G119" s="37">
        <v>0</v>
      </c>
      <c r="H119" s="28">
        <v>0</v>
      </c>
      <c r="I119">
        <f t="shared" si="1"/>
        <v>0</v>
      </c>
    </row>
    <row r="120" spans="1:9">
      <c r="A120" s="27" t="s">
        <v>5</v>
      </c>
      <c r="B120" s="27">
        <v>352167</v>
      </c>
      <c r="C120" s="27" t="s">
        <v>134</v>
      </c>
      <c r="D120" s="27">
        <v>1</v>
      </c>
      <c r="E120" s="28">
        <v>0</v>
      </c>
      <c r="F120" s="37">
        <v>0</v>
      </c>
      <c r="G120" s="37">
        <v>1</v>
      </c>
      <c r="H120" s="28">
        <v>1</v>
      </c>
      <c r="I120">
        <f t="shared" si="1"/>
        <v>0</v>
      </c>
    </row>
    <row r="121" spans="1:9">
      <c r="A121" s="27" t="s">
        <v>5</v>
      </c>
      <c r="B121" s="27">
        <v>396176</v>
      </c>
      <c r="C121" s="27" t="s">
        <v>135</v>
      </c>
      <c r="D121" s="27">
        <v>1</v>
      </c>
      <c r="E121" s="28">
        <v>0</v>
      </c>
      <c r="F121" s="37">
        <v>0</v>
      </c>
      <c r="G121" s="37">
        <v>1</v>
      </c>
      <c r="H121" s="28">
        <v>1</v>
      </c>
      <c r="I121">
        <f t="shared" si="1"/>
        <v>0</v>
      </c>
    </row>
    <row r="122" spans="1:9">
      <c r="A122" s="27" t="s">
        <v>5</v>
      </c>
      <c r="B122" s="27">
        <v>401031</v>
      </c>
      <c r="C122" s="27" t="s">
        <v>136</v>
      </c>
      <c r="D122" s="27">
        <v>0</v>
      </c>
      <c r="E122" s="28">
        <v>0</v>
      </c>
      <c r="F122" s="37">
        <v>0</v>
      </c>
      <c r="G122" s="37">
        <v>0</v>
      </c>
      <c r="H122" s="28">
        <v>0</v>
      </c>
      <c r="I122">
        <f t="shared" si="1"/>
        <v>0</v>
      </c>
    </row>
    <row r="123" spans="1:9">
      <c r="A123" s="27" t="s">
        <v>5</v>
      </c>
      <c r="B123" s="27">
        <v>471389</v>
      </c>
      <c r="C123" s="27" t="s">
        <v>137</v>
      </c>
      <c r="D123" s="27">
        <v>1</v>
      </c>
      <c r="E123" s="28">
        <v>0</v>
      </c>
      <c r="F123" s="37">
        <v>1</v>
      </c>
      <c r="G123" s="37">
        <v>1</v>
      </c>
      <c r="H123" s="28">
        <v>0</v>
      </c>
      <c r="I123">
        <f t="shared" si="1"/>
        <v>0</v>
      </c>
    </row>
    <row r="124" spans="1:9">
      <c r="A124" s="27" t="s">
        <v>5</v>
      </c>
      <c r="B124" s="27">
        <v>477625</v>
      </c>
      <c r="C124" s="27" t="s">
        <v>138</v>
      </c>
      <c r="D124" s="27">
        <v>0</v>
      </c>
      <c r="E124" s="28">
        <v>0</v>
      </c>
      <c r="F124" s="37">
        <v>0</v>
      </c>
      <c r="G124" s="37">
        <v>0</v>
      </c>
      <c r="H124" s="28">
        <v>0</v>
      </c>
      <c r="I124">
        <f t="shared" si="1"/>
        <v>0</v>
      </c>
    </row>
    <row r="125" spans="1:9">
      <c r="A125" s="27" t="s">
        <v>5</v>
      </c>
      <c r="B125" s="27">
        <v>481857</v>
      </c>
      <c r="C125" s="27" t="s">
        <v>139</v>
      </c>
      <c r="D125" s="27">
        <v>0</v>
      </c>
      <c r="E125" s="28">
        <v>0</v>
      </c>
      <c r="F125" s="37">
        <v>1</v>
      </c>
      <c r="G125" s="37">
        <v>0</v>
      </c>
      <c r="H125" s="28">
        <v>0</v>
      </c>
      <c r="I125">
        <f t="shared" si="1"/>
        <v>0</v>
      </c>
    </row>
    <row r="126" spans="1:9">
      <c r="A126" s="27" t="s">
        <v>5</v>
      </c>
      <c r="B126" s="27">
        <v>483240</v>
      </c>
      <c r="C126" s="27" t="s">
        <v>140</v>
      </c>
      <c r="D126" s="27">
        <v>1</v>
      </c>
      <c r="E126" s="28">
        <v>0</v>
      </c>
      <c r="F126" s="37">
        <v>0</v>
      </c>
      <c r="G126" s="37">
        <v>1</v>
      </c>
      <c r="H126" s="28">
        <v>1</v>
      </c>
      <c r="I126">
        <f t="shared" si="1"/>
        <v>0</v>
      </c>
    </row>
    <row r="127" spans="1:9">
      <c r="A127" s="27" t="s">
        <v>5</v>
      </c>
      <c r="B127" s="27">
        <v>499483</v>
      </c>
      <c r="C127" s="27" t="s">
        <v>141</v>
      </c>
      <c r="D127" s="27">
        <v>1</v>
      </c>
      <c r="E127" s="28">
        <v>0</v>
      </c>
      <c r="F127" s="37">
        <v>1</v>
      </c>
      <c r="G127" s="37">
        <v>2</v>
      </c>
      <c r="H127" s="28">
        <v>1</v>
      </c>
      <c r="I127">
        <f t="shared" si="1"/>
        <v>0</v>
      </c>
    </row>
    <row r="128" spans="1:9">
      <c r="A128" s="27" t="s">
        <v>5</v>
      </c>
      <c r="B128" s="27">
        <v>501141</v>
      </c>
      <c r="C128" s="27" t="s">
        <v>142</v>
      </c>
      <c r="D128" s="27">
        <v>0</v>
      </c>
      <c r="E128" s="28">
        <v>0</v>
      </c>
      <c r="F128" s="37">
        <v>1</v>
      </c>
      <c r="G128" s="37">
        <v>0</v>
      </c>
      <c r="H128" s="28">
        <v>0</v>
      </c>
      <c r="I128">
        <f t="shared" si="1"/>
        <v>0</v>
      </c>
    </row>
    <row r="129" spans="1:9">
      <c r="A129" s="27" t="s">
        <v>5</v>
      </c>
      <c r="B129" s="27">
        <v>501263</v>
      </c>
      <c r="C129" s="27" t="s">
        <v>143</v>
      </c>
      <c r="D129" s="27">
        <v>1</v>
      </c>
      <c r="E129" s="28">
        <v>0</v>
      </c>
      <c r="F129" s="37">
        <v>1</v>
      </c>
      <c r="G129" s="37">
        <v>1</v>
      </c>
      <c r="H129" s="28">
        <v>0</v>
      </c>
      <c r="I129">
        <f t="shared" si="1"/>
        <v>0</v>
      </c>
    </row>
    <row r="130" spans="1:9">
      <c r="A130" s="27" t="s">
        <v>5</v>
      </c>
      <c r="B130" s="27">
        <v>501860</v>
      </c>
      <c r="C130" s="27" t="s">
        <v>144</v>
      </c>
      <c r="D130" s="27">
        <v>1</v>
      </c>
      <c r="E130" s="28">
        <v>1</v>
      </c>
      <c r="F130" s="37">
        <v>1</v>
      </c>
      <c r="G130" s="37">
        <v>2</v>
      </c>
      <c r="H130" s="28">
        <v>1</v>
      </c>
      <c r="I130">
        <f t="shared" si="1"/>
        <v>0</v>
      </c>
    </row>
    <row r="131" spans="1:9">
      <c r="A131" s="27" t="s">
        <v>5</v>
      </c>
      <c r="B131" s="27">
        <v>510295</v>
      </c>
      <c r="C131" s="27" t="s">
        <v>145</v>
      </c>
      <c r="D131" s="27">
        <v>0</v>
      </c>
      <c r="E131" s="28">
        <v>0</v>
      </c>
      <c r="F131" s="37">
        <v>1</v>
      </c>
      <c r="G131" s="37">
        <v>0</v>
      </c>
      <c r="H131" s="28">
        <v>0</v>
      </c>
      <c r="I131">
        <f t="shared" ref="I131:I146" si="2">IF(G131&gt;=3,1,0)</f>
        <v>0</v>
      </c>
    </row>
    <row r="132" spans="1:9">
      <c r="A132" s="27" t="s">
        <v>5</v>
      </c>
      <c r="B132" s="27">
        <v>510299</v>
      </c>
      <c r="C132" s="27" t="s">
        <v>146</v>
      </c>
      <c r="D132" s="27">
        <v>0</v>
      </c>
      <c r="E132" s="28">
        <v>0</v>
      </c>
      <c r="F132" s="37">
        <v>0</v>
      </c>
      <c r="G132" s="37">
        <v>0</v>
      </c>
      <c r="H132" s="28">
        <v>0</v>
      </c>
      <c r="I132">
        <f t="shared" si="2"/>
        <v>0</v>
      </c>
    </row>
    <row r="133" spans="1:9">
      <c r="A133" s="27" t="s">
        <v>5</v>
      </c>
      <c r="B133" s="27">
        <v>511584</v>
      </c>
      <c r="C133" s="27" t="s">
        <v>147</v>
      </c>
      <c r="D133" s="27">
        <v>1</v>
      </c>
      <c r="E133" s="28">
        <v>0</v>
      </c>
      <c r="F133" s="37">
        <v>1</v>
      </c>
      <c r="G133" s="37">
        <v>3</v>
      </c>
      <c r="H133" s="28">
        <v>2</v>
      </c>
      <c r="I133">
        <f t="shared" si="2"/>
        <v>1</v>
      </c>
    </row>
    <row r="134" spans="1:9">
      <c r="A134" s="27" t="s">
        <v>5</v>
      </c>
      <c r="B134" s="27">
        <v>514589</v>
      </c>
      <c r="C134" s="27" t="s">
        <v>148</v>
      </c>
      <c r="D134" s="27">
        <v>0</v>
      </c>
      <c r="E134" s="28">
        <v>0</v>
      </c>
      <c r="F134" s="37">
        <v>1</v>
      </c>
      <c r="G134" s="37">
        <v>0</v>
      </c>
      <c r="H134" s="28">
        <v>0</v>
      </c>
      <c r="I134">
        <f t="shared" si="2"/>
        <v>0</v>
      </c>
    </row>
    <row r="135" spans="1:9">
      <c r="A135" s="27" t="s">
        <v>5</v>
      </c>
      <c r="B135" s="27">
        <v>523849</v>
      </c>
      <c r="C135" s="27" t="s">
        <v>149</v>
      </c>
      <c r="D135" s="27">
        <v>0</v>
      </c>
      <c r="E135" s="28">
        <v>0</v>
      </c>
      <c r="F135" s="37">
        <v>1</v>
      </c>
      <c r="G135" s="37">
        <v>0</v>
      </c>
      <c r="H135" s="28">
        <v>0</v>
      </c>
      <c r="I135">
        <f t="shared" si="2"/>
        <v>0</v>
      </c>
    </row>
    <row r="136" spans="1:9">
      <c r="A136" s="27" t="s">
        <v>5</v>
      </c>
      <c r="B136" s="27">
        <v>526916</v>
      </c>
      <c r="C136" s="27" t="s">
        <v>150</v>
      </c>
      <c r="D136" s="27">
        <v>1</v>
      </c>
      <c r="E136" s="28">
        <v>0</v>
      </c>
      <c r="F136" s="37">
        <v>2</v>
      </c>
      <c r="G136" s="37">
        <v>3</v>
      </c>
      <c r="H136" s="28">
        <v>1</v>
      </c>
      <c r="I136">
        <f t="shared" si="2"/>
        <v>1</v>
      </c>
    </row>
    <row r="137" spans="1:9">
      <c r="A137" s="27" t="s">
        <v>5</v>
      </c>
      <c r="B137" s="27">
        <v>530334</v>
      </c>
      <c r="C137" s="27" t="s">
        <v>151</v>
      </c>
      <c r="D137" s="27">
        <v>0</v>
      </c>
      <c r="E137" s="28">
        <v>0</v>
      </c>
      <c r="F137" s="37">
        <v>1</v>
      </c>
      <c r="G137" s="37">
        <v>0</v>
      </c>
      <c r="H137" s="28">
        <v>0</v>
      </c>
      <c r="I137">
        <f t="shared" si="2"/>
        <v>0</v>
      </c>
    </row>
    <row r="138" spans="1:9">
      <c r="A138" s="27" t="s">
        <v>5</v>
      </c>
      <c r="B138" s="27">
        <v>543771</v>
      </c>
      <c r="C138" s="27" t="s">
        <v>152</v>
      </c>
      <c r="D138" s="27">
        <v>0</v>
      </c>
      <c r="E138" s="28">
        <v>1</v>
      </c>
      <c r="F138" s="37">
        <v>1</v>
      </c>
      <c r="G138" s="37">
        <v>0</v>
      </c>
      <c r="H138" s="28">
        <v>0</v>
      </c>
      <c r="I138">
        <f t="shared" si="2"/>
        <v>0</v>
      </c>
    </row>
    <row r="139" spans="1:9">
      <c r="A139" s="27" t="s">
        <v>5</v>
      </c>
      <c r="B139" s="27">
        <v>543826</v>
      </c>
      <c r="C139" s="27" t="s">
        <v>153</v>
      </c>
      <c r="D139" s="27">
        <v>1</v>
      </c>
      <c r="E139" s="28">
        <v>3</v>
      </c>
      <c r="F139" s="37">
        <v>0</v>
      </c>
      <c r="G139" s="37">
        <v>16</v>
      </c>
      <c r="H139" s="28">
        <v>16</v>
      </c>
      <c r="I139">
        <f t="shared" si="2"/>
        <v>1</v>
      </c>
    </row>
    <row r="140" spans="1:9">
      <c r="A140" s="27" t="s">
        <v>5</v>
      </c>
      <c r="B140" s="27">
        <v>546446</v>
      </c>
      <c r="C140" s="27" t="s">
        <v>154</v>
      </c>
      <c r="D140" s="27">
        <v>1</v>
      </c>
      <c r="E140" s="28">
        <v>0</v>
      </c>
      <c r="F140" s="37">
        <v>0</v>
      </c>
      <c r="G140" s="37">
        <v>1</v>
      </c>
      <c r="H140" s="28">
        <v>1</v>
      </c>
      <c r="I140">
        <f t="shared" si="2"/>
        <v>0</v>
      </c>
    </row>
    <row r="141" spans="1:9">
      <c r="A141" s="27" t="s">
        <v>5</v>
      </c>
      <c r="B141" s="27">
        <v>558955</v>
      </c>
      <c r="C141" s="27" t="s">
        <v>155</v>
      </c>
      <c r="D141" s="27">
        <v>0</v>
      </c>
      <c r="E141" s="28">
        <v>0</v>
      </c>
      <c r="F141" s="37">
        <v>0</v>
      </c>
      <c r="G141" s="37">
        <v>0</v>
      </c>
      <c r="H141" s="28">
        <v>0</v>
      </c>
      <c r="I141">
        <f t="shared" si="2"/>
        <v>0</v>
      </c>
    </row>
    <row r="142" spans="1:9">
      <c r="A142" s="27" t="s">
        <v>5</v>
      </c>
      <c r="B142" s="27">
        <v>562953</v>
      </c>
      <c r="C142" s="27" t="s">
        <v>156</v>
      </c>
      <c r="D142" s="27">
        <v>0</v>
      </c>
      <c r="E142" s="28">
        <v>0</v>
      </c>
      <c r="F142" s="37">
        <v>0</v>
      </c>
      <c r="G142" s="37">
        <v>0</v>
      </c>
      <c r="H142" s="28">
        <v>0</v>
      </c>
      <c r="I142">
        <f t="shared" si="2"/>
        <v>0</v>
      </c>
    </row>
    <row r="143" spans="1:9">
      <c r="A143" s="27" t="s">
        <v>5</v>
      </c>
      <c r="B143" s="27">
        <v>569298</v>
      </c>
      <c r="C143" s="27" t="s">
        <v>157</v>
      </c>
      <c r="D143" s="27">
        <v>0</v>
      </c>
      <c r="E143" s="28">
        <v>0</v>
      </c>
      <c r="F143" s="37">
        <v>1</v>
      </c>
      <c r="G143" s="37">
        <v>0</v>
      </c>
      <c r="H143" s="28">
        <v>0</v>
      </c>
      <c r="I143">
        <f t="shared" si="2"/>
        <v>0</v>
      </c>
    </row>
    <row r="144" spans="1:9">
      <c r="A144" s="27" t="s">
        <v>5</v>
      </c>
      <c r="B144" s="27">
        <v>574633</v>
      </c>
      <c r="C144" s="27" t="s">
        <v>158</v>
      </c>
      <c r="D144" s="27">
        <v>0</v>
      </c>
      <c r="E144" s="28">
        <v>0</v>
      </c>
      <c r="F144" s="37">
        <v>0</v>
      </c>
      <c r="G144" s="37">
        <v>0</v>
      </c>
      <c r="H144" s="28">
        <v>0</v>
      </c>
      <c r="I144">
        <f t="shared" si="2"/>
        <v>0</v>
      </c>
    </row>
    <row r="145" spans="1:9">
      <c r="A145" s="27" t="s">
        <v>5</v>
      </c>
      <c r="B145" s="27">
        <v>61688</v>
      </c>
      <c r="C145" s="27" t="s">
        <v>159</v>
      </c>
      <c r="D145" s="27">
        <v>1</v>
      </c>
      <c r="E145" s="28">
        <v>0</v>
      </c>
      <c r="F145" s="37">
        <v>1</v>
      </c>
      <c r="G145" s="37">
        <v>4</v>
      </c>
      <c r="H145" s="28">
        <v>3</v>
      </c>
      <c r="I145">
        <f t="shared" si="2"/>
        <v>1</v>
      </c>
    </row>
    <row r="146" spans="1:9">
      <c r="A146" s="27" t="s">
        <v>5</v>
      </c>
      <c r="B146" s="27" t="s">
        <v>160</v>
      </c>
      <c r="C146" s="27" t="s">
        <v>97</v>
      </c>
      <c r="D146" s="27">
        <v>0</v>
      </c>
      <c r="E146" s="28">
        <v>0</v>
      </c>
      <c r="F146" s="37">
        <v>0</v>
      </c>
      <c r="G146" s="37">
        <v>0</v>
      </c>
      <c r="H146" s="28">
        <v>0</v>
      </c>
      <c r="I146">
        <f t="shared" si="2"/>
        <v>0</v>
      </c>
    </row>
  </sheetData>
  <conditionalFormatting sqref="D1">
    <cfRule type="containsText" dxfId="1" priority="2" operator="containsText" text="Outlet Telco">
      <formula>NOT(ISERROR(SEARCH("Outlet Telco",D1)))</formula>
    </cfRule>
  </conditionalFormatting>
  <conditionalFormatting sqref="D2:D146">
    <cfRule type="cellIs" dxfId="0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TARGET</vt:lpstr>
      <vt:lpstr>BIO</vt:lpstr>
      <vt:lpstr>JULY VISIT</vt:lpstr>
      <vt:lpstr>MTD OSA | 3GB</vt:lpstr>
      <vt:lpstr>LMTD OSA | 3GB</vt:lpstr>
      <vt:lpstr>BIO WAHYU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</dc:creator>
  <cp:lastModifiedBy>AMN</cp:lastModifiedBy>
  <dcterms:created xsi:type="dcterms:W3CDTF">2026-07-18T05:26:14Z</dcterms:created>
  <dcterms:modified xsi:type="dcterms:W3CDTF">2026-07-23T08:34:39Z</dcterms:modified>
</cp:coreProperties>
</file>
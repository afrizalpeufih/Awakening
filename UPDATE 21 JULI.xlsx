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74FE83F5-628E-4D5C-BBC7-B8B17CEBB4E7}" xr6:coauthVersionLast="47" xr6:coauthVersionMax="47" xr10:uidLastSave="{00000000-0000-0000-0000-000000000000}"/>
  <bookViews>
    <workbookView xWindow="-120" yWindow="240" windowWidth="29040" windowHeight="16080" xr2:uid="{B793076F-8D73-466D-B30A-FF91CE4E6F62}"/>
  </bookViews>
  <sheets>
    <sheet name="DATA" sheetId="1" r:id="rId1"/>
    <sheet name="TARGET" sheetId="5" r:id="rId2"/>
    <sheet name="BIO" sheetId="4" r:id="rId3"/>
    <sheet name="MTD OSA | 3GB" sheetId="7" r:id="rId4"/>
    <sheet name="LMTD OSA | 3GB" sheetId="3" r:id="rId5"/>
    <sheet name="BIO WAHYU" sheetId="8" r:id="rId6"/>
  </sheets>
  <definedNames>
    <definedName name="_xlnm._FilterDatabase" localSheetId="5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K23" i="8"/>
  <c r="K26" i="8"/>
  <c r="K38" i="8"/>
  <c r="K62" i="8"/>
  <c r="K71" i="8"/>
  <c r="K74" i="8"/>
  <c r="K86" i="8"/>
  <c r="K110" i="8"/>
  <c r="K119" i="8"/>
  <c r="K122" i="8"/>
  <c r="K134" i="8"/>
  <c r="J3" i="8"/>
  <c r="K3" i="8" s="1"/>
  <c r="J4" i="8"/>
  <c r="K4" i="8" s="1"/>
  <c r="J5" i="8"/>
  <c r="K5" i="8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J24" i="8"/>
  <c r="K24" i="8" s="1"/>
  <c r="J25" i="8"/>
  <c r="K25" i="8" s="1"/>
  <c r="J26" i="8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7" i="8"/>
  <c r="K57" i="8" s="1"/>
  <c r="J58" i="8"/>
  <c r="K58" i="8" s="1"/>
  <c r="J59" i="8"/>
  <c r="K59" i="8" s="1"/>
  <c r="J60" i="8"/>
  <c r="K60" i="8" s="1"/>
  <c r="J61" i="8"/>
  <c r="K61" i="8" s="1"/>
  <c r="J62" i="8"/>
  <c r="J63" i="8"/>
  <c r="K63" i="8" s="1"/>
  <c r="J64" i="8"/>
  <c r="K64" i="8" s="1"/>
  <c r="J65" i="8"/>
  <c r="K65" i="8" s="1"/>
  <c r="J66" i="8"/>
  <c r="K66" i="8" s="1"/>
  <c r="J67" i="8"/>
  <c r="K67" i="8" s="1"/>
  <c r="J68" i="8"/>
  <c r="K68" i="8" s="1"/>
  <c r="J69" i="8"/>
  <c r="K69" i="8" s="1"/>
  <c r="J70" i="8"/>
  <c r="K70" i="8" s="1"/>
  <c r="J71" i="8"/>
  <c r="J72" i="8"/>
  <c r="K72" i="8" s="1"/>
  <c r="J73" i="8"/>
  <c r="K73" i="8" s="1"/>
  <c r="J74" i="8"/>
  <c r="J75" i="8"/>
  <c r="K75" i="8" s="1"/>
  <c r="J76" i="8"/>
  <c r="K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K84" i="8" s="1"/>
  <c r="J85" i="8"/>
  <c r="K85" i="8" s="1"/>
  <c r="J86" i="8"/>
  <c r="J87" i="8"/>
  <c r="K87" i="8" s="1"/>
  <c r="J88" i="8"/>
  <c r="K88" i="8" s="1"/>
  <c r="J89" i="8"/>
  <c r="K89" i="8" s="1"/>
  <c r="J90" i="8"/>
  <c r="K90" i="8" s="1"/>
  <c r="J91" i="8"/>
  <c r="K91" i="8" s="1"/>
  <c r="J92" i="8"/>
  <c r="K92" i="8" s="1"/>
  <c r="J93" i="8"/>
  <c r="K93" i="8" s="1"/>
  <c r="J94" i="8"/>
  <c r="K94" i="8" s="1"/>
  <c r="J95" i="8"/>
  <c r="K95" i="8" s="1"/>
  <c r="J96" i="8"/>
  <c r="K96" i="8" s="1"/>
  <c r="J97" i="8"/>
  <c r="K97" i="8" s="1"/>
  <c r="J98" i="8"/>
  <c r="K98" i="8" s="1"/>
  <c r="J99" i="8"/>
  <c r="K99" i="8" s="1"/>
  <c r="J100" i="8"/>
  <c r="K100" i="8" s="1"/>
  <c r="J101" i="8"/>
  <c r="K101" i="8" s="1"/>
  <c r="J102" i="8"/>
  <c r="K102" i="8" s="1"/>
  <c r="J103" i="8"/>
  <c r="K103" i="8" s="1"/>
  <c r="J104" i="8"/>
  <c r="K104" i="8" s="1"/>
  <c r="J105" i="8"/>
  <c r="K105" i="8" s="1"/>
  <c r="J106" i="8"/>
  <c r="K106" i="8" s="1"/>
  <c r="J107" i="8"/>
  <c r="K107" i="8" s="1"/>
  <c r="J108" i="8"/>
  <c r="K108" i="8" s="1"/>
  <c r="J109" i="8"/>
  <c r="K109" i="8" s="1"/>
  <c r="J110" i="8"/>
  <c r="J111" i="8"/>
  <c r="K111" i="8" s="1"/>
  <c r="J112" i="8"/>
  <c r="K112" i="8" s="1"/>
  <c r="J113" i="8"/>
  <c r="K113" i="8" s="1"/>
  <c r="J114" i="8"/>
  <c r="K114" i="8" s="1"/>
  <c r="J115" i="8"/>
  <c r="K115" i="8" s="1"/>
  <c r="J116" i="8"/>
  <c r="K116" i="8" s="1"/>
  <c r="J117" i="8"/>
  <c r="K117" i="8" s="1"/>
  <c r="J118" i="8"/>
  <c r="K118" i="8" s="1"/>
  <c r="J119" i="8"/>
  <c r="J120" i="8"/>
  <c r="K120" i="8" s="1"/>
  <c r="J121" i="8"/>
  <c r="K121" i="8" s="1"/>
  <c r="J122" i="8"/>
  <c r="J123" i="8"/>
  <c r="K123" i="8" s="1"/>
  <c r="J124" i="8"/>
  <c r="K124" i="8" s="1"/>
  <c r="J125" i="8"/>
  <c r="K125" i="8" s="1"/>
  <c r="J126" i="8"/>
  <c r="K126" i="8" s="1"/>
  <c r="J127" i="8"/>
  <c r="K127" i="8" s="1"/>
  <c r="J128" i="8"/>
  <c r="K128" i="8" s="1"/>
  <c r="J129" i="8"/>
  <c r="K129" i="8" s="1"/>
  <c r="J130" i="8"/>
  <c r="K130" i="8" s="1"/>
  <c r="J131" i="8"/>
  <c r="K131" i="8" s="1"/>
  <c r="J132" i="8"/>
  <c r="K132" i="8" s="1"/>
  <c r="J133" i="8"/>
  <c r="K133" i="8" s="1"/>
  <c r="J134" i="8"/>
  <c r="J135" i="8"/>
  <c r="K135" i="8" s="1"/>
  <c r="J136" i="8"/>
  <c r="K136" i="8" s="1"/>
  <c r="J137" i="8"/>
  <c r="K137" i="8" s="1"/>
  <c r="J138" i="8"/>
  <c r="K138" i="8" s="1"/>
  <c r="J139" i="8"/>
  <c r="K139" i="8" s="1"/>
  <c r="J140" i="8"/>
  <c r="K140" i="8" s="1"/>
  <c r="J141" i="8"/>
  <c r="K141" i="8" s="1"/>
  <c r="J142" i="8"/>
  <c r="K142" i="8" s="1"/>
  <c r="J143" i="8"/>
  <c r="K143" i="8" s="1"/>
  <c r="J144" i="8"/>
  <c r="K144" i="8" s="1"/>
  <c r="J145" i="8"/>
  <c r="K145" i="8" s="1"/>
  <c r="J146" i="8"/>
  <c r="K146" i="8" s="1"/>
  <c r="J2" i="8"/>
  <c r="K2" i="8" s="1"/>
  <c r="H146" i="8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C3" i="4"/>
  <c r="J105" i="1" s="1"/>
  <c r="C4" i="4"/>
  <c r="J70" i="1" s="1"/>
  <c r="C5" i="4"/>
  <c r="J101" i="1" s="1"/>
  <c r="C6" i="4"/>
  <c r="J98" i="1" s="1"/>
  <c r="C7" i="4"/>
  <c r="J130" i="1" s="1"/>
  <c r="C8" i="4"/>
  <c r="J54" i="1" s="1"/>
  <c r="C9" i="4"/>
  <c r="J74" i="1" s="1"/>
  <c r="C10" i="4"/>
  <c r="J39" i="1" s="1"/>
  <c r="C11" i="4"/>
  <c r="J143" i="1" s="1"/>
  <c r="C12" i="4"/>
  <c r="J125" i="1" s="1"/>
  <c r="C13" i="4"/>
  <c r="J141" i="1" s="1"/>
  <c r="C14" i="4"/>
  <c r="J11" i="1" s="1"/>
  <c r="C15" i="4"/>
  <c r="J32" i="1" s="1"/>
  <c r="C16" i="4"/>
  <c r="J27" i="1" s="1"/>
  <c r="C17" i="4"/>
  <c r="J14" i="1" s="1"/>
  <c r="C18" i="4"/>
  <c r="J65" i="1" s="1"/>
  <c r="C19" i="4"/>
  <c r="J106" i="1" s="1"/>
  <c r="C20" i="4"/>
  <c r="J138" i="1" s="1"/>
  <c r="C21" i="4"/>
  <c r="J53" i="1" s="1"/>
  <c r="C22" i="4"/>
  <c r="J126" i="1" s="1"/>
  <c r="C23" i="4"/>
  <c r="J131" i="1" s="1"/>
  <c r="C24" i="4"/>
  <c r="J50" i="1" s="1"/>
  <c r="C25" i="4"/>
  <c r="J96" i="1" s="1"/>
  <c r="C26" i="4"/>
  <c r="J59" i="1" s="1"/>
  <c r="C27" i="4"/>
  <c r="J84" i="1" s="1"/>
  <c r="C28" i="4"/>
  <c r="J87" i="1" s="1"/>
  <c r="C29" i="4"/>
  <c r="J107" i="1" s="1"/>
  <c r="C30" i="4"/>
  <c r="J15" i="1" s="1"/>
  <c r="C31" i="4"/>
  <c r="J88" i="1" s="1"/>
  <c r="C32" i="4"/>
  <c r="J58" i="1" s="1"/>
  <c r="C33" i="4"/>
  <c r="J81" i="1" s="1"/>
  <c r="C34" i="4"/>
  <c r="J36" i="1" s="1"/>
  <c r="C35" i="4"/>
  <c r="J129" i="1" s="1"/>
  <c r="C36" i="4"/>
  <c r="J132" i="1" s="1"/>
  <c r="C37" i="4"/>
  <c r="J2" i="1" s="1"/>
  <c r="C38" i="4"/>
  <c r="J17" i="1" s="1"/>
  <c r="C39" i="4"/>
  <c r="J78" i="1" s="1"/>
  <c r="C40" i="4"/>
  <c r="J112" i="1" s="1"/>
  <c r="C41" i="4"/>
  <c r="J45" i="1" s="1"/>
  <c r="C42" i="4"/>
  <c r="J28" i="1" s="1"/>
  <c r="C43" i="4"/>
  <c r="J3" i="1" s="1"/>
  <c r="C44" i="4"/>
  <c r="J77" i="1" s="1"/>
  <c r="C45" i="4"/>
  <c r="J76" i="1" s="1"/>
  <c r="C46" i="4"/>
  <c r="J38" i="1" s="1"/>
  <c r="C47" i="4"/>
  <c r="J9" i="1" s="1"/>
  <c r="C48" i="4"/>
  <c r="J19" i="1" s="1"/>
  <c r="C49" i="4"/>
  <c r="J68" i="1" s="1"/>
  <c r="C50" i="4"/>
  <c r="J137" i="1" s="1"/>
  <c r="C51" i="4"/>
  <c r="J63" i="1" s="1"/>
  <c r="C52" i="4"/>
  <c r="J42" i="1" s="1"/>
  <c r="C53" i="4"/>
  <c r="J46" i="1" s="1"/>
  <c r="C54" i="4"/>
  <c r="J48" i="1" s="1"/>
  <c r="C55" i="4"/>
  <c r="J117" i="1" s="1"/>
  <c r="C56" i="4"/>
  <c r="J44" i="1" s="1"/>
  <c r="C57" i="4"/>
  <c r="J37" i="1" s="1"/>
  <c r="C58" i="4"/>
  <c r="J135" i="1" s="1"/>
  <c r="C59" i="4"/>
  <c r="J8" i="1" s="1"/>
  <c r="C60" i="4"/>
  <c r="J26" i="1" s="1"/>
  <c r="C61" i="4"/>
  <c r="J16" i="1" s="1"/>
  <c r="C62" i="4"/>
  <c r="J29" i="1" s="1"/>
  <c r="C63" i="4"/>
  <c r="J104" i="1" s="1"/>
  <c r="C64" i="4"/>
  <c r="J109" i="1" s="1"/>
  <c r="C65" i="4"/>
  <c r="J13" i="1" s="1"/>
  <c r="C66" i="4"/>
  <c r="J119" i="1" s="1"/>
  <c r="C67" i="4"/>
  <c r="J127" i="1" s="1"/>
  <c r="C68" i="4"/>
  <c r="J113" i="1" s="1"/>
  <c r="C69" i="4"/>
  <c r="J57" i="1" s="1"/>
  <c r="C70" i="4"/>
  <c r="J47" i="1" s="1"/>
  <c r="C71" i="4"/>
  <c r="J66" i="1" s="1"/>
  <c r="C72" i="4"/>
  <c r="J144" i="1" s="1"/>
  <c r="C73" i="4"/>
  <c r="J145" i="1" s="1"/>
  <c r="C74" i="4"/>
  <c r="J90" i="1" s="1"/>
  <c r="C75" i="4"/>
  <c r="J5" i="1" s="1"/>
  <c r="C76" i="4"/>
  <c r="J56" i="1" s="1"/>
  <c r="C77" i="4"/>
  <c r="J103" i="1" s="1"/>
  <c r="C78" i="4"/>
  <c r="J30" i="1" s="1"/>
  <c r="C79" i="4"/>
  <c r="J41" i="1" s="1"/>
  <c r="C80" i="4"/>
  <c r="J67" i="1" s="1"/>
  <c r="C81" i="4"/>
  <c r="J62" i="1" s="1"/>
  <c r="C82" i="4"/>
  <c r="J64" i="1" s="1"/>
  <c r="C83" i="4"/>
  <c r="J118" i="1" s="1"/>
  <c r="C84" i="4"/>
  <c r="J139" i="1" s="1"/>
  <c r="C85" i="4"/>
  <c r="J146" i="1" s="1"/>
  <c r="C86" i="4"/>
  <c r="J21" i="1" s="1"/>
  <c r="C87" i="4"/>
  <c r="J43" i="1" s="1"/>
  <c r="C88" i="4"/>
  <c r="J51" i="1" s="1"/>
  <c r="C89" i="4"/>
  <c r="J108" i="1" s="1"/>
  <c r="C90" i="4"/>
  <c r="J124" i="1" s="1"/>
  <c r="C91" i="4"/>
  <c r="J92" i="1" s="1"/>
  <c r="C92" i="4"/>
  <c r="J4" i="1" s="1"/>
  <c r="C93" i="4"/>
  <c r="J111" i="1" s="1"/>
  <c r="C94" i="4"/>
  <c r="J60" i="1" s="1"/>
  <c r="C95" i="4"/>
  <c r="J91" i="1" s="1"/>
  <c r="C96" i="4"/>
  <c r="J18" i="1" s="1"/>
  <c r="C97" i="4"/>
  <c r="J69" i="1" s="1"/>
  <c r="C98" i="4"/>
  <c r="J55" i="1" s="1"/>
  <c r="C99" i="4"/>
  <c r="J100" i="1" s="1"/>
  <c r="C100" i="4"/>
  <c r="J20" i="1" s="1"/>
  <c r="C101" i="4"/>
  <c r="J89" i="1" s="1"/>
  <c r="C102" i="4"/>
  <c r="J133" i="1" s="1"/>
  <c r="C103" i="4"/>
  <c r="J49" i="1" s="1"/>
  <c r="C104" i="4"/>
  <c r="J140" i="1" s="1"/>
  <c r="C105" i="4"/>
  <c r="J114" i="1" s="1"/>
  <c r="C106" i="4"/>
  <c r="J34" i="1" s="1"/>
  <c r="C107" i="4"/>
  <c r="J94" i="1" s="1"/>
  <c r="C108" i="4"/>
  <c r="J7" i="1" s="1"/>
  <c r="C109" i="4"/>
  <c r="J24" i="1" s="1"/>
  <c r="C110" i="4"/>
  <c r="J121" i="1" s="1"/>
  <c r="C111" i="4"/>
  <c r="J82" i="1" s="1"/>
  <c r="C112" i="4"/>
  <c r="J40" i="1" s="1"/>
  <c r="C113" i="4"/>
  <c r="J25" i="1" s="1"/>
  <c r="C114" i="4"/>
  <c r="J61" i="1" s="1"/>
  <c r="C115" i="4"/>
  <c r="J33" i="1" s="1"/>
  <c r="C116" i="4"/>
  <c r="J35" i="1" s="1"/>
  <c r="C117" i="4"/>
  <c r="J86" i="1" s="1"/>
  <c r="C118" i="4"/>
  <c r="J52" i="1" s="1"/>
  <c r="C119" i="4"/>
  <c r="J97" i="1" s="1"/>
  <c r="C120" i="4"/>
  <c r="J99" i="1" s="1"/>
  <c r="C121" i="4"/>
  <c r="J10" i="1" s="1"/>
  <c r="C122" i="4"/>
  <c r="J6" i="1" s="1"/>
  <c r="C123" i="4"/>
  <c r="J95" i="1" s="1"/>
  <c r="C124" i="4"/>
  <c r="J93" i="1" s="1"/>
  <c r="C125" i="4"/>
  <c r="J110" i="1" s="1"/>
  <c r="C126" i="4"/>
  <c r="J123" i="1" s="1"/>
  <c r="C127" i="4"/>
  <c r="J80" i="1" s="1"/>
  <c r="C128" i="4"/>
  <c r="J72" i="1" s="1"/>
  <c r="C129" i="4"/>
  <c r="J134" i="1" s="1"/>
  <c r="C130" i="4"/>
  <c r="J122" i="1" s="1"/>
  <c r="C131" i="4"/>
  <c r="J142" i="1" s="1"/>
  <c r="C132" i="4"/>
  <c r="J79" i="1" s="1"/>
  <c r="C133" i="4"/>
  <c r="J71" i="1" s="1"/>
  <c r="C134" i="4"/>
  <c r="J23" i="1" s="1"/>
  <c r="C135" i="4"/>
  <c r="J22" i="1" s="1"/>
  <c r="C136" i="4"/>
  <c r="J85" i="1" s="1"/>
  <c r="C137" i="4"/>
  <c r="J73" i="1" s="1"/>
  <c r="C138" i="4"/>
  <c r="J83" i="1" s="1"/>
  <c r="C139" i="4"/>
  <c r="J120" i="1" s="1"/>
  <c r="C140" i="4"/>
  <c r="J136" i="1" s="1"/>
  <c r="C141" i="4"/>
  <c r="J31" i="1" s="1"/>
  <c r="C142" i="4"/>
  <c r="J128" i="1" s="1"/>
  <c r="C143" i="4"/>
  <c r="J115" i="1" s="1"/>
  <c r="C144" i="4"/>
  <c r="J12" i="1" s="1"/>
  <c r="C145" i="4"/>
  <c r="J75" i="1" s="1"/>
  <c r="C146" i="4"/>
  <c r="J102" i="1" s="1"/>
  <c r="C2" i="4"/>
  <c r="J116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L87" i="1" s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2" i="8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L60" i="1" l="1"/>
  <c r="L112" i="1"/>
  <c r="L40" i="1"/>
  <c r="L65" i="1"/>
  <c r="L5" i="1"/>
  <c r="L12" i="1"/>
  <c r="L28" i="1"/>
  <c r="L63" i="1"/>
  <c r="L113" i="1"/>
  <c r="L89" i="1"/>
  <c r="L53" i="1"/>
  <c r="L77" i="1"/>
  <c r="L52" i="1"/>
  <c r="L7" i="1"/>
  <c r="L43" i="1"/>
  <c r="L10" i="1"/>
  <c r="L91" i="1"/>
  <c r="L88" i="1"/>
  <c r="L76" i="1"/>
  <c r="L4" i="1"/>
  <c r="L55" i="1"/>
  <c r="L99" i="1"/>
  <c r="L135" i="1"/>
  <c r="L16" i="1"/>
  <c r="L124" i="1"/>
  <c r="L93" i="1"/>
  <c r="L140" i="1"/>
  <c r="L44" i="1"/>
  <c r="L139" i="1"/>
  <c r="L125" i="1"/>
  <c r="L92" i="1"/>
  <c r="L41" i="1"/>
  <c r="L100" i="1"/>
  <c r="L64" i="1"/>
  <c r="L108" i="1"/>
  <c r="L103" i="1"/>
  <c r="L45" i="1"/>
  <c r="L123" i="1"/>
  <c r="L111" i="1"/>
  <c r="L27" i="1"/>
  <c r="L58" i="1"/>
  <c r="L59" i="1"/>
  <c r="L107" i="1"/>
  <c r="L101" i="1"/>
  <c r="L75" i="1"/>
  <c r="L39" i="1"/>
  <c r="L15" i="1"/>
  <c r="L3" i="1"/>
  <c r="L51" i="1"/>
  <c r="L29" i="1"/>
  <c r="L137" i="1"/>
  <c r="L17" i="1"/>
  <c r="L11" i="1"/>
  <c r="L106" i="1"/>
  <c r="L82" i="1"/>
  <c r="L70" i="1"/>
  <c r="L34" i="1"/>
  <c r="L22" i="1"/>
  <c r="L141" i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<sst xmlns="http://schemas.openxmlformats.org/spreadsheetml/2006/main" count="1199" uniqueCount="192">
  <si>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</si>
  <si>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</si>
  <si>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</si>
  <si>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</si>
  <si>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</si>
  <si>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</si>
  <si>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</si>
  <si>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</si>
  <si>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</si>
  <si>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</si>
  <si>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</si>
  <si>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</si>
  <si>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</si>
  <si>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</si>
  <si>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</si>
  <si>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</si>
  <si>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</si>
  <si>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</si>
  <si>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</si>
  <si>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</si>
  <si>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</si>
  <si>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</si>
  <si>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</si>
  <si>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</si>
  <si>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</si>
  <si>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</si>
  <si>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</si>
  <si>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</si>
  <si>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</si>
  <si>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</si>
  <si>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</si>
  <si>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</si>
  <si>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</si>
  <si>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</si>
  <si>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</si>
  <si>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</si>
  <si>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</si>
  <si>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</si>
  <si>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</si>
  <si>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</si>
  <si>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</si>
  <si>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</si>
  <si>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</si>
  <si>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</si>
  <si>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</si>
  <si>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</si>
  <si>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</si>
  <si>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</si>
  <si>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</si>
  <si>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</si>
  <si>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</si>
  <si>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</si>
  <si>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</si>
  <si>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</si>
  <si>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</si>
  <si>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</si>
  <si>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</si>
  <si>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</si>
  <si>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</si>
  <si>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</si>
  <si>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</si>
  <si>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</si>
  <si>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</si>
  <si>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</si>
  <si>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</si>
  <si>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</si>
  <si>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</si>
  <si>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</si>
  <si>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</si>
  <si>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</si>
  <si>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</si>
  <si>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</si>
  <si>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</si>
  <si>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</si>
  <si>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</si>
  <si>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</si>
  <si>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</si>
  <si>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</si>
  <si>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</si>
  <si>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</si>
  <si>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</si>
  <si>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</si>
  <si>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</si>
  <si>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</si>
  <si>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</si>
  <si>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</si>
  <si>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</si>
  <si>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</si>
  <si>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</si>
  <si>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</si>
  <si>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</si>
  <si>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</si>
  <si>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</si>
  <si>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</si>
  <si>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</si>
  <si>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</si>
  <si>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</si>
  <si>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</si>
  <si>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</si>
  <si>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</si>
  <si>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</si>
  <si>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</si>
  <si>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</si>
  <si>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</si>
  <si>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</si>
  <si>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</si>
  <si>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</si>
  <si>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</si>
  <si>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</si>
  <si>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</si>
  <si>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</si>
  <si>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</si>
  <si>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</si>
  <si>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</si>
  <si>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</si>
  <si>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</si>
  <si>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</si>
  <si>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</si>
  <si>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</si>
  <si>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</si>
  <si>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</si>
  <si>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</si>
  <si>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</si>
  <si>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</si>
  <si>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</si>
  <si>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</si>
  <si>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</si>
  <si>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</si>
  <si>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</si>
  <si>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</si>
  <si>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</si>
  <si>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</si>
  <si>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</si>
  <si>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</si>
  <si>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</si>
  <si>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</si>
  <si>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</si>
  <si>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</si>
  <si>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</si>
  <si>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</si>
  <si>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</si>
  <si>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</si>
  <si>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</si>
  <si>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</si>
  <si>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</si>
  <si>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</si>
  <si>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</si>
  <si>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</si>
  <si>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</si>
  <si>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</si>
  <si>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</si>
  <si>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</si>
  <si>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</si>
  <si>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</si>
  <si>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</si>
  <si>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</si>
  <si>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</si>
  <si>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</si>
  <si>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</si>
  <si>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</si>
  <si>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</si>
  <si>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</si>
  <si>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</si>
  <si>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</si>
  <si>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</si>
  <si>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</si>
  <si>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</si>
  <si>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</si>
  <si>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</si>
  <si>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</si>
  <si>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</si>
  <si>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</si>
  <si>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</si>
  <si>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</si>
  <si>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</si>
  <si>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</si>
  <si>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</si>
  <si>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</si>
  <si>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</si>
  <si>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</si>
  <si>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</si>
  <si>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</si>
  <si>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</si>
  <si>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</si>
  <si>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 xml:space="preserve"> -   </t>
  </si>
  <si>
    <t>BIO JUNI AMBIL DI WAHYU</t>
  </si>
  <si>
    <t>Target INCREMENTAL</t>
  </si>
  <si>
    <t>Target VISIT</t>
  </si>
  <si>
    <t>3pcs</t>
  </si>
  <si>
    <t xml:space="preserve">Bio July ambil di </t>
  </si>
  <si>
    <t>Selisih</t>
  </si>
  <si>
    <t>RUSTAN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</si>
</sst>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3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5019CC4-02B2-43E1-96DB-4B33F471B016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dimension ref="A1:M146"/>
  <sheetViews>
    <sheetView tabSelected="1" topLeftCell="C109" workbookViewId="0">
      <selection activeCell="P133" sqref="P133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1765000</v>
      </c>
      <c r="J2" s="12">
        <f>INDEX(BIO!A:E,MATCH(DATA!D2,BIO!A:A,0),3)</f>
        <v>1</v>
      </c>
      <c r="K2" s="14">
        <f>INDEX(BIO!A:E,MATCH(DATA!D2,BIO!A:A,0),2)</f>
        <v>1</v>
      </c>
      <c r="L2" s="15">
        <f>IF(K2-J2&lt;=0,0,K2-J2)</f>
        <v>0</v>
      </c>
      <c r="M2" s="14">
        <f>INDEX('BIO WAHYU'!B:E,MATCH(DATA!D2,'BIO WAHYU'!B:B,0),4)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3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10</v>
      </c>
      <c r="L3" s="15">
        <f t="shared" ref="L3:L66" si="0">IF(K3-J3&lt;=0,0,K3-J3)</f>
        <v>9</v>
      </c>
      <c r="M3" s="14">
        <f>INDEX('BIO WAHYU'!B:E,MATCH(DATA!D3,'BIO WAHYU'!B:B,0),4)</f>
        <v>1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 t="str">
        <f>INDEX('MTD OSA | 3GB'!B:D,MATCH(DATA!D4,'MTD OSA | 3GB'!B:B,0),2)</f>
        <v xml:space="preserve"> -   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INDEX('BIO WAHYU'!B:E,MATCH(DATA!D4,'BIO WAHYU'!B:B,0),4)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3</v>
      </c>
      <c r="I5" s="12">
        <f>INDEX('MTD OSA | 3GB'!B:D,MATCH(DATA!D5,'MTD OSA | 3GB'!B:B,0),3)</f>
        <v>50000</v>
      </c>
      <c r="J5" s="12">
        <f>INDEX(BIO!A:E,MATCH(DATA!D5,BIO!A:A,0),3)</f>
        <v>1</v>
      </c>
      <c r="K5" s="14">
        <f>INDEX(BIO!A:E,MATCH(DATA!D5,BIO!A:A,0),2)</f>
        <v>1</v>
      </c>
      <c r="L5" s="15">
        <f t="shared" si="0"/>
        <v>0</v>
      </c>
      <c r="M5" s="14">
        <f>INDEX('BIO WAHYU'!B:E,MATCH(DATA!D5,'BIO WAHYU'!B:B,0),4)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1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1</v>
      </c>
      <c r="L6" s="15">
        <f t="shared" si="0"/>
        <v>0</v>
      </c>
      <c r="M6" s="14">
        <f>INDEX('BIO WAHYU'!B:E,MATCH(DATA!D6,'BIO WAHYU'!B:B,0),4)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 t="str">
        <f>INDEX('MTD OSA | 3GB'!B:D,MATCH(DATA!D7,'MTD OSA | 3GB'!B:B,0),2)</f>
        <v xml:space="preserve"> -   </v>
      </c>
      <c r="I7" s="12">
        <f>INDEX('MTD OSA | 3GB'!B:D,MATCH(DATA!D7,'MTD OSA | 3GB'!B:B,0),3)</f>
        <v>2000000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INDEX('BIO WAHYU'!B:E,MATCH(DATA!D7,'BIO WAHYU'!B:B,0),4)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 t="str">
        <f>INDEX('MTD OSA | 3GB'!B:D,MATCH(DATA!D8,'MTD OSA | 3GB'!B:B,0),2)</f>
        <v xml:space="preserve"> -   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0</v>
      </c>
      <c r="L8" s="15">
        <f t="shared" si="0"/>
        <v>0</v>
      </c>
      <c r="M8" s="14">
        <f>INDEX('BIO WAHYU'!B:E,MATCH(DATA!D8,'BIO WAHYU'!B:B,0),4)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 t="str">
        <f>INDEX('MTD OSA | 3GB'!B:D,MATCH(DATA!D9,'MTD OSA | 3GB'!B:B,0),2)</f>
        <v xml:space="preserve"> -   </v>
      </c>
      <c r="I9" s="12" t="str">
        <f>INDEX('MTD OSA | 3GB'!B:D,MATCH(DATA!D9,'MTD OSA | 3GB'!B:B,0),3)</f>
        <v xml:space="preserve"> -   </v>
      </c>
      <c r="J9" s="12">
        <f>INDEX(BIO!A:E,MATCH(DATA!D9,BIO!A:A,0),3)</f>
        <v>0</v>
      </c>
      <c r="K9" s="14">
        <f>INDEX(BIO!A:E,MATCH(DATA!D9,BIO!A:A,0),2)</f>
        <v>0</v>
      </c>
      <c r="L9" s="15">
        <f t="shared" si="0"/>
        <v>0</v>
      </c>
      <c r="M9" s="14">
        <f>INDEX('BIO WAHYU'!B:E,MATCH(DATA!D9,'BIO WAHYU'!B:B,0),4)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11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3</v>
      </c>
      <c r="L10" s="15">
        <f t="shared" si="0"/>
        <v>2</v>
      </c>
      <c r="M10" s="14">
        <f>INDEX('BIO WAHYU'!B:E,MATCH(DATA!D10,'BIO WAHYU'!B:B,0),4)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12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</v>
      </c>
      <c r="L11" s="15">
        <f t="shared" si="0"/>
        <v>0</v>
      </c>
      <c r="M11" s="14">
        <f>INDEX('BIO WAHYU'!B:E,MATCH(DATA!D11,'BIO WAHYU'!B:B,0),4)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 t="str">
        <f>INDEX('MTD OSA | 3GB'!B:D,MATCH(DATA!D12,'MTD OSA | 3GB'!B:B,0),2)</f>
        <v xml:space="preserve"> -   </v>
      </c>
      <c r="I12" s="12" t="str">
        <f>INDEX('MTD OSA | 3GB'!B:D,MATCH(DATA!D12,'MTD OSA | 3GB'!B:B,0),3)</f>
        <v xml:space="preserve"> -   </v>
      </c>
      <c r="J12" s="12">
        <f>INDEX(BIO!A:E,MATCH(DATA!D12,BIO!A:A,0),3)</f>
        <v>0</v>
      </c>
      <c r="K12" s="14">
        <f>INDEX(BIO!A:E,MATCH(DATA!D12,BIO!A:A,0),2)</f>
        <v>0</v>
      </c>
      <c r="L12" s="15">
        <f t="shared" si="0"/>
        <v>0</v>
      </c>
      <c r="M12" s="14">
        <f>INDEX('BIO WAHYU'!B:E,MATCH(DATA!D12,'BIO WAHYU'!B:B,0),4)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7</v>
      </c>
      <c r="I13" s="12">
        <f>INDEX('MTD OSA | 3GB'!B:D,MATCH(DATA!D13,'MTD OSA | 3GB'!B:B,0),3)</f>
        <v>7704500</v>
      </c>
      <c r="J13" s="12">
        <f>INDEX(BIO!A:E,MATCH(DATA!D13,BIO!A:A,0),3)</f>
        <v>1</v>
      </c>
      <c r="K13" s="14">
        <f>INDEX(BIO!A:E,MATCH(DATA!D13,BIO!A:A,0),2)</f>
        <v>1</v>
      </c>
      <c r="L13" s="15">
        <f t="shared" si="0"/>
        <v>0</v>
      </c>
      <c r="M13" s="14">
        <f>INDEX('BIO WAHYU'!B:E,MATCH(DATA!D13,'BIO WAHYU'!B:B,0),4)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79</v>
      </c>
      <c r="I14" s="12">
        <f>INDEX('MTD OSA | 3GB'!B:D,MATCH(DATA!D14,'MTD OSA | 3GB'!B:B,0),3)</f>
        <v>7460500</v>
      </c>
      <c r="J14" s="12">
        <f>INDEX(BIO!A:E,MATCH(DATA!D14,BIO!A:A,0),3)</f>
        <v>1</v>
      </c>
      <c r="K14" s="14">
        <f>INDEX(BIO!A:E,MATCH(DATA!D14,BIO!A:A,0),2)</f>
        <v>1</v>
      </c>
      <c r="L14" s="15">
        <f t="shared" si="0"/>
        <v>0</v>
      </c>
      <c r="M14" s="14">
        <f>INDEX('BIO WAHYU'!B:E,MATCH(DATA!D14,'BIO WAHYU'!B:B,0),4)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3</v>
      </c>
      <c r="I15" s="12">
        <f>INDEX('MTD OSA | 3GB'!B:D,MATCH(DATA!D15,'MTD OSA | 3GB'!B:B,0),3)</f>
        <v>200000</v>
      </c>
      <c r="J15" s="12">
        <f>INDEX(BIO!A:E,MATCH(DATA!D15,BIO!A:A,0),3)</f>
        <v>30</v>
      </c>
      <c r="K15" s="14">
        <f>INDEX(BIO!A:E,MATCH(DATA!D15,BIO!A:A,0),2)</f>
        <v>0</v>
      </c>
      <c r="L15" s="15">
        <f t="shared" si="0"/>
        <v>0</v>
      </c>
      <c r="M15" s="14">
        <f>INDEX('BIO WAHYU'!B:E,MATCH(DATA!D15,'BIO WAHYU'!B:B,0),4)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>
        <f>INDEX('MTD OSA | 3GB'!B:D,MATCH(DATA!D16,'MTD OSA | 3GB'!B:B,0),2)</f>
        <v>2</v>
      </c>
      <c r="I16" s="12">
        <f>INDEX('MTD OSA | 3GB'!B:D,MATCH(DATA!D16,'MTD OSA | 3GB'!B:B,0),3)</f>
        <v>20255350</v>
      </c>
      <c r="J16" s="12">
        <f>INDEX(BIO!A:E,MATCH(DATA!D16,BIO!A:A,0),3)</f>
        <v>1</v>
      </c>
      <c r="K16" s="14">
        <f>INDEX(BIO!A:E,MATCH(DATA!D16,BIO!A:A,0),2)</f>
        <v>0</v>
      </c>
      <c r="L16" s="15">
        <f t="shared" si="0"/>
        <v>0</v>
      </c>
      <c r="M16" s="14">
        <f>INDEX('BIO WAHYU'!B:E,MATCH(DATA!D16,'BIO WAHYU'!B:B,0),4)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 t="str">
        <f>INDEX('MTD OSA | 3GB'!B:D,MATCH(DATA!D17,'MTD OSA | 3GB'!B:B,0),2)</f>
        <v xml:space="preserve"> -   </v>
      </c>
      <c r="I17" s="12" t="str">
        <f>INDEX('MTD OSA | 3GB'!B:D,MATCH(DATA!D17,'MTD OSA | 3GB'!B:B,0),3)</f>
        <v xml:space="preserve"> -   </v>
      </c>
      <c r="J17" s="12">
        <f>INDEX(BIO!A:E,MATCH(DATA!D17,BIO!A:A,0),3)</f>
        <v>1</v>
      </c>
      <c r="K17" s="14">
        <f>INDEX(BIO!A:E,MATCH(DATA!D17,BIO!A:A,0),2)</f>
        <v>0</v>
      </c>
      <c r="L17" s="15">
        <f t="shared" si="0"/>
        <v>0</v>
      </c>
      <c r="M17" s="14">
        <f>INDEX('BIO WAHYU'!B:E,MATCH(DATA!D17,'BIO WAHYU'!B:B,0),4)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 t="str">
        <f>INDEX('MTD OSA | 3GB'!B:D,MATCH(DATA!D18,'MTD OSA | 3GB'!B:B,0),2)</f>
        <v xml:space="preserve"> -   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4</v>
      </c>
      <c r="L18" s="15">
        <f t="shared" si="0"/>
        <v>3</v>
      </c>
      <c r="M18" s="14">
        <f>INDEX('BIO WAHYU'!B:E,MATCH(DATA!D18,'BIO WAHYU'!B:B,0),4)</f>
        <v>1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5</v>
      </c>
      <c r="I19" s="12">
        <f>INDEX('MTD OSA | 3GB'!B:D,MATCH(DATA!D19,'MTD OSA | 3GB'!B:B,0),3)</f>
        <v>200000</v>
      </c>
      <c r="J19" s="12">
        <f>INDEX(BIO!A:E,MATCH(DATA!D19,BIO!A:A,0),3)</f>
        <v>1</v>
      </c>
      <c r="K19" s="14">
        <f>INDEX(BIO!A:E,MATCH(DATA!D19,BIO!A:A,0),2)</f>
        <v>2</v>
      </c>
      <c r="L19" s="15">
        <f t="shared" si="0"/>
        <v>1</v>
      </c>
      <c r="M19" s="14">
        <f>INDEX('BIO WAHYU'!B:E,MATCH(DATA!D19,'BIO WAHYU'!B:B,0),4)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1</v>
      </c>
      <c r="I20" s="12">
        <f>INDEX('MTD OSA | 3GB'!B:D,MATCH(DATA!D20,'MTD OSA | 3GB'!B:B,0),3)</f>
        <v>2542800</v>
      </c>
      <c r="J20" s="12">
        <f>INDEX(BIO!A:E,MATCH(DATA!D20,BIO!A:A,0),3)</f>
        <v>1</v>
      </c>
      <c r="K20" s="14">
        <f>INDEX(BIO!A:E,MATCH(DATA!D20,BIO!A:A,0),2)</f>
        <v>0</v>
      </c>
      <c r="L20" s="15">
        <f t="shared" si="0"/>
        <v>0</v>
      </c>
      <c r="M20" s="14">
        <f>INDEX('BIO WAHYU'!B:E,MATCH(DATA!D20,'BIO WAHYU'!B:B,0),4)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3</v>
      </c>
      <c r="I21" s="12">
        <f>INDEX('MTD OSA | 3GB'!B:D,MATCH(DATA!D21,'MTD OSA | 3GB'!B:B,0),3)</f>
        <v>2117000</v>
      </c>
      <c r="J21" s="12">
        <f>INDEX(BIO!A:E,MATCH(DATA!D21,BIO!A:A,0),3)</f>
        <v>1</v>
      </c>
      <c r="K21" s="14">
        <f>INDEX(BIO!A:E,MATCH(DATA!D21,BIO!A:A,0),2)</f>
        <v>0</v>
      </c>
      <c r="L21" s="15">
        <f t="shared" si="0"/>
        <v>0</v>
      </c>
      <c r="M21" s="14">
        <f>INDEX('BIO WAHYU'!B:E,MATCH(DATA!D21,'BIO WAHYU'!B:B,0),4)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 t="str">
        <f>INDEX('MTD OSA | 3GB'!B:D,MATCH(DATA!D22,'MTD OSA | 3GB'!B:B,0),2)</f>
        <v xml:space="preserve"> -   </v>
      </c>
      <c r="I22" s="12">
        <f>INDEX('MTD OSA | 3GB'!B:D,MATCH(DATA!D22,'MTD OSA | 3GB'!B:B,0),3)</f>
        <v>1000000</v>
      </c>
      <c r="J22" s="12">
        <f>INDEX(BIO!A:E,MATCH(DATA!D22,BIO!A:A,0),3)</f>
        <v>1</v>
      </c>
      <c r="K22" s="14">
        <f>INDEX(BIO!A:E,MATCH(DATA!D22,BIO!A:A,0),2)</f>
        <v>2</v>
      </c>
      <c r="L22" s="15">
        <f t="shared" si="0"/>
        <v>1</v>
      </c>
      <c r="M22" s="14">
        <f>INDEX('BIO WAHYU'!B:E,MATCH(DATA!D22,'BIO WAHYU'!B:B,0),4)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 t="str">
        <f>INDEX('MTD OSA | 3GB'!B:D,MATCH(DATA!D23,'MTD OSA | 3GB'!B:B,0),2)</f>
        <v xml:space="preserve"> -   </v>
      </c>
      <c r="I23" s="12">
        <f>INDEX('MTD OSA | 3GB'!B:D,MATCH(DATA!D23,'MTD OSA | 3GB'!B:B,0),3)</f>
        <v>766000</v>
      </c>
      <c r="J23" s="12">
        <f>INDEX(BIO!A:E,MATCH(DATA!D23,BIO!A:A,0),3)</f>
        <v>1</v>
      </c>
      <c r="K23" s="14">
        <f>INDEX(BIO!A:E,MATCH(DATA!D23,BIO!A:A,0),2)</f>
        <v>2</v>
      </c>
      <c r="L23" s="15">
        <f t="shared" si="0"/>
        <v>1</v>
      </c>
      <c r="M23" s="14">
        <f>INDEX('BIO WAHYU'!B:E,MATCH(DATA!D23,'BIO WAHYU'!B:B,0),4)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3000000</v>
      </c>
      <c r="J24" s="12">
        <f>INDEX(BIO!A:E,MATCH(DATA!D24,BIO!A:A,0),3)</f>
        <v>1</v>
      </c>
      <c r="K24" s="14">
        <f>INDEX(BIO!A:E,MATCH(DATA!D24,BIO!A:A,0),2)</f>
        <v>0</v>
      </c>
      <c r="L24" s="15">
        <f t="shared" si="0"/>
        <v>0</v>
      </c>
      <c r="M24" s="14">
        <f>INDEX('BIO WAHYU'!B:E,MATCH(DATA!D24,'BIO WAHYU'!B:B,0),4)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 t="str">
        <f>INDEX('MTD OSA | 3GB'!B:D,MATCH(DATA!D25,'MTD OSA | 3GB'!B:B,0),2)</f>
        <v xml:space="preserve"> -   </v>
      </c>
      <c r="I25" s="12">
        <f>INDEX('MTD OSA | 3GB'!B:D,MATCH(DATA!D25,'MTD OSA | 3GB'!B:B,0),3)</f>
        <v>1615000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INDEX('BIO WAHYU'!B:E,MATCH(DATA!D25,'BIO WAHYU'!B:B,0),4)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 t="str">
        <f>INDEX('MTD OSA | 3GB'!B:D,MATCH(DATA!D26,'MTD OSA | 3GB'!B:B,0),2)</f>
        <v xml:space="preserve"> -   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INDEX('BIO WAHYU'!B:E,MATCH(DATA!D26,'BIO WAHYU'!B:B,0),4)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1</v>
      </c>
      <c r="I27" s="12">
        <f>INDEX('MTD OSA | 3GB'!B:D,MATCH(DATA!D27,'MTD OSA | 3GB'!B:B,0),3)</f>
        <v>6000000</v>
      </c>
      <c r="J27" s="12">
        <f>INDEX(BIO!A:E,MATCH(DATA!D27,BIO!A:A,0),3)</f>
        <v>1</v>
      </c>
      <c r="K27" s="14">
        <f>INDEX(BIO!A:E,MATCH(DATA!D27,BIO!A:A,0),2)</f>
        <v>2</v>
      </c>
      <c r="L27" s="15">
        <f t="shared" si="0"/>
        <v>1</v>
      </c>
      <c r="M27" s="14">
        <f>INDEX('BIO WAHYU'!B:E,MATCH(DATA!D27,'BIO WAHYU'!B:B,0),4)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0</v>
      </c>
      <c r="L28" s="15">
        <f t="shared" si="0"/>
        <v>0</v>
      </c>
      <c r="M28" s="14">
        <f>INDEX('BIO WAHYU'!B:E,MATCH(DATA!D28,'BIO WAHYU'!B:B,0),4)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 t="str">
        <f>INDEX('MTD OSA | 3GB'!B:D,MATCH(DATA!D29,'MTD OSA | 3GB'!B:B,0),2)</f>
        <v xml:space="preserve"> -   </v>
      </c>
      <c r="I29" s="12">
        <f>INDEX('MTD OSA | 3GB'!B:D,MATCH(DATA!D29,'MTD OSA | 3GB'!B:B,0),3)</f>
        <v>1900000</v>
      </c>
      <c r="J29" s="12">
        <f>INDEX(BIO!A:E,MATCH(DATA!D29,BIO!A:A,0),3)</f>
        <v>1</v>
      </c>
      <c r="K29" s="14">
        <f>INDEX(BIO!A:E,MATCH(DATA!D29,BIO!A:A,0),2)</f>
        <v>0</v>
      </c>
      <c r="L29" s="15">
        <f t="shared" si="0"/>
        <v>0</v>
      </c>
      <c r="M29" s="14">
        <f>INDEX('BIO WAHYU'!B:E,MATCH(DATA!D29,'BIO WAHYU'!B:B,0),4)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 t="str">
        <f>INDEX('MTD OSA | 3GB'!B:D,MATCH(DATA!D30,'MTD OSA | 3GB'!B:B,0),2)</f>
        <v xml:space="preserve"> -   </v>
      </c>
      <c r="I30" s="12">
        <f>INDEX('MTD OSA | 3GB'!B:D,MATCH(DATA!D30,'MTD OSA | 3GB'!B:B,0),3)</f>
        <v>2700000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INDEX('BIO WAHYU'!B:E,MATCH(DATA!D30,'BIO WAHYU'!B:B,0),4)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>
        <f>INDEX('MTD OSA | 3GB'!B:D,MATCH(DATA!D31,'MTD OSA | 3GB'!B:B,0),2)</f>
        <v>2</v>
      </c>
      <c r="I31" s="12">
        <f>INDEX('MTD OSA | 3GB'!B:D,MATCH(DATA!D31,'MTD OSA | 3GB'!B:B,0),3)</f>
        <v>270500</v>
      </c>
      <c r="J31" s="12">
        <f>INDEX(BIO!A:E,MATCH(DATA!D31,BIO!A:A,0),3)</f>
        <v>1</v>
      </c>
      <c r="K31" s="14">
        <f>INDEX(BIO!A:E,MATCH(DATA!D31,BIO!A:A,0),2)</f>
        <v>0</v>
      </c>
      <c r="L31" s="15">
        <f t="shared" si="0"/>
        <v>0</v>
      </c>
      <c r="M31" s="14">
        <f>INDEX('BIO WAHYU'!B:E,MATCH(DATA!D31,'BIO WAHYU'!B:B,0),4)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 t="str">
        <f>INDEX('MTD OSA | 3GB'!B:D,MATCH(DATA!D32,'MTD OSA | 3GB'!B:B,0),2)</f>
        <v xml:space="preserve"> -   </v>
      </c>
      <c r="I32" s="12">
        <f>INDEX('MTD OSA | 3GB'!B:D,MATCH(DATA!D32,'MTD OSA | 3GB'!B:B,0),3)</f>
        <v>6500000</v>
      </c>
      <c r="J32" s="12">
        <f>INDEX(BIO!A:E,MATCH(DATA!D32,BIO!A:A,0),3)</f>
        <v>1</v>
      </c>
      <c r="K32" s="14">
        <f>INDEX(BIO!A:E,MATCH(DATA!D32,BIO!A:A,0),2)</f>
        <v>0</v>
      </c>
      <c r="L32" s="15">
        <f t="shared" si="0"/>
        <v>0</v>
      </c>
      <c r="M32" s="14">
        <f>INDEX('BIO WAHYU'!B:E,MATCH(DATA!D32,'BIO WAHYU'!B:B,0),4)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1</v>
      </c>
      <c r="L33" s="15">
        <f t="shared" si="0"/>
        <v>0</v>
      </c>
      <c r="M33" s="14">
        <f>INDEX('BIO WAHYU'!B:E,MATCH(DATA!D33,'BIO WAHYU'!B:B,0),4)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4</v>
      </c>
      <c r="I34" s="12">
        <f>INDEX('MTD OSA | 3GB'!B:D,MATCH(DATA!D34,'MTD OSA | 3GB'!B:B,0),3)</f>
        <v>1414000</v>
      </c>
      <c r="J34" s="12">
        <f>INDEX(BIO!A:E,MATCH(DATA!D34,BIO!A:A,0),3)</f>
        <v>1</v>
      </c>
      <c r="K34" s="14">
        <f>INDEX(BIO!A:E,MATCH(DATA!D34,BIO!A:A,0),2)</f>
        <v>10</v>
      </c>
      <c r="L34" s="15">
        <f t="shared" si="0"/>
        <v>9</v>
      </c>
      <c r="M34" s="14">
        <f>INDEX('BIO WAHYU'!B:E,MATCH(DATA!D34,'BIO WAHYU'!B:B,0),4)</f>
        <v>1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200000</v>
      </c>
      <c r="J35" s="12">
        <f>INDEX(BIO!A:E,MATCH(DATA!D35,BIO!A:A,0),3)</f>
        <v>2</v>
      </c>
      <c r="K35" s="14">
        <f>INDEX(BIO!A:E,MATCH(DATA!D35,BIO!A:A,0),2)</f>
        <v>1</v>
      </c>
      <c r="L35" s="15">
        <f t="shared" si="0"/>
        <v>0</v>
      </c>
      <c r="M35" s="14">
        <f>INDEX('BIO WAHYU'!B:E,MATCH(DATA!D35,'BIO WAHYU'!B:B,0),4)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 t="str">
        <f>INDEX('MTD OSA | 3GB'!B:D,MATCH(DATA!D36,'MTD OSA | 3GB'!B:B,0),2)</f>
        <v xml:space="preserve"> -   </v>
      </c>
      <c r="I36" s="12">
        <f>INDEX('MTD OSA | 3GB'!B:D,MATCH(DATA!D36,'MTD OSA | 3GB'!B:B,0),3)</f>
        <v>4150000</v>
      </c>
      <c r="J36" s="12">
        <f>INDEX(BIO!A:E,MATCH(DATA!D36,BIO!A:A,0),3)</f>
        <v>1</v>
      </c>
      <c r="K36" s="14">
        <f>INDEX(BIO!A:E,MATCH(DATA!D36,BIO!A:A,0),2)</f>
        <v>0</v>
      </c>
      <c r="L36" s="15">
        <f t="shared" si="0"/>
        <v>0</v>
      </c>
      <c r="M36" s="14">
        <f>INDEX('BIO WAHYU'!B:E,MATCH(DATA!D36,'BIO WAHYU'!B:B,0),4)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 t="str">
        <f>INDEX('MTD OSA | 3GB'!B:D,MATCH(DATA!D37,'MTD OSA | 3GB'!B:B,0),2)</f>
        <v xml:space="preserve"> -   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0</v>
      </c>
      <c r="L37" s="15">
        <f t="shared" si="0"/>
        <v>0</v>
      </c>
      <c r="M37" s="14">
        <f>INDEX('BIO WAHYU'!B:E,MATCH(DATA!D37,'BIO WAHYU'!B:B,0),4)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 t="str">
        <f>INDEX('MTD OSA | 3GB'!B:D,MATCH(DATA!D38,'MTD OSA | 3GB'!B:B,0),2)</f>
        <v xml:space="preserve"> -   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INDEX('BIO WAHYU'!B:E,MATCH(DATA!D38,'BIO WAHYU'!B:B,0),4)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 t="str">
        <f>INDEX('MTD OSA | 3GB'!B:D,MATCH(DATA!D39,'MTD OSA | 3GB'!B:B,0),2)</f>
        <v xml:space="preserve"> -   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0</v>
      </c>
      <c r="L39" s="15">
        <f t="shared" si="0"/>
        <v>0</v>
      </c>
      <c r="M39" s="14">
        <f>INDEX('BIO WAHYU'!B:E,MATCH(DATA!D39,'BIO WAHYU'!B:B,0),4)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1</v>
      </c>
      <c r="L40" s="15">
        <f t="shared" si="0"/>
        <v>0</v>
      </c>
      <c r="M40" s="14">
        <f>INDEX('BIO WAHYU'!B:E,MATCH(DATA!D40,'BIO WAHYU'!B:B,0),4)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 t="str">
        <f>INDEX('MTD OSA | 3GB'!B:D,MATCH(DATA!D41,'MTD OSA | 3GB'!B:B,0),2)</f>
        <v xml:space="preserve"> -   </v>
      </c>
      <c r="I41" s="12">
        <f>INDEX('MTD OSA | 3GB'!B:D,MATCH(DATA!D41,'MTD OSA | 3GB'!B:B,0),3)</f>
        <v>1800000</v>
      </c>
      <c r="J41" s="12">
        <f>INDEX(BIO!A:E,MATCH(DATA!D41,BIO!A:A,0),3)</f>
        <v>1</v>
      </c>
      <c r="K41" s="14">
        <f>INDEX(BIO!A:E,MATCH(DATA!D41,BIO!A:A,0),2)</f>
        <v>1</v>
      </c>
      <c r="L41" s="15">
        <f t="shared" si="0"/>
        <v>0</v>
      </c>
      <c r="M41" s="14">
        <f>INDEX('BIO WAHYU'!B:E,MATCH(DATA!D41,'BIO WAHYU'!B:B,0),4)</f>
        <v>3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1800000</v>
      </c>
      <c r="J42" s="12">
        <f>INDEX(BIO!A:E,MATCH(DATA!D42,BIO!A:A,0),3)</f>
        <v>1</v>
      </c>
      <c r="K42" s="14">
        <f>INDEX(BIO!A:E,MATCH(DATA!D42,BIO!A:A,0),2)</f>
        <v>3</v>
      </c>
      <c r="L42" s="15">
        <f t="shared" si="0"/>
        <v>2</v>
      </c>
      <c r="M42" s="14">
        <f>INDEX('BIO WAHYU'!B:E,MATCH(DATA!D42,'BIO WAHYU'!B:B,0),4)</f>
        <v>2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3</v>
      </c>
      <c r="I43" s="12">
        <f>INDEX('MTD OSA | 3GB'!B:D,MATCH(DATA!D43,'MTD OSA | 3GB'!B:B,0),3)</f>
        <v>450000</v>
      </c>
      <c r="J43" s="12">
        <f>INDEX(BIO!A:E,MATCH(DATA!D43,BIO!A:A,0),3)</f>
        <v>1</v>
      </c>
      <c r="K43" s="14">
        <f>INDEX(BIO!A:E,MATCH(DATA!D43,BIO!A:A,0),2)</f>
        <v>2</v>
      </c>
      <c r="L43" s="15">
        <f t="shared" si="0"/>
        <v>1</v>
      </c>
      <c r="M43" s="14">
        <f>INDEX('BIO WAHYU'!B:E,MATCH(DATA!D43,'BIO WAHYU'!B:B,0),4)</f>
        <v>1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 t="str">
        <f>INDEX('MTD OSA | 3GB'!B:D,MATCH(DATA!D44,'MTD OSA | 3GB'!B:B,0),2)</f>
        <v xml:space="preserve"> -   </v>
      </c>
      <c r="I44" s="12" t="str">
        <f>INDEX('MTD OSA | 3GB'!B:D,MATCH(DATA!D44,'MTD OSA | 3GB'!B:B,0),3)</f>
        <v xml:space="preserve"> -   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INDEX('BIO WAHYU'!B:E,MATCH(DATA!D44,'BIO WAHYU'!B:B,0),4)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 t="str">
        <f>INDEX('MTD OSA | 3GB'!B:D,MATCH(DATA!D45,'MTD OSA | 3GB'!B:B,0),2)</f>
        <v xml:space="preserve"> -   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0</v>
      </c>
      <c r="L45" s="15">
        <f t="shared" si="0"/>
        <v>0</v>
      </c>
      <c r="M45" s="14">
        <f>INDEX('BIO WAHYU'!B:E,MATCH(DATA!D45,'BIO WAHYU'!B:B,0),4)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0</v>
      </c>
      <c r="L46" s="15">
        <f t="shared" si="0"/>
        <v>0</v>
      </c>
      <c r="M46" s="14">
        <f>INDEX('BIO WAHYU'!B:E,MATCH(DATA!D46,'BIO WAHYU'!B:B,0),4)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 t="str">
        <f>INDEX('MTD OSA | 3GB'!B:D,MATCH(DATA!D47,'MTD OSA | 3GB'!B:B,0),2)</f>
        <v xml:space="preserve"> -   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INDEX('BIO WAHYU'!B:E,MATCH(DATA!D47,'BIO WAHYU'!B:B,0),4)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55</v>
      </c>
      <c r="I48" s="12">
        <f>INDEX('MTD OSA | 3GB'!B:D,MATCH(DATA!D48,'MTD OSA | 3GB'!B:B,0),3)</f>
        <v>24058000</v>
      </c>
      <c r="J48" s="12">
        <f>INDEX(BIO!A:E,MATCH(DATA!D48,BIO!A:A,0),3)</f>
        <v>2</v>
      </c>
      <c r="K48" s="14">
        <f>INDEX(BIO!A:E,MATCH(DATA!D48,BIO!A:A,0),2)</f>
        <v>5</v>
      </c>
      <c r="L48" s="15">
        <f t="shared" si="0"/>
        <v>3</v>
      </c>
      <c r="M48" s="14">
        <f>INDEX('BIO WAHYU'!B:E,MATCH(DATA!D48,'BIO WAHYU'!B:B,0),4)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10</v>
      </c>
      <c r="I49" s="12" t="str">
        <f>INDEX('MTD OSA | 3GB'!B:D,MATCH(DATA!D49,'MTD OSA | 3GB'!B:B,0),3)</f>
        <v xml:space="preserve"> -   </v>
      </c>
      <c r="J49" s="12">
        <f>INDEX(BIO!A:E,MATCH(DATA!D49,BIO!A:A,0),3)</f>
        <v>1</v>
      </c>
      <c r="K49" s="14">
        <f>INDEX(BIO!A:E,MATCH(DATA!D49,BIO!A:A,0),2)</f>
        <v>2</v>
      </c>
      <c r="L49" s="15">
        <f t="shared" si="0"/>
        <v>1</v>
      </c>
      <c r="M49" s="14">
        <f>INDEX('BIO WAHYU'!B:E,MATCH(DATA!D49,'BIO WAHYU'!B:B,0),4)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1</v>
      </c>
      <c r="L50" s="15">
        <f t="shared" si="0"/>
        <v>0</v>
      </c>
      <c r="M50" s="14">
        <f>INDEX('BIO WAHYU'!B:E,MATCH(DATA!D50,'BIO WAHYU'!B:B,0),4)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2</v>
      </c>
      <c r="I51" s="12">
        <f>INDEX('MTD OSA | 3GB'!B:D,MATCH(DATA!D51,'MTD OSA | 3GB'!B:B,0),3)</f>
        <v>7000</v>
      </c>
      <c r="J51" s="12">
        <f>INDEX(BIO!A:E,MATCH(DATA!D51,BIO!A:A,0),3)</f>
        <v>0</v>
      </c>
      <c r="K51" s="14">
        <f>INDEX(BIO!A:E,MATCH(DATA!D51,BIO!A:A,0),2)</f>
        <v>0</v>
      </c>
      <c r="L51" s="15">
        <f t="shared" si="0"/>
        <v>0</v>
      </c>
      <c r="M51" s="14">
        <f>INDEX('BIO WAHYU'!B:E,MATCH(DATA!D51,'BIO WAHYU'!B:B,0),4)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3</v>
      </c>
      <c r="I52" s="12" t="str">
        <f>INDEX('MTD OSA | 3GB'!B:D,MATCH(DATA!D52,'MTD OSA | 3GB'!B:B,0),3)</f>
        <v xml:space="preserve"> -   </v>
      </c>
      <c r="J52" s="12">
        <f>INDEX(BIO!A:E,MATCH(DATA!D52,BIO!A:A,0),3)</f>
        <v>2</v>
      </c>
      <c r="K52" s="14">
        <f>INDEX(BIO!A:E,MATCH(DATA!D52,BIO!A:A,0),2)</f>
        <v>1</v>
      </c>
      <c r="L52" s="15">
        <f t="shared" si="0"/>
        <v>0</v>
      </c>
      <c r="M52" s="14">
        <f>INDEX('BIO WAHYU'!B:E,MATCH(DATA!D52,'BIO WAHYU'!B:B,0),4)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 t="str">
        <f>INDEX('MTD OSA | 3GB'!B:D,MATCH(DATA!D53,'MTD OSA | 3GB'!B:B,0),2)</f>
        <v xml:space="preserve"> -   </v>
      </c>
      <c r="I53" s="12" t="str">
        <f>INDEX('MTD OSA | 3GB'!B:D,MATCH(DATA!D53,'MTD OSA | 3GB'!B:B,0),3)</f>
        <v xml:space="preserve"> -   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INDEX('BIO WAHYU'!B:E,MATCH(DATA!D53,'BIO WAHYU'!B:B,0),4)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3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0</v>
      </c>
      <c r="L54" s="15">
        <f t="shared" si="0"/>
        <v>0</v>
      </c>
      <c r="M54" s="14">
        <f>INDEX('BIO WAHYU'!B:E,MATCH(DATA!D54,'BIO WAHYU'!B:B,0),4)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37</v>
      </c>
      <c r="I55" s="12">
        <f>INDEX('MTD OSA | 3GB'!B:D,MATCH(DATA!D55,'MTD OSA | 3GB'!B:B,0),3)</f>
        <v>1175000</v>
      </c>
      <c r="J55" s="12">
        <f>INDEX(BIO!A:E,MATCH(DATA!D55,BIO!A:A,0),3)</f>
        <v>18</v>
      </c>
      <c r="K55" s="14">
        <f>INDEX(BIO!A:E,MATCH(DATA!D55,BIO!A:A,0),2)</f>
        <v>91</v>
      </c>
      <c r="L55" s="15">
        <f t="shared" si="0"/>
        <v>73</v>
      </c>
      <c r="M55" s="14">
        <f>INDEX('BIO WAHYU'!B:E,MATCH(DATA!D55,'BIO WAHYU'!B:B,0),4)</f>
        <v>3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3</v>
      </c>
      <c r="I56" s="12">
        <f>INDEX('MTD OSA | 3GB'!B:D,MATCH(DATA!D56,'MTD OSA | 3GB'!B:B,0),3)</f>
        <v>7000</v>
      </c>
      <c r="J56" s="12">
        <f>INDEX(BIO!A:E,MATCH(DATA!D56,BIO!A:A,0),3)</f>
        <v>0</v>
      </c>
      <c r="K56" s="14">
        <f>INDEX(BIO!A:E,MATCH(DATA!D56,BIO!A:A,0),2)</f>
        <v>0</v>
      </c>
      <c r="L56" s="15">
        <f t="shared" si="0"/>
        <v>0</v>
      </c>
      <c r="M56" s="14">
        <f>INDEX('BIO WAHYU'!B:E,MATCH(DATA!D56,'BIO WAHYU'!B:B,0),4)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 t="str">
        <f>INDEX('MTD OSA | 3GB'!B:D,MATCH(DATA!D57,'MTD OSA | 3GB'!B:B,0),2)</f>
        <v xml:space="preserve"> -   </v>
      </c>
      <c r="I57" s="12">
        <f>INDEX('MTD OSA | 3GB'!B:D,MATCH(DATA!D57,'MTD OSA | 3GB'!B:B,0),3)</f>
        <v>3000000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INDEX('BIO WAHYU'!B:E,MATCH(DATA!D57,'BIO WAHYU'!B:B,0),4)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3</v>
      </c>
      <c r="I58" s="12">
        <f>INDEX('MTD OSA | 3GB'!B:D,MATCH(DATA!D58,'MTD OSA | 3GB'!B:B,0),3)</f>
        <v>7000</v>
      </c>
      <c r="J58" s="12">
        <f>INDEX(BIO!A:E,MATCH(DATA!D58,BIO!A:A,0),3)</f>
        <v>0</v>
      </c>
      <c r="K58" s="14">
        <f>INDEX(BIO!A:E,MATCH(DATA!D58,BIO!A:A,0),2)</f>
        <v>0</v>
      </c>
      <c r="L58" s="15">
        <f t="shared" si="0"/>
        <v>0</v>
      </c>
      <c r="M58" s="14">
        <f>INDEX('BIO WAHYU'!B:E,MATCH(DATA!D58,'BIO WAHYU'!B:B,0),4)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 t="str">
        <f>INDEX('MTD OSA | 3GB'!B:D,MATCH(DATA!D59,'MTD OSA | 3GB'!B:B,0),2)</f>
        <v xml:space="preserve"> -   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0</v>
      </c>
      <c r="L59" s="15">
        <f t="shared" si="0"/>
        <v>0</v>
      </c>
      <c r="M59" s="14">
        <f>INDEX('BIO WAHYU'!B:E,MATCH(DATA!D59,'BIO WAHYU'!B:B,0),4)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>
        <f>INDEX('MTD OSA | 3GB'!B:D,MATCH(DATA!D60,'MTD OSA | 3GB'!B:B,0),2)</f>
        <v>3</v>
      </c>
      <c r="I60" s="12" t="str">
        <f>INDEX('MTD OSA | 3GB'!B:D,MATCH(DATA!D60,'MTD OSA | 3GB'!B:B,0),3)</f>
        <v xml:space="preserve"> -   </v>
      </c>
      <c r="J60" s="12">
        <f>INDEX(BIO!A:E,MATCH(DATA!D60,BIO!A:A,0),3)</f>
        <v>0</v>
      </c>
      <c r="K60" s="14">
        <f>INDEX(BIO!A:E,MATCH(DATA!D60,BIO!A:A,0),2)</f>
        <v>0</v>
      </c>
      <c r="L60" s="15">
        <f t="shared" si="0"/>
        <v>0</v>
      </c>
      <c r="M60" s="14">
        <f>INDEX('BIO WAHYU'!B:E,MATCH(DATA!D60,'BIO WAHYU'!B:B,0),4)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 t="str">
        <f>INDEX('MTD OSA | 3GB'!B:D,MATCH(DATA!D61,'MTD OSA | 3GB'!B:B,0),2)</f>
        <v xml:space="preserve"> -   </v>
      </c>
      <c r="I61" s="12">
        <f>INDEX('MTD OSA | 3GB'!B:D,MATCH(DATA!D61,'MTD OSA | 3GB'!B:B,0),3)</f>
        <v>1750000</v>
      </c>
      <c r="J61" s="12">
        <f>INDEX(BIO!A:E,MATCH(DATA!D61,BIO!A:A,0),3)</f>
        <v>1</v>
      </c>
      <c r="K61" s="14">
        <f>INDEX(BIO!A:E,MATCH(DATA!D61,BIO!A:A,0),2)</f>
        <v>1</v>
      </c>
      <c r="L61" s="15">
        <f t="shared" si="0"/>
        <v>0</v>
      </c>
      <c r="M61" s="14">
        <f>INDEX('BIO WAHYU'!B:E,MATCH(DATA!D61,'BIO WAHYU'!B:B,0),4)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3</v>
      </c>
      <c r="I62" s="12">
        <f>INDEX('MTD OSA | 3GB'!B:D,MATCH(DATA!D62,'MTD OSA | 3GB'!B:B,0),3)</f>
        <v>57000</v>
      </c>
      <c r="J62" s="12">
        <f>INDEX(BIO!A:E,MATCH(DATA!D62,BIO!A:A,0),3)</f>
        <v>1</v>
      </c>
      <c r="K62" s="14">
        <f>INDEX(BIO!A:E,MATCH(DATA!D62,BIO!A:A,0),2)</f>
        <v>0</v>
      </c>
      <c r="L62" s="15">
        <f t="shared" si="0"/>
        <v>0</v>
      </c>
      <c r="M62" s="14">
        <f>INDEX('BIO WAHYU'!B:E,MATCH(DATA!D62,'BIO WAHYU'!B:B,0),4)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 t="str">
        <f>INDEX('MTD OSA | 3GB'!B:D,MATCH(DATA!D63,'MTD OSA | 3GB'!B:B,0),2)</f>
        <v xml:space="preserve"> -   </v>
      </c>
      <c r="I63" s="12">
        <f>INDEX('MTD OSA | 3GB'!B:D,MATCH(DATA!D63,'MTD OSA | 3GB'!B:B,0),3)</f>
        <v>950000</v>
      </c>
      <c r="J63" s="12">
        <f>INDEX(BIO!A:E,MATCH(DATA!D63,BIO!A:A,0),3)</f>
        <v>1</v>
      </c>
      <c r="K63" s="14">
        <f>INDEX(BIO!A:E,MATCH(DATA!D63,BIO!A:A,0),2)</f>
        <v>2</v>
      </c>
      <c r="L63" s="15">
        <f t="shared" si="0"/>
        <v>1</v>
      </c>
      <c r="M63" s="14">
        <f>INDEX('BIO WAHYU'!B:E,MATCH(DATA!D63,'BIO WAHYU'!B:B,0),4)</f>
        <v>1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 t="str">
        <f>INDEX('MTD OSA | 3GB'!B:D,MATCH(DATA!D64,'MTD OSA | 3GB'!B:B,0),2)</f>
        <v xml:space="preserve"> -   </v>
      </c>
      <c r="I64" s="12">
        <f>INDEX('MTD OSA | 3GB'!B:D,MATCH(DATA!D64,'MTD OSA | 3GB'!B:B,0),3)</f>
        <v>7000000</v>
      </c>
      <c r="J64" s="12">
        <f>INDEX(BIO!A:E,MATCH(DATA!D64,BIO!A:A,0),3)</f>
        <v>1</v>
      </c>
      <c r="K64" s="14">
        <f>INDEX(BIO!A:E,MATCH(DATA!D64,BIO!A:A,0),2)</f>
        <v>1</v>
      </c>
      <c r="L64" s="15">
        <f t="shared" si="0"/>
        <v>0</v>
      </c>
      <c r="M64" s="14">
        <f>INDEX('BIO WAHYU'!B:E,MATCH(DATA!D64,'BIO WAHYU'!B:B,0),4)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3500000</v>
      </c>
      <c r="J65" s="12">
        <f>INDEX(BIO!A:E,MATCH(DATA!D65,BIO!A:A,0),3)</f>
        <v>1</v>
      </c>
      <c r="K65" s="14">
        <f>INDEX(BIO!A:E,MATCH(DATA!D65,BIO!A:A,0),2)</f>
        <v>0</v>
      </c>
      <c r="L65" s="15">
        <f t="shared" si="0"/>
        <v>0</v>
      </c>
      <c r="M65" s="14">
        <f>INDEX('BIO WAHYU'!B:E,MATCH(DATA!D65,'BIO WAHYU'!B:B,0),4)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20000000</v>
      </c>
      <c r="J66" s="12">
        <f>INDEX(BIO!A:E,MATCH(DATA!D66,BIO!A:A,0),3)</f>
        <v>4</v>
      </c>
      <c r="K66" s="14">
        <f>INDEX(BIO!A:E,MATCH(DATA!D66,BIO!A:A,0),2)</f>
        <v>21</v>
      </c>
      <c r="L66" s="15">
        <f t="shared" si="0"/>
        <v>17</v>
      </c>
      <c r="M66" s="14">
        <f>INDEX('BIO WAHYU'!B:E,MATCH(DATA!D66,'BIO WAHYU'!B:B,0),4)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 t="str">
        <f>INDEX('MTD OSA | 3GB'!B:D,MATCH(DATA!D67,'MTD OSA | 3GB'!B:B,0),2)</f>
        <v xml:space="preserve"> -   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0</v>
      </c>
      <c r="L67" s="15">
        <f t="shared" ref="L67:L130" si="1">IF(K67-J67&lt;=0,0,K67-J67)</f>
        <v>0</v>
      </c>
      <c r="M67" s="14">
        <f>INDEX('BIO WAHYU'!B:E,MATCH(DATA!D67,'BIO WAHYU'!B:B,0),4)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 t="str">
        <f>INDEX('MTD OSA | 3GB'!B:D,MATCH(DATA!D68,'MTD OSA | 3GB'!B:B,0),2)</f>
        <v xml:space="preserve"> -   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0</v>
      </c>
      <c r="L68" s="15">
        <f t="shared" si="1"/>
        <v>0</v>
      </c>
      <c r="M68" s="14">
        <f>INDEX('BIO WAHYU'!B:E,MATCH(DATA!D68,'BIO WAHYU'!B:B,0),4)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3250000</v>
      </c>
      <c r="J69" s="12">
        <f>INDEX(BIO!A:E,MATCH(DATA!D69,BIO!A:A,0),3)</f>
        <v>2</v>
      </c>
      <c r="K69" s="14">
        <f>INDEX(BIO!A:E,MATCH(DATA!D69,BIO!A:A,0),2)</f>
        <v>4</v>
      </c>
      <c r="L69" s="15">
        <f t="shared" si="1"/>
        <v>2</v>
      </c>
      <c r="M69" s="14">
        <f>INDEX('BIO WAHYU'!B:E,MATCH(DATA!D69,'BIO WAHYU'!B:B,0),4)</f>
        <v>6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 t="str">
        <f>INDEX('MTD OSA | 3GB'!B:D,MATCH(DATA!D70,'MTD OSA | 3GB'!B:B,0),2)</f>
        <v xml:space="preserve"> -   </v>
      </c>
      <c r="I70" s="12" t="str">
        <f>INDEX('MTD OSA | 3GB'!B:D,MATCH(DATA!D70,'MTD OSA | 3GB'!B:B,0),3)</f>
        <v xml:space="preserve"> -   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INDEX('BIO WAHYU'!B:E,MATCH(DATA!D70,'BIO WAHYU'!B:B,0),4)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2055000</v>
      </c>
      <c r="J71" s="12">
        <f>INDEX(BIO!A:E,MATCH(DATA!D71,BIO!A:A,0),3)</f>
        <v>2</v>
      </c>
      <c r="K71" s="14">
        <f>INDEX(BIO!A:E,MATCH(DATA!D71,BIO!A:A,0),2)</f>
        <v>1</v>
      </c>
      <c r="L71" s="15">
        <f t="shared" si="1"/>
        <v>0</v>
      </c>
      <c r="M71" s="14">
        <f>INDEX('BIO WAHYU'!B:E,MATCH(DATA!D71,'BIO WAHYU'!B:B,0),4)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6450000</v>
      </c>
      <c r="J72" s="12">
        <f>INDEX(BIO!A:E,MATCH(DATA!D72,BIO!A:A,0),3)</f>
        <v>1</v>
      </c>
      <c r="K72" s="14">
        <f>INDEX(BIO!A:E,MATCH(DATA!D72,BIO!A:A,0),2)</f>
        <v>2</v>
      </c>
      <c r="L72" s="15">
        <f t="shared" si="1"/>
        <v>1</v>
      </c>
      <c r="M72" s="14">
        <f>INDEX('BIO WAHYU'!B:E,MATCH(DATA!D72,'BIO WAHYU'!B:B,0),4)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2</v>
      </c>
      <c r="L73" s="15">
        <f t="shared" si="1"/>
        <v>1</v>
      </c>
      <c r="M73" s="14">
        <f>INDEX('BIO WAHYU'!B:E,MATCH(DATA!D73,'BIO WAHYU'!B:B,0),4)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3</v>
      </c>
      <c r="I74" s="12">
        <f>INDEX('MTD OSA | 3GB'!B:D,MATCH(DATA!D74,'MTD OSA | 3GB'!B:B,0),3)</f>
        <v>1600000</v>
      </c>
      <c r="J74" s="12">
        <f>INDEX(BIO!A:E,MATCH(DATA!D74,BIO!A:A,0),3)</f>
        <v>1</v>
      </c>
      <c r="K74" s="14">
        <f>INDEX(BIO!A:E,MATCH(DATA!D74,BIO!A:A,0),2)</f>
        <v>0</v>
      </c>
      <c r="L74" s="15">
        <f t="shared" si="1"/>
        <v>0</v>
      </c>
      <c r="M74" s="14">
        <f>INDEX('BIO WAHYU'!B:E,MATCH(DATA!D74,'BIO WAHYU'!B:B,0),4)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 t="str">
        <f>INDEX('MTD OSA | 3GB'!B:D,MATCH(DATA!D75,'MTD OSA | 3GB'!B:B,0),2)</f>
        <v xml:space="preserve"> -   </v>
      </c>
      <c r="I75" s="12">
        <f>INDEX('MTD OSA | 3GB'!B:D,MATCH(DATA!D75,'MTD OSA | 3GB'!B:B,0),3)</f>
        <v>200000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INDEX('BIO WAHYU'!B:E,MATCH(DATA!D75,'BIO WAHYU'!B:B,0),4)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4</v>
      </c>
      <c r="I76" s="12">
        <f>INDEX('MTD OSA | 3GB'!B:D,MATCH(DATA!D76,'MTD OSA | 3GB'!B:B,0),3)</f>
        <v>3200000</v>
      </c>
      <c r="J76" s="12">
        <f>INDEX(BIO!A:E,MATCH(DATA!D76,BIO!A:A,0),3)</f>
        <v>1</v>
      </c>
      <c r="K76" s="14">
        <f>INDEX(BIO!A:E,MATCH(DATA!D76,BIO!A:A,0),2)</f>
        <v>2</v>
      </c>
      <c r="L76" s="15">
        <f t="shared" si="1"/>
        <v>1</v>
      </c>
      <c r="M76" s="14">
        <f>INDEX('BIO WAHYU'!B:E,MATCH(DATA!D76,'BIO WAHYU'!B:B,0),4)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1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0</v>
      </c>
      <c r="L77" s="15">
        <f t="shared" si="1"/>
        <v>0</v>
      </c>
      <c r="M77" s="14">
        <f>INDEX('BIO WAHYU'!B:E,MATCH(DATA!D77,'BIO WAHYU'!B:B,0),4)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 t="str">
        <f>INDEX('MTD OSA | 3GB'!B:D,MATCH(DATA!D78,'MTD OSA | 3GB'!B:B,0),2)</f>
        <v xml:space="preserve"> -   </v>
      </c>
      <c r="I78" s="12">
        <f>INDEX('MTD OSA | 3GB'!B:D,MATCH(DATA!D78,'MTD OSA | 3GB'!B:B,0),3)</f>
        <v>7670000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INDEX('BIO WAHYU'!B:E,MATCH(DATA!D78,'BIO WAHYU'!B:B,0),4)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3</v>
      </c>
      <c r="I79" s="12" t="str">
        <f>INDEX('MTD OSA | 3GB'!B:D,MATCH(DATA!D79,'MTD OSA | 3GB'!B:B,0),3)</f>
        <v xml:space="preserve"> -   </v>
      </c>
      <c r="J79" s="12">
        <f>INDEX(BIO!A:E,MATCH(DATA!D79,BIO!A:A,0),3)</f>
        <v>0</v>
      </c>
      <c r="K79" s="14">
        <f>INDEX(BIO!A:E,MATCH(DATA!D79,BIO!A:A,0),2)</f>
        <v>1</v>
      </c>
      <c r="L79" s="15">
        <f t="shared" si="1"/>
        <v>1</v>
      </c>
      <c r="M79" s="14">
        <f>INDEX('BIO WAHYU'!B:E,MATCH(DATA!D79,'BIO WAHYU'!B:B,0),4)</f>
        <v>1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3</v>
      </c>
      <c r="I80" s="12" t="str">
        <f>INDEX('MTD OSA | 3GB'!B:D,MATCH(DATA!D80,'MTD OSA | 3GB'!B:B,0),3)</f>
        <v xml:space="preserve"> -   </v>
      </c>
      <c r="J80" s="12">
        <f>INDEX(BIO!A:E,MATCH(DATA!D80,BIO!A:A,0),3)</f>
        <v>1</v>
      </c>
      <c r="K80" s="14">
        <f>INDEX(BIO!A:E,MATCH(DATA!D80,BIO!A:A,0),2)</f>
        <v>0</v>
      </c>
      <c r="L80" s="15">
        <f t="shared" si="1"/>
        <v>0</v>
      </c>
      <c r="M80" s="14">
        <f>INDEX('BIO WAHYU'!B:E,MATCH(DATA!D80,'BIO WAHYU'!B:B,0),4)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6000000</v>
      </c>
      <c r="J81" s="12">
        <f>INDEX(BIO!A:E,MATCH(DATA!D81,BIO!A:A,0),3)</f>
        <v>1</v>
      </c>
      <c r="K81" s="14">
        <f>INDEX(BIO!A:E,MATCH(DATA!D81,BIO!A:A,0),2)</f>
        <v>1</v>
      </c>
      <c r="L81" s="15">
        <f t="shared" si="1"/>
        <v>0</v>
      </c>
      <c r="M81" s="14">
        <f>INDEX('BIO WAHYU'!B:E,MATCH(DATA!D81,'BIO WAHYU'!B:B,0),4)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1</v>
      </c>
      <c r="I82" s="12">
        <f>INDEX('MTD OSA | 3GB'!B:D,MATCH(DATA!D82,'MTD OSA | 3GB'!B:B,0),3)</f>
        <v>6734000</v>
      </c>
      <c r="J82" s="12">
        <f>INDEX(BIO!A:E,MATCH(DATA!D82,BIO!A:A,0),3)</f>
        <v>0</v>
      </c>
      <c r="K82" s="14">
        <f>INDEX(BIO!A:E,MATCH(DATA!D82,BIO!A:A,0),2)</f>
        <v>2</v>
      </c>
      <c r="L82" s="15">
        <f t="shared" si="1"/>
        <v>2</v>
      </c>
      <c r="M82" s="14">
        <f>INDEX('BIO WAHYU'!B:E,MATCH(DATA!D82,'BIO WAHYU'!B:B,0),4)</f>
        <v>5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3</v>
      </c>
      <c r="I83" s="12" t="str">
        <f>INDEX('MTD OSA | 3GB'!B:D,MATCH(DATA!D83,'MTD OSA | 3GB'!B:B,0),3)</f>
        <v xml:space="preserve"> -   </v>
      </c>
      <c r="J83" s="12">
        <f>INDEX(BIO!A:E,MATCH(DATA!D83,BIO!A:A,0),3)</f>
        <v>1</v>
      </c>
      <c r="K83" s="14">
        <f>INDEX(BIO!A:E,MATCH(DATA!D83,BIO!A:A,0),2)</f>
        <v>1</v>
      </c>
      <c r="L83" s="15">
        <f t="shared" si="1"/>
        <v>0</v>
      </c>
      <c r="M83" s="14">
        <f>INDEX('BIO WAHYU'!B:E,MATCH(DATA!D83,'BIO WAHYU'!B:B,0),4)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3</v>
      </c>
      <c r="I84" s="12" t="str">
        <f>INDEX('MTD OSA | 3GB'!B:D,MATCH(DATA!D84,'MTD OSA | 3GB'!B:B,0),3)</f>
        <v xml:space="preserve"> -   </v>
      </c>
      <c r="J84" s="12">
        <f>INDEX(BIO!A:E,MATCH(DATA!D84,BIO!A:A,0),3)</f>
        <v>1</v>
      </c>
      <c r="K84" s="14">
        <f>INDEX(BIO!A:E,MATCH(DATA!D84,BIO!A:A,0),2)</f>
        <v>2</v>
      </c>
      <c r="L84" s="15">
        <f t="shared" si="1"/>
        <v>1</v>
      </c>
      <c r="M84" s="14">
        <f>INDEX('BIO WAHYU'!B:E,MATCH(DATA!D84,'BIO WAHYU'!B:B,0),4)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 t="str">
        <f>INDEX('MTD OSA | 3GB'!B:D,MATCH(DATA!D85,'MTD OSA | 3GB'!B:B,0),2)</f>
        <v xml:space="preserve"> -   </v>
      </c>
      <c r="I85" s="12">
        <f>INDEX('MTD OSA | 3GB'!B:D,MATCH(DATA!D85,'MTD OSA | 3GB'!B:B,0),3)</f>
        <v>4250000</v>
      </c>
      <c r="J85" s="12">
        <f>INDEX(BIO!A:E,MATCH(DATA!D85,BIO!A:A,0),3)</f>
        <v>2</v>
      </c>
      <c r="K85" s="14">
        <f>INDEX(BIO!A:E,MATCH(DATA!D85,BIO!A:A,0),2)</f>
        <v>0</v>
      </c>
      <c r="L85" s="15">
        <f t="shared" si="1"/>
        <v>0</v>
      </c>
      <c r="M85" s="14">
        <f>INDEX('BIO WAHYU'!B:E,MATCH(DATA!D85,'BIO WAHYU'!B:B,0),4)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2</v>
      </c>
      <c r="I86" s="12">
        <f>INDEX('MTD OSA | 3GB'!B:D,MATCH(DATA!D86,'MTD OSA | 3GB'!B:B,0),3)</f>
        <v>13000000</v>
      </c>
      <c r="J86" s="12">
        <f>INDEX(BIO!A:E,MATCH(DATA!D86,BIO!A:A,0),3)</f>
        <v>1</v>
      </c>
      <c r="K86" s="14">
        <f>INDEX(BIO!A:E,MATCH(DATA!D86,BIO!A:A,0),2)</f>
        <v>0</v>
      </c>
      <c r="L86" s="15">
        <f t="shared" si="1"/>
        <v>0</v>
      </c>
      <c r="M86" s="14">
        <f>INDEX('BIO WAHYU'!B:E,MATCH(DATA!D86,'BIO WAHYU'!B:B,0),4)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11831000</v>
      </c>
      <c r="J87" s="12">
        <f>INDEX(BIO!A:E,MATCH(DATA!D87,BIO!A:A,0),3)</f>
        <v>0</v>
      </c>
      <c r="K87" s="14">
        <f>INDEX(BIO!A:E,MATCH(DATA!D87,BIO!A:A,0),2)</f>
        <v>34</v>
      </c>
      <c r="L87" s="15">
        <f t="shared" si="1"/>
        <v>34</v>
      </c>
      <c r="M87" s="14">
        <f>INDEX('BIO WAHYU'!B:E,MATCH(DATA!D87,'BIO WAHYU'!B:B,0),4)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 t="str">
        <f>INDEX('MTD OSA | 3GB'!B:D,MATCH(DATA!D88,'MTD OSA | 3GB'!B:B,0),2)</f>
        <v xml:space="preserve"> -   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2</v>
      </c>
      <c r="L88" s="15">
        <f t="shared" si="1"/>
        <v>1</v>
      </c>
      <c r="M88" s="14">
        <f>INDEX('BIO WAHYU'!B:E,MATCH(DATA!D88,'BIO WAHYU'!B:B,0),4)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 t="str">
        <f>INDEX('MTD OSA | 3GB'!B:D,MATCH(DATA!D89,'MTD OSA | 3GB'!B:B,0),2)</f>
        <v xml:space="preserve"> -   </v>
      </c>
      <c r="I89" s="12" t="str">
        <f>INDEX('MTD OSA | 3GB'!B:D,MATCH(DATA!D89,'MTD OSA | 3GB'!B:B,0),3)</f>
        <v xml:space="preserve"> -   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INDEX('BIO WAHYU'!B:E,MATCH(DATA!D89,'BIO WAHYU'!B:B,0),4)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 t="str">
        <f>INDEX('MTD OSA | 3GB'!B:D,MATCH(DATA!D90,'MTD OSA | 3GB'!B:B,0),2)</f>
        <v xml:space="preserve"> -   </v>
      </c>
      <c r="I90" s="12">
        <f>INDEX('MTD OSA | 3GB'!B:D,MATCH(DATA!D90,'MTD OSA | 3GB'!B:B,0),3)</f>
        <v>1300000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INDEX('BIO WAHYU'!B:E,MATCH(DATA!D90,'BIO WAHYU'!B:B,0),4)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 t="str">
        <f>INDEX('MTD OSA | 3GB'!B:D,MATCH(DATA!D91,'MTD OSA | 3GB'!B:B,0),2)</f>
        <v xml:space="preserve"> -   </v>
      </c>
      <c r="I91" s="12" t="str">
        <f>INDEX('MTD OSA | 3GB'!B:D,MATCH(DATA!D91,'MTD OSA | 3GB'!B:B,0),3)</f>
        <v xml:space="preserve"> -   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INDEX('BIO WAHYU'!B:E,MATCH(DATA!D91,'BIO WAHYU'!B:B,0),4)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 t="str">
        <f>INDEX('MTD OSA | 3GB'!B:D,MATCH(DATA!D92,'MTD OSA | 3GB'!B:B,0),2)</f>
        <v xml:space="preserve"> -   </v>
      </c>
      <c r="I92" s="12" t="str">
        <f>INDEX('MTD OSA | 3GB'!B:D,MATCH(DATA!D92,'MTD OSA | 3GB'!B:B,0),3)</f>
        <v xml:space="preserve"> -   </v>
      </c>
      <c r="J92" s="12">
        <f>INDEX(BIO!A:E,MATCH(DATA!D92,BIO!A:A,0),3)</f>
        <v>0</v>
      </c>
      <c r="K92" s="14">
        <f>INDEX(BIO!A:E,MATCH(DATA!D92,BIO!A:A,0),2)</f>
        <v>0</v>
      </c>
      <c r="L92" s="15">
        <f t="shared" si="1"/>
        <v>0</v>
      </c>
      <c r="M92" s="14">
        <f>INDEX('BIO WAHYU'!B:E,MATCH(DATA!D92,'BIO WAHYU'!B:B,0),4)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 t="str">
        <f>INDEX('MTD OSA | 3GB'!B:D,MATCH(DATA!D93,'MTD OSA | 3GB'!B:B,0),2)</f>
        <v xml:space="preserve"> -   </v>
      </c>
      <c r="I93" s="12" t="str">
        <f>INDEX('MTD OSA | 3GB'!B:D,MATCH(DATA!D93,'MTD OSA | 3GB'!B:B,0),3)</f>
        <v xml:space="preserve"> -   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INDEX('BIO WAHYU'!B:E,MATCH(DATA!D93,'BIO WAHYU'!B:B,0),4)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 t="str">
        <f>INDEX('MTD OSA | 3GB'!B:D,MATCH(DATA!D94,'MTD OSA | 3GB'!B:B,0),2)</f>
        <v xml:space="preserve"> -   </v>
      </c>
      <c r="I94" s="12" t="str">
        <f>INDEX('MTD OSA | 3GB'!B:D,MATCH(DATA!D94,'MTD OSA | 3GB'!B:B,0),3)</f>
        <v xml:space="preserve"> -   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INDEX('BIO WAHYU'!B:E,MATCH(DATA!D94,'BIO WAHYU'!B:B,0),4)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13609000</v>
      </c>
      <c r="J95" s="12">
        <f>INDEX(BIO!A:E,MATCH(DATA!D95,BIO!A:A,0),3)</f>
        <v>1</v>
      </c>
      <c r="K95" s="14">
        <f>INDEX(BIO!A:E,MATCH(DATA!D95,BIO!A:A,0),2)</f>
        <v>20</v>
      </c>
      <c r="L95" s="15">
        <f t="shared" si="1"/>
        <v>19</v>
      </c>
      <c r="M95" s="14">
        <f>INDEX('BIO WAHYU'!B:E,MATCH(DATA!D95,'BIO WAHYU'!B:B,0),4)</f>
        <v>3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 t="str">
        <f>INDEX('MTD OSA | 3GB'!B:D,MATCH(DATA!D96,'MTD OSA | 3GB'!B:B,0),2)</f>
        <v xml:space="preserve"> -   </v>
      </c>
      <c r="I96" s="12" t="str">
        <f>INDEX('MTD OSA | 3GB'!B:D,MATCH(DATA!D96,'MTD OSA | 3GB'!B:B,0),3)</f>
        <v xml:space="preserve"> -   </v>
      </c>
      <c r="J96" s="12">
        <f>INDEX(BIO!A:E,MATCH(DATA!D96,BIO!A:A,0),3)</f>
        <v>0</v>
      </c>
      <c r="K96" s="14">
        <f>INDEX(BIO!A:E,MATCH(DATA!D96,BIO!A:A,0),2)</f>
        <v>0</v>
      </c>
      <c r="L96" s="15">
        <f t="shared" si="1"/>
        <v>0</v>
      </c>
      <c r="M96" s="14">
        <f>INDEX('BIO WAHYU'!B:E,MATCH(DATA!D96,'BIO WAHYU'!B:B,0),4)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466000</v>
      </c>
      <c r="J97" s="12">
        <f>INDEX(BIO!A:E,MATCH(DATA!D97,BIO!A:A,0),3)</f>
        <v>1</v>
      </c>
      <c r="K97" s="14">
        <f>INDEX(BIO!A:E,MATCH(DATA!D97,BIO!A:A,0),2)</f>
        <v>3</v>
      </c>
      <c r="L97" s="15">
        <f t="shared" si="1"/>
        <v>2</v>
      </c>
      <c r="M97" s="14">
        <f>INDEX('BIO WAHYU'!B:E,MATCH(DATA!D97,'BIO WAHYU'!B:B,0),4)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 t="str">
        <f>INDEX('MTD OSA | 3GB'!B:D,MATCH(DATA!D98,'MTD OSA | 3GB'!B:B,0),2)</f>
        <v xml:space="preserve"> -   </v>
      </c>
      <c r="I98" s="12" t="str">
        <f>INDEX('MTD OSA | 3GB'!B:D,MATCH(DATA!D98,'MTD OSA | 3GB'!B:B,0),3)</f>
        <v xml:space="preserve"> -   </v>
      </c>
      <c r="J98" s="12">
        <f>INDEX(BIO!A:E,MATCH(DATA!D98,BIO!A:A,0),3)</f>
        <v>1</v>
      </c>
      <c r="K98" s="14">
        <f>INDEX(BIO!A:E,MATCH(DATA!D98,BIO!A:A,0),2)</f>
        <v>0</v>
      </c>
      <c r="L98" s="15">
        <f t="shared" si="1"/>
        <v>0</v>
      </c>
      <c r="M98" s="14">
        <f>INDEX('BIO WAHYU'!B:E,MATCH(DATA!D98,'BIO WAHYU'!B:B,0),4)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 t="str">
        <f>INDEX('MTD OSA | 3GB'!B:D,MATCH(DATA!D99,'MTD OSA | 3GB'!B:B,0),2)</f>
        <v xml:space="preserve"> -   </v>
      </c>
      <c r="I99" s="12" t="str">
        <f>INDEX('MTD OSA | 3GB'!B:D,MATCH(DATA!D99,'MTD OSA | 3GB'!B:B,0),3)</f>
        <v xml:space="preserve"> -   </v>
      </c>
      <c r="J99" s="12">
        <f>INDEX(BIO!A:E,MATCH(DATA!D99,BIO!A:A,0),3)</f>
        <v>0</v>
      </c>
      <c r="K99" s="14">
        <f>INDEX(BIO!A:E,MATCH(DATA!D99,BIO!A:A,0),2)</f>
        <v>2</v>
      </c>
      <c r="L99" s="15">
        <f t="shared" si="1"/>
        <v>2</v>
      </c>
      <c r="M99" s="14">
        <f>INDEX('BIO WAHYU'!B:E,MATCH(DATA!D99,'BIO WAHYU'!B:B,0),4)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21232000</v>
      </c>
      <c r="J100" s="12">
        <f>INDEX(BIO!A:E,MATCH(DATA!D100,BIO!A:A,0),3)</f>
        <v>3</v>
      </c>
      <c r="K100" s="14">
        <f>INDEX(BIO!A:E,MATCH(DATA!D100,BIO!A:A,0),2)</f>
        <v>21</v>
      </c>
      <c r="L100" s="15">
        <f t="shared" si="1"/>
        <v>18</v>
      </c>
      <c r="M100" s="14">
        <f>INDEX('BIO WAHYU'!B:E,MATCH(DATA!D100,'BIO WAHYU'!B:B,0),4)</f>
        <v>5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307</v>
      </c>
      <c r="I101" s="12">
        <f>INDEX('MTD OSA | 3GB'!B:D,MATCH(DATA!D101,'MTD OSA | 3GB'!B:B,0),3)</f>
        <v>21203000</v>
      </c>
      <c r="J101" s="12">
        <f>INDEX(BIO!A:E,MATCH(DATA!D101,BIO!A:A,0),3)</f>
        <v>2</v>
      </c>
      <c r="K101" s="14">
        <f>INDEX(BIO!A:E,MATCH(DATA!D101,BIO!A:A,0),2)</f>
        <v>90</v>
      </c>
      <c r="L101" s="15">
        <f t="shared" si="1"/>
        <v>88</v>
      </c>
      <c r="M101" s="14">
        <f>INDEX('BIO WAHYU'!B:E,MATCH(DATA!D101,'BIO WAHYU'!B:B,0),4)</f>
        <v>4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 t="str">
        <f>INDEX('MTD OSA | 3GB'!B:D,MATCH(DATA!D102,'MTD OSA | 3GB'!B:B,0),2)</f>
        <v xml:space="preserve"> -   </v>
      </c>
      <c r="I102" s="12" t="str">
        <f>INDEX('MTD OSA | 3GB'!B:D,MATCH(DATA!D102,'MTD OSA | 3GB'!B:B,0),3)</f>
        <v xml:space="preserve"> -   </v>
      </c>
      <c r="J102" s="12">
        <f>INDEX(BIO!A:E,MATCH(DATA!D102,BIO!A:A,0),3)</f>
        <v>0</v>
      </c>
      <c r="K102" s="14">
        <f>INDEX(BIO!A:E,MATCH(DATA!D102,BIO!A:A,0),2)</f>
        <v>0</v>
      </c>
      <c r="L102" s="15">
        <f t="shared" si="1"/>
        <v>0</v>
      </c>
      <c r="M102" s="14">
        <f>INDEX('BIO WAHYU'!B:E,MATCH(DATA!D102,'BIO WAHYU'!B:B,0),4)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 t="str">
        <f>INDEX('MTD OSA | 3GB'!B:D,MATCH(DATA!D103,'MTD OSA | 3GB'!B:B,0),2)</f>
        <v xml:space="preserve"> -   </v>
      </c>
      <c r="I103" s="12" t="str">
        <f>INDEX('MTD OSA | 3GB'!B:D,MATCH(DATA!D103,'MTD OSA | 3GB'!B:B,0),3)</f>
        <v xml:space="preserve"> -   </v>
      </c>
      <c r="J103" s="12">
        <f>INDEX(BIO!A:E,MATCH(DATA!D103,BIO!A:A,0),3)</f>
        <v>0</v>
      </c>
      <c r="K103" s="14">
        <f>INDEX(BIO!A:E,MATCH(DATA!D103,BIO!A:A,0),2)</f>
        <v>0</v>
      </c>
      <c r="L103" s="15">
        <f t="shared" si="1"/>
        <v>0</v>
      </c>
      <c r="M103" s="14">
        <f>INDEX('BIO WAHYU'!B:E,MATCH(DATA!D103,'BIO WAHYU'!B:B,0),4)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 t="str">
        <f>INDEX('MTD OSA | 3GB'!B:D,MATCH(DATA!D104,'MTD OSA | 3GB'!B:B,0),2)</f>
        <v xml:space="preserve"> -   </v>
      </c>
      <c r="I104" s="12" t="str">
        <f>INDEX('MTD OSA | 3GB'!B:D,MATCH(DATA!D104,'MTD OSA | 3GB'!B:B,0),3)</f>
        <v xml:space="preserve"> -   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INDEX('BIO WAHYU'!B:E,MATCH(DATA!D104,'BIO WAHYU'!B:B,0),4)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 t="str">
        <f>INDEX('MTD OSA | 3GB'!B:D,MATCH(DATA!D105,'MTD OSA | 3GB'!B:B,0),2)</f>
        <v xml:space="preserve"> -   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0</v>
      </c>
      <c r="L105" s="15">
        <f t="shared" si="1"/>
        <v>0</v>
      </c>
      <c r="M105" s="14">
        <f>INDEX('BIO WAHYU'!B:E,MATCH(DATA!D105,'BIO WAHYU'!B:B,0),4)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 t="str">
        <f>INDEX('MTD OSA | 3GB'!B:D,MATCH(DATA!D106,'MTD OSA | 3GB'!B:B,0),2)</f>
        <v xml:space="preserve"> -   </v>
      </c>
      <c r="I106" s="12">
        <f>INDEX('MTD OSA | 3GB'!B:D,MATCH(DATA!D106,'MTD OSA | 3GB'!B:B,0),3)</f>
        <v>1080000</v>
      </c>
      <c r="J106" s="12">
        <f>INDEX(BIO!A:E,MATCH(DATA!D106,BIO!A:A,0),3)</f>
        <v>1</v>
      </c>
      <c r="K106" s="14">
        <f>INDEX(BIO!A:E,MATCH(DATA!D106,BIO!A:A,0),2)</f>
        <v>5</v>
      </c>
      <c r="L106" s="15">
        <f t="shared" si="1"/>
        <v>4</v>
      </c>
      <c r="M106" s="14">
        <f>INDEX('BIO WAHYU'!B:E,MATCH(DATA!D106,'BIO WAHYU'!B:B,0),4)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 t="str">
        <f>INDEX('MTD OSA | 3GB'!B:D,MATCH(DATA!D107,'MTD OSA | 3GB'!B:B,0),2)</f>
        <v xml:space="preserve"> -   </v>
      </c>
      <c r="I107" s="12" t="str">
        <f>INDEX('MTD OSA | 3GB'!B:D,MATCH(DATA!D107,'MTD OSA | 3GB'!B:B,0),3)</f>
        <v xml:space="preserve"> -   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INDEX('BIO WAHYU'!B:E,MATCH(DATA!D107,'BIO WAHYU'!B:B,0),4)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8</v>
      </c>
      <c r="L108" s="15">
        <f t="shared" si="1"/>
        <v>7</v>
      </c>
      <c r="M108" s="14">
        <f>INDEX('BIO WAHYU'!B:E,MATCH(DATA!D108,'BIO WAHYU'!B:B,0),4)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42377000</v>
      </c>
      <c r="J109" s="12">
        <f>INDEX(BIO!A:E,MATCH(DATA!D109,BIO!A:A,0),3)</f>
        <v>1</v>
      </c>
      <c r="K109" s="14">
        <f>INDEX(BIO!A:E,MATCH(DATA!D109,BIO!A:A,0),2)</f>
        <v>0</v>
      </c>
      <c r="L109" s="15">
        <f t="shared" si="1"/>
        <v>0</v>
      </c>
      <c r="M109" s="14">
        <f>INDEX('BIO WAHYU'!B:E,MATCH(DATA!D109,'BIO WAHYU'!B:B,0),4)</f>
        <v>2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13</v>
      </c>
      <c r="I110" s="12">
        <f>INDEX('MTD OSA | 3GB'!B:D,MATCH(DATA!D110,'MTD OSA | 3GB'!B:B,0),3)</f>
        <v>15595000</v>
      </c>
      <c r="J110" s="12">
        <f>INDEX(BIO!A:E,MATCH(DATA!D110,BIO!A:A,0),3)</f>
        <v>1</v>
      </c>
      <c r="K110" s="14">
        <f>INDEX(BIO!A:E,MATCH(DATA!D110,BIO!A:A,0),2)</f>
        <v>2</v>
      </c>
      <c r="L110" s="15">
        <f t="shared" si="1"/>
        <v>1</v>
      </c>
      <c r="M110" s="14">
        <f>INDEX('BIO WAHYU'!B:E,MATCH(DATA!D110,'BIO WAHYU'!B:B,0),4)</f>
        <v>1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516000</v>
      </c>
      <c r="J111" s="12">
        <f>INDEX(BIO!A:E,MATCH(DATA!D111,BIO!A:A,0),3)</f>
        <v>1</v>
      </c>
      <c r="K111" s="14">
        <f>INDEX(BIO!A:E,MATCH(DATA!D111,BIO!A:A,0),2)</f>
        <v>0</v>
      </c>
      <c r="L111" s="15">
        <f t="shared" si="1"/>
        <v>0</v>
      </c>
      <c r="M111" s="14">
        <f>INDEX('BIO WAHYU'!B:E,MATCH(DATA!D111,'BIO WAHYU'!B:B,0),4)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4319000</v>
      </c>
      <c r="J112" s="12">
        <f>INDEX(BIO!A:E,MATCH(DATA!D112,BIO!A:A,0),3)</f>
        <v>2</v>
      </c>
      <c r="K112" s="14">
        <f>INDEX(BIO!A:E,MATCH(DATA!D112,BIO!A:A,0),2)</f>
        <v>14</v>
      </c>
      <c r="L112" s="15">
        <f t="shared" si="1"/>
        <v>12</v>
      </c>
      <c r="M112" s="14">
        <f>INDEX('BIO WAHYU'!B:E,MATCH(DATA!D112,'BIO WAHYU'!B:B,0),4)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 t="str">
        <f>INDEX('MTD OSA | 3GB'!B:D,MATCH(DATA!D113,'MTD OSA | 3GB'!B:B,0),2)</f>
        <v xml:space="preserve"> -   </v>
      </c>
      <c r="I113" s="12">
        <f>INDEX('MTD OSA | 3GB'!B:D,MATCH(DATA!D113,'MTD OSA | 3GB'!B:B,0),3)</f>
        <v>12365999</v>
      </c>
      <c r="J113" s="12">
        <f>INDEX(BIO!A:E,MATCH(DATA!D113,BIO!A:A,0),3)</f>
        <v>0</v>
      </c>
      <c r="K113" s="14">
        <f>INDEX(BIO!A:E,MATCH(DATA!D113,BIO!A:A,0),2)</f>
        <v>4</v>
      </c>
      <c r="L113" s="15">
        <f t="shared" si="1"/>
        <v>4</v>
      </c>
      <c r="M113" s="14">
        <f>INDEX('BIO WAHYU'!B:E,MATCH(DATA!D113,'BIO WAHYU'!B:B,0),4)</f>
        <v>1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 t="str">
        <f>INDEX('MTD OSA | 3GB'!B:D,MATCH(DATA!D114,'MTD OSA | 3GB'!B:B,0),2)</f>
        <v xml:space="preserve"> -   </v>
      </c>
      <c r="I114" s="12">
        <f>INDEX('MTD OSA | 3GB'!B:D,MATCH(DATA!D114,'MTD OSA | 3GB'!B:B,0),3)</f>
        <v>700000</v>
      </c>
      <c r="J114" s="12">
        <f>INDEX(BIO!A:E,MATCH(DATA!D114,BIO!A:A,0),3)</f>
        <v>1</v>
      </c>
      <c r="K114" s="14">
        <f>INDEX(BIO!A:E,MATCH(DATA!D114,BIO!A:A,0),2)</f>
        <v>0</v>
      </c>
      <c r="L114" s="15">
        <f t="shared" si="1"/>
        <v>0</v>
      </c>
      <c r="M114" s="14">
        <f>INDEX('BIO WAHYU'!B:E,MATCH(DATA!D114,'BIO WAHYU'!B:B,0),4)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 t="str">
        <f>INDEX('MTD OSA | 3GB'!B:D,MATCH(DATA!D115,'MTD OSA | 3GB'!B:B,0),2)</f>
        <v xml:space="preserve"> -   </v>
      </c>
      <c r="I115" s="12">
        <f>INDEX('MTD OSA | 3GB'!B:D,MATCH(DATA!D115,'MTD OSA | 3GB'!B:B,0),3)</f>
        <v>10000000</v>
      </c>
      <c r="J115" s="12">
        <f>INDEX(BIO!A:E,MATCH(DATA!D115,BIO!A:A,0),3)</f>
        <v>0</v>
      </c>
      <c r="K115" s="14">
        <f>INDEX(BIO!A:E,MATCH(DATA!D115,BIO!A:A,0),2)</f>
        <v>0</v>
      </c>
      <c r="L115" s="15">
        <f t="shared" si="1"/>
        <v>0</v>
      </c>
      <c r="M115" s="14">
        <f>INDEX('BIO WAHYU'!B:E,MATCH(DATA!D115,'BIO WAHYU'!B:B,0),4)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6895000</v>
      </c>
      <c r="J116" s="12">
        <f>INDEX(BIO!A:E,MATCH(DATA!D116,BIO!A:A,0),3)</f>
        <v>1</v>
      </c>
      <c r="K116" s="14">
        <f>INDEX(BIO!A:E,MATCH(DATA!D116,BIO!A:A,0),2)</f>
        <v>1</v>
      </c>
      <c r="L116" s="15">
        <f t="shared" si="1"/>
        <v>0</v>
      </c>
      <c r="M116" s="14">
        <f>INDEX('BIO WAHYU'!B:E,MATCH(DATA!D116,'BIO WAHYU'!B:B,0),4)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 t="str">
        <f>INDEX('MTD OSA | 3GB'!B:D,MATCH(DATA!D117,'MTD OSA | 3GB'!B:B,0),2)</f>
        <v xml:space="preserve"> -   </v>
      </c>
      <c r="I117" s="12">
        <f>INDEX('MTD OSA | 3GB'!B:D,MATCH(DATA!D117,'MTD OSA | 3GB'!B:B,0),3)</f>
        <v>600000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INDEX('BIO WAHYU'!B:E,MATCH(DATA!D117,'BIO WAHYU'!B:B,0),4)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2587000</v>
      </c>
      <c r="J118" s="12">
        <f>INDEX(BIO!A:E,MATCH(DATA!D118,BIO!A:A,0),3)</f>
        <v>2</v>
      </c>
      <c r="K118" s="14">
        <f>INDEX(BIO!A:E,MATCH(DATA!D118,BIO!A:A,0),2)</f>
        <v>1</v>
      </c>
      <c r="L118" s="15">
        <f t="shared" si="1"/>
        <v>0</v>
      </c>
      <c r="M118" s="14">
        <f>INDEX('BIO WAHYU'!B:E,MATCH(DATA!D118,'BIO WAHYU'!B:B,0),4)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1616000</v>
      </c>
      <c r="J119" s="12">
        <f>INDEX(BIO!A:E,MATCH(DATA!D119,BIO!A:A,0),3)</f>
        <v>1</v>
      </c>
      <c r="K119" s="14">
        <f>INDEX(BIO!A:E,MATCH(DATA!D119,BIO!A:A,0),2)</f>
        <v>0</v>
      </c>
      <c r="L119" s="15">
        <f t="shared" si="1"/>
        <v>0</v>
      </c>
      <c r="M119" s="14">
        <f>INDEX('BIO WAHYU'!B:E,MATCH(DATA!D119,'BIO WAHYU'!B:B,0),4)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 t="str">
        <f>INDEX('MTD OSA | 3GB'!B:D,MATCH(DATA!D120,'MTD OSA | 3GB'!B:B,0),2)</f>
        <v xml:space="preserve"> -   </v>
      </c>
      <c r="I120" s="12">
        <f>INDEX('MTD OSA | 3GB'!B:D,MATCH(DATA!D120,'MTD OSA | 3GB'!B:B,0),3)</f>
        <v>600000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INDEX('BIO WAHYU'!B:E,MATCH(DATA!D120,'BIO WAHYU'!B:B,0),4)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 t="str">
        <f>INDEX('MTD OSA | 3GB'!B:D,MATCH(DATA!D121,'MTD OSA | 3GB'!B:B,0),2)</f>
        <v xml:space="preserve"> -   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INDEX('BIO WAHYU'!B:E,MATCH(DATA!D121,'BIO WAHYU'!B:B,0),4)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 t="str">
        <f>INDEX('MTD OSA | 3GB'!B:D,MATCH(DATA!D122,'MTD OSA | 3GB'!B:B,0),2)</f>
        <v xml:space="preserve"> -   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0</v>
      </c>
      <c r="L122" s="15">
        <f t="shared" si="1"/>
        <v>0</v>
      </c>
      <c r="M122" s="14">
        <f>INDEX('BIO WAHYU'!B:E,MATCH(DATA!D122,'BIO WAHYU'!B:B,0),4)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 t="str">
        <f>INDEX('MTD OSA | 3GB'!B:D,MATCH(DATA!D123,'MTD OSA | 3GB'!B:B,0),2)</f>
        <v xml:space="preserve"> -   </v>
      </c>
      <c r="I123" s="12">
        <f>INDEX('MTD OSA | 3GB'!B:D,MATCH(DATA!D123,'MTD OSA | 3GB'!B:B,0),3)</f>
        <v>200000</v>
      </c>
      <c r="J123" s="12">
        <f>INDEX(BIO!A:E,MATCH(DATA!D123,BIO!A:A,0),3)</f>
        <v>1</v>
      </c>
      <c r="K123" s="14">
        <f>INDEX(BIO!A:E,MATCH(DATA!D123,BIO!A:A,0),2)</f>
        <v>1</v>
      </c>
      <c r="L123" s="15">
        <f t="shared" si="1"/>
        <v>0</v>
      </c>
      <c r="M123" s="14">
        <f>INDEX('BIO WAHYU'!B:E,MATCH(DATA!D123,'BIO WAHYU'!B:B,0),4)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 t="str">
        <f>INDEX('MTD OSA | 3GB'!B:D,MATCH(DATA!D124,'MTD OSA | 3GB'!B:B,0),2)</f>
        <v xml:space="preserve"> -   </v>
      </c>
      <c r="I124" s="12" t="str">
        <f>INDEX('MTD OSA | 3GB'!B:D,MATCH(DATA!D124,'MTD OSA | 3GB'!B:B,0),3)</f>
        <v xml:space="preserve"> -   </v>
      </c>
      <c r="J124" s="12">
        <f>INDEX(BIO!A:E,MATCH(DATA!D124,BIO!A:A,0),3)</f>
        <v>0</v>
      </c>
      <c r="K124" s="14">
        <f>INDEX(BIO!A:E,MATCH(DATA!D124,BIO!A:A,0),2)</f>
        <v>0</v>
      </c>
      <c r="L124" s="15">
        <f t="shared" si="1"/>
        <v>0</v>
      </c>
      <c r="M124" s="14">
        <f>INDEX('BIO WAHYU'!B:E,MATCH(DATA!D124,'BIO WAHYU'!B:B,0),4)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 t="str">
        <f>INDEX('MTD OSA | 3GB'!B:D,MATCH(DATA!D125,'MTD OSA | 3GB'!B:B,0),2)</f>
        <v xml:space="preserve"> -   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INDEX('BIO WAHYU'!B:E,MATCH(DATA!D125,'BIO WAHYU'!B:B,0),4)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 t="str">
        <f>INDEX('MTD OSA | 3GB'!B:D,MATCH(DATA!D126,'MTD OSA | 3GB'!B:B,0),2)</f>
        <v xml:space="preserve"> -   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1</v>
      </c>
      <c r="L126" s="15">
        <f t="shared" si="1"/>
        <v>1</v>
      </c>
      <c r="M126" s="14">
        <f>INDEX('BIO WAHYU'!B:E,MATCH(DATA!D126,'BIO WAHYU'!B:B,0),4)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 t="str">
        <f>INDEX('MTD OSA | 3GB'!B:D,MATCH(DATA!D127,'MTD OSA | 3GB'!B:B,0),2)</f>
        <v xml:space="preserve"> -   </v>
      </c>
      <c r="I127" s="12">
        <f>INDEX('MTD OSA | 3GB'!B:D,MATCH(DATA!D127,'MTD OSA | 3GB'!B:B,0),3)</f>
        <v>3300000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INDEX('BIO WAHYU'!B:E,MATCH(DATA!D127,'BIO WAHYU'!B:B,0),4)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 t="str">
        <f>INDEX('MTD OSA | 3GB'!B:D,MATCH(DATA!D128,'MTD OSA | 3GB'!B:B,0),2)</f>
        <v xml:space="preserve"> -   </v>
      </c>
      <c r="I128" s="12" t="str">
        <f>INDEX('MTD OSA | 3GB'!B:D,MATCH(DATA!D128,'MTD OSA | 3GB'!B:B,0),3)</f>
        <v xml:space="preserve"> -   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INDEX('BIO WAHYU'!B:E,MATCH(DATA!D128,'BIO WAHYU'!B:B,0),4)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 t="str">
        <f>INDEX('MTD OSA | 3GB'!B:D,MATCH(DATA!D129,'MTD OSA | 3GB'!B:B,0),2)</f>
        <v xml:space="preserve"> -   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INDEX('BIO WAHYU'!B:E,MATCH(DATA!D129,'BIO WAHYU'!B:B,0),4)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616000</v>
      </c>
      <c r="J130" s="12">
        <f>INDEX(BIO!A:E,MATCH(DATA!D130,BIO!A:A,0),3)</f>
        <v>1</v>
      </c>
      <c r="K130" s="14">
        <f>INDEX(BIO!A:E,MATCH(DATA!D130,BIO!A:A,0),2)</f>
        <v>3</v>
      </c>
      <c r="L130" s="15">
        <f t="shared" si="1"/>
        <v>2</v>
      </c>
      <c r="M130" s="14">
        <f>INDEX('BIO WAHYU'!B:E,MATCH(DATA!D130,'BIO WAHYU'!B:B,0),4)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0</v>
      </c>
      <c r="L131" s="15">
        <f t="shared" ref="L131:L146" si="2">IF(K131-J131&lt;=0,0,K131-J131)</f>
        <v>0</v>
      </c>
      <c r="M131" s="14">
        <f>INDEX('BIO WAHYU'!B:E,MATCH(DATA!D131,'BIO WAHYU'!B:B,0),4)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 t="str">
        <f>INDEX('MTD OSA | 3GB'!B:D,MATCH(DATA!D132,'MTD OSA | 3GB'!B:B,0),2)</f>
        <v xml:space="preserve"> -   </v>
      </c>
      <c r="I132" s="12" t="str">
        <f>INDEX('MTD OSA | 3GB'!B:D,MATCH(DATA!D132,'MTD OSA | 3GB'!B:B,0),3)</f>
        <v xml:space="preserve"> -   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INDEX('BIO WAHYU'!B:E,MATCH(DATA!D132,'BIO WAHYU'!B:B,0),4)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INDEX('BIO WAHYU'!B:E,MATCH(DATA!D133,'BIO WAHYU'!B:B,0),4)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10</v>
      </c>
      <c r="I134" s="12">
        <f>INDEX('MTD OSA | 3GB'!B:D,MATCH(DATA!D134,'MTD OSA | 3GB'!B:B,0),3)</f>
        <v>19290000</v>
      </c>
      <c r="J134" s="12">
        <f>INDEX(BIO!A:E,MATCH(DATA!D134,BIO!A:A,0),3)</f>
        <v>1</v>
      </c>
      <c r="K134" s="14">
        <f>INDEX(BIO!A:E,MATCH(DATA!D134,BIO!A:A,0),2)</f>
        <v>0</v>
      </c>
      <c r="L134" s="15">
        <f t="shared" si="2"/>
        <v>0</v>
      </c>
      <c r="M134" s="14">
        <f>INDEX('BIO WAHYU'!B:E,MATCH(DATA!D134,'BIO WAHYU'!B:B,0),4)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 t="str">
        <f>INDEX('MTD OSA | 3GB'!B:D,MATCH(DATA!D135,'MTD OSA | 3GB'!B:B,0),2)</f>
        <v xml:space="preserve"> -   </v>
      </c>
      <c r="I135" s="12" t="str">
        <f>INDEX('MTD OSA | 3GB'!B:D,MATCH(DATA!D135,'MTD OSA | 3GB'!B:B,0),3)</f>
        <v xml:space="preserve"> -   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INDEX('BIO WAHYU'!B:E,MATCH(DATA!D135,'BIO WAHYU'!B:B,0),4)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INDEX('BIO WAHYU'!B:E,MATCH(DATA!D136,'BIO WAHYU'!B:B,0),4)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 t="str">
        <f>INDEX('MTD OSA | 3GB'!B:D,MATCH(DATA!D137,'MTD OSA | 3GB'!B:B,0),2)</f>
        <v xml:space="preserve"> -   </v>
      </c>
      <c r="I137" s="12">
        <f>INDEX('MTD OSA | 3GB'!B:D,MATCH(DATA!D137,'MTD OSA | 3GB'!B:B,0),3)</f>
        <v>850000</v>
      </c>
      <c r="J137" s="12">
        <f>INDEX(BIO!A:E,MATCH(DATA!D137,BIO!A:A,0),3)</f>
        <v>1</v>
      </c>
      <c r="K137" s="14">
        <f>INDEX(BIO!A:E,MATCH(DATA!D137,BIO!A:A,0),2)</f>
        <v>0</v>
      </c>
      <c r="L137" s="15">
        <f t="shared" si="2"/>
        <v>0</v>
      </c>
      <c r="M137" s="14">
        <f>INDEX('BIO WAHYU'!B:E,MATCH(DATA!D137,'BIO WAHYU'!B:B,0),4)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 t="str">
        <f>INDEX('MTD OSA | 3GB'!B:D,MATCH(DATA!D138,'MTD OSA | 3GB'!B:B,0),2)</f>
        <v xml:space="preserve"> -   </v>
      </c>
      <c r="I138" s="12" t="str">
        <f>INDEX('MTD OSA | 3GB'!B:D,MATCH(DATA!D138,'MTD OSA | 3GB'!B:B,0),3)</f>
        <v xml:space="preserve"> -   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INDEX('BIO WAHYU'!B:E,MATCH(DATA!D138,'BIO WAHYU'!B:B,0),4)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56</v>
      </c>
      <c r="I139" s="12">
        <f>INDEX('MTD OSA | 3GB'!B:D,MATCH(DATA!D139,'MTD OSA | 3GB'!B:B,0),3)</f>
        <v>21174000</v>
      </c>
      <c r="J139" s="12">
        <f>INDEX(BIO!A:E,MATCH(DATA!D139,BIO!A:A,0),3)</f>
        <v>0</v>
      </c>
      <c r="K139" s="14">
        <f>INDEX(BIO!A:E,MATCH(DATA!D139,BIO!A:A,0),2)</f>
        <v>23</v>
      </c>
      <c r="L139" s="15">
        <f t="shared" si="2"/>
        <v>23</v>
      </c>
      <c r="M139" s="14">
        <f>INDEX('BIO WAHYU'!B:E,MATCH(DATA!D139,'BIO WAHYU'!B:B,0),4)</f>
        <v>5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 t="str">
        <f>INDEX('MTD OSA | 3GB'!B:D,MATCH(DATA!D140,'MTD OSA | 3GB'!B:B,0),2)</f>
        <v xml:space="preserve"> -   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2</v>
      </c>
      <c r="L140" s="15">
        <f t="shared" si="2"/>
        <v>2</v>
      </c>
      <c r="M140" s="14">
        <f>INDEX('BIO WAHYU'!B:E,MATCH(DATA!D140,'BIO WAHYU'!B:B,0),4)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 t="str">
        <f>INDEX('MTD OSA | 3GB'!B:D,MATCH(DATA!D141,'MTD OSA | 3GB'!B:B,0),2)</f>
        <v xml:space="preserve"> -   </v>
      </c>
      <c r="I141" s="12" t="str">
        <f>INDEX('MTD OSA | 3GB'!B:D,MATCH(DATA!D141,'MTD OSA | 3GB'!B:B,0),3)</f>
        <v xml:space="preserve"> -   </v>
      </c>
      <c r="J141" s="12">
        <f>INDEX(BIO!A:E,MATCH(DATA!D141,BIO!A:A,0),3)</f>
        <v>0</v>
      </c>
      <c r="K141" s="14">
        <f>INDEX(BIO!A:E,MATCH(DATA!D141,BIO!A:A,0),2)</f>
        <v>0</v>
      </c>
      <c r="L141" s="15">
        <f t="shared" si="2"/>
        <v>0</v>
      </c>
      <c r="M141" s="14">
        <f>INDEX('BIO WAHYU'!B:E,MATCH(DATA!D141,'BIO WAHYU'!B:B,0),4)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>
        <f>INDEX('MTD OSA | 3GB'!B:D,MATCH(DATA!D142,'MTD OSA | 3GB'!B:B,0),2)</f>
        <v>1</v>
      </c>
      <c r="I142" s="12">
        <f>INDEX('MTD OSA | 3GB'!B:D,MATCH(DATA!D142,'MTD OSA | 3GB'!B:B,0),3)</f>
        <v>2500000</v>
      </c>
      <c r="J142" s="12">
        <f>INDEX(BIO!A:E,MATCH(DATA!D142,BIO!A:A,0),3)</f>
        <v>0</v>
      </c>
      <c r="K142" s="14">
        <f>INDEX(BIO!A:E,MATCH(DATA!D142,BIO!A:A,0),2)</f>
        <v>0</v>
      </c>
      <c r="L142" s="15">
        <f t="shared" si="2"/>
        <v>0</v>
      </c>
      <c r="M142" s="14">
        <f>INDEX('BIO WAHYU'!B:E,MATCH(DATA!D142,'BIO WAHYU'!B:B,0),4)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INDEX('BIO WAHYU'!B:E,MATCH(DATA!D143,'BIO WAHYU'!B:B,0),4)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 t="str">
        <f>INDEX('MTD OSA | 3GB'!B:D,MATCH(DATA!D144,'MTD OSA | 3GB'!B:B,0),2)</f>
        <v xml:space="preserve"> -   </v>
      </c>
      <c r="I144" s="12" t="str">
        <f>INDEX('MTD OSA | 3GB'!B:D,MATCH(DATA!D144,'MTD OSA | 3GB'!B:B,0),3)</f>
        <v xml:space="preserve"> -   </v>
      </c>
      <c r="J144" s="12">
        <f>INDEX(BIO!A:E,MATCH(DATA!D144,BIO!A:A,0),3)</f>
        <v>0</v>
      </c>
      <c r="K144" s="14">
        <f>INDEX(BIO!A:E,MATCH(DATA!D144,BIO!A:A,0),2)</f>
        <v>0</v>
      </c>
      <c r="L144" s="15">
        <f t="shared" si="2"/>
        <v>0</v>
      </c>
      <c r="M144" s="14">
        <f>INDEX('BIO WAHYU'!B:E,MATCH(DATA!D144,'BIO WAHYU'!B:B,0),4)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 t="str">
        <f>INDEX('MTD OSA | 3GB'!B:D,MATCH(DATA!D145,'MTD OSA | 3GB'!B:B,0),2)</f>
        <v xml:space="preserve"> -   </v>
      </c>
      <c r="I145" s="12">
        <f>INDEX('MTD OSA | 3GB'!B:D,MATCH(DATA!D145,'MTD OSA | 3GB'!B:B,0),3)</f>
        <v>250000</v>
      </c>
      <c r="J145" s="12">
        <f>INDEX(BIO!A:E,MATCH(DATA!D145,BIO!A:A,0),3)</f>
        <v>1</v>
      </c>
      <c r="K145" s="14">
        <f>INDEX(BIO!A:E,MATCH(DATA!D145,BIO!A:A,0),2)</f>
        <v>4</v>
      </c>
      <c r="L145" s="15">
        <f t="shared" si="2"/>
        <v>3</v>
      </c>
      <c r="M145" s="14">
        <f>INDEX('BIO WAHYU'!B:E,MATCH(DATA!D145,'BIO WAHYU'!B:B,0),4)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 t="str">
        <f>INDEX('MTD OSA | 3GB'!B:D,MATCH(DATA!D146,'MTD OSA | 3GB'!B:B,0),2)</f>
        <v xml:space="preserve"> -   </v>
      </c>
      <c r="I146" s="12">
        <f>INDEX('MTD OSA | 3GB'!B:D,MATCH(DATA!D146,'MTD OSA | 3GB'!B:B,0),3)</f>
        <v>1300000</v>
      </c>
      <c r="J146" s="12">
        <f>INDEX(BIO!A:E,MATCH(DATA!D146,BIO!A:A,0),3)</f>
        <v>0</v>
      </c>
      <c r="K146" s="14">
        <f>INDEX(BIO!A:E,MATCH(DATA!D146,BIO!A:A,0),2)</f>
        <v>0</v>
      </c>
      <c r="L146" s="15">
        <f t="shared" si="2"/>
        <v>0</v>
      </c>
      <c r="M146" s="14">
        <f>INDEX('BIO WAHYU'!B:E,MATCH(DATA!D146,'BIO WAHYU'!B:B,0),4)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dimension ref="A1:F4"/>
  <sheetViews>
    <sheetView workbookViewId="0">
      <selection activeCell="E12" sqref="E12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186</v>
      </c>
      <c r="F1" s="22" t="s">
        <v>187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dimension ref="A1:F146"/>
  <sheetViews>
    <sheetView workbookViewId="0">
      <selection activeCell="F22" sqref="F22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 s="9">
        <v>240713</v>
      </c>
      <c r="B2" s="14">
        <v>1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 s="9">
        <v>12331450</v>
      </c>
      <c r="B3" s="14">
        <v>0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 s="9">
        <v>292836</v>
      </c>
      <c r="B4" s="14"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 s="9">
        <v>12321243</v>
      </c>
      <c r="B5" s="14">
        <v>90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185</v>
      </c>
    </row>
    <row r="6" spans="1:6">
      <c r="A6" s="9">
        <v>12320853</v>
      </c>
      <c r="B6" s="14">
        <v>0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 s="9">
        <v>501860</v>
      </c>
      <c r="B7" s="14">
        <v>3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 s="9">
        <v>12322483</v>
      </c>
      <c r="B8" s="14">
        <v>0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 s="9">
        <v>503354</v>
      </c>
      <c r="B9" s="14">
        <v>0</v>
      </c>
      <c r="C9">
        <f>INDEX('BIO WAHYU'!B:F,MATCH(BIO!A9,'BIO WAHYU'!B:B,0),5)</f>
        <v>1</v>
      </c>
      <c r="D9" t="str">
        <f>INDEX(DATA!C:D,MATCH(BIO!A9,DATA!D:D,0),1)</f>
        <v>Mantari Cell</v>
      </c>
      <c r="F9" t="s">
        <v>189</v>
      </c>
    </row>
    <row r="10" spans="1:6">
      <c r="A10" s="9">
        <v>524283</v>
      </c>
      <c r="B10" s="14">
        <v>0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 s="9">
        <v>569298</v>
      </c>
      <c r="B11" s="14"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 s="9">
        <v>481857</v>
      </c>
      <c r="B12" s="14"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 s="9">
        <v>558955</v>
      </c>
      <c r="B13" s="14">
        <v>0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 s="9">
        <v>12323218</v>
      </c>
      <c r="B14" s="14">
        <v>1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 s="9">
        <v>501643</v>
      </c>
      <c r="B15" s="14">
        <v>0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 s="9">
        <v>408290</v>
      </c>
      <c r="B16" s="14">
        <v>2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 s="9">
        <v>12326313</v>
      </c>
      <c r="B17" s="14">
        <v>1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 s="9">
        <v>228872</v>
      </c>
      <c r="B18" s="14">
        <v>0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 s="9">
        <v>12332670</v>
      </c>
      <c r="B19" s="14">
        <v>5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 s="9">
        <v>543771</v>
      </c>
      <c r="B20" s="14"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 s="9">
        <v>12322237</v>
      </c>
      <c r="B21" s="14"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 s="9">
        <v>483240</v>
      </c>
      <c r="B22" s="14">
        <v>1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 s="9">
        <v>510295</v>
      </c>
      <c r="B23" s="14">
        <v>0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 s="9">
        <v>12295717</v>
      </c>
      <c r="B24" s="14">
        <v>1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 s="9">
        <v>12317091</v>
      </c>
      <c r="B25" s="14">
        <v>0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 s="9">
        <v>195514</v>
      </c>
      <c r="B26" s="14">
        <v>0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 s="9">
        <v>560814</v>
      </c>
      <c r="B27" s="14">
        <v>2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s="9" t="s">
        <v>98</v>
      </c>
      <c r="B28" s="14">
        <v>34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 s="9">
        <v>12332811</v>
      </c>
      <c r="B29" s="14"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 s="9">
        <v>12326533</v>
      </c>
      <c r="B30" s="14">
        <v>0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s="9" t="s">
        <v>100</v>
      </c>
      <c r="B31" s="14">
        <v>2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 s="9">
        <v>126952</v>
      </c>
      <c r="B32" s="14">
        <v>0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 s="9">
        <v>530345</v>
      </c>
      <c r="B33" s="14">
        <v>1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 s="9">
        <v>523935</v>
      </c>
      <c r="B34" s="14">
        <v>0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 s="9">
        <v>501263</v>
      </c>
      <c r="B35" s="14"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 s="9">
        <v>510299</v>
      </c>
      <c r="B36" s="14"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 s="9">
        <v>10466</v>
      </c>
      <c r="B37" s="14">
        <v>1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 s="9">
        <v>1661</v>
      </c>
      <c r="B38" s="14">
        <v>0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 s="9">
        <v>523430</v>
      </c>
      <c r="B39" s="14"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 s="9">
        <v>127198</v>
      </c>
      <c r="B40" s="14">
        <v>14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 s="9">
        <v>571174</v>
      </c>
      <c r="B41" s="14">
        <v>0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 s="9">
        <v>416191</v>
      </c>
      <c r="B42" s="14">
        <v>0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 s="9">
        <v>12295592</v>
      </c>
      <c r="B43" s="14">
        <v>10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 s="9">
        <v>510053</v>
      </c>
      <c r="B44" s="14">
        <v>0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 s="9">
        <v>503866</v>
      </c>
      <c r="B45" s="14">
        <v>2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 s="9">
        <v>524281</v>
      </c>
      <c r="B46" s="14"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 s="9">
        <v>12295833</v>
      </c>
      <c r="B47" s="14">
        <v>0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 s="9">
        <v>240048</v>
      </c>
      <c r="B48" s="14">
        <v>2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 s="9">
        <v>246732</v>
      </c>
      <c r="B49" s="14">
        <v>0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 s="9">
        <v>530334</v>
      </c>
      <c r="B50" s="14">
        <v>0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 s="9">
        <v>211794</v>
      </c>
      <c r="B51" s="14">
        <v>2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 s="9">
        <v>535790</v>
      </c>
      <c r="B52" s="14">
        <v>3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 s="9">
        <v>62086</v>
      </c>
      <c r="B53" s="14">
        <v>0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 s="9">
        <v>116871</v>
      </c>
      <c r="B54" s="14">
        <v>5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 s="9">
        <v>304264</v>
      </c>
      <c r="B55" s="14"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 s="9">
        <v>549259</v>
      </c>
      <c r="B56" s="14"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 s="9">
        <v>523938</v>
      </c>
      <c r="B57" s="14">
        <v>0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 s="9">
        <v>523849</v>
      </c>
      <c r="B58" s="14"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 s="9">
        <v>12295826</v>
      </c>
      <c r="B59" s="14">
        <v>0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 s="9">
        <v>385575</v>
      </c>
      <c r="B60" s="14"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 s="9">
        <v>12326920</v>
      </c>
      <c r="B61" s="14">
        <v>0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 s="9">
        <v>484741</v>
      </c>
      <c r="B62" s="14">
        <v>0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 s="9">
        <v>12327316</v>
      </c>
      <c r="B63" s="14"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 s="9">
        <v>12334635</v>
      </c>
      <c r="B64" s="14">
        <v>0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 s="9">
        <v>12326118</v>
      </c>
      <c r="B65" s="14">
        <v>1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 s="9">
        <v>345427</v>
      </c>
      <c r="B66" s="14">
        <v>0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 s="9">
        <v>499483</v>
      </c>
      <c r="B67" s="14"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 s="9">
        <v>195918</v>
      </c>
      <c r="B68" s="14">
        <v>4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 s="9">
        <v>126951</v>
      </c>
      <c r="B69" s="14"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 s="9">
        <v>63887</v>
      </c>
      <c r="B70" s="14"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 s="9">
        <v>229765</v>
      </c>
      <c r="B71" s="14">
        <v>21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 s="9">
        <v>574633</v>
      </c>
      <c r="B72" s="14">
        <v>0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 s="9">
        <v>61688</v>
      </c>
      <c r="B73" s="14">
        <v>4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s="9" t="s">
        <v>104</v>
      </c>
      <c r="B74" s="14"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 s="9">
        <v>12295724</v>
      </c>
      <c r="B75" s="14">
        <v>1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 s="9">
        <v>12325263</v>
      </c>
      <c r="B76" s="14">
        <v>0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 s="9">
        <v>12324194</v>
      </c>
      <c r="B77" s="14">
        <v>0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 s="9">
        <v>486638</v>
      </c>
      <c r="B78" s="14"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 s="9">
        <v>530058</v>
      </c>
      <c r="B79" s="14">
        <v>1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 s="9">
        <v>231278</v>
      </c>
      <c r="B80" s="14">
        <v>0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 s="9">
        <v>199217</v>
      </c>
      <c r="B81" s="14">
        <v>0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 s="9">
        <v>222816</v>
      </c>
      <c r="B82" s="14">
        <v>1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 s="9">
        <v>342829</v>
      </c>
      <c r="B83" s="14">
        <v>1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 s="9">
        <v>543826</v>
      </c>
      <c r="B84" s="14">
        <v>23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s="9" t="s">
        <v>160</v>
      </c>
      <c r="B85" s="14">
        <v>0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 s="9">
        <v>287622</v>
      </c>
      <c r="B86" s="14">
        <v>0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 s="9">
        <v>542823</v>
      </c>
      <c r="B87" s="14">
        <v>2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 s="9">
        <v>12295887</v>
      </c>
      <c r="B88" s="14">
        <v>0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 s="9">
        <v>12333237</v>
      </c>
      <c r="B89" s="14">
        <v>8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 s="9">
        <v>477625</v>
      </c>
      <c r="B90" s="14">
        <v>0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 s="9">
        <v>12295980</v>
      </c>
      <c r="B91" s="14">
        <v>0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 s="9">
        <v>12295626</v>
      </c>
      <c r="B92" s="14"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 s="9">
        <v>126963</v>
      </c>
      <c r="B93" s="14">
        <v>0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 s="9">
        <v>199007</v>
      </c>
      <c r="B94" s="14">
        <v>0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 s="9">
        <v>12295536</v>
      </c>
      <c r="B95" s="14"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 s="9">
        <v>213944</v>
      </c>
      <c r="B96" s="14">
        <v>4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 s="9">
        <v>278608</v>
      </c>
      <c r="B97" s="14">
        <v>4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 s="9">
        <v>12323463</v>
      </c>
      <c r="B98" s="14">
        <v>91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 s="9">
        <v>12321241</v>
      </c>
      <c r="B99" s="14">
        <v>21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 s="9">
        <v>287403</v>
      </c>
      <c r="B100" s="14">
        <v>0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s="9" t="s">
        <v>102</v>
      </c>
      <c r="B101" s="14"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 s="9">
        <v>511584</v>
      </c>
      <c r="B102" s="14"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 s="9">
        <v>12295542</v>
      </c>
      <c r="B103" s="14">
        <v>2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 s="9">
        <v>546446</v>
      </c>
      <c r="B104" s="14">
        <v>2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 s="9">
        <v>199020</v>
      </c>
      <c r="B105" s="14">
        <v>0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 s="9">
        <v>522623</v>
      </c>
      <c r="B106" s="14">
        <v>10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 s="9">
        <v>12303072</v>
      </c>
      <c r="B107" s="14"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 s="9">
        <v>12295820</v>
      </c>
      <c r="B108" s="14"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 s="9">
        <v>358231</v>
      </c>
      <c r="B109" s="14">
        <v>0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 s="9">
        <v>396176</v>
      </c>
      <c r="B110" s="14"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 s="9">
        <v>539088</v>
      </c>
      <c r="B111" s="14">
        <v>2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 s="9">
        <v>525590</v>
      </c>
      <c r="B112" s="14">
        <v>1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 s="9">
        <v>368809</v>
      </c>
      <c r="B113" s="14"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 s="9">
        <v>199010</v>
      </c>
      <c r="B114" s="14">
        <v>1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 s="9">
        <v>519286</v>
      </c>
      <c r="B115" s="14">
        <v>1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 s="9">
        <v>523194</v>
      </c>
      <c r="B116" s="14">
        <v>1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 s="9">
        <v>61690</v>
      </c>
      <c r="B117" s="14">
        <v>0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 s="9">
        <v>12312295</v>
      </c>
      <c r="B118" s="14">
        <v>1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 s="9">
        <v>12318079</v>
      </c>
      <c r="B119" s="14">
        <v>3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 s="9">
        <v>12321230</v>
      </c>
      <c r="B120" s="14">
        <v>2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 s="9">
        <v>12301356</v>
      </c>
      <c r="B121" s="14">
        <v>3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 s="9">
        <v>12295752</v>
      </c>
      <c r="B122" s="14">
        <v>1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 s="9">
        <v>12313881</v>
      </c>
      <c r="B123" s="14">
        <v>20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 s="9">
        <v>12302808</v>
      </c>
      <c r="B124" s="14"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 s="9">
        <v>12334637</v>
      </c>
      <c r="B125" s="14">
        <v>2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 s="9">
        <v>471389</v>
      </c>
      <c r="B126" s="14">
        <v>1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 s="9">
        <v>529249</v>
      </c>
      <c r="B127" s="14">
        <v>0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 s="9">
        <v>366702</v>
      </c>
      <c r="B128" s="14">
        <v>2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 s="9">
        <v>514589</v>
      </c>
      <c r="B129" s="14">
        <v>0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 s="9">
        <v>401031</v>
      </c>
      <c r="B130" s="14">
        <v>0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 s="9">
        <v>562953</v>
      </c>
      <c r="B131" s="14">
        <v>0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 s="9">
        <v>529090</v>
      </c>
      <c r="B132" s="14">
        <v>1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 s="9">
        <v>345691</v>
      </c>
      <c r="B133" s="14">
        <v>1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 s="9">
        <v>347538</v>
      </c>
      <c r="B134" s="14">
        <v>2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 s="9">
        <v>301600</v>
      </c>
      <c r="B135" s="14">
        <v>2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 s="9">
        <v>563095</v>
      </c>
      <c r="B136" s="14">
        <v>0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 s="9">
        <v>480658</v>
      </c>
      <c r="B137" s="14">
        <v>2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 s="9">
        <v>543720</v>
      </c>
      <c r="B138" s="14">
        <v>1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 s="9">
        <v>352167</v>
      </c>
      <c r="B139" s="14"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 s="9">
        <v>526916</v>
      </c>
      <c r="B140" s="14"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 s="9">
        <v>491288</v>
      </c>
      <c r="B141" s="14">
        <v>0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 s="9">
        <v>501141</v>
      </c>
      <c r="B142" s="14"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 s="9">
        <v>240084</v>
      </c>
      <c r="B143" s="14">
        <v>0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 s="9">
        <v>12324647</v>
      </c>
      <c r="B144" s="14">
        <v>0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 s="9">
        <v>503633</v>
      </c>
      <c r="B145" s="14"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 s="9">
        <v>12322430</v>
      </c>
      <c r="B146" s="14">
        <v>0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dimension ref="A1:D146"/>
  <sheetViews>
    <sheetView workbookViewId="0">
      <selection activeCell="G25" sqref="G25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0.42578125" bestFit="1" customWidth="1"/>
  </cols>
  <sheetData>
    <row r="1" spans="1:4">
      <c r="A1" s="30" t="s">
        <v>6</v>
      </c>
      <c r="B1" s="31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1765000</v>
      </c>
    </row>
    <row r="3" spans="1:4">
      <c r="A3" s="1" t="s">
        <v>11</v>
      </c>
      <c r="B3" s="23">
        <v>12295592</v>
      </c>
      <c r="C3" s="2">
        <v>3</v>
      </c>
      <c r="D3" s="3">
        <v>3106000</v>
      </c>
    </row>
    <row r="4" spans="1:4">
      <c r="A4" s="1" t="s">
        <v>12</v>
      </c>
      <c r="B4" s="23">
        <v>12295626</v>
      </c>
      <c r="C4" s="2" t="s">
        <v>184</v>
      </c>
      <c r="D4" s="4">
        <v>1000</v>
      </c>
    </row>
    <row r="5" spans="1:4">
      <c r="A5" s="1" t="s">
        <v>13</v>
      </c>
      <c r="B5" s="23">
        <v>12295724</v>
      </c>
      <c r="C5" s="2">
        <v>3</v>
      </c>
      <c r="D5" s="4">
        <v>50000</v>
      </c>
    </row>
    <row r="6" spans="1:4">
      <c r="A6" s="1" t="s">
        <v>14</v>
      </c>
      <c r="B6" s="23">
        <v>12295752</v>
      </c>
      <c r="C6" s="2">
        <v>1</v>
      </c>
      <c r="D6" s="3">
        <v>369000</v>
      </c>
    </row>
    <row r="7" spans="1:4">
      <c r="A7" s="1" t="s">
        <v>16</v>
      </c>
      <c r="B7" s="23">
        <v>12295820</v>
      </c>
      <c r="C7" s="2" t="s">
        <v>184</v>
      </c>
      <c r="D7" s="3">
        <v>2000000</v>
      </c>
    </row>
    <row r="8" spans="1:4">
      <c r="A8" s="1" t="s">
        <v>17</v>
      </c>
      <c r="B8" s="23">
        <v>12295826</v>
      </c>
      <c r="C8" s="2" t="s">
        <v>184</v>
      </c>
      <c r="D8" s="4">
        <v>1000</v>
      </c>
    </row>
    <row r="9" spans="1:4">
      <c r="A9" s="1" t="s">
        <v>18</v>
      </c>
      <c r="B9" s="23">
        <v>12295833</v>
      </c>
      <c r="C9" s="2" t="s">
        <v>184</v>
      </c>
      <c r="D9" s="2" t="s">
        <v>184</v>
      </c>
    </row>
    <row r="10" spans="1:4">
      <c r="A10" s="1" t="s">
        <v>19</v>
      </c>
      <c r="B10" s="23">
        <v>12301356</v>
      </c>
      <c r="C10" s="2">
        <v>11</v>
      </c>
      <c r="D10" s="3">
        <v>2113700</v>
      </c>
    </row>
    <row r="11" spans="1:4">
      <c r="A11" s="1" t="s">
        <v>20</v>
      </c>
      <c r="B11" s="23">
        <v>12323218</v>
      </c>
      <c r="C11" s="2">
        <v>12</v>
      </c>
      <c r="D11" s="3">
        <v>1979000</v>
      </c>
    </row>
    <row r="12" spans="1:4">
      <c r="A12" s="1" t="s">
        <v>21</v>
      </c>
      <c r="B12" s="23">
        <v>12324647</v>
      </c>
      <c r="C12" s="2" t="s">
        <v>184</v>
      </c>
      <c r="D12" s="2" t="s">
        <v>184</v>
      </c>
    </row>
    <row r="13" spans="1:4">
      <c r="A13" s="1" t="s">
        <v>22</v>
      </c>
      <c r="B13" s="23">
        <v>12326118</v>
      </c>
      <c r="C13" s="2">
        <v>7</v>
      </c>
      <c r="D13" s="3">
        <v>7704500</v>
      </c>
    </row>
    <row r="14" spans="1:4">
      <c r="A14" s="1" t="s">
        <v>23</v>
      </c>
      <c r="B14" s="23">
        <v>12326313</v>
      </c>
      <c r="C14" s="2">
        <v>79</v>
      </c>
      <c r="D14" s="3">
        <v>7460500</v>
      </c>
    </row>
    <row r="15" spans="1:4">
      <c r="A15" s="1" t="s">
        <v>24</v>
      </c>
      <c r="B15" s="23">
        <v>12326533</v>
      </c>
      <c r="C15" s="2">
        <v>3</v>
      </c>
      <c r="D15" s="4">
        <v>200000</v>
      </c>
    </row>
    <row r="16" spans="1:4">
      <c r="A16" s="1" t="s">
        <v>25</v>
      </c>
      <c r="B16" s="23">
        <v>12326920</v>
      </c>
      <c r="C16" s="2">
        <v>2</v>
      </c>
      <c r="D16" s="3">
        <v>20255350</v>
      </c>
    </row>
    <row r="17" spans="1:4">
      <c r="A17" s="1" t="s">
        <v>26</v>
      </c>
      <c r="B17" s="23">
        <v>1661</v>
      </c>
      <c r="C17" s="2" t="s">
        <v>184</v>
      </c>
      <c r="D17" s="2" t="s">
        <v>184</v>
      </c>
    </row>
    <row r="18" spans="1:4">
      <c r="A18" s="1" t="s">
        <v>27</v>
      </c>
      <c r="B18" s="23">
        <v>213944</v>
      </c>
      <c r="C18" s="2" t="s">
        <v>184</v>
      </c>
      <c r="D18" s="3">
        <v>2200000</v>
      </c>
    </row>
    <row r="19" spans="1:4">
      <c r="A19" s="1" t="s">
        <v>28</v>
      </c>
      <c r="B19" s="23">
        <v>240048</v>
      </c>
      <c r="C19" s="2">
        <v>5</v>
      </c>
      <c r="D19" s="4">
        <v>200000</v>
      </c>
    </row>
    <row r="20" spans="1:4">
      <c r="A20" s="1" t="s">
        <v>30</v>
      </c>
      <c r="B20" s="23">
        <v>287403</v>
      </c>
      <c r="C20" s="2">
        <v>1</v>
      </c>
      <c r="D20" s="3">
        <v>2542800</v>
      </c>
    </row>
    <row r="21" spans="1:4">
      <c r="A21" s="1" t="s">
        <v>31</v>
      </c>
      <c r="B21" s="23">
        <v>287622</v>
      </c>
      <c r="C21" s="2">
        <v>3</v>
      </c>
      <c r="D21" s="3">
        <v>2117000</v>
      </c>
    </row>
    <row r="22" spans="1:4">
      <c r="A22" s="1" t="s">
        <v>32</v>
      </c>
      <c r="B22" s="23">
        <v>301600</v>
      </c>
      <c r="C22" s="2" t="s">
        <v>184</v>
      </c>
      <c r="D22" s="3">
        <v>1000000</v>
      </c>
    </row>
    <row r="23" spans="1:4">
      <c r="A23" s="1" t="s">
        <v>33</v>
      </c>
      <c r="B23" s="23">
        <v>347538</v>
      </c>
      <c r="C23" s="2" t="s">
        <v>184</v>
      </c>
      <c r="D23" s="3">
        <v>766000</v>
      </c>
    </row>
    <row r="24" spans="1:4">
      <c r="A24" s="1" t="s">
        <v>34</v>
      </c>
      <c r="B24" s="23">
        <v>358231</v>
      </c>
      <c r="C24" s="2">
        <v>3</v>
      </c>
      <c r="D24" s="3">
        <v>3000000</v>
      </c>
    </row>
    <row r="25" spans="1:4">
      <c r="A25" s="1" t="s">
        <v>35</v>
      </c>
      <c r="B25" s="23">
        <v>368809</v>
      </c>
      <c r="C25" s="2" t="s">
        <v>184</v>
      </c>
      <c r="D25" s="3">
        <v>1615000</v>
      </c>
    </row>
    <row r="26" spans="1:4">
      <c r="A26" s="1" t="s">
        <v>36</v>
      </c>
      <c r="B26" s="23">
        <v>385575</v>
      </c>
      <c r="C26" s="2" t="s">
        <v>184</v>
      </c>
      <c r="D26" s="4">
        <v>1000</v>
      </c>
    </row>
    <row r="27" spans="1:4">
      <c r="A27" s="1" t="s">
        <v>37</v>
      </c>
      <c r="B27" s="23">
        <v>408290</v>
      </c>
      <c r="C27" s="2">
        <v>1</v>
      </c>
      <c r="D27" s="3">
        <v>6000000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 t="s">
        <v>184</v>
      </c>
      <c r="D29" s="3">
        <v>1900000</v>
      </c>
    </row>
    <row r="30" spans="1:4">
      <c r="A30" s="1" t="s">
        <v>40</v>
      </c>
      <c r="B30" s="23">
        <v>486638</v>
      </c>
      <c r="C30" s="2" t="s">
        <v>184</v>
      </c>
      <c r="D30" s="3">
        <v>2700000</v>
      </c>
    </row>
    <row r="31" spans="1:4">
      <c r="A31" s="1" t="s">
        <v>41</v>
      </c>
      <c r="B31" s="23">
        <v>491288</v>
      </c>
      <c r="C31" s="2">
        <v>2</v>
      </c>
      <c r="D31" s="4">
        <v>270500</v>
      </c>
    </row>
    <row r="32" spans="1:4">
      <c r="A32" s="1" t="s">
        <v>42</v>
      </c>
      <c r="B32" s="23">
        <v>501643</v>
      </c>
      <c r="C32" s="2" t="s">
        <v>184</v>
      </c>
      <c r="D32" s="3">
        <v>6500000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4</v>
      </c>
      <c r="D34" s="3">
        <v>1414000</v>
      </c>
    </row>
    <row r="35" spans="1:4">
      <c r="A35" s="1" t="s">
        <v>45</v>
      </c>
      <c r="B35" s="23">
        <v>523194</v>
      </c>
      <c r="C35" s="2">
        <v>1</v>
      </c>
      <c r="D35" s="4">
        <v>200000</v>
      </c>
    </row>
    <row r="36" spans="1:4">
      <c r="A36" s="1" t="s">
        <v>46</v>
      </c>
      <c r="B36" s="23">
        <v>523935</v>
      </c>
      <c r="C36" s="2" t="s">
        <v>184</v>
      </c>
      <c r="D36" s="3">
        <v>4150000</v>
      </c>
    </row>
    <row r="37" spans="1:4">
      <c r="A37" s="1" t="s">
        <v>47</v>
      </c>
      <c r="B37" s="23">
        <v>523938</v>
      </c>
      <c r="C37" s="2" t="s">
        <v>184</v>
      </c>
      <c r="D37" s="4">
        <v>220500</v>
      </c>
    </row>
    <row r="38" spans="1:4">
      <c r="A38" s="1" t="s">
        <v>48</v>
      </c>
      <c r="B38" s="23">
        <v>524281</v>
      </c>
      <c r="C38" s="2" t="s">
        <v>184</v>
      </c>
      <c r="D38" s="3">
        <v>300000</v>
      </c>
    </row>
    <row r="39" spans="1:4">
      <c r="A39" s="1" t="s">
        <v>49</v>
      </c>
      <c r="B39" s="23">
        <v>524283</v>
      </c>
      <c r="C39" s="2" t="s">
        <v>184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 t="s">
        <v>184</v>
      </c>
      <c r="D41" s="3">
        <v>1800000</v>
      </c>
    </row>
    <row r="42" spans="1:4">
      <c r="A42" s="1" t="s">
        <v>52</v>
      </c>
      <c r="B42" s="23">
        <v>535790</v>
      </c>
      <c r="C42" s="2">
        <v>3</v>
      </c>
      <c r="D42" s="3">
        <v>1800000</v>
      </c>
    </row>
    <row r="43" spans="1:4">
      <c r="A43" s="1" t="s">
        <v>53</v>
      </c>
      <c r="B43" s="23">
        <v>542823</v>
      </c>
      <c r="C43" s="2">
        <v>3</v>
      </c>
      <c r="D43" s="3">
        <v>450000</v>
      </c>
    </row>
    <row r="44" spans="1:4">
      <c r="A44" s="1" t="s">
        <v>54</v>
      </c>
      <c r="B44" s="23">
        <v>549259</v>
      </c>
      <c r="C44" s="2" t="s">
        <v>184</v>
      </c>
      <c r="D44" s="2" t="s">
        <v>184</v>
      </c>
    </row>
    <row r="45" spans="1:4">
      <c r="A45" s="1" t="s">
        <v>55</v>
      </c>
      <c r="B45" s="23">
        <v>571174</v>
      </c>
      <c r="C45" s="2" t="s">
        <v>184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 t="s">
        <v>184</v>
      </c>
      <c r="D47" s="3">
        <v>500000</v>
      </c>
    </row>
    <row r="48" spans="1:4">
      <c r="A48" s="1" t="s">
        <v>58</v>
      </c>
      <c r="B48" s="23">
        <v>116871</v>
      </c>
      <c r="C48" s="2">
        <v>55</v>
      </c>
      <c r="D48" s="3">
        <v>24058000</v>
      </c>
    </row>
    <row r="49" spans="1:4">
      <c r="A49" s="1" t="s">
        <v>59</v>
      </c>
      <c r="B49" s="23">
        <v>12295542</v>
      </c>
      <c r="C49" s="2">
        <v>10</v>
      </c>
      <c r="D49" s="2" t="s">
        <v>184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2</v>
      </c>
      <c r="D51" s="4">
        <v>7000</v>
      </c>
    </row>
    <row r="52" spans="1:4">
      <c r="A52" s="1" t="s">
        <v>62</v>
      </c>
      <c r="B52" s="23">
        <v>12312295</v>
      </c>
      <c r="C52" s="2">
        <v>3</v>
      </c>
      <c r="D52" s="2" t="s">
        <v>184</v>
      </c>
    </row>
    <row r="53" spans="1:4">
      <c r="A53" s="1" t="s">
        <v>63</v>
      </c>
      <c r="B53" s="23">
        <v>12322237</v>
      </c>
      <c r="C53" s="2" t="s">
        <v>184</v>
      </c>
      <c r="D53" s="2" t="s">
        <v>184</v>
      </c>
    </row>
    <row r="54" spans="1:4">
      <c r="A54" s="1" t="s">
        <v>64</v>
      </c>
      <c r="B54" s="23">
        <v>12322483</v>
      </c>
      <c r="C54" s="2">
        <v>3</v>
      </c>
      <c r="D54" s="4">
        <v>1000</v>
      </c>
    </row>
    <row r="55" spans="1:4">
      <c r="A55" s="1" t="s">
        <v>65</v>
      </c>
      <c r="B55" s="23">
        <v>12323463</v>
      </c>
      <c r="C55" s="2">
        <v>37</v>
      </c>
      <c r="D55" s="3">
        <v>1175000</v>
      </c>
    </row>
    <row r="56" spans="1:4">
      <c r="A56" s="1" t="s">
        <v>66</v>
      </c>
      <c r="B56" s="23">
        <v>12325263</v>
      </c>
      <c r="C56" s="2">
        <v>3</v>
      </c>
      <c r="D56" s="4">
        <v>7000</v>
      </c>
    </row>
    <row r="57" spans="1:4">
      <c r="A57" s="1" t="s">
        <v>67</v>
      </c>
      <c r="B57" s="23">
        <v>126951</v>
      </c>
      <c r="C57" s="2" t="s">
        <v>184</v>
      </c>
      <c r="D57" s="3">
        <v>3000000</v>
      </c>
    </row>
    <row r="58" spans="1:4">
      <c r="A58" s="1" t="s">
        <v>68</v>
      </c>
      <c r="B58" s="23">
        <v>126952</v>
      </c>
      <c r="C58" s="2">
        <v>3</v>
      </c>
      <c r="D58" s="4">
        <v>7000</v>
      </c>
    </row>
    <row r="59" spans="1:4">
      <c r="A59" s="1" t="s">
        <v>69</v>
      </c>
      <c r="B59" s="23">
        <v>195514</v>
      </c>
      <c r="C59" s="2" t="s">
        <v>184</v>
      </c>
      <c r="D59" s="4">
        <v>50000</v>
      </c>
    </row>
    <row r="60" spans="1:4">
      <c r="A60" s="1" t="s">
        <v>70</v>
      </c>
      <c r="B60" s="23">
        <v>199007</v>
      </c>
      <c r="C60" s="2">
        <v>3</v>
      </c>
      <c r="D60" s="2" t="s">
        <v>184</v>
      </c>
    </row>
    <row r="61" spans="1:4">
      <c r="A61" s="1" t="s">
        <v>71</v>
      </c>
      <c r="B61" s="23">
        <v>199010</v>
      </c>
      <c r="C61" s="2" t="s">
        <v>184</v>
      </c>
      <c r="D61" s="3">
        <v>1750000</v>
      </c>
    </row>
    <row r="62" spans="1:4">
      <c r="A62" s="1" t="s">
        <v>72</v>
      </c>
      <c r="B62" s="23">
        <v>199217</v>
      </c>
      <c r="C62" s="2">
        <v>3</v>
      </c>
      <c r="D62" s="4">
        <v>57000</v>
      </c>
    </row>
    <row r="63" spans="1:4">
      <c r="A63" s="1" t="s">
        <v>73</v>
      </c>
      <c r="B63" s="23">
        <v>211794</v>
      </c>
      <c r="C63" s="2" t="s">
        <v>184</v>
      </c>
      <c r="D63" s="3">
        <v>950000</v>
      </c>
    </row>
    <row r="64" spans="1:4">
      <c r="A64" s="1" t="s">
        <v>74</v>
      </c>
      <c r="B64" s="23">
        <v>222816</v>
      </c>
      <c r="C64" s="2" t="s">
        <v>184</v>
      </c>
      <c r="D64" s="3">
        <v>7000000</v>
      </c>
    </row>
    <row r="65" spans="1:4">
      <c r="A65" s="1" t="s">
        <v>75</v>
      </c>
      <c r="B65" s="23">
        <v>228872</v>
      </c>
      <c r="C65" s="2">
        <v>3</v>
      </c>
      <c r="D65" s="3">
        <v>3500000</v>
      </c>
    </row>
    <row r="66" spans="1:4">
      <c r="A66" s="1" t="s">
        <v>76</v>
      </c>
      <c r="B66" s="23">
        <v>229765</v>
      </c>
      <c r="C66" s="2">
        <v>12</v>
      </c>
      <c r="D66" s="3">
        <v>20000000</v>
      </c>
    </row>
    <row r="67" spans="1:4">
      <c r="A67" s="1" t="s">
        <v>77</v>
      </c>
      <c r="B67" s="23">
        <v>231278</v>
      </c>
      <c r="C67" s="2" t="s">
        <v>184</v>
      </c>
      <c r="D67" s="3">
        <v>500000</v>
      </c>
    </row>
    <row r="68" spans="1:4">
      <c r="A68" s="1" t="s">
        <v>78</v>
      </c>
      <c r="B68" s="23">
        <v>246732</v>
      </c>
      <c r="C68" s="2" t="s">
        <v>184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3250000</v>
      </c>
    </row>
    <row r="70" spans="1:4">
      <c r="A70" s="1" t="s">
        <v>80</v>
      </c>
      <c r="B70" s="23">
        <v>292836</v>
      </c>
      <c r="C70" s="2" t="s">
        <v>184</v>
      </c>
      <c r="D70" s="2" t="s">
        <v>184</v>
      </c>
    </row>
    <row r="71" spans="1:4">
      <c r="A71" s="1" t="s">
        <v>81</v>
      </c>
      <c r="B71" s="23">
        <v>345691</v>
      </c>
      <c r="C71" s="2">
        <v>3</v>
      </c>
      <c r="D71" s="3">
        <v>2055000</v>
      </c>
    </row>
    <row r="72" spans="1:4">
      <c r="A72" s="1" t="s">
        <v>82</v>
      </c>
      <c r="B72" s="23">
        <v>366702</v>
      </c>
      <c r="C72" s="2">
        <v>2</v>
      </c>
      <c r="D72" s="3">
        <v>6450000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3</v>
      </c>
      <c r="D74" s="3">
        <v>1600000</v>
      </c>
    </row>
    <row r="75" spans="1:4">
      <c r="A75" s="1" t="s">
        <v>85</v>
      </c>
      <c r="B75" s="23">
        <v>503633</v>
      </c>
      <c r="C75" s="2" t="s">
        <v>184</v>
      </c>
      <c r="D75" s="4">
        <v>200000</v>
      </c>
    </row>
    <row r="76" spans="1:4">
      <c r="A76" s="1" t="s">
        <v>86</v>
      </c>
      <c r="B76" s="23">
        <v>503866</v>
      </c>
      <c r="C76" s="2">
        <v>4</v>
      </c>
      <c r="D76" s="3">
        <v>3200000</v>
      </c>
    </row>
    <row r="77" spans="1:4">
      <c r="A77" s="1" t="s">
        <v>87</v>
      </c>
      <c r="B77" s="23">
        <v>510053</v>
      </c>
      <c r="C77" s="2">
        <v>1</v>
      </c>
      <c r="D77" s="3">
        <v>658000</v>
      </c>
    </row>
    <row r="78" spans="1:4">
      <c r="A78" s="1" t="s">
        <v>88</v>
      </c>
      <c r="B78" s="23">
        <v>523430</v>
      </c>
      <c r="C78" s="2" t="s">
        <v>184</v>
      </c>
      <c r="D78" s="3">
        <v>7670000</v>
      </c>
    </row>
    <row r="79" spans="1:4">
      <c r="A79" s="1" t="s">
        <v>89</v>
      </c>
      <c r="B79" s="23">
        <v>529090</v>
      </c>
      <c r="C79" s="2">
        <v>3</v>
      </c>
      <c r="D79" s="2" t="s">
        <v>184</v>
      </c>
    </row>
    <row r="80" spans="1:4">
      <c r="A80" s="1" t="s">
        <v>90</v>
      </c>
      <c r="B80" s="23">
        <v>529249</v>
      </c>
      <c r="C80" s="2">
        <v>3</v>
      </c>
      <c r="D80" s="2" t="s">
        <v>184</v>
      </c>
    </row>
    <row r="81" spans="1:4">
      <c r="A81" s="1" t="s">
        <v>91</v>
      </c>
      <c r="B81" s="23">
        <v>530345</v>
      </c>
      <c r="C81" s="2">
        <v>3</v>
      </c>
      <c r="D81" s="3">
        <v>6000000</v>
      </c>
    </row>
    <row r="82" spans="1:4">
      <c r="A82" s="1" t="s">
        <v>92</v>
      </c>
      <c r="B82" s="23">
        <v>539088</v>
      </c>
      <c r="C82" s="2">
        <v>1</v>
      </c>
      <c r="D82" s="3">
        <v>6734000</v>
      </c>
    </row>
    <row r="83" spans="1:4">
      <c r="A83" s="1" t="s">
        <v>93</v>
      </c>
      <c r="B83" s="23">
        <v>543720</v>
      </c>
      <c r="C83" s="2">
        <v>3</v>
      </c>
      <c r="D83" s="2" t="s">
        <v>184</v>
      </c>
    </row>
    <row r="84" spans="1:4">
      <c r="A84" s="1" t="s">
        <v>94</v>
      </c>
      <c r="B84" s="23">
        <v>560814</v>
      </c>
      <c r="C84" s="2">
        <v>3</v>
      </c>
      <c r="D84" s="2" t="s">
        <v>184</v>
      </c>
    </row>
    <row r="85" spans="1:4">
      <c r="A85" s="1" t="s">
        <v>95</v>
      </c>
      <c r="B85" s="23">
        <v>563095</v>
      </c>
      <c r="C85" s="2" t="s">
        <v>184</v>
      </c>
      <c r="D85" s="3">
        <v>4250000</v>
      </c>
    </row>
    <row r="86" spans="1:4">
      <c r="A86" s="1" t="s">
        <v>96</v>
      </c>
      <c r="B86" s="23">
        <v>61690</v>
      </c>
      <c r="C86" s="2">
        <v>2</v>
      </c>
      <c r="D86" s="3">
        <v>13000000</v>
      </c>
    </row>
    <row r="87" spans="1:4">
      <c r="A87" s="1" t="s">
        <v>97</v>
      </c>
      <c r="B87" s="23" t="s">
        <v>98</v>
      </c>
      <c r="C87" s="2">
        <v>32</v>
      </c>
      <c r="D87" s="3">
        <v>11831000</v>
      </c>
    </row>
    <row r="88" spans="1:4">
      <c r="A88" s="1" t="s">
        <v>99</v>
      </c>
      <c r="B88" s="23" t="s">
        <v>100</v>
      </c>
      <c r="C88" s="2" t="s">
        <v>184</v>
      </c>
      <c r="D88" s="3">
        <v>18752000</v>
      </c>
    </row>
    <row r="89" spans="1:4">
      <c r="A89" s="1" t="s">
        <v>101</v>
      </c>
      <c r="B89" s="23" t="s">
        <v>102</v>
      </c>
      <c r="C89" s="2" t="s">
        <v>184</v>
      </c>
      <c r="D89" s="2" t="s">
        <v>184</v>
      </c>
    </row>
    <row r="90" spans="1:4">
      <c r="A90" s="1" t="s">
        <v>103</v>
      </c>
      <c r="B90" s="23" t="s">
        <v>104</v>
      </c>
      <c r="C90" s="2" t="s">
        <v>184</v>
      </c>
      <c r="D90" s="3">
        <v>1300000</v>
      </c>
    </row>
    <row r="91" spans="1:4">
      <c r="A91" s="1" t="s">
        <v>105</v>
      </c>
      <c r="B91" s="23">
        <v>12295536</v>
      </c>
      <c r="C91" s="2" t="s">
        <v>184</v>
      </c>
      <c r="D91" s="2" t="s">
        <v>184</v>
      </c>
    </row>
    <row r="92" spans="1:4">
      <c r="A92" s="1" t="s">
        <v>106</v>
      </c>
      <c r="B92" s="23">
        <v>12295980</v>
      </c>
      <c r="C92" s="2" t="s">
        <v>184</v>
      </c>
      <c r="D92" s="2" t="s">
        <v>184</v>
      </c>
    </row>
    <row r="93" spans="1:4">
      <c r="A93" s="1" t="s">
        <v>107</v>
      </c>
      <c r="B93" s="23">
        <v>12302808</v>
      </c>
      <c r="C93" s="2" t="s">
        <v>184</v>
      </c>
      <c r="D93" s="2" t="s">
        <v>184</v>
      </c>
    </row>
    <row r="94" spans="1:4">
      <c r="A94" s="1" t="s">
        <v>108</v>
      </c>
      <c r="B94" s="23">
        <v>12303072</v>
      </c>
      <c r="C94" s="2" t="s">
        <v>184</v>
      </c>
      <c r="D94" s="2" t="s">
        <v>184</v>
      </c>
    </row>
    <row r="95" spans="1:4">
      <c r="A95" s="1" t="s">
        <v>109</v>
      </c>
      <c r="B95" s="23">
        <v>12313881</v>
      </c>
      <c r="C95" s="2">
        <v>21</v>
      </c>
      <c r="D95" s="3">
        <v>13609000</v>
      </c>
    </row>
    <row r="96" spans="1:4">
      <c r="A96" s="1" t="s">
        <v>110</v>
      </c>
      <c r="B96" s="23">
        <v>12317091</v>
      </c>
      <c r="C96" s="2" t="s">
        <v>184</v>
      </c>
      <c r="D96" s="2" t="s">
        <v>184</v>
      </c>
    </row>
    <row r="97" spans="1:4">
      <c r="A97" s="1" t="s">
        <v>111</v>
      </c>
      <c r="B97" s="23">
        <v>12318079</v>
      </c>
      <c r="C97" s="2">
        <v>4</v>
      </c>
      <c r="D97" s="3">
        <v>466000</v>
      </c>
    </row>
    <row r="98" spans="1:4">
      <c r="A98" s="1" t="s">
        <v>112</v>
      </c>
      <c r="B98" s="23">
        <v>12320853</v>
      </c>
      <c r="C98" s="2" t="s">
        <v>184</v>
      </c>
      <c r="D98" s="2" t="s">
        <v>184</v>
      </c>
    </row>
    <row r="99" spans="1:4">
      <c r="A99" s="1" t="s">
        <v>113</v>
      </c>
      <c r="B99" s="23">
        <v>12321230</v>
      </c>
      <c r="C99" s="2" t="s">
        <v>184</v>
      </c>
      <c r="D99" s="2" t="s">
        <v>184</v>
      </c>
    </row>
    <row r="100" spans="1:4">
      <c r="A100" s="1" t="s">
        <v>114</v>
      </c>
      <c r="B100" s="23">
        <v>12321241</v>
      </c>
      <c r="C100" s="2">
        <v>8</v>
      </c>
      <c r="D100" s="3">
        <v>21232000</v>
      </c>
    </row>
    <row r="101" spans="1:4">
      <c r="A101" s="1" t="s">
        <v>115</v>
      </c>
      <c r="B101" s="23">
        <v>12321243</v>
      </c>
      <c r="C101" s="2">
        <v>307</v>
      </c>
      <c r="D101" s="3">
        <v>21203000</v>
      </c>
    </row>
    <row r="102" spans="1:4">
      <c r="A102" s="1" t="s">
        <v>116</v>
      </c>
      <c r="B102" s="23">
        <v>12322430</v>
      </c>
      <c r="C102" s="2" t="s">
        <v>184</v>
      </c>
      <c r="D102" s="2" t="s">
        <v>184</v>
      </c>
    </row>
    <row r="103" spans="1:4">
      <c r="A103" s="1" t="s">
        <v>117</v>
      </c>
      <c r="B103" s="23">
        <v>12324194</v>
      </c>
      <c r="C103" s="2" t="s">
        <v>184</v>
      </c>
      <c r="D103" s="2" t="s">
        <v>184</v>
      </c>
    </row>
    <row r="104" spans="1:4">
      <c r="A104" s="1" t="s">
        <v>118</v>
      </c>
      <c r="B104" s="23">
        <v>12327316</v>
      </c>
      <c r="C104" s="2" t="s">
        <v>184</v>
      </c>
      <c r="D104" s="2" t="s">
        <v>184</v>
      </c>
    </row>
    <row r="105" spans="1:4">
      <c r="A105" s="1" t="s">
        <v>119</v>
      </c>
      <c r="B105" s="23">
        <v>12331450</v>
      </c>
      <c r="C105" s="2" t="s">
        <v>184</v>
      </c>
      <c r="D105" s="4">
        <v>200000</v>
      </c>
    </row>
    <row r="106" spans="1:4">
      <c r="A106" s="1" t="s">
        <v>120</v>
      </c>
      <c r="B106" s="23">
        <v>12332670</v>
      </c>
      <c r="C106" s="2" t="s">
        <v>184</v>
      </c>
      <c r="D106" s="3">
        <v>1080000</v>
      </c>
    </row>
    <row r="107" spans="1:4">
      <c r="A107" s="1" t="s">
        <v>121</v>
      </c>
      <c r="B107" s="23">
        <v>12332811</v>
      </c>
      <c r="C107" s="2" t="s">
        <v>184</v>
      </c>
      <c r="D107" s="2" t="s">
        <v>184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42377000</v>
      </c>
    </row>
    <row r="110" spans="1:4">
      <c r="A110" s="1" t="s">
        <v>124</v>
      </c>
      <c r="B110" s="23">
        <v>12334637</v>
      </c>
      <c r="C110" s="2">
        <v>13</v>
      </c>
      <c r="D110" s="3">
        <v>15595000</v>
      </c>
    </row>
    <row r="111" spans="1:4">
      <c r="A111" s="1" t="s">
        <v>125</v>
      </c>
      <c r="B111" s="23">
        <v>126963</v>
      </c>
      <c r="C111" s="2">
        <v>4</v>
      </c>
      <c r="D111" s="3">
        <v>516000</v>
      </c>
    </row>
    <row r="112" spans="1:4">
      <c r="A112" s="1" t="s">
        <v>126</v>
      </c>
      <c r="B112" s="23">
        <v>127198</v>
      </c>
      <c r="C112" s="2">
        <v>4</v>
      </c>
      <c r="D112" s="3">
        <v>4319000</v>
      </c>
    </row>
    <row r="113" spans="1:4">
      <c r="A113" s="1" t="s">
        <v>127</v>
      </c>
      <c r="B113" s="23">
        <v>195918</v>
      </c>
      <c r="C113" s="2" t="s">
        <v>184</v>
      </c>
      <c r="D113" s="3">
        <v>12365999</v>
      </c>
    </row>
    <row r="114" spans="1:4">
      <c r="A114" s="1" t="s">
        <v>128</v>
      </c>
      <c r="B114" s="23">
        <v>199020</v>
      </c>
      <c r="C114" s="2" t="s">
        <v>184</v>
      </c>
      <c r="D114" s="3">
        <v>700000</v>
      </c>
    </row>
    <row r="115" spans="1:4">
      <c r="A115" s="1" t="s">
        <v>129</v>
      </c>
      <c r="B115" s="23">
        <v>240084</v>
      </c>
      <c r="C115" s="2" t="s">
        <v>184</v>
      </c>
      <c r="D115" s="3">
        <v>10000000</v>
      </c>
    </row>
    <row r="116" spans="1:4">
      <c r="A116" s="1" t="s">
        <v>130</v>
      </c>
      <c r="B116" s="23">
        <v>240713</v>
      </c>
      <c r="C116" s="2">
        <v>4</v>
      </c>
      <c r="D116" s="3">
        <v>6895000</v>
      </c>
    </row>
    <row r="117" spans="1:4">
      <c r="A117" s="1" t="s">
        <v>131</v>
      </c>
      <c r="B117" s="23">
        <v>304264</v>
      </c>
      <c r="C117" s="2" t="s">
        <v>184</v>
      </c>
      <c r="D117" s="3">
        <v>600000</v>
      </c>
    </row>
    <row r="118" spans="1:4">
      <c r="A118" s="1" t="s">
        <v>132</v>
      </c>
      <c r="B118" s="23">
        <v>342829</v>
      </c>
      <c r="C118" s="2">
        <v>3</v>
      </c>
      <c r="D118" s="3">
        <v>2587000</v>
      </c>
    </row>
    <row r="119" spans="1:4">
      <c r="A119" s="1" t="s">
        <v>133</v>
      </c>
      <c r="B119" s="23">
        <v>345427</v>
      </c>
      <c r="C119" s="2">
        <v>4</v>
      </c>
      <c r="D119" s="3">
        <v>1616000</v>
      </c>
    </row>
    <row r="120" spans="1:4">
      <c r="A120" s="1" t="s">
        <v>134</v>
      </c>
      <c r="B120" s="23">
        <v>352167</v>
      </c>
      <c r="C120" s="2" t="s">
        <v>184</v>
      </c>
      <c r="D120" s="3">
        <v>600000</v>
      </c>
    </row>
    <row r="121" spans="1:4">
      <c r="A121" s="1" t="s">
        <v>135</v>
      </c>
      <c r="B121" s="23">
        <v>396176</v>
      </c>
      <c r="C121" s="2" t="s">
        <v>184</v>
      </c>
      <c r="D121" s="4">
        <v>100000</v>
      </c>
    </row>
    <row r="122" spans="1:4">
      <c r="A122" s="1" t="s">
        <v>136</v>
      </c>
      <c r="B122" s="23">
        <v>401031</v>
      </c>
      <c r="C122" s="2" t="s">
        <v>184</v>
      </c>
      <c r="D122" s="3">
        <v>2000000</v>
      </c>
    </row>
    <row r="123" spans="1:4">
      <c r="A123" s="1" t="s">
        <v>137</v>
      </c>
      <c r="B123" s="23">
        <v>471389</v>
      </c>
      <c r="C123" s="2" t="s">
        <v>184</v>
      </c>
      <c r="D123" s="4">
        <v>200000</v>
      </c>
    </row>
    <row r="124" spans="1:4">
      <c r="A124" s="1" t="s">
        <v>138</v>
      </c>
      <c r="B124" s="23">
        <v>477625</v>
      </c>
      <c r="C124" s="2" t="s">
        <v>184</v>
      </c>
      <c r="D124" s="2" t="s">
        <v>184</v>
      </c>
    </row>
    <row r="125" spans="1:4">
      <c r="A125" s="1" t="s">
        <v>139</v>
      </c>
      <c r="B125" s="23">
        <v>481857</v>
      </c>
      <c r="C125" s="2" t="s">
        <v>184</v>
      </c>
      <c r="D125" s="4">
        <v>200000</v>
      </c>
    </row>
    <row r="126" spans="1:4">
      <c r="A126" s="1" t="s">
        <v>140</v>
      </c>
      <c r="B126" s="23">
        <v>483240</v>
      </c>
      <c r="C126" s="2" t="s">
        <v>184</v>
      </c>
      <c r="D126" s="4">
        <v>250000</v>
      </c>
    </row>
    <row r="127" spans="1:4">
      <c r="A127" s="1" t="s">
        <v>141</v>
      </c>
      <c r="B127" s="23">
        <v>499483</v>
      </c>
      <c r="C127" s="2" t="s">
        <v>184</v>
      </c>
      <c r="D127" s="3">
        <v>3300000</v>
      </c>
    </row>
    <row r="128" spans="1:4">
      <c r="A128" s="1" t="s">
        <v>142</v>
      </c>
      <c r="B128" s="23">
        <v>501141</v>
      </c>
      <c r="C128" s="2" t="s">
        <v>184</v>
      </c>
      <c r="D128" s="2" t="s">
        <v>184</v>
      </c>
    </row>
    <row r="129" spans="1:4">
      <c r="A129" s="1" t="s">
        <v>143</v>
      </c>
      <c r="B129" s="23">
        <v>501263</v>
      </c>
      <c r="C129" s="2" t="s">
        <v>184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616000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 t="s">
        <v>184</v>
      </c>
      <c r="D132" s="2" t="s">
        <v>184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10</v>
      </c>
      <c r="D134" s="3">
        <v>19290000</v>
      </c>
    </row>
    <row r="135" spans="1:4">
      <c r="A135" s="1" t="s">
        <v>149</v>
      </c>
      <c r="B135" s="23">
        <v>523849</v>
      </c>
      <c r="C135" s="2" t="s">
        <v>184</v>
      </c>
      <c r="D135" s="2" t="s">
        <v>184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 t="s">
        <v>184</v>
      </c>
      <c r="D137" s="3">
        <v>850000</v>
      </c>
    </row>
    <row r="138" spans="1:4">
      <c r="A138" s="1" t="s">
        <v>152</v>
      </c>
      <c r="B138" s="23">
        <v>543771</v>
      </c>
      <c r="C138" s="2" t="s">
        <v>184</v>
      </c>
      <c r="D138" s="2" t="s">
        <v>184</v>
      </c>
    </row>
    <row r="139" spans="1:4">
      <c r="A139" s="1" t="s">
        <v>153</v>
      </c>
      <c r="B139" s="23">
        <v>543826</v>
      </c>
      <c r="C139" s="2">
        <v>56</v>
      </c>
      <c r="D139" s="3">
        <v>21174000</v>
      </c>
    </row>
    <row r="140" spans="1:4">
      <c r="A140" s="1" t="s">
        <v>154</v>
      </c>
      <c r="B140" s="23">
        <v>546446</v>
      </c>
      <c r="C140" s="2" t="s">
        <v>184</v>
      </c>
      <c r="D140" s="3">
        <v>300000</v>
      </c>
    </row>
    <row r="141" spans="1:4">
      <c r="A141" s="1" t="s">
        <v>155</v>
      </c>
      <c r="B141" s="23">
        <v>558955</v>
      </c>
      <c r="C141" s="2" t="s">
        <v>184</v>
      </c>
      <c r="D141" s="2" t="s">
        <v>184</v>
      </c>
    </row>
    <row r="142" spans="1:4">
      <c r="A142" s="1" t="s">
        <v>156</v>
      </c>
      <c r="B142" s="23">
        <v>562953</v>
      </c>
      <c r="C142" s="2">
        <v>1</v>
      </c>
      <c r="D142" s="3">
        <v>2500000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 t="s">
        <v>184</v>
      </c>
      <c r="D144" s="2" t="s">
        <v>184</v>
      </c>
    </row>
    <row r="145" spans="1:4">
      <c r="A145" s="1" t="s">
        <v>159</v>
      </c>
      <c r="B145" s="23">
        <v>61688</v>
      </c>
      <c r="C145" s="2" t="s">
        <v>184</v>
      </c>
      <c r="D145" s="4">
        <v>250000</v>
      </c>
    </row>
    <row r="146" spans="1:4">
      <c r="A146" s="1" t="s">
        <v>97</v>
      </c>
      <c r="B146" s="23" t="s">
        <v>160</v>
      </c>
      <c r="C146" s="2" t="s">
        <v>184</v>
      </c>
      <c r="D146" s="3">
        <v>1300000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dimension ref="A1:N146"/>
  <sheetViews>
    <sheetView workbookViewId="0">
      <pane ySplit="1" topLeftCell="A113" activePane="bottomLeft" state="frozen"/>
      <selection pane="bottomLeft" activeCell="M2" sqref="M2:N146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1" max="11" width="18.5703125" style="39" customWidth="1"/>
    <col min="12" max="12" width="12.5703125" style="39" customWidth="1"/>
    <col min="13" max="13" width="11.5703125" style="9" bestFit="1" customWidth="1"/>
  </cols>
  <sheetData>
    <row r="1" spans="1:14" ht="63.75">
      <c r="A1" s="32" t="s">
        <v>170</v>
      </c>
      <c r="B1" s="32" t="s">
        <v>163</v>
      </c>
      <c r="C1" s="33" t="s">
        <v>164</v>
      </c>
      <c r="D1" s="34" t="s">
        <v>165</v>
      </c>
      <c r="E1" s="35" t="s">
        <v>166</v>
      </c>
      <c r="F1" s="35" t="s">
        <v>167</v>
      </c>
      <c r="G1" s="35" t="s">
        <v>168</v>
      </c>
      <c r="H1" s="35" t="s">
        <v>169</v>
      </c>
      <c r="I1" s="37" t="s">
        <v>188</v>
      </c>
      <c r="J1" s="37" t="s">
        <v>191</v>
      </c>
      <c r="K1" s="38" t="s">
        <v>190</v>
      </c>
      <c r="L1" s="38"/>
    </row>
    <row r="2" spans="1:14">
      <c r="A2" s="27" t="s">
        <v>3</v>
      </c>
      <c r="B2" s="27">
        <v>10466</v>
      </c>
      <c r="C2" s="27" t="s">
        <v>9</v>
      </c>
      <c r="D2" s="27">
        <f t="shared" ref="D2:D65" si="0">IF(G2&gt;0,1,0)</f>
        <v>0</v>
      </c>
      <c r="E2" s="28">
        <v>1</v>
      </c>
      <c r="F2" s="36">
        <v>1</v>
      </c>
      <c r="G2" s="36">
        <v>0</v>
      </c>
      <c r="H2" s="28">
        <f t="shared" ref="H2:H65" si="1">MAX(G2-F2,0)</f>
        <v>0</v>
      </c>
      <c r="I2">
        <f>IF(G2&gt;=3,1,0)</f>
        <v>0</v>
      </c>
      <c r="J2">
        <f>INDEX(M:N,MATCH(B2,M:M,0),2)</f>
        <v>1</v>
      </c>
      <c r="K2" s="38">
        <f>G2-J2</f>
        <v>-1</v>
      </c>
      <c r="L2" s="38"/>
      <c r="M2" s="9">
        <v>240713</v>
      </c>
      <c r="N2" s="14">
        <v>1</v>
      </c>
    </row>
    <row r="3" spans="1:14">
      <c r="A3" s="27" t="s">
        <v>3</v>
      </c>
      <c r="B3" s="27">
        <v>12295592</v>
      </c>
      <c r="C3" s="27" t="s">
        <v>11</v>
      </c>
      <c r="D3" s="27">
        <f t="shared" si="0"/>
        <v>1</v>
      </c>
      <c r="E3" s="28">
        <v>1</v>
      </c>
      <c r="F3" s="36">
        <v>1</v>
      </c>
      <c r="G3" s="36">
        <v>5</v>
      </c>
      <c r="H3" s="28">
        <f t="shared" si="1"/>
        <v>4</v>
      </c>
      <c r="I3">
        <f t="shared" ref="I3:I66" si="2">IF(G3&gt;=3,1,0)</f>
        <v>1</v>
      </c>
      <c r="J3">
        <f t="shared" ref="J3:J66" si="3">INDEX(M:N,MATCH(B3,M:M,0),2)</f>
        <v>10</v>
      </c>
      <c r="K3" s="38">
        <f t="shared" ref="K3:K66" si="4">G3-J3</f>
        <v>-5</v>
      </c>
      <c r="L3" s="38"/>
      <c r="M3" s="9">
        <v>12331450</v>
      </c>
      <c r="N3" s="14">
        <v>0</v>
      </c>
    </row>
    <row r="4" spans="1:14">
      <c r="A4" s="27" t="s">
        <v>3</v>
      </c>
      <c r="B4" s="27">
        <v>12295626</v>
      </c>
      <c r="C4" s="27" t="s">
        <v>12</v>
      </c>
      <c r="D4" s="27">
        <f t="shared" si="0"/>
        <v>0</v>
      </c>
      <c r="E4" s="28">
        <v>0</v>
      </c>
      <c r="F4" s="36">
        <v>0</v>
      </c>
      <c r="G4" s="36">
        <v>0</v>
      </c>
      <c r="H4" s="28">
        <f t="shared" si="1"/>
        <v>0</v>
      </c>
      <c r="I4">
        <f t="shared" si="2"/>
        <v>0</v>
      </c>
      <c r="J4">
        <f t="shared" si="3"/>
        <v>0</v>
      </c>
      <c r="K4" s="38">
        <f t="shared" si="4"/>
        <v>0</v>
      </c>
      <c r="L4" s="38"/>
      <c r="M4" s="9">
        <v>292836</v>
      </c>
      <c r="N4" s="14">
        <v>0</v>
      </c>
    </row>
    <row r="5" spans="1:14">
      <c r="A5" s="27" t="s">
        <v>3</v>
      </c>
      <c r="B5" s="27">
        <v>12295724</v>
      </c>
      <c r="C5" s="27" t="s">
        <v>13</v>
      </c>
      <c r="D5" s="27">
        <f t="shared" si="0"/>
        <v>0</v>
      </c>
      <c r="E5" s="28">
        <v>2</v>
      </c>
      <c r="F5" s="36">
        <v>1</v>
      </c>
      <c r="G5" s="36">
        <v>0</v>
      </c>
      <c r="H5" s="28">
        <f t="shared" si="1"/>
        <v>0</v>
      </c>
      <c r="I5">
        <f t="shared" si="2"/>
        <v>0</v>
      </c>
      <c r="J5">
        <f t="shared" si="3"/>
        <v>1</v>
      </c>
      <c r="K5" s="38">
        <f t="shared" si="4"/>
        <v>-1</v>
      </c>
      <c r="L5" s="38"/>
      <c r="M5" s="9">
        <v>12321243</v>
      </c>
      <c r="N5" s="14">
        <v>90</v>
      </c>
    </row>
    <row r="6" spans="1:14">
      <c r="A6" s="27" t="s">
        <v>3</v>
      </c>
      <c r="B6" s="27">
        <v>12295752</v>
      </c>
      <c r="C6" s="27" t="s">
        <v>14</v>
      </c>
      <c r="D6" s="27">
        <f t="shared" si="0"/>
        <v>1</v>
      </c>
      <c r="E6" s="28">
        <v>2</v>
      </c>
      <c r="F6" s="36">
        <v>2</v>
      </c>
      <c r="G6" s="36">
        <v>1</v>
      </c>
      <c r="H6" s="28">
        <f t="shared" si="1"/>
        <v>0</v>
      </c>
      <c r="I6">
        <f t="shared" si="2"/>
        <v>0</v>
      </c>
      <c r="J6">
        <f t="shared" si="3"/>
        <v>1</v>
      </c>
      <c r="K6" s="38">
        <f t="shared" si="4"/>
        <v>0</v>
      </c>
      <c r="L6" s="38"/>
      <c r="M6" s="9">
        <v>12320853</v>
      </c>
      <c r="N6" s="14">
        <v>0</v>
      </c>
    </row>
    <row r="7" spans="1:14">
      <c r="A7" s="27" t="s">
        <v>3</v>
      </c>
      <c r="B7" s="27">
        <v>12295820</v>
      </c>
      <c r="C7" s="27" t="s">
        <v>16</v>
      </c>
      <c r="D7" s="27">
        <f t="shared" si="0"/>
        <v>0</v>
      </c>
      <c r="E7" s="28">
        <v>0</v>
      </c>
      <c r="F7" s="36">
        <v>0</v>
      </c>
      <c r="G7" s="36">
        <v>0</v>
      </c>
      <c r="H7" s="28">
        <f t="shared" si="1"/>
        <v>0</v>
      </c>
      <c r="I7">
        <f t="shared" si="2"/>
        <v>0</v>
      </c>
      <c r="J7">
        <f t="shared" si="3"/>
        <v>0</v>
      </c>
      <c r="K7" s="38">
        <f t="shared" si="4"/>
        <v>0</v>
      </c>
      <c r="L7" s="38"/>
      <c r="M7" s="9">
        <v>501860</v>
      </c>
      <c r="N7" s="14">
        <v>3</v>
      </c>
    </row>
    <row r="8" spans="1:14">
      <c r="A8" s="27" t="s">
        <v>3</v>
      </c>
      <c r="B8" s="27">
        <v>12295826</v>
      </c>
      <c r="C8" s="27" t="s">
        <v>17</v>
      </c>
      <c r="D8" s="27">
        <f t="shared" si="0"/>
        <v>0</v>
      </c>
      <c r="E8" s="28">
        <v>0</v>
      </c>
      <c r="F8" s="36">
        <v>0</v>
      </c>
      <c r="G8" s="36">
        <v>0</v>
      </c>
      <c r="H8" s="28">
        <f t="shared" si="1"/>
        <v>0</v>
      </c>
      <c r="I8">
        <f t="shared" si="2"/>
        <v>0</v>
      </c>
      <c r="J8">
        <f t="shared" si="3"/>
        <v>0</v>
      </c>
      <c r="K8" s="38">
        <f t="shared" si="4"/>
        <v>0</v>
      </c>
      <c r="L8" s="38"/>
      <c r="M8" s="9">
        <v>12322483</v>
      </c>
      <c r="N8" s="14">
        <v>0</v>
      </c>
    </row>
    <row r="9" spans="1:14">
      <c r="A9" s="27" t="s">
        <v>3</v>
      </c>
      <c r="B9" s="27">
        <v>12295833</v>
      </c>
      <c r="C9" s="27" t="s">
        <v>18</v>
      </c>
      <c r="D9" s="27">
        <f t="shared" si="0"/>
        <v>0</v>
      </c>
      <c r="E9" s="28">
        <v>0</v>
      </c>
      <c r="F9" s="36">
        <v>0</v>
      </c>
      <c r="G9" s="36">
        <v>0</v>
      </c>
      <c r="H9" s="28">
        <f t="shared" si="1"/>
        <v>0</v>
      </c>
      <c r="I9">
        <f t="shared" si="2"/>
        <v>0</v>
      </c>
      <c r="J9">
        <f t="shared" si="3"/>
        <v>0</v>
      </c>
      <c r="K9" s="38">
        <f t="shared" si="4"/>
        <v>0</v>
      </c>
      <c r="L9" s="38"/>
      <c r="M9" s="9">
        <v>503354</v>
      </c>
      <c r="N9" s="14">
        <v>0</v>
      </c>
    </row>
    <row r="10" spans="1:14">
      <c r="A10" s="27" t="s">
        <v>3</v>
      </c>
      <c r="B10" s="27">
        <v>12301356</v>
      </c>
      <c r="C10" s="27" t="s">
        <v>19</v>
      </c>
      <c r="D10" s="27">
        <f t="shared" si="0"/>
        <v>1</v>
      </c>
      <c r="E10" s="28">
        <v>0</v>
      </c>
      <c r="F10" s="36">
        <v>1</v>
      </c>
      <c r="G10" s="36">
        <v>3</v>
      </c>
      <c r="H10" s="28">
        <f t="shared" si="1"/>
        <v>2</v>
      </c>
      <c r="I10">
        <f t="shared" si="2"/>
        <v>1</v>
      </c>
      <c r="J10">
        <f t="shared" si="3"/>
        <v>3</v>
      </c>
      <c r="K10" s="38">
        <f t="shared" si="4"/>
        <v>0</v>
      </c>
      <c r="L10" s="38"/>
      <c r="M10" s="9">
        <v>524283</v>
      </c>
      <c r="N10" s="14">
        <v>0</v>
      </c>
    </row>
    <row r="11" spans="1:14">
      <c r="A11" s="27" t="s">
        <v>3</v>
      </c>
      <c r="B11" s="27">
        <v>12323218</v>
      </c>
      <c r="C11" s="27" t="s">
        <v>20</v>
      </c>
      <c r="D11" s="27">
        <f t="shared" si="0"/>
        <v>1</v>
      </c>
      <c r="E11" s="28">
        <v>0</v>
      </c>
      <c r="F11" s="36">
        <v>1</v>
      </c>
      <c r="G11" s="36">
        <v>1</v>
      </c>
      <c r="H11" s="28">
        <f t="shared" si="1"/>
        <v>0</v>
      </c>
      <c r="I11">
        <f t="shared" si="2"/>
        <v>0</v>
      </c>
      <c r="J11">
        <f t="shared" si="3"/>
        <v>1</v>
      </c>
      <c r="K11" s="38">
        <f t="shared" si="4"/>
        <v>0</v>
      </c>
      <c r="L11" s="38"/>
      <c r="M11" s="9">
        <v>569298</v>
      </c>
      <c r="N11" s="14">
        <v>0</v>
      </c>
    </row>
    <row r="12" spans="1:14">
      <c r="A12" s="27" t="s">
        <v>3</v>
      </c>
      <c r="B12" s="27">
        <v>12324647</v>
      </c>
      <c r="C12" s="27" t="s">
        <v>21</v>
      </c>
      <c r="D12" s="27">
        <f t="shared" si="0"/>
        <v>0</v>
      </c>
      <c r="E12" s="28">
        <v>0</v>
      </c>
      <c r="F12" s="36">
        <v>0</v>
      </c>
      <c r="G12" s="36">
        <v>0</v>
      </c>
      <c r="H12" s="28">
        <f t="shared" si="1"/>
        <v>0</v>
      </c>
      <c r="I12">
        <f t="shared" si="2"/>
        <v>0</v>
      </c>
      <c r="J12">
        <f t="shared" si="3"/>
        <v>0</v>
      </c>
      <c r="K12" s="38">
        <f t="shared" si="4"/>
        <v>0</v>
      </c>
      <c r="L12" s="38"/>
      <c r="M12" s="9">
        <v>481857</v>
      </c>
      <c r="N12" s="14">
        <v>0</v>
      </c>
    </row>
    <row r="13" spans="1:14">
      <c r="A13" s="27" t="s">
        <v>3</v>
      </c>
      <c r="B13" s="27">
        <v>12326118</v>
      </c>
      <c r="C13" s="27" t="s">
        <v>22</v>
      </c>
      <c r="D13" s="27">
        <f t="shared" si="0"/>
        <v>1</v>
      </c>
      <c r="E13" s="28">
        <v>4</v>
      </c>
      <c r="F13" s="36">
        <v>1</v>
      </c>
      <c r="G13" s="36">
        <v>1</v>
      </c>
      <c r="H13" s="28">
        <f t="shared" si="1"/>
        <v>0</v>
      </c>
      <c r="I13">
        <f t="shared" si="2"/>
        <v>0</v>
      </c>
      <c r="J13">
        <f t="shared" si="3"/>
        <v>1</v>
      </c>
      <c r="K13" s="38">
        <f t="shared" si="4"/>
        <v>0</v>
      </c>
      <c r="L13" s="38"/>
      <c r="M13" s="9">
        <v>558955</v>
      </c>
      <c r="N13" s="14">
        <v>0</v>
      </c>
    </row>
    <row r="14" spans="1:14">
      <c r="A14" s="27" t="s">
        <v>3</v>
      </c>
      <c r="B14" s="27">
        <v>12326313</v>
      </c>
      <c r="C14" s="27" t="s">
        <v>23</v>
      </c>
      <c r="D14" s="27">
        <f t="shared" si="0"/>
        <v>1</v>
      </c>
      <c r="E14" s="28">
        <v>0</v>
      </c>
      <c r="F14" s="36">
        <v>1</v>
      </c>
      <c r="G14" s="36">
        <v>1</v>
      </c>
      <c r="H14" s="28">
        <f t="shared" si="1"/>
        <v>0</v>
      </c>
      <c r="I14">
        <f t="shared" si="2"/>
        <v>0</v>
      </c>
      <c r="J14">
        <f t="shared" si="3"/>
        <v>1</v>
      </c>
      <c r="K14" s="38">
        <f t="shared" si="4"/>
        <v>0</v>
      </c>
      <c r="L14" s="38"/>
      <c r="M14" s="9">
        <v>12323218</v>
      </c>
      <c r="N14" s="14">
        <v>1</v>
      </c>
    </row>
    <row r="15" spans="1:14">
      <c r="A15" s="27" t="s">
        <v>3</v>
      </c>
      <c r="B15" s="27">
        <v>12326533</v>
      </c>
      <c r="C15" s="27" t="s">
        <v>24</v>
      </c>
      <c r="D15" s="27">
        <f t="shared" si="0"/>
        <v>0</v>
      </c>
      <c r="E15" s="28">
        <v>0</v>
      </c>
      <c r="F15" s="36">
        <v>30</v>
      </c>
      <c r="G15" s="36">
        <v>0</v>
      </c>
      <c r="H15" s="28">
        <f t="shared" si="1"/>
        <v>0</v>
      </c>
      <c r="I15">
        <f t="shared" si="2"/>
        <v>0</v>
      </c>
      <c r="J15">
        <f t="shared" si="3"/>
        <v>0</v>
      </c>
      <c r="K15" s="38">
        <f t="shared" si="4"/>
        <v>0</v>
      </c>
      <c r="L15" s="38"/>
      <c r="M15" s="9">
        <v>501643</v>
      </c>
      <c r="N15" s="14">
        <v>0</v>
      </c>
    </row>
    <row r="16" spans="1:14">
      <c r="A16" s="27" t="s">
        <v>3</v>
      </c>
      <c r="B16" s="27">
        <v>12326920</v>
      </c>
      <c r="C16" s="27" t="s">
        <v>25</v>
      </c>
      <c r="D16" s="27">
        <f t="shared" si="0"/>
        <v>0</v>
      </c>
      <c r="E16" s="28">
        <v>2</v>
      </c>
      <c r="F16" s="36">
        <v>1</v>
      </c>
      <c r="G16" s="36">
        <v>0</v>
      </c>
      <c r="H16" s="28">
        <f t="shared" si="1"/>
        <v>0</v>
      </c>
      <c r="I16">
        <f t="shared" si="2"/>
        <v>0</v>
      </c>
      <c r="J16">
        <f t="shared" si="3"/>
        <v>0</v>
      </c>
      <c r="K16" s="38">
        <f t="shared" si="4"/>
        <v>0</v>
      </c>
      <c r="L16" s="38"/>
      <c r="M16" s="9">
        <v>408290</v>
      </c>
      <c r="N16" s="14">
        <v>2</v>
      </c>
    </row>
    <row r="17" spans="1:14">
      <c r="A17" s="27" t="s">
        <v>3</v>
      </c>
      <c r="B17" s="27">
        <v>1661</v>
      </c>
      <c r="C17" s="27" t="s">
        <v>26</v>
      </c>
      <c r="D17" s="27">
        <f t="shared" si="0"/>
        <v>0</v>
      </c>
      <c r="E17" s="28">
        <v>0</v>
      </c>
      <c r="F17" s="36">
        <v>1</v>
      </c>
      <c r="G17" s="36">
        <v>0</v>
      </c>
      <c r="H17" s="28">
        <f t="shared" si="1"/>
        <v>0</v>
      </c>
      <c r="I17">
        <f t="shared" si="2"/>
        <v>0</v>
      </c>
      <c r="J17">
        <f t="shared" si="3"/>
        <v>0</v>
      </c>
      <c r="K17" s="38">
        <f t="shared" si="4"/>
        <v>0</v>
      </c>
      <c r="L17" s="38"/>
      <c r="M17" s="9">
        <v>12326313</v>
      </c>
      <c r="N17" s="14">
        <v>1</v>
      </c>
    </row>
    <row r="18" spans="1:14">
      <c r="A18" s="27" t="s">
        <v>3</v>
      </c>
      <c r="B18" s="27">
        <v>213944</v>
      </c>
      <c r="C18" s="27" t="s">
        <v>27</v>
      </c>
      <c r="D18" s="27">
        <f t="shared" si="0"/>
        <v>1</v>
      </c>
      <c r="E18" s="28">
        <v>1</v>
      </c>
      <c r="F18" s="36">
        <v>1</v>
      </c>
      <c r="G18" s="36">
        <v>5</v>
      </c>
      <c r="H18" s="28">
        <f t="shared" si="1"/>
        <v>4</v>
      </c>
      <c r="I18">
        <f t="shared" si="2"/>
        <v>1</v>
      </c>
      <c r="J18">
        <f t="shared" si="3"/>
        <v>4</v>
      </c>
      <c r="K18" s="38">
        <f t="shared" si="4"/>
        <v>1</v>
      </c>
      <c r="L18" s="38"/>
      <c r="M18" s="9">
        <v>228872</v>
      </c>
      <c r="N18" s="14">
        <v>0</v>
      </c>
    </row>
    <row r="19" spans="1:14">
      <c r="A19" s="27" t="s">
        <v>3</v>
      </c>
      <c r="B19" s="27">
        <v>240048</v>
      </c>
      <c r="C19" s="27" t="s">
        <v>28</v>
      </c>
      <c r="D19" s="27">
        <f t="shared" si="0"/>
        <v>1</v>
      </c>
      <c r="E19" s="28">
        <v>2</v>
      </c>
      <c r="F19" s="36">
        <v>1</v>
      </c>
      <c r="G19" s="36">
        <v>1</v>
      </c>
      <c r="H19" s="28">
        <f t="shared" si="1"/>
        <v>0</v>
      </c>
      <c r="I19">
        <f t="shared" si="2"/>
        <v>0</v>
      </c>
      <c r="J19">
        <f t="shared" si="3"/>
        <v>2</v>
      </c>
      <c r="K19" s="38">
        <f t="shared" si="4"/>
        <v>-1</v>
      </c>
      <c r="L19" s="38"/>
      <c r="M19" s="9">
        <v>12332670</v>
      </c>
      <c r="N19" s="14">
        <v>5</v>
      </c>
    </row>
    <row r="20" spans="1:14">
      <c r="A20" s="27" t="s">
        <v>3</v>
      </c>
      <c r="B20" s="27">
        <v>287403</v>
      </c>
      <c r="C20" s="27" t="s">
        <v>30</v>
      </c>
      <c r="D20" s="27">
        <f t="shared" si="0"/>
        <v>0</v>
      </c>
      <c r="E20" s="28">
        <v>3</v>
      </c>
      <c r="F20" s="36">
        <v>1</v>
      </c>
      <c r="G20" s="36">
        <v>0</v>
      </c>
      <c r="H20" s="28">
        <f t="shared" si="1"/>
        <v>0</v>
      </c>
      <c r="I20">
        <f t="shared" si="2"/>
        <v>0</v>
      </c>
      <c r="J20">
        <f t="shared" si="3"/>
        <v>0</v>
      </c>
      <c r="K20" s="38">
        <f t="shared" si="4"/>
        <v>0</v>
      </c>
      <c r="L20" s="38"/>
      <c r="M20" s="9">
        <v>543771</v>
      </c>
      <c r="N20" s="14">
        <v>0</v>
      </c>
    </row>
    <row r="21" spans="1:14">
      <c r="A21" s="27" t="s">
        <v>3</v>
      </c>
      <c r="B21" s="27">
        <v>287622</v>
      </c>
      <c r="C21" s="27" t="s">
        <v>31</v>
      </c>
      <c r="D21" s="27">
        <f t="shared" si="0"/>
        <v>0</v>
      </c>
      <c r="E21" s="28">
        <v>1</v>
      </c>
      <c r="F21" s="36">
        <v>1</v>
      </c>
      <c r="G21" s="36">
        <v>0</v>
      </c>
      <c r="H21" s="28">
        <f t="shared" si="1"/>
        <v>0</v>
      </c>
      <c r="I21">
        <f t="shared" si="2"/>
        <v>0</v>
      </c>
      <c r="J21">
        <f t="shared" si="3"/>
        <v>0</v>
      </c>
      <c r="K21" s="38">
        <f t="shared" si="4"/>
        <v>0</v>
      </c>
      <c r="L21" s="38"/>
      <c r="M21" s="9">
        <v>12322237</v>
      </c>
      <c r="N21" s="14">
        <v>1</v>
      </c>
    </row>
    <row r="22" spans="1:14">
      <c r="A22" s="27" t="s">
        <v>3</v>
      </c>
      <c r="B22" s="27">
        <v>301600</v>
      </c>
      <c r="C22" s="27" t="s">
        <v>32</v>
      </c>
      <c r="D22" s="27">
        <f t="shared" si="0"/>
        <v>0</v>
      </c>
      <c r="E22" s="28">
        <v>1</v>
      </c>
      <c r="F22" s="36">
        <v>1</v>
      </c>
      <c r="G22" s="36">
        <v>0</v>
      </c>
      <c r="H22" s="28">
        <f t="shared" si="1"/>
        <v>0</v>
      </c>
      <c r="I22">
        <f t="shared" si="2"/>
        <v>0</v>
      </c>
      <c r="J22">
        <f t="shared" si="3"/>
        <v>2</v>
      </c>
      <c r="K22" s="38">
        <f t="shared" si="4"/>
        <v>-2</v>
      </c>
      <c r="L22" s="38"/>
      <c r="M22" s="9">
        <v>483240</v>
      </c>
      <c r="N22" s="14">
        <v>1</v>
      </c>
    </row>
    <row r="23" spans="1:14">
      <c r="A23" s="27" t="s">
        <v>3</v>
      </c>
      <c r="B23" s="27">
        <v>347538</v>
      </c>
      <c r="C23" s="27" t="s">
        <v>33</v>
      </c>
      <c r="D23" s="27">
        <f t="shared" si="0"/>
        <v>0</v>
      </c>
      <c r="E23" s="28">
        <v>1</v>
      </c>
      <c r="F23" s="36">
        <v>1</v>
      </c>
      <c r="G23" s="36">
        <v>0</v>
      </c>
      <c r="H23" s="28">
        <f t="shared" si="1"/>
        <v>0</v>
      </c>
      <c r="I23">
        <f t="shared" si="2"/>
        <v>0</v>
      </c>
      <c r="J23">
        <f t="shared" si="3"/>
        <v>2</v>
      </c>
      <c r="K23" s="38">
        <f t="shared" si="4"/>
        <v>-2</v>
      </c>
      <c r="L23" s="38"/>
      <c r="M23" s="9">
        <v>510295</v>
      </c>
      <c r="N23" s="14">
        <v>0</v>
      </c>
    </row>
    <row r="24" spans="1:14">
      <c r="A24" s="27" t="s">
        <v>3</v>
      </c>
      <c r="B24" s="27">
        <v>358231</v>
      </c>
      <c r="C24" s="27" t="s">
        <v>34</v>
      </c>
      <c r="D24" s="27">
        <f t="shared" si="0"/>
        <v>0</v>
      </c>
      <c r="E24" s="28">
        <v>0</v>
      </c>
      <c r="F24" s="36">
        <v>1</v>
      </c>
      <c r="G24" s="36">
        <v>0</v>
      </c>
      <c r="H24" s="28">
        <f t="shared" si="1"/>
        <v>0</v>
      </c>
      <c r="I24">
        <f t="shared" si="2"/>
        <v>0</v>
      </c>
      <c r="J24">
        <f t="shared" si="3"/>
        <v>0</v>
      </c>
      <c r="K24" s="38">
        <f t="shared" si="4"/>
        <v>0</v>
      </c>
      <c r="L24" s="38"/>
      <c r="M24" s="9">
        <v>12295717</v>
      </c>
      <c r="N24" s="14">
        <v>1</v>
      </c>
    </row>
    <row r="25" spans="1:14">
      <c r="A25" s="27" t="s">
        <v>3</v>
      </c>
      <c r="B25" s="27">
        <v>368809</v>
      </c>
      <c r="C25" s="27" t="s">
        <v>35</v>
      </c>
      <c r="D25" s="27">
        <f t="shared" si="0"/>
        <v>1</v>
      </c>
      <c r="E25" s="28">
        <v>0</v>
      </c>
      <c r="F25" s="36">
        <v>1</v>
      </c>
      <c r="G25" s="36">
        <v>1</v>
      </c>
      <c r="H25" s="28">
        <f t="shared" si="1"/>
        <v>0</v>
      </c>
      <c r="I25">
        <f t="shared" si="2"/>
        <v>0</v>
      </c>
      <c r="J25">
        <f t="shared" si="3"/>
        <v>1</v>
      </c>
      <c r="K25" s="38">
        <f t="shared" si="4"/>
        <v>0</v>
      </c>
      <c r="L25" s="38"/>
      <c r="M25" s="9">
        <v>12317091</v>
      </c>
      <c r="N25" s="14">
        <v>0</v>
      </c>
    </row>
    <row r="26" spans="1:14">
      <c r="A26" s="27" t="s">
        <v>3</v>
      </c>
      <c r="B26" s="27">
        <v>385575</v>
      </c>
      <c r="C26" s="27" t="s">
        <v>36</v>
      </c>
      <c r="D26" s="27">
        <f t="shared" si="0"/>
        <v>0</v>
      </c>
      <c r="E26" s="28">
        <v>0</v>
      </c>
      <c r="F26" s="36">
        <v>0</v>
      </c>
      <c r="G26" s="36">
        <v>0</v>
      </c>
      <c r="H26" s="28">
        <f t="shared" si="1"/>
        <v>0</v>
      </c>
      <c r="I26">
        <f t="shared" si="2"/>
        <v>0</v>
      </c>
      <c r="J26">
        <f t="shared" si="3"/>
        <v>0</v>
      </c>
      <c r="K26" s="38">
        <f t="shared" si="4"/>
        <v>0</v>
      </c>
      <c r="L26" s="38"/>
      <c r="M26" s="9">
        <v>195514</v>
      </c>
      <c r="N26" s="14">
        <v>0</v>
      </c>
    </row>
    <row r="27" spans="1:14">
      <c r="A27" s="27" t="s">
        <v>3</v>
      </c>
      <c r="B27" s="27">
        <v>408290</v>
      </c>
      <c r="C27" s="27" t="s">
        <v>37</v>
      </c>
      <c r="D27" s="27">
        <f t="shared" si="0"/>
        <v>1</v>
      </c>
      <c r="E27" s="28">
        <v>1</v>
      </c>
      <c r="F27" s="36">
        <v>1</v>
      </c>
      <c r="G27" s="36">
        <v>1</v>
      </c>
      <c r="H27" s="28">
        <f t="shared" si="1"/>
        <v>0</v>
      </c>
      <c r="I27">
        <f t="shared" si="2"/>
        <v>0</v>
      </c>
      <c r="J27">
        <f t="shared" si="3"/>
        <v>2</v>
      </c>
      <c r="K27" s="38">
        <f t="shared" si="4"/>
        <v>-1</v>
      </c>
      <c r="L27" s="38"/>
      <c r="M27" s="9">
        <v>560814</v>
      </c>
      <c r="N27" s="14">
        <v>2</v>
      </c>
    </row>
    <row r="28" spans="1:14">
      <c r="A28" s="27" t="s">
        <v>3</v>
      </c>
      <c r="B28" s="27">
        <v>416191</v>
      </c>
      <c r="C28" s="27" t="s">
        <v>38</v>
      </c>
      <c r="D28" s="27">
        <f t="shared" si="0"/>
        <v>0</v>
      </c>
      <c r="E28" s="28">
        <v>1</v>
      </c>
      <c r="F28" s="36">
        <v>1</v>
      </c>
      <c r="G28" s="36">
        <v>0</v>
      </c>
      <c r="H28" s="28">
        <f t="shared" si="1"/>
        <v>0</v>
      </c>
      <c r="I28">
        <f t="shared" si="2"/>
        <v>0</v>
      </c>
      <c r="J28">
        <f t="shared" si="3"/>
        <v>0</v>
      </c>
      <c r="K28" s="38">
        <f t="shared" si="4"/>
        <v>0</v>
      </c>
      <c r="L28" s="38"/>
      <c r="M28" s="9" t="s">
        <v>98</v>
      </c>
      <c r="N28" s="14">
        <v>34</v>
      </c>
    </row>
    <row r="29" spans="1:14">
      <c r="A29" s="27" t="s">
        <v>3</v>
      </c>
      <c r="B29" s="27">
        <v>484741</v>
      </c>
      <c r="C29" s="27" t="s">
        <v>39</v>
      </c>
      <c r="D29" s="27">
        <f t="shared" si="0"/>
        <v>0</v>
      </c>
      <c r="E29" s="28">
        <v>1</v>
      </c>
      <c r="F29" s="36">
        <v>1</v>
      </c>
      <c r="G29" s="36">
        <v>0</v>
      </c>
      <c r="H29" s="28">
        <f t="shared" si="1"/>
        <v>0</v>
      </c>
      <c r="I29">
        <f t="shared" si="2"/>
        <v>0</v>
      </c>
      <c r="J29">
        <f t="shared" si="3"/>
        <v>0</v>
      </c>
      <c r="K29" s="38">
        <f t="shared" si="4"/>
        <v>0</v>
      </c>
      <c r="L29" s="38"/>
      <c r="M29" s="9">
        <v>12332811</v>
      </c>
      <c r="N29" s="14">
        <v>0</v>
      </c>
    </row>
    <row r="30" spans="1:14">
      <c r="A30" s="27" t="s">
        <v>3</v>
      </c>
      <c r="B30" s="27">
        <v>486638</v>
      </c>
      <c r="C30" s="27" t="s">
        <v>40</v>
      </c>
      <c r="D30" s="27">
        <f t="shared" si="0"/>
        <v>1</v>
      </c>
      <c r="E30" s="28">
        <v>2</v>
      </c>
      <c r="F30" s="36">
        <v>1</v>
      </c>
      <c r="G30" s="36">
        <v>1</v>
      </c>
      <c r="H30" s="28">
        <f t="shared" si="1"/>
        <v>0</v>
      </c>
      <c r="I30">
        <f t="shared" si="2"/>
        <v>0</v>
      </c>
      <c r="J30">
        <f t="shared" si="3"/>
        <v>1</v>
      </c>
      <c r="K30" s="38">
        <f t="shared" si="4"/>
        <v>0</v>
      </c>
      <c r="L30" s="38"/>
      <c r="M30" s="9">
        <v>12326533</v>
      </c>
      <c r="N30" s="14">
        <v>0</v>
      </c>
    </row>
    <row r="31" spans="1:14">
      <c r="A31" s="27" t="s">
        <v>3</v>
      </c>
      <c r="B31" s="27">
        <v>491288</v>
      </c>
      <c r="C31" s="27" t="s">
        <v>41</v>
      </c>
      <c r="D31" s="27">
        <f t="shared" si="0"/>
        <v>0</v>
      </c>
      <c r="E31" s="28">
        <v>0</v>
      </c>
      <c r="F31" s="36">
        <v>1</v>
      </c>
      <c r="G31" s="36">
        <v>0</v>
      </c>
      <c r="H31" s="28">
        <f t="shared" si="1"/>
        <v>0</v>
      </c>
      <c r="I31">
        <f t="shared" si="2"/>
        <v>0</v>
      </c>
      <c r="J31">
        <f t="shared" si="3"/>
        <v>0</v>
      </c>
      <c r="K31" s="38">
        <f t="shared" si="4"/>
        <v>0</v>
      </c>
      <c r="L31" s="38"/>
      <c r="M31" s="9" t="s">
        <v>100</v>
      </c>
      <c r="N31" s="14">
        <v>2</v>
      </c>
    </row>
    <row r="32" spans="1:14">
      <c r="A32" s="27" t="s">
        <v>3</v>
      </c>
      <c r="B32" s="27">
        <v>501643</v>
      </c>
      <c r="C32" s="27" t="s">
        <v>42</v>
      </c>
      <c r="D32" s="27">
        <f t="shared" si="0"/>
        <v>0</v>
      </c>
      <c r="E32" s="28">
        <v>0</v>
      </c>
      <c r="F32" s="36">
        <v>1</v>
      </c>
      <c r="G32" s="36">
        <v>0</v>
      </c>
      <c r="H32" s="28">
        <f t="shared" si="1"/>
        <v>0</v>
      </c>
      <c r="I32">
        <f t="shared" si="2"/>
        <v>0</v>
      </c>
      <c r="J32">
        <f t="shared" si="3"/>
        <v>0</v>
      </c>
      <c r="K32" s="38">
        <f t="shared" si="4"/>
        <v>0</v>
      </c>
      <c r="L32" s="38"/>
      <c r="M32" s="9">
        <v>126952</v>
      </c>
      <c r="N32" s="14">
        <v>0</v>
      </c>
    </row>
    <row r="33" spans="1:14">
      <c r="A33" s="27" t="s">
        <v>3</v>
      </c>
      <c r="B33" s="27">
        <v>519286</v>
      </c>
      <c r="C33" s="27" t="s">
        <v>43</v>
      </c>
      <c r="D33" s="27">
        <f t="shared" si="0"/>
        <v>0</v>
      </c>
      <c r="E33" s="28">
        <v>0</v>
      </c>
      <c r="F33" s="36">
        <v>1</v>
      </c>
      <c r="G33" s="36">
        <v>0</v>
      </c>
      <c r="H33" s="28">
        <f t="shared" si="1"/>
        <v>0</v>
      </c>
      <c r="I33">
        <f t="shared" si="2"/>
        <v>0</v>
      </c>
      <c r="J33">
        <f t="shared" si="3"/>
        <v>1</v>
      </c>
      <c r="K33" s="38">
        <f t="shared" si="4"/>
        <v>-1</v>
      </c>
      <c r="L33" s="38"/>
      <c r="M33" s="9">
        <v>530345</v>
      </c>
      <c r="N33" s="14">
        <v>1</v>
      </c>
    </row>
    <row r="34" spans="1:14">
      <c r="A34" s="27" t="s">
        <v>3</v>
      </c>
      <c r="B34" s="27">
        <v>522623</v>
      </c>
      <c r="C34" s="27" t="s">
        <v>44</v>
      </c>
      <c r="D34" s="27">
        <f t="shared" si="0"/>
        <v>1</v>
      </c>
      <c r="E34" s="28">
        <v>1</v>
      </c>
      <c r="F34" s="36">
        <v>1</v>
      </c>
      <c r="G34" s="36">
        <v>5</v>
      </c>
      <c r="H34" s="28">
        <f t="shared" si="1"/>
        <v>4</v>
      </c>
      <c r="I34">
        <f t="shared" si="2"/>
        <v>1</v>
      </c>
      <c r="J34">
        <f t="shared" si="3"/>
        <v>10</v>
      </c>
      <c r="K34" s="38">
        <f t="shared" si="4"/>
        <v>-5</v>
      </c>
      <c r="L34" s="38"/>
      <c r="M34" s="9">
        <v>523935</v>
      </c>
      <c r="N34" s="14">
        <v>0</v>
      </c>
    </row>
    <row r="35" spans="1:14">
      <c r="A35" s="27" t="s">
        <v>3</v>
      </c>
      <c r="B35" s="27">
        <v>523194</v>
      </c>
      <c r="C35" s="27" t="s">
        <v>45</v>
      </c>
      <c r="D35" s="27">
        <f t="shared" si="0"/>
        <v>1</v>
      </c>
      <c r="E35" s="28">
        <v>0</v>
      </c>
      <c r="F35" s="36">
        <v>2</v>
      </c>
      <c r="G35" s="36">
        <v>1</v>
      </c>
      <c r="H35" s="28">
        <f t="shared" si="1"/>
        <v>0</v>
      </c>
      <c r="I35">
        <f t="shared" si="2"/>
        <v>0</v>
      </c>
      <c r="J35">
        <f t="shared" si="3"/>
        <v>1</v>
      </c>
      <c r="K35" s="38">
        <f t="shared" si="4"/>
        <v>0</v>
      </c>
      <c r="L35" s="38"/>
      <c r="M35" s="9">
        <v>501263</v>
      </c>
      <c r="N35" s="14">
        <v>1</v>
      </c>
    </row>
    <row r="36" spans="1:14">
      <c r="A36" s="27" t="s">
        <v>3</v>
      </c>
      <c r="B36" s="27">
        <v>523935</v>
      </c>
      <c r="C36" s="27" t="s">
        <v>46</v>
      </c>
      <c r="D36" s="27">
        <f t="shared" si="0"/>
        <v>0</v>
      </c>
      <c r="E36" s="28">
        <v>0</v>
      </c>
      <c r="F36" s="36">
        <v>1</v>
      </c>
      <c r="G36" s="36">
        <v>0</v>
      </c>
      <c r="H36" s="28">
        <f t="shared" si="1"/>
        <v>0</v>
      </c>
      <c r="I36">
        <f t="shared" si="2"/>
        <v>0</v>
      </c>
      <c r="J36">
        <f t="shared" si="3"/>
        <v>0</v>
      </c>
      <c r="K36" s="38">
        <f t="shared" si="4"/>
        <v>0</v>
      </c>
      <c r="L36" s="38"/>
      <c r="M36" s="9">
        <v>510299</v>
      </c>
      <c r="N36" s="14">
        <v>0</v>
      </c>
    </row>
    <row r="37" spans="1:14">
      <c r="A37" s="27" t="s">
        <v>3</v>
      </c>
      <c r="B37" s="27">
        <v>523938</v>
      </c>
      <c r="C37" s="27" t="s">
        <v>47</v>
      </c>
      <c r="D37" s="27">
        <f t="shared" si="0"/>
        <v>0</v>
      </c>
      <c r="E37" s="28">
        <v>0</v>
      </c>
      <c r="F37" s="36">
        <v>1</v>
      </c>
      <c r="G37" s="36">
        <v>0</v>
      </c>
      <c r="H37" s="28">
        <f t="shared" si="1"/>
        <v>0</v>
      </c>
      <c r="I37">
        <f t="shared" si="2"/>
        <v>0</v>
      </c>
      <c r="J37">
        <f t="shared" si="3"/>
        <v>0</v>
      </c>
      <c r="K37" s="38">
        <f t="shared" si="4"/>
        <v>0</v>
      </c>
      <c r="L37" s="38"/>
      <c r="M37" s="9">
        <v>10466</v>
      </c>
      <c r="N37" s="14">
        <v>1</v>
      </c>
    </row>
    <row r="38" spans="1:14">
      <c r="A38" s="27" t="s">
        <v>3</v>
      </c>
      <c r="B38" s="27">
        <v>524281</v>
      </c>
      <c r="C38" s="27" t="s">
        <v>48</v>
      </c>
      <c r="D38" s="27">
        <f t="shared" si="0"/>
        <v>0</v>
      </c>
      <c r="E38" s="28">
        <v>0</v>
      </c>
      <c r="F38" s="36">
        <v>1</v>
      </c>
      <c r="G38" s="36">
        <v>0</v>
      </c>
      <c r="H38" s="28">
        <f t="shared" si="1"/>
        <v>0</v>
      </c>
      <c r="I38">
        <f t="shared" si="2"/>
        <v>0</v>
      </c>
      <c r="J38">
        <f t="shared" si="3"/>
        <v>0</v>
      </c>
      <c r="K38" s="38">
        <f t="shared" si="4"/>
        <v>0</v>
      </c>
      <c r="L38" s="38"/>
      <c r="M38" s="9">
        <v>1661</v>
      </c>
      <c r="N38" s="14">
        <v>0</v>
      </c>
    </row>
    <row r="39" spans="1:14">
      <c r="A39" s="27" t="s">
        <v>3</v>
      </c>
      <c r="B39" s="27">
        <v>524283</v>
      </c>
      <c r="C39" s="27" t="s">
        <v>49</v>
      </c>
      <c r="D39" s="27">
        <f t="shared" si="0"/>
        <v>0</v>
      </c>
      <c r="E39" s="28">
        <v>0</v>
      </c>
      <c r="F39" s="36">
        <v>1</v>
      </c>
      <c r="G39" s="36">
        <v>0</v>
      </c>
      <c r="H39" s="28">
        <f t="shared" si="1"/>
        <v>0</v>
      </c>
      <c r="I39">
        <f t="shared" si="2"/>
        <v>0</v>
      </c>
      <c r="J39">
        <f t="shared" si="3"/>
        <v>0</v>
      </c>
      <c r="K39" s="38">
        <f t="shared" si="4"/>
        <v>0</v>
      </c>
      <c r="L39" s="38"/>
      <c r="M39" s="9">
        <v>523430</v>
      </c>
      <c r="N39" s="14">
        <v>0</v>
      </c>
    </row>
    <row r="40" spans="1:14">
      <c r="A40" s="27" t="s">
        <v>3</v>
      </c>
      <c r="B40" s="27">
        <v>525590</v>
      </c>
      <c r="C40" s="27" t="s">
        <v>50</v>
      </c>
      <c r="D40" s="27">
        <f t="shared" si="0"/>
        <v>0</v>
      </c>
      <c r="E40" s="28">
        <v>0</v>
      </c>
      <c r="F40" s="36">
        <v>2</v>
      </c>
      <c r="G40" s="36">
        <v>0</v>
      </c>
      <c r="H40" s="28">
        <f t="shared" si="1"/>
        <v>0</v>
      </c>
      <c r="I40">
        <f t="shared" si="2"/>
        <v>0</v>
      </c>
      <c r="J40">
        <f t="shared" si="3"/>
        <v>1</v>
      </c>
      <c r="K40" s="38">
        <f t="shared" si="4"/>
        <v>-1</v>
      </c>
      <c r="L40" s="38"/>
      <c r="M40" s="9">
        <v>127198</v>
      </c>
      <c r="N40" s="14">
        <v>14</v>
      </c>
    </row>
    <row r="41" spans="1:14">
      <c r="A41" s="27" t="s">
        <v>3</v>
      </c>
      <c r="B41" s="27">
        <v>530058</v>
      </c>
      <c r="C41" s="27" t="s">
        <v>51</v>
      </c>
      <c r="D41" s="27">
        <f t="shared" si="0"/>
        <v>0</v>
      </c>
      <c r="E41" s="28">
        <v>3</v>
      </c>
      <c r="F41" s="36">
        <v>1</v>
      </c>
      <c r="G41" s="36">
        <v>0</v>
      </c>
      <c r="H41" s="28">
        <f t="shared" si="1"/>
        <v>0</v>
      </c>
      <c r="I41">
        <f t="shared" si="2"/>
        <v>0</v>
      </c>
      <c r="J41">
        <f t="shared" si="3"/>
        <v>1</v>
      </c>
      <c r="K41" s="38">
        <f t="shared" si="4"/>
        <v>-1</v>
      </c>
      <c r="L41" s="38"/>
      <c r="M41" s="9">
        <v>571174</v>
      </c>
      <c r="N41" s="14">
        <v>0</v>
      </c>
    </row>
    <row r="42" spans="1:14">
      <c r="A42" s="27" t="s">
        <v>3</v>
      </c>
      <c r="B42" s="27">
        <v>535790</v>
      </c>
      <c r="C42" s="27" t="s">
        <v>52</v>
      </c>
      <c r="D42" s="27">
        <f t="shared" si="0"/>
        <v>1</v>
      </c>
      <c r="E42" s="28">
        <v>2</v>
      </c>
      <c r="F42" s="36">
        <v>1</v>
      </c>
      <c r="G42" s="36">
        <v>3</v>
      </c>
      <c r="H42" s="28">
        <f t="shared" si="1"/>
        <v>2</v>
      </c>
      <c r="I42">
        <f t="shared" si="2"/>
        <v>1</v>
      </c>
      <c r="J42">
        <f t="shared" si="3"/>
        <v>3</v>
      </c>
      <c r="K42" s="38">
        <f t="shared" si="4"/>
        <v>0</v>
      </c>
      <c r="L42" s="38"/>
      <c r="M42" s="9">
        <v>416191</v>
      </c>
      <c r="N42" s="14">
        <v>0</v>
      </c>
    </row>
    <row r="43" spans="1:14">
      <c r="A43" s="27" t="s">
        <v>3</v>
      </c>
      <c r="B43" s="27">
        <v>542823</v>
      </c>
      <c r="C43" s="27" t="s">
        <v>53</v>
      </c>
      <c r="D43" s="27">
        <f t="shared" si="0"/>
        <v>0</v>
      </c>
      <c r="E43" s="28">
        <v>1</v>
      </c>
      <c r="F43" s="36">
        <v>1</v>
      </c>
      <c r="G43" s="36">
        <v>0</v>
      </c>
      <c r="H43" s="28">
        <f t="shared" si="1"/>
        <v>0</v>
      </c>
      <c r="I43">
        <f t="shared" si="2"/>
        <v>0</v>
      </c>
      <c r="J43">
        <f t="shared" si="3"/>
        <v>2</v>
      </c>
      <c r="K43" s="38">
        <f t="shared" si="4"/>
        <v>-2</v>
      </c>
      <c r="L43" s="38"/>
      <c r="M43" s="9">
        <v>12295592</v>
      </c>
      <c r="N43" s="14">
        <v>10</v>
      </c>
    </row>
    <row r="44" spans="1:14">
      <c r="A44" s="27" t="s">
        <v>3</v>
      </c>
      <c r="B44" s="27">
        <v>549259</v>
      </c>
      <c r="C44" s="27" t="s">
        <v>54</v>
      </c>
      <c r="D44" s="27">
        <f t="shared" si="0"/>
        <v>0</v>
      </c>
      <c r="E44" s="28">
        <v>0</v>
      </c>
      <c r="F44" s="36">
        <v>0</v>
      </c>
      <c r="G44" s="36">
        <v>0</v>
      </c>
      <c r="H44" s="28">
        <f t="shared" si="1"/>
        <v>0</v>
      </c>
      <c r="I44">
        <f t="shared" si="2"/>
        <v>0</v>
      </c>
      <c r="J44">
        <f t="shared" si="3"/>
        <v>0</v>
      </c>
      <c r="K44" s="38">
        <f t="shared" si="4"/>
        <v>0</v>
      </c>
      <c r="L44" s="38"/>
      <c r="M44" s="9">
        <v>510053</v>
      </c>
      <c r="N44" s="14">
        <v>0</v>
      </c>
    </row>
    <row r="45" spans="1:14">
      <c r="A45" s="27" t="s">
        <v>3</v>
      </c>
      <c r="B45" s="27">
        <v>571174</v>
      </c>
      <c r="C45" s="27" t="s">
        <v>55</v>
      </c>
      <c r="D45" s="27">
        <f t="shared" si="0"/>
        <v>0</v>
      </c>
      <c r="E45" s="28">
        <v>0</v>
      </c>
      <c r="F45" s="36">
        <v>1</v>
      </c>
      <c r="G45" s="36">
        <v>0</v>
      </c>
      <c r="H45" s="28">
        <f t="shared" si="1"/>
        <v>0</v>
      </c>
      <c r="I45">
        <f t="shared" si="2"/>
        <v>0</v>
      </c>
      <c r="J45">
        <f t="shared" si="3"/>
        <v>0</v>
      </c>
      <c r="K45" s="38">
        <f t="shared" si="4"/>
        <v>0</v>
      </c>
      <c r="L45" s="38"/>
      <c r="M45" s="9">
        <v>503866</v>
      </c>
      <c r="N45" s="14">
        <v>2</v>
      </c>
    </row>
    <row r="46" spans="1:14">
      <c r="A46" s="27" t="s">
        <v>3</v>
      </c>
      <c r="B46" s="27">
        <v>62086</v>
      </c>
      <c r="C46" s="27" t="s">
        <v>56</v>
      </c>
      <c r="D46" s="27">
        <f t="shared" si="0"/>
        <v>0</v>
      </c>
      <c r="E46" s="28">
        <v>0</v>
      </c>
      <c r="F46" s="36">
        <v>0</v>
      </c>
      <c r="G46" s="36">
        <v>0</v>
      </c>
      <c r="H46" s="28">
        <f t="shared" si="1"/>
        <v>0</v>
      </c>
      <c r="I46">
        <f t="shared" si="2"/>
        <v>0</v>
      </c>
      <c r="J46">
        <f t="shared" si="3"/>
        <v>0</v>
      </c>
      <c r="K46" s="38">
        <f t="shared" si="4"/>
        <v>0</v>
      </c>
      <c r="L46" s="38"/>
      <c r="M46" s="9">
        <v>524281</v>
      </c>
      <c r="N46" s="14">
        <v>0</v>
      </c>
    </row>
    <row r="47" spans="1:14">
      <c r="A47" s="27" t="s">
        <v>3</v>
      </c>
      <c r="B47" s="27">
        <v>63887</v>
      </c>
      <c r="C47" s="27" t="s">
        <v>57</v>
      </c>
      <c r="D47" s="27">
        <f t="shared" si="0"/>
        <v>1</v>
      </c>
      <c r="E47" s="28">
        <v>0</v>
      </c>
      <c r="F47" s="36">
        <v>0</v>
      </c>
      <c r="G47" s="36">
        <v>1</v>
      </c>
      <c r="H47" s="28">
        <f t="shared" si="1"/>
        <v>1</v>
      </c>
      <c r="I47">
        <f t="shared" si="2"/>
        <v>0</v>
      </c>
      <c r="J47">
        <f t="shared" si="3"/>
        <v>1</v>
      </c>
      <c r="K47" s="38">
        <f t="shared" si="4"/>
        <v>0</v>
      </c>
      <c r="L47" s="38"/>
      <c r="M47" s="9">
        <v>12295833</v>
      </c>
      <c r="N47" s="14">
        <v>0</v>
      </c>
    </row>
    <row r="48" spans="1:14">
      <c r="A48" s="27" t="s">
        <v>4</v>
      </c>
      <c r="B48" s="27">
        <v>116871</v>
      </c>
      <c r="C48" s="27" t="s">
        <v>58</v>
      </c>
      <c r="D48" s="27">
        <f t="shared" si="0"/>
        <v>1</v>
      </c>
      <c r="E48" s="28">
        <v>6</v>
      </c>
      <c r="F48" s="36">
        <v>2</v>
      </c>
      <c r="G48" s="36">
        <v>5</v>
      </c>
      <c r="H48" s="28">
        <f t="shared" si="1"/>
        <v>3</v>
      </c>
      <c r="I48">
        <f t="shared" si="2"/>
        <v>1</v>
      </c>
      <c r="J48">
        <f t="shared" si="3"/>
        <v>5</v>
      </c>
      <c r="K48" s="38">
        <f t="shared" si="4"/>
        <v>0</v>
      </c>
      <c r="L48" s="38"/>
      <c r="M48" s="9">
        <v>240048</v>
      </c>
      <c r="N48" s="14">
        <v>2</v>
      </c>
    </row>
    <row r="49" spans="1:14">
      <c r="A49" s="27" t="s">
        <v>4</v>
      </c>
      <c r="B49" s="27">
        <v>12295542</v>
      </c>
      <c r="C49" s="27" t="s">
        <v>59</v>
      </c>
      <c r="D49" s="27">
        <f t="shared" si="0"/>
        <v>1</v>
      </c>
      <c r="E49" s="28">
        <v>3</v>
      </c>
      <c r="F49" s="36">
        <v>1</v>
      </c>
      <c r="G49" s="36">
        <v>1</v>
      </c>
      <c r="H49" s="28">
        <f t="shared" si="1"/>
        <v>0</v>
      </c>
      <c r="I49">
        <f t="shared" si="2"/>
        <v>0</v>
      </c>
      <c r="J49">
        <f t="shared" si="3"/>
        <v>2</v>
      </c>
      <c r="K49" s="38">
        <f t="shared" si="4"/>
        <v>-1</v>
      </c>
      <c r="L49" s="38"/>
      <c r="M49" s="9">
        <v>246732</v>
      </c>
      <c r="N49" s="14">
        <v>0</v>
      </c>
    </row>
    <row r="50" spans="1:14">
      <c r="A50" s="27" t="s">
        <v>4</v>
      </c>
      <c r="B50" s="27">
        <v>12295717</v>
      </c>
      <c r="C50" s="27" t="s">
        <v>60</v>
      </c>
      <c r="D50" s="27">
        <f t="shared" si="0"/>
        <v>0</v>
      </c>
      <c r="E50" s="28">
        <v>0</v>
      </c>
      <c r="F50" s="36">
        <v>1</v>
      </c>
      <c r="G50" s="36">
        <v>0</v>
      </c>
      <c r="H50" s="28">
        <f t="shared" si="1"/>
        <v>0</v>
      </c>
      <c r="I50">
        <f t="shared" si="2"/>
        <v>0</v>
      </c>
      <c r="J50">
        <f t="shared" si="3"/>
        <v>1</v>
      </c>
      <c r="K50" s="38">
        <f t="shared" si="4"/>
        <v>-1</v>
      </c>
      <c r="L50" s="38"/>
      <c r="M50" s="9">
        <v>530334</v>
      </c>
      <c r="N50" s="14">
        <v>0</v>
      </c>
    </row>
    <row r="51" spans="1:14">
      <c r="A51" s="27" t="s">
        <v>4</v>
      </c>
      <c r="B51" s="27">
        <v>12295887</v>
      </c>
      <c r="C51" s="27" t="s">
        <v>61</v>
      </c>
      <c r="D51" s="27">
        <f t="shared" si="0"/>
        <v>0</v>
      </c>
      <c r="E51" s="28">
        <v>0</v>
      </c>
      <c r="F51" s="36">
        <v>0</v>
      </c>
      <c r="G51" s="36">
        <v>0</v>
      </c>
      <c r="H51" s="28">
        <f t="shared" si="1"/>
        <v>0</v>
      </c>
      <c r="I51">
        <f t="shared" si="2"/>
        <v>0</v>
      </c>
      <c r="J51">
        <f t="shared" si="3"/>
        <v>0</v>
      </c>
      <c r="K51" s="38">
        <f t="shared" si="4"/>
        <v>0</v>
      </c>
      <c r="L51" s="38"/>
      <c r="M51" s="9">
        <v>211794</v>
      </c>
      <c r="N51" s="14">
        <v>2</v>
      </c>
    </row>
    <row r="52" spans="1:14">
      <c r="A52" s="27" t="s">
        <v>4</v>
      </c>
      <c r="B52" s="27">
        <v>12312295</v>
      </c>
      <c r="C52" s="27" t="s">
        <v>62</v>
      </c>
      <c r="D52" s="27">
        <f t="shared" si="0"/>
        <v>1</v>
      </c>
      <c r="E52" s="28">
        <v>0</v>
      </c>
      <c r="F52" s="36">
        <v>2</v>
      </c>
      <c r="G52" s="36">
        <v>1</v>
      </c>
      <c r="H52" s="28">
        <f t="shared" si="1"/>
        <v>0</v>
      </c>
      <c r="I52">
        <f t="shared" si="2"/>
        <v>0</v>
      </c>
      <c r="J52">
        <f t="shared" si="3"/>
        <v>1</v>
      </c>
      <c r="K52" s="38">
        <f t="shared" si="4"/>
        <v>0</v>
      </c>
      <c r="L52" s="38"/>
      <c r="M52" s="9">
        <v>535790</v>
      </c>
      <c r="N52" s="14">
        <v>3</v>
      </c>
    </row>
    <row r="53" spans="1:14">
      <c r="A53" s="27" t="s">
        <v>4</v>
      </c>
      <c r="B53" s="27">
        <v>12322237</v>
      </c>
      <c r="C53" s="27" t="s">
        <v>63</v>
      </c>
      <c r="D53" s="27">
        <f t="shared" si="0"/>
        <v>1</v>
      </c>
      <c r="E53" s="28">
        <v>1</v>
      </c>
      <c r="F53" s="36">
        <v>1</v>
      </c>
      <c r="G53" s="36">
        <v>1</v>
      </c>
      <c r="H53" s="28">
        <f t="shared" si="1"/>
        <v>0</v>
      </c>
      <c r="I53">
        <f t="shared" si="2"/>
        <v>0</v>
      </c>
      <c r="J53">
        <f t="shared" si="3"/>
        <v>1</v>
      </c>
      <c r="K53" s="38">
        <f t="shared" si="4"/>
        <v>0</v>
      </c>
      <c r="L53" s="38"/>
      <c r="M53" s="9">
        <v>62086</v>
      </c>
      <c r="N53" s="14">
        <v>0</v>
      </c>
    </row>
    <row r="54" spans="1:14">
      <c r="A54" s="27" t="s">
        <v>4</v>
      </c>
      <c r="B54" s="27">
        <v>12322483</v>
      </c>
      <c r="C54" s="27" t="s">
        <v>64</v>
      </c>
      <c r="D54" s="27">
        <f t="shared" si="0"/>
        <v>1</v>
      </c>
      <c r="E54" s="28">
        <v>0</v>
      </c>
      <c r="F54" s="36">
        <v>0</v>
      </c>
      <c r="G54" s="36">
        <v>1</v>
      </c>
      <c r="H54" s="28">
        <f t="shared" si="1"/>
        <v>1</v>
      </c>
      <c r="I54">
        <f t="shared" si="2"/>
        <v>0</v>
      </c>
      <c r="J54">
        <f t="shared" si="3"/>
        <v>0</v>
      </c>
      <c r="K54" s="38">
        <f t="shared" si="4"/>
        <v>1</v>
      </c>
      <c r="L54" s="38"/>
      <c r="M54" s="9">
        <v>116871</v>
      </c>
      <c r="N54" s="14">
        <v>5</v>
      </c>
    </row>
    <row r="55" spans="1:14">
      <c r="A55" s="27" t="s">
        <v>4</v>
      </c>
      <c r="B55" s="27">
        <v>12323463</v>
      </c>
      <c r="C55" s="27" t="s">
        <v>65</v>
      </c>
      <c r="D55" s="27">
        <f t="shared" si="0"/>
        <v>1</v>
      </c>
      <c r="E55" s="28">
        <v>3</v>
      </c>
      <c r="F55" s="36">
        <v>18</v>
      </c>
      <c r="G55" s="36">
        <v>75</v>
      </c>
      <c r="H55" s="28">
        <f t="shared" si="1"/>
        <v>57</v>
      </c>
      <c r="I55">
        <f t="shared" si="2"/>
        <v>1</v>
      </c>
      <c r="J55">
        <f t="shared" si="3"/>
        <v>91</v>
      </c>
      <c r="K55" s="38">
        <f t="shared" si="4"/>
        <v>-16</v>
      </c>
      <c r="L55" s="38"/>
      <c r="M55" s="9">
        <v>304264</v>
      </c>
      <c r="N55" s="14">
        <v>1</v>
      </c>
    </row>
    <row r="56" spans="1:14">
      <c r="A56" s="27" t="s">
        <v>4</v>
      </c>
      <c r="B56" s="27">
        <v>12325263</v>
      </c>
      <c r="C56" s="27" t="s">
        <v>66</v>
      </c>
      <c r="D56" s="27">
        <f t="shared" si="0"/>
        <v>0</v>
      </c>
      <c r="E56" s="28">
        <v>0</v>
      </c>
      <c r="F56" s="36">
        <v>0</v>
      </c>
      <c r="G56" s="36">
        <v>0</v>
      </c>
      <c r="H56" s="28">
        <f t="shared" si="1"/>
        <v>0</v>
      </c>
      <c r="I56">
        <f t="shared" si="2"/>
        <v>0</v>
      </c>
      <c r="J56">
        <f t="shared" si="3"/>
        <v>0</v>
      </c>
      <c r="K56" s="38">
        <f t="shared" si="4"/>
        <v>0</v>
      </c>
      <c r="L56" s="38"/>
      <c r="M56" s="9">
        <v>549259</v>
      </c>
      <c r="N56" s="14">
        <v>0</v>
      </c>
    </row>
    <row r="57" spans="1:14">
      <c r="A57" s="27" t="s">
        <v>4</v>
      </c>
      <c r="B57" s="27">
        <v>126951</v>
      </c>
      <c r="C57" s="27" t="s">
        <v>67</v>
      </c>
      <c r="D57" s="27">
        <f t="shared" si="0"/>
        <v>1</v>
      </c>
      <c r="E57" s="28">
        <v>2</v>
      </c>
      <c r="F57" s="36">
        <v>2</v>
      </c>
      <c r="G57" s="36">
        <v>3</v>
      </c>
      <c r="H57" s="28">
        <f t="shared" si="1"/>
        <v>1</v>
      </c>
      <c r="I57">
        <f t="shared" si="2"/>
        <v>1</v>
      </c>
      <c r="J57">
        <f t="shared" si="3"/>
        <v>3</v>
      </c>
      <c r="K57" s="38">
        <f t="shared" si="4"/>
        <v>0</v>
      </c>
      <c r="L57" s="38"/>
      <c r="M57" s="9">
        <v>523938</v>
      </c>
      <c r="N57" s="14">
        <v>0</v>
      </c>
    </row>
    <row r="58" spans="1:14">
      <c r="A58" s="27" t="s">
        <v>4</v>
      </c>
      <c r="B58" s="27">
        <v>126952</v>
      </c>
      <c r="C58" s="27" t="s">
        <v>68</v>
      </c>
      <c r="D58" s="27">
        <f t="shared" si="0"/>
        <v>0</v>
      </c>
      <c r="E58" s="28">
        <v>0</v>
      </c>
      <c r="F58" s="36">
        <v>0</v>
      </c>
      <c r="G58" s="36">
        <v>0</v>
      </c>
      <c r="H58" s="28">
        <f t="shared" si="1"/>
        <v>0</v>
      </c>
      <c r="I58">
        <f t="shared" si="2"/>
        <v>0</v>
      </c>
      <c r="J58">
        <f t="shared" si="3"/>
        <v>0</v>
      </c>
      <c r="K58" s="38">
        <f t="shared" si="4"/>
        <v>0</v>
      </c>
      <c r="L58" s="38"/>
      <c r="M58" s="9">
        <v>523849</v>
      </c>
      <c r="N58" s="14">
        <v>0</v>
      </c>
    </row>
    <row r="59" spans="1:14">
      <c r="A59" s="27" t="s">
        <v>4</v>
      </c>
      <c r="B59" s="27">
        <v>195514</v>
      </c>
      <c r="C59" s="27" t="s">
        <v>69</v>
      </c>
      <c r="D59" s="27">
        <f t="shared" si="0"/>
        <v>0</v>
      </c>
      <c r="E59" s="28">
        <v>0</v>
      </c>
      <c r="F59" s="36">
        <v>1</v>
      </c>
      <c r="G59" s="36">
        <v>0</v>
      </c>
      <c r="H59" s="28">
        <f t="shared" si="1"/>
        <v>0</v>
      </c>
      <c r="I59">
        <f t="shared" si="2"/>
        <v>0</v>
      </c>
      <c r="J59">
        <f t="shared" si="3"/>
        <v>0</v>
      </c>
      <c r="K59" s="38">
        <f t="shared" si="4"/>
        <v>0</v>
      </c>
      <c r="L59" s="38"/>
      <c r="M59" s="9">
        <v>12295826</v>
      </c>
      <c r="N59" s="14">
        <v>0</v>
      </c>
    </row>
    <row r="60" spans="1:14">
      <c r="A60" s="27" t="s">
        <v>4</v>
      </c>
      <c r="B60" s="27">
        <v>199007</v>
      </c>
      <c r="C60" s="27" t="s">
        <v>70</v>
      </c>
      <c r="D60" s="27">
        <f t="shared" si="0"/>
        <v>0</v>
      </c>
      <c r="E60" s="28">
        <v>0</v>
      </c>
      <c r="F60" s="36">
        <v>0</v>
      </c>
      <c r="G60" s="36">
        <v>0</v>
      </c>
      <c r="H60" s="28">
        <f t="shared" si="1"/>
        <v>0</v>
      </c>
      <c r="I60">
        <f t="shared" si="2"/>
        <v>0</v>
      </c>
      <c r="J60">
        <f t="shared" si="3"/>
        <v>0</v>
      </c>
      <c r="K60" s="38">
        <f t="shared" si="4"/>
        <v>0</v>
      </c>
      <c r="L60" s="38"/>
      <c r="M60" s="9">
        <v>385575</v>
      </c>
      <c r="N60" s="14">
        <v>0</v>
      </c>
    </row>
    <row r="61" spans="1:14">
      <c r="A61" s="27" t="s">
        <v>4</v>
      </c>
      <c r="B61" s="27">
        <v>199010</v>
      </c>
      <c r="C61" s="27" t="s">
        <v>71</v>
      </c>
      <c r="D61" s="27">
        <f t="shared" si="0"/>
        <v>0</v>
      </c>
      <c r="E61" s="28">
        <v>0</v>
      </c>
      <c r="F61" s="36">
        <v>1</v>
      </c>
      <c r="G61" s="36">
        <v>0</v>
      </c>
      <c r="H61" s="28">
        <f t="shared" si="1"/>
        <v>0</v>
      </c>
      <c r="I61">
        <f t="shared" si="2"/>
        <v>0</v>
      </c>
      <c r="J61">
        <f t="shared" si="3"/>
        <v>1</v>
      </c>
      <c r="K61" s="38">
        <f t="shared" si="4"/>
        <v>-1</v>
      </c>
      <c r="L61" s="38"/>
      <c r="M61" s="9">
        <v>12326920</v>
      </c>
      <c r="N61" s="14">
        <v>0</v>
      </c>
    </row>
    <row r="62" spans="1:14">
      <c r="A62" s="27" t="s">
        <v>4</v>
      </c>
      <c r="B62" s="27">
        <v>199217</v>
      </c>
      <c r="C62" s="27" t="s">
        <v>72</v>
      </c>
      <c r="D62" s="27">
        <f t="shared" si="0"/>
        <v>1</v>
      </c>
      <c r="E62" s="28">
        <v>3</v>
      </c>
      <c r="F62" s="36">
        <v>1</v>
      </c>
      <c r="G62" s="36">
        <v>2</v>
      </c>
      <c r="H62" s="28">
        <f t="shared" si="1"/>
        <v>1</v>
      </c>
      <c r="I62">
        <f t="shared" si="2"/>
        <v>0</v>
      </c>
      <c r="J62">
        <f t="shared" si="3"/>
        <v>0</v>
      </c>
      <c r="K62" s="38">
        <f t="shared" si="4"/>
        <v>2</v>
      </c>
      <c r="L62" s="38"/>
      <c r="M62" s="9">
        <v>484741</v>
      </c>
      <c r="N62" s="14">
        <v>0</v>
      </c>
    </row>
    <row r="63" spans="1:14">
      <c r="A63" s="27" t="s">
        <v>4</v>
      </c>
      <c r="B63" s="27">
        <v>211794</v>
      </c>
      <c r="C63" s="27" t="s">
        <v>73</v>
      </c>
      <c r="D63" s="27">
        <f t="shared" si="0"/>
        <v>1</v>
      </c>
      <c r="E63" s="28">
        <v>1</v>
      </c>
      <c r="F63" s="36">
        <v>1</v>
      </c>
      <c r="G63" s="36">
        <v>2</v>
      </c>
      <c r="H63" s="28">
        <f t="shared" si="1"/>
        <v>1</v>
      </c>
      <c r="I63">
        <f t="shared" si="2"/>
        <v>0</v>
      </c>
      <c r="J63">
        <f t="shared" si="3"/>
        <v>2</v>
      </c>
      <c r="K63" s="38">
        <f t="shared" si="4"/>
        <v>0</v>
      </c>
      <c r="L63" s="38"/>
      <c r="M63" s="9">
        <v>12327316</v>
      </c>
      <c r="N63" s="14">
        <v>1</v>
      </c>
    </row>
    <row r="64" spans="1:14">
      <c r="A64" s="27" t="s">
        <v>4</v>
      </c>
      <c r="B64" s="27">
        <v>222816</v>
      </c>
      <c r="C64" s="27" t="s">
        <v>74</v>
      </c>
      <c r="D64" s="27">
        <f t="shared" si="0"/>
        <v>1</v>
      </c>
      <c r="E64" s="28">
        <v>3</v>
      </c>
      <c r="F64" s="36">
        <v>1</v>
      </c>
      <c r="G64" s="36">
        <v>1</v>
      </c>
      <c r="H64" s="28">
        <f t="shared" si="1"/>
        <v>0</v>
      </c>
      <c r="I64">
        <f t="shared" si="2"/>
        <v>0</v>
      </c>
      <c r="J64">
        <f t="shared" si="3"/>
        <v>1</v>
      </c>
      <c r="K64" s="38">
        <f t="shared" si="4"/>
        <v>0</v>
      </c>
      <c r="L64" s="38"/>
      <c r="M64" s="9">
        <v>12334635</v>
      </c>
      <c r="N64" s="14">
        <v>0</v>
      </c>
    </row>
    <row r="65" spans="1:14">
      <c r="A65" s="27" t="s">
        <v>4</v>
      </c>
      <c r="B65" s="27">
        <v>228872</v>
      </c>
      <c r="C65" s="27" t="s">
        <v>75</v>
      </c>
      <c r="D65" s="27">
        <f t="shared" si="0"/>
        <v>0</v>
      </c>
      <c r="E65" s="28">
        <v>0</v>
      </c>
      <c r="F65" s="36">
        <v>1</v>
      </c>
      <c r="G65" s="36">
        <v>0</v>
      </c>
      <c r="H65" s="28">
        <f t="shared" si="1"/>
        <v>0</v>
      </c>
      <c r="I65">
        <f t="shared" si="2"/>
        <v>0</v>
      </c>
      <c r="J65">
        <f t="shared" si="3"/>
        <v>0</v>
      </c>
      <c r="K65" s="38">
        <f t="shared" si="4"/>
        <v>0</v>
      </c>
      <c r="L65" s="38"/>
      <c r="M65" s="9">
        <v>12326118</v>
      </c>
      <c r="N65" s="14">
        <v>1</v>
      </c>
    </row>
    <row r="66" spans="1:14">
      <c r="A66" s="27" t="s">
        <v>4</v>
      </c>
      <c r="B66" s="27">
        <v>229765</v>
      </c>
      <c r="C66" s="27" t="s">
        <v>76</v>
      </c>
      <c r="D66" s="27">
        <f t="shared" ref="D66:D129" si="5">IF(G66&gt;0,1,0)</f>
        <v>1</v>
      </c>
      <c r="E66" s="28">
        <v>3</v>
      </c>
      <c r="F66" s="36">
        <v>4</v>
      </c>
      <c r="G66" s="36">
        <v>22</v>
      </c>
      <c r="H66" s="28">
        <f t="shared" ref="H66:H129" si="6">MAX(G66-F66,0)</f>
        <v>18</v>
      </c>
      <c r="I66">
        <f t="shared" si="2"/>
        <v>1</v>
      </c>
      <c r="J66">
        <f t="shared" si="3"/>
        <v>21</v>
      </c>
      <c r="K66" s="38">
        <f t="shared" si="4"/>
        <v>1</v>
      </c>
      <c r="L66" s="38"/>
      <c r="M66" s="9">
        <v>345427</v>
      </c>
      <c r="N66" s="14">
        <v>0</v>
      </c>
    </row>
    <row r="67" spans="1:14">
      <c r="A67" s="27" t="s">
        <v>4</v>
      </c>
      <c r="B67" s="27">
        <v>231278</v>
      </c>
      <c r="C67" s="27" t="s">
        <v>77</v>
      </c>
      <c r="D67" s="27">
        <f t="shared" si="5"/>
        <v>0</v>
      </c>
      <c r="E67" s="28">
        <v>0</v>
      </c>
      <c r="F67" s="36">
        <v>1</v>
      </c>
      <c r="G67" s="36">
        <v>0</v>
      </c>
      <c r="H67" s="28">
        <f t="shared" si="6"/>
        <v>0</v>
      </c>
      <c r="I67">
        <f t="shared" ref="I67:I130" si="7">IF(G67&gt;=3,1,0)</f>
        <v>0</v>
      </c>
      <c r="J67">
        <f t="shared" ref="J67:J130" si="8">INDEX(M:N,MATCH(B67,M:M,0),2)</f>
        <v>0</v>
      </c>
      <c r="K67" s="38">
        <f t="shared" ref="K67:K130" si="9">G67-J67</f>
        <v>0</v>
      </c>
      <c r="L67" s="38"/>
      <c r="M67" s="9">
        <v>499483</v>
      </c>
      <c r="N67" s="14">
        <v>2</v>
      </c>
    </row>
    <row r="68" spans="1:14">
      <c r="A68" s="27" t="s">
        <v>4</v>
      </c>
      <c r="B68" s="27">
        <v>246732</v>
      </c>
      <c r="C68" s="27" t="s">
        <v>78</v>
      </c>
      <c r="D68" s="27">
        <f t="shared" si="5"/>
        <v>0</v>
      </c>
      <c r="E68" s="28">
        <v>0</v>
      </c>
      <c r="F68" s="36">
        <v>1</v>
      </c>
      <c r="G68" s="36">
        <v>0</v>
      </c>
      <c r="H68" s="28">
        <f t="shared" si="6"/>
        <v>0</v>
      </c>
      <c r="I68">
        <f t="shared" si="7"/>
        <v>0</v>
      </c>
      <c r="J68">
        <f t="shared" si="8"/>
        <v>0</v>
      </c>
      <c r="K68" s="38">
        <f t="shared" si="9"/>
        <v>0</v>
      </c>
      <c r="L68" s="38"/>
      <c r="M68" s="9">
        <v>195918</v>
      </c>
      <c r="N68" s="14">
        <v>4</v>
      </c>
    </row>
    <row r="69" spans="1:14">
      <c r="A69" s="27" t="s">
        <v>4</v>
      </c>
      <c r="B69" s="27">
        <v>278608</v>
      </c>
      <c r="C69" s="27" t="s">
        <v>79</v>
      </c>
      <c r="D69" s="27">
        <f t="shared" si="5"/>
        <v>1</v>
      </c>
      <c r="E69" s="28">
        <v>6</v>
      </c>
      <c r="F69" s="36">
        <v>2</v>
      </c>
      <c r="G69" s="36">
        <v>3</v>
      </c>
      <c r="H69" s="28">
        <f t="shared" si="6"/>
        <v>1</v>
      </c>
      <c r="I69">
        <f t="shared" si="7"/>
        <v>1</v>
      </c>
      <c r="J69">
        <f t="shared" si="8"/>
        <v>4</v>
      </c>
      <c r="K69" s="38">
        <f t="shared" si="9"/>
        <v>-1</v>
      </c>
      <c r="L69" s="38"/>
      <c r="M69" s="9">
        <v>126951</v>
      </c>
      <c r="N69" s="14">
        <v>3</v>
      </c>
    </row>
    <row r="70" spans="1:14">
      <c r="A70" s="27" t="s">
        <v>4</v>
      </c>
      <c r="B70" s="27">
        <v>292836</v>
      </c>
      <c r="C70" s="27" t="s">
        <v>80</v>
      </c>
      <c r="D70" s="27">
        <f t="shared" si="5"/>
        <v>0</v>
      </c>
      <c r="E70" s="28">
        <v>0</v>
      </c>
      <c r="F70" s="36">
        <v>0</v>
      </c>
      <c r="G70" s="36">
        <v>0</v>
      </c>
      <c r="H70" s="28">
        <f t="shared" si="6"/>
        <v>0</v>
      </c>
      <c r="I70">
        <f t="shared" si="7"/>
        <v>0</v>
      </c>
      <c r="J70">
        <f t="shared" si="8"/>
        <v>0</v>
      </c>
      <c r="K70" s="38">
        <f t="shared" si="9"/>
        <v>0</v>
      </c>
      <c r="L70" s="38"/>
      <c r="M70" s="9">
        <v>63887</v>
      </c>
      <c r="N70" s="14">
        <v>1</v>
      </c>
    </row>
    <row r="71" spans="1:14">
      <c r="A71" s="27" t="s">
        <v>4</v>
      </c>
      <c r="B71" s="27">
        <v>345691</v>
      </c>
      <c r="C71" s="27" t="s">
        <v>81</v>
      </c>
      <c r="D71" s="27">
        <f t="shared" si="5"/>
        <v>1</v>
      </c>
      <c r="E71" s="28">
        <v>0</v>
      </c>
      <c r="F71" s="36">
        <v>2</v>
      </c>
      <c r="G71" s="36">
        <v>1</v>
      </c>
      <c r="H71" s="28">
        <f t="shared" si="6"/>
        <v>0</v>
      </c>
      <c r="I71">
        <f t="shared" si="7"/>
        <v>0</v>
      </c>
      <c r="J71">
        <f t="shared" si="8"/>
        <v>1</v>
      </c>
      <c r="K71" s="38">
        <f t="shared" si="9"/>
        <v>0</v>
      </c>
      <c r="L71" s="38"/>
      <c r="M71" s="9">
        <v>229765</v>
      </c>
      <c r="N71" s="14">
        <v>21</v>
      </c>
    </row>
    <row r="72" spans="1:14">
      <c r="A72" s="27" t="s">
        <v>4</v>
      </c>
      <c r="B72" s="27">
        <v>366702</v>
      </c>
      <c r="C72" s="27" t="s">
        <v>82</v>
      </c>
      <c r="D72" s="27">
        <f t="shared" si="5"/>
        <v>0</v>
      </c>
      <c r="E72" s="28">
        <v>0</v>
      </c>
      <c r="F72" s="36">
        <v>1</v>
      </c>
      <c r="G72" s="36">
        <v>0</v>
      </c>
      <c r="H72" s="28">
        <f t="shared" si="6"/>
        <v>0</v>
      </c>
      <c r="I72">
        <f t="shared" si="7"/>
        <v>0</v>
      </c>
      <c r="J72">
        <f t="shared" si="8"/>
        <v>2</v>
      </c>
      <c r="K72" s="38">
        <f t="shared" si="9"/>
        <v>-2</v>
      </c>
      <c r="L72" s="38"/>
      <c r="M72" s="9">
        <v>574633</v>
      </c>
      <c r="N72" s="14">
        <v>0</v>
      </c>
    </row>
    <row r="73" spans="1:14">
      <c r="A73" s="27" t="s">
        <v>4</v>
      </c>
      <c r="B73" s="27">
        <v>480658</v>
      </c>
      <c r="C73" s="27" t="s">
        <v>83</v>
      </c>
      <c r="D73" s="27">
        <f t="shared" si="5"/>
        <v>1</v>
      </c>
      <c r="E73" s="28">
        <v>0</v>
      </c>
      <c r="F73" s="36">
        <v>1</v>
      </c>
      <c r="G73" s="36">
        <v>3</v>
      </c>
      <c r="H73" s="28">
        <f t="shared" si="6"/>
        <v>2</v>
      </c>
      <c r="I73">
        <f t="shared" si="7"/>
        <v>1</v>
      </c>
      <c r="J73">
        <f t="shared" si="8"/>
        <v>2</v>
      </c>
      <c r="K73" s="38">
        <f t="shared" si="9"/>
        <v>1</v>
      </c>
      <c r="L73" s="38"/>
      <c r="M73" s="9">
        <v>61688</v>
      </c>
      <c r="N73" s="14">
        <v>4</v>
      </c>
    </row>
    <row r="74" spans="1:14">
      <c r="A74" s="27" t="s">
        <v>4</v>
      </c>
      <c r="B74" s="27">
        <v>503354</v>
      </c>
      <c r="C74" s="27" t="s">
        <v>84</v>
      </c>
      <c r="D74" s="27">
        <f t="shared" si="5"/>
        <v>0</v>
      </c>
      <c r="E74" s="28">
        <v>0</v>
      </c>
      <c r="F74" s="36">
        <v>1</v>
      </c>
      <c r="G74" s="36">
        <v>0</v>
      </c>
      <c r="H74" s="28">
        <f t="shared" si="6"/>
        <v>0</v>
      </c>
      <c r="I74">
        <f t="shared" si="7"/>
        <v>0</v>
      </c>
      <c r="J74">
        <f t="shared" si="8"/>
        <v>0</v>
      </c>
      <c r="K74" s="38">
        <f t="shared" si="9"/>
        <v>0</v>
      </c>
      <c r="L74" s="38"/>
      <c r="M74" s="9" t="s">
        <v>104</v>
      </c>
      <c r="N74" s="14">
        <v>0</v>
      </c>
    </row>
    <row r="75" spans="1:14">
      <c r="A75" s="27" t="s">
        <v>4</v>
      </c>
      <c r="B75" s="27">
        <v>503633</v>
      </c>
      <c r="C75" s="27" t="s">
        <v>85</v>
      </c>
      <c r="D75" s="27">
        <f t="shared" si="5"/>
        <v>0</v>
      </c>
      <c r="E75" s="28">
        <v>0</v>
      </c>
      <c r="F75" s="36">
        <v>1</v>
      </c>
      <c r="G75" s="36">
        <v>0</v>
      </c>
      <c r="H75" s="28">
        <f t="shared" si="6"/>
        <v>0</v>
      </c>
      <c r="I75">
        <f t="shared" si="7"/>
        <v>0</v>
      </c>
      <c r="J75">
        <f t="shared" si="8"/>
        <v>0</v>
      </c>
      <c r="K75" s="38">
        <f t="shared" si="9"/>
        <v>0</v>
      </c>
      <c r="L75" s="38"/>
      <c r="M75" s="9">
        <v>12295724</v>
      </c>
      <c r="N75" s="14">
        <v>1</v>
      </c>
    </row>
    <row r="76" spans="1:14">
      <c r="A76" s="27" t="s">
        <v>4</v>
      </c>
      <c r="B76" s="27">
        <v>503866</v>
      </c>
      <c r="C76" s="27" t="s">
        <v>86</v>
      </c>
      <c r="D76" s="27">
        <f t="shared" si="5"/>
        <v>1</v>
      </c>
      <c r="E76" s="28">
        <v>0</v>
      </c>
      <c r="F76" s="36">
        <v>1</v>
      </c>
      <c r="G76" s="36">
        <v>2</v>
      </c>
      <c r="H76" s="28">
        <f t="shared" si="6"/>
        <v>1</v>
      </c>
      <c r="I76">
        <f t="shared" si="7"/>
        <v>0</v>
      </c>
      <c r="J76">
        <f t="shared" si="8"/>
        <v>2</v>
      </c>
      <c r="K76" s="38">
        <f t="shared" si="9"/>
        <v>0</v>
      </c>
      <c r="L76" s="38"/>
      <c r="M76" s="9">
        <v>12325263</v>
      </c>
      <c r="N76" s="14">
        <v>0</v>
      </c>
    </row>
    <row r="77" spans="1:14">
      <c r="A77" s="27" t="s">
        <v>4</v>
      </c>
      <c r="B77" s="27">
        <v>510053</v>
      </c>
      <c r="C77" s="27" t="s">
        <v>87</v>
      </c>
      <c r="D77" s="27">
        <f t="shared" si="5"/>
        <v>0</v>
      </c>
      <c r="E77" s="28">
        <v>1</v>
      </c>
      <c r="F77" s="36">
        <v>1</v>
      </c>
      <c r="G77" s="36">
        <v>0</v>
      </c>
      <c r="H77" s="28">
        <f t="shared" si="6"/>
        <v>0</v>
      </c>
      <c r="I77">
        <f t="shared" si="7"/>
        <v>0</v>
      </c>
      <c r="J77">
        <f t="shared" si="8"/>
        <v>0</v>
      </c>
      <c r="K77" s="38">
        <f t="shared" si="9"/>
        <v>0</v>
      </c>
      <c r="L77" s="38"/>
      <c r="M77" s="9">
        <v>12324194</v>
      </c>
      <c r="N77" s="14">
        <v>0</v>
      </c>
    </row>
    <row r="78" spans="1:14">
      <c r="A78" s="27" t="s">
        <v>4</v>
      </c>
      <c r="B78" s="27">
        <v>523430</v>
      </c>
      <c r="C78" s="27" t="s">
        <v>88</v>
      </c>
      <c r="D78" s="27">
        <f t="shared" si="5"/>
        <v>0</v>
      </c>
      <c r="E78" s="28">
        <v>2</v>
      </c>
      <c r="F78" s="36">
        <v>2</v>
      </c>
      <c r="G78" s="36">
        <v>0</v>
      </c>
      <c r="H78" s="28">
        <f t="shared" si="6"/>
        <v>0</v>
      </c>
      <c r="I78">
        <f t="shared" si="7"/>
        <v>0</v>
      </c>
      <c r="J78">
        <f t="shared" si="8"/>
        <v>0</v>
      </c>
      <c r="K78" s="38">
        <f t="shared" si="9"/>
        <v>0</v>
      </c>
      <c r="L78" s="38"/>
      <c r="M78" s="9">
        <v>486638</v>
      </c>
      <c r="N78" s="14">
        <v>1</v>
      </c>
    </row>
    <row r="79" spans="1:14">
      <c r="A79" s="27" t="s">
        <v>4</v>
      </c>
      <c r="B79" s="27">
        <v>529090</v>
      </c>
      <c r="C79" s="27" t="s">
        <v>89</v>
      </c>
      <c r="D79" s="27">
        <f t="shared" si="5"/>
        <v>1</v>
      </c>
      <c r="E79" s="28">
        <v>1</v>
      </c>
      <c r="F79" s="36">
        <v>0</v>
      </c>
      <c r="G79" s="36">
        <v>1</v>
      </c>
      <c r="H79" s="28">
        <f t="shared" si="6"/>
        <v>1</v>
      </c>
      <c r="I79">
        <f t="shared" si="7"/>
        <v>0</v>
      </c>
      <c r="J79">
        <f t="shared" si="8"/>
        <v>1</v>
      </c>
      <c r="K79" s="38">
        <f t="shared" si="9"/>
        <v>0</v>
      </c>
      <c r="L79" s="38"/>
      <c r="M79" s="9">
        <v>530058</v>
      </c>
      <c r="N79" s="14">
        <v>1</v>
      </c>
    </row>
    <row r="80" spans="1:14">
      <c r="A80" s="27" t="s">
        <v>4</v>
      </c>
      <c r="B80" s="27">
        <v>529249</v>
      </c>
      <c r="C80" s="27" t="s">
        <v>90</v>
      </c>
      <c r="D80" s="27">
        <f t="shared" si="5"/>
        <v>0</v>
      </c>
      <c r="E80" s="28">
        <v>0</v>
      </c>
      <c r="F80" s="36">
        <v>1</v>
      </c>
      <c r="G80" s="36">
        <v>0</v>
      </c>
      <c r="H80" s="28">
        <f t="shared" si="6"/>
        <v>0</v>
      </c>
      <c r="I80">
        <f t="shared" si="7"/>
        <v>0</v>
      </c>
      <c r="J80">
        <f t="shared" si="8"/>
        <v>0</v>
      </c>
      <c r="K80" s="38">
        <f t="shared" si="9"/>
        <v>0</v>
      </c>
      <c r="L80" s="38"/>
      <c r="M80" s="9">
        <v>231278</v>
      </c>
      <c r="N80" s="14">
        <v>0</v>
      </c>
    </row>
    <row r="81" spans="1:14">
      <c r="A81" s="27" t="s">
        <v>4</v>
      </c>
      <c r="B81" s="27">
        <v>530345</v>
      </c>
      <c r="C81" s="27" t="s">
        <v>91</v>
      </c>
      <c r="D81" s="27">
        <f t="shared" si="5"/>
        <v>0</v>
      </c>
      <c r="E81" s="28">
        <v>1</v>
      </c>
      <c r="F81" s="36">
        <v>1</v>
      </c>
      <c r="G81" s="36">
        <v>0</v>
      </c>
      <c r="H81" s="28">
        <f t="shared" si="6"/>
        <v>0</v>
      </c>
      <c r="I81">
        <f t="shared" si="7"/>
        <v>0</v>
      </c>
      <c r="J81">
        <f t="shared" si="8"/>
        <v>1</v>
      </c>
      <c r="K81" s="38">
        <f t="shared" si="9"/>
        <v>-1</v>
      </c>
      <c r="L81" s="40"/>
      <c r="M81" s="9">
        <v>199217</v>
      </c>
      <c r="N81" s="14">
        <v>0</v>
      </c>
    </row>
    <row r="82" spans="1:14">
      <c r="A82" s="27" t="s">
        <v>4</v>
      </c>
      <c r="B82" s="27">
        <v>539088</v>
      </c>
      <c r="C82" s="27" t="s">
        <v>92</v>
      </c>
      <c r="D82" s="27">
        <f t="shared" si="5"/>
        <v>1</v>
      </c>
      <c r="E82" s="28">
        <v>5</v>
      </c>
      <c r="F82" s="36">
        <v>0</v>
      </c>
      <c r="G82" s="36">
        <v>2</v>
      </c>
      <c r="H82" s="28">
        <f t="shared" si="6"/>
        <v>2</v>
      </c>
      <c r="I82">
        <f t="shared" si="7"/>
        <v>0</v>
      </c>
      <c r="J82">
        <f t="shared" si="8"/>
        <v>2</v>
      </c>
      <c r="K82" s="38">
        <f t="shared" si="9"/>
        <v>0</v>
      </c>
      <c r="L82" s="41"/>
      <c r="M82" s="9">
        <v>222816</v>
      </c>
      <c r="N82" s="14">
        <v>1</v>
      </c>
    </row>
    <row r="83" spans="1:14">
      <c r="A83" s="27" t="s">
        <v>4</v>
      </c>
      <c r="B83" s="27">
        <v>543720</v>
      </c>
      <c r="C83" s="27" t="s">
        <v>93</v>
      </c>
      <c r="D83" s="27">
        <f t="shared" si="5"/>
        <v>1</v>
      </c>
      <c r="E83" s="28">
        <v>0</v>
      </c>
      <c r="F83" s="36">
        <v>1</v>
      </c>
      <c r="G83" s="36">
        <v>1</v>
      </c>
      <c r="H83" s="28">
        <f t="shared" si="6"/>
        <v>0</v>
      </c>
      <c r="I83">
        <f t="shared" si="7"/>
        <v>0</v>
      </c>
      <c r="J83">
        <f t="shared" si="8"/>
        <v>1</v>
      </c>
      <c r="K83" s="38">
        <f t="shared" si="9"/>
        <v>0</v>
      </c>
      <c r="L83" s="41"/>
      <c r="M83" s="9">
        <v>342829</v>
      </c>
      <c r="N83" s="14">
        <v>1</v>
      </c>
    </row>
    <row r="84" spans="1:14">
      <c r="A84" s="27" t="s">
        <v>4</v>
      </c>
      <c r="B84" s="27">
        <v>560814</v>
      </c>
      <c r="C84" s="27" t="s">
        <v>94</v>
      </c>
      <c r="D84" s="27">
        <f t="shared" si="5"/>
        <v>1</v>
      </c>
      <c r="E84" s="28">
        <v>0</v>
      </c>
      <c r="F84" s="36">
        <v>1</v>
      </c>
      <c r="G84" s="36">
        <v>2</v>
      </c>
      <c r="H84" s="28">
        <f t="shared" si="6"/>
        <v>1</v>
      </c>
      <c r="I84">
        <f t="shared" si="7"/>
        <v>0</v>
      </c>
      <c r="J84">
        <f t="shared" si="8"/>
        <v>2</v>
      </c>
      <c r="K84" s="38">
        <f t="shared" si="9"/>
        <v>0</v>
      </c>
      <c r="L84" s="42"/>
      <c r="M84" s="9">
        <v>543826</v>
      </c>
      <c r="N84" s="14">
        <v>23</v>
      </c>
    </row>
    <row r="85" spans="1:14">
      <c r="A85" s="27" t="s">
        <v>4</v>
      </c>
      <c r="B85" s="27">
        <v>563095</v>
      </c>
      <c r="C85" s="27" t="s">
        <v>95</v>
      </c>
      <c r="D85" s="27">
        <f t="shared" si="5"/>
        <v>0</v>
      </c>
      <c r="E85" s="28">
        <v>0</v>
      </c>
      <c r="F85" s="36">
        <v>2</v>
      </c>
      <c r="G85" s="36">
        <v>0</v>
      </c>
      <c r="H85" s="28">
        <f t="shared" si="6"/>
        <v>0</v>
      </c>
      <c r="I85">
        <f t="shared" si="7"/>
        <v>0</v>
      </c>
      <c r="J85">
        <f t="shared" si="8"/>
        <v>0</v>
      </c>
      <c r="K85" s="38">
        <f t="shared" si="9"/>
        <v>0</v>
      </c>
      <c r="L85" s="41"/>
      <c r="M85" s="9" t="s">
        <v>160</v>
      </c>
      <c r="N85" s="14">
        <v>0</v>
      </c>
    </row>
    <row r="86" spans="1:14">
      <c r="A86" s="27" t="s">
        <v>4</v>
      </c>
      <c r="B86" s="27">
        <v>61690</v>
      </c>
      <c r="C86" s="27" t="s">
        <v>96</v>
      </c>
      <c r="D86" s="27">
        <f t="shared" si="5"/>
        <v>0</v>
      </c>
      <c r="E86" s="28">
        <v>4</v>
      </c>
      <c r="F86" s="36">
        <v>1</v>
      </c>
      <c r="G86" s="36">
        <v>0</v>
      </c>
      <c r="H86" s="28">
        <f t="shared" si="6"/>
        <v>0</v>
      </c>
      <c r="I86">
        <f t="shared" si="7"/>
        <v>0</v>
      </c>
      <c r="J86">
        <f t="shared" si="8"/>
        <v>0</v>
      </c>
      <c r="K86" s="38">
        <f t="shared" si="9"/>
        <v>0</v>
      </c>
      <c r="M86" s="9">
        <v>287622</v>
      </c>
      <c r="N86" s="14">
        <v>0</v>
      </c>
    </row>
    <row r="87" spans="1:14">
      <c r="A87" s="27" t="s">
        <v>4</v>
      </c>
      <c r="B87" s="27" t="s">
        <v>98</v>
      </c>
      <c r="C87" s="27" t="s">
        <v>97</v>
      </c>
      <c r="D87" s="27">
        <f t="shared" si="5"/>
        <v>1</v>
      </c>
      <c r="E87" s="28">
        <v>1</v>
      </c>
      <c r="F87" s="36">
        <v>0</v>
      </c>
      <c r="G87" s="36">
        <v>4</v>
      </c>
      <c r="H87" s="28">
        <f t="shared" si="6"/>
        <v>4</v>
      </c>
      <c r="I87">
        <f t="shared" si="7"/>
        <v>1</v>
      </c>
      <c r="J87">
        <f t="shared" si="8"/>
        <v>34</v>
      </c>
      <c r="K87" s="38">
        <f t="shared" si="9"/>
        <v>-30</v>
      </c>
      <c r="M87" s="9">
        <v>542823</v>
      </c>
      <c r="N87" s="14">
        <v>2</v>
      </c>
    </row>
    <row r="88" spans="1:14">
      <c r="A88" s="27" t="s">
        <v>4</v>
      </c>
      <c r="B88" s="27" t="s">
        <v>100</v>
      </c>
      <c r="C88" s="27" t="s">
        <v>99</v>
      </c>
      <c r="D88" s="27">
        <f t="shared" si="5"/>
        <v>1</v>
      </c>
      <c r="E88" s="28">
        <v>0</v>
      </c>
      <c r="F88" s="36">
        <v>1</v>
      </c>
      <c r="G88" s="36">
        <v>2</v>
      </c>
      <c r="H88" s="28">
        <f t="shared" si="6"/>
        <v>1</v>
      </c>
      <c r="I88">
        <f t="shared" si="7"/>
        <v>0</v>
      </c>
      <c r="J88">
        <f t="shared" si="8"/>
        <v>2</v>
      </c>
      <c r="K88" s="38">
        <f t="shared" si="9"/>
        <v>0</v>
      </c>
      <c r="M88" s="9">
        <v>12295887</v>
      </c>
      <c r="N88" s="14">
        <v>0</v>
      </c>
    </row>
    <row r="89" spans="1:14">
      <c r="A89" s="27" t="s">
        <v>4</v>
      </c>
      <c r="B89" s="27" t="s">
        <v>102</v>
      </c>
      <c r="C89" s="27" t="s">
        <v>101</v>
      </c>
      <c r="D89" s="27">
        <f t="shared" si="5"/>
        <v>0</v>
      </c>
      <c r="E89" s="28">
        <v>0</v>
      </c>
      <c r="F89" s="36">
        <v>3</v>
      </c>
      <c r="G89" s="36">
        <v>0</v>
      </c>
      <c r="H89" s="28">
        <f t="shared" si="6"/>
        <v>0</v>
      </c>
      <c r="I89">
        <f t="shared" si="7"/>
        <v>0</v>
      </c>
      <c r="J89">
        <f t="shared" si="8"/>
        <v>0</v>
      </c>
      <c r="K89" s="38">
        <f t="shared" si="9"/>
        <v>0</v>
      </c>
      <c r="M89" s="9">
        <v>12333237</v>
      </c>
      <c r="N89" s="14">
        <v>8</v>
      </c>
    </row>
    <row r="90" spans="1:14">
      <c r="A90" s="27" t="s">
        <v>4</v>
      </c>
      <c r="B90" s="27" t="s">
        <v>104</v>
      </c>
      <c r="C90" s="27" t="s">
        <v>103</v>
      </c>
      <c r="D90" s="27">
        <f t="shared" si="5"/>
        <v>0</v>
      </c>
      <c r="E90" s="28">
        <v>0</v>
      </c>
      <c r="F90" s="36">
        <v>1</v>
      </c>
      <c r="G90" s="36">
        <v>0</v>
      </c>
      <c r="H90" s="28">
        <f t="shared" si="6"/>
        <v>0</v>
      </c>
      <c r="I90">
        <f t="shared" si="7"/>
        <v>0</v>
      </c>
      <c r="J90">
        <f t="shared" si="8"/>
        <v>0</v>
      </c>
      <c r="K90" s="38">
        <f t="shared" si="9"/>
        <v>0</v>
      </c>
      <c r="M90" s="9">
        <v>477625</v>
      </c>
      <c r="N90" s="14">
        <v>0</v>
      </c>
    </row>
    <row r="91" spans="1:14">
      <c r="A91" s="27" t="s">
        <v>5</v>
      </c>
      <c r="B91" s="27">
        <v>12295536</v>
      </c>
      <c r="C91" s="27" t="s">
        <v>105</v>
      </c>
      <c r="D91" s="27">
        <f t="shared" si="5"/>
        <v>1</v>
      </c>
      <c r="E91" s="28">
        <v>2</v>
      </c>
      <c r="F91" s="36">
        <v>0</v>
      </c>
      <c r="G91" s="36">
        <v>1</v>
      </c>
      <c r="H91" s="28">
        <f t="shared" si="6"/>
        <v>1</v>
      </c>
      <c r="I91">
        <f t="shared" si="7"/>
        <v>0</v>
      </c>
      <c r="J91">
        <f t="shared" si="8"/>
        <v>1</v>
      </c>
      <c r="K91" s="38">
        <f t="shared" si="9"/>
        <v>0</v>
      </c>
      <c r="M91" s="9">
        <v>12295980</v>
      </c>
      <c r="N91" s="14">
        <v>0</v>
      </c>
    </row>
    <row r="92" spans="1:14">
      <c r="A92" s="27" t="s">
        <v>5</v>
      </c>
      <c r="B92" s="27">
        <v>12295980</v>
      </c>
      <c r="C92" s="27" t="s">
        <v>106</v>
      </c>
      <c r="D92" s="27">
        <f t="shared" si="5"/>
        <v>0</v>
      </c>
      <c r="E92" s="28">
        <v>0</v>
      </c>
      <c r="F92" s="36">
        <v>0</v>
      </c>
      <c r="G92" s="36">
        <v>0</v>
      </c>
      <c r="H92" s="28">
        <f t="shared" si="6"/>
        <v>0</v>
      </c>
      <c r="I92">
        <f t="shared" si="7"/>
        <v>0</v>
      </c>
      <c r="J92">
        <f t="shared" si="8"/>
        <v>0</v>
      </c>
      <c r="K92" s="38">
        <f t="shared" si="9"/>
        <v>0</v>
      </c>
      <c r="M92" s="9">
        <v>12295626</v>
      </c>
      <c r="N92" s="14">
        <v>0</v>
      </c>
    </row>
    <row r="93" spans="1:14">
      <c r="A93" s="27" t="s">
        <v>5</v>
      </c>
      <c r="B93" s="27">
        <v>12302808</v>
      </c>
      <c r="C93" s="27" t="s">
        <v>107</v>
      </c>
      <c r="D93" s="27">
        <f t="shared" si="5"/>
        <v>0</v>
      </c>
      <c r="E93" s="28">
        <v>0</v>
      </c>
      <c r="F93" s="36">
        <v>0</v>
      </c>
      <c r="G93" s="36">
        <v>0</v>
      </c>
      <c r="H93" s="28">
        <f t="shared" si="6"/>
        <v>0</v>
      </c>
      <c r="I93">
        <f t="shared" si="7"/>
        <v>0</v>
      </c>
      <c r="J93">
        <f t="shared" si="8"/>
        <v>0</v>
      </c>
      <c r="K93" s="38">
        <f t="shared" si="9"/>
        <v>0</v>
      </c>
      <c r="M93" s="9">
        <v>126963</v>
      </c>
      <c r="N93" s="14">
        <v>0</v>
      </c>
    </row>
    <row r="94" spans="1:14">
      <c r="A94" s="27" t="s">
        <v>5</v>
      </c>
      <c r="B94" s="27">
        <v>12303072</v>
      </c>
      <c r="C94" s="27" t="s">
        <v>108</v>
      </c>
      <c r="D94" s="27">
        <f t="shared" si="5"/>
        <v>1</v>
      </c>
      <c r="E94" s="28">
        <v>0</v>
      </c>
      <c r="F94" s="36">
        <v>2</v>
      </c>
      <c r="G94" s="36">
        <v>2</v>
      </c>
      <c r="H94" s="28">
        <f t="shared" si="6"/>
        <v>0</v>
      </c>
      <c r="I94">
        <f t="shared" si="7"/>
        <v>0</v>
      </c>
      <c r="J94">
        <f t="shared" si="8"/>
        <v>2</v>
      </c>
      <c r="K94" s="38">
        <f t="shared" si="9"/>
        <v>0</v>
      </c>
      <c r="M94" s="9">
        <v>199007</v>
      </c>
      <c r="N94" s="14">
        <v>0</v>
      </c>
    </row>
    <row r="95" spans="1:14">
      <c r="A95" s="27" t="s">
        <v>5</v>
      </c>
      <c r="B95" s="27">
        <v>12313881</v>
      </c>
      <c r="C95" s="27" t="s">
        <v>109</v>
      </c>
      <c r="D95" s="27">
        <f t="shared" si="5"/>
        <v>1</v>
      </c>
      <c r="E95" s="28">
        <v>3</v>
      </c>
      <c r="F95" s="36">
        <v>1</v>
      </c>
      <c r="G95" s="36">
        <v>22</v>
      </c>
      <c r="H95" s="28">
        <f t="shared" si="6"/>
        <v>21</v>
      </c>
      <c r="I95">
        <f t="shared" si="7"/>
        <v>1</v>
      </c>
      <c r="J95">
        <f t="shared" si="8"/>
        <v>20</v>
      </c>
      <c r="K95" s="38">
        <f t="shared" si="9"/>
        <v>2</v>
      </c>
      <c r="M95" s="9">
        <v>12295536</v>
      </c>
      <c r="N95" s="14">
        <v>1</v>
      </c>
    </row>
    <row r="96" spans="1:14">
      <c r="A96" s="27" t="s">
        <v>5</v>
      </c>
      <c r="B96" s="27">
        <v>12317091</v>
      </c>
      <c r="C96" s="27" t="s">
        <v>110</v>
      </c>
      <c r="D96" s="27">
        <f t="shared" si="5"/>
        <v>0</v>
      </c>
      <c r="E96" s="28">
        <v>0</v>
      </c>
      <c r="F96" s="36">
        <v>0</v>
      </c>
      <c r="G96" s="36">
        <v>0</v>
      </c>
      <c r="H96" s="28">
        <f t="shared" si="6"/>
        <v>0</v>
      </c>
      <c r="I96">
        <f t="shared" si="7"/>
        <v>0</v>
      </c>
      <c r="J96">
        <f t="shared" si="8"/>
        <v>0</v>
      </c>
      <c r="K96" s="38">
        <f t="shared" si="9"/>
        <v>0</v>
      </c>
      <c r="M96" s="9">
        <v>213944</v>
      </c>
      <c r="N96" s="14">
        <v>4</v>
      </c>
    </row>
    <row r="97" spans="1:14">
      <c r="A97" s="27" t="s">
        <v>5</v>
      </c>
      <c r="B97" s="27">
        <v>12318079</v>
      </c>
      <c r="C97" s="27" t="s">
        <v>111</v>
      </c>
      <c r="D97" s="27">
        <f t="shared" si="5"/>
        <v>1</v>
      </c>
      <c r="E97" s="28">
        <v>0</v>
      </c>
      <c r="F97" s="36">
        <v>1</v>
      </c>
      <c r="G97" s="36">
        <v>3</v>
      </c>
      <c r="H97" s="28">
        <f t="shared" si="6"/>
        <v>2</v>
      </c>
      <c r="I97">
        <f t="shared" si="7"/>
        <v>1</v>
      </c>
      <c r="J97">
        <f t="shared" si="8"/>
        <v>3</v>
      </c>
      <c r="K97" s="38">
        <f t="shared" si="9"/>
        <v>0</v>
      </c>
      <c r="M97" s="9">
        <v>278608</v>
      </c>
      <c r="N97" s="14">
        <v>4</v>
      </c>
    </row>
    <row r="98" spans="1:14">
      <c r="A98" s="27" t="s">
        <v>5</v>
      </c>
      <c r="B98" s="27">
        <v>12320853</v>
      </c>
      <c r="C98" s="27" t="s">
        <v>112</v>
      </c>
      <c r="D98" s="27">
        <f t="shared" si="5"/>
        <v>0</v>
      </c>
      <c r="E98" s="28">
        <v>0</v>
      </c>
      <c r="F98" s="36">
        <v>1</v>
      </c>
      <c r="G98" s="36">
        <v>0</v>
      </c>
      <c r="H98" s="28">
        <f t="shared" si="6"/>
        <v>0</v>
      </c>
      <c r="I98">
        <f t="shared" si="7"/>
        <v>0</v>
      </c>
      <c r="J98">
        <f t="shared" si="8"/>
        <v>0</v>
      </c>
      <c r="K98" s="38">
        <f t="shared" si="9"/>
        <v>0</v>
      </c>
      <c r="M98" s="9">
        <v>12323463</v>
      </c>
      <c r="N98" s="14">
        <v>91</v>
      </c>
    </row>
    <row r="99" spans="1:14">
      <c r="A99" s="27" t="s">
        <v>5</v>
      </c>
      <c r="B99" s="27">
        <v>12321230</v>
      </c>
      <c r="C99" s="27" t="s">
        <v>113</v>
      </c>
      <c r="D99" s="27">
        <f t="shared" si="5"/>
        <v>1</v>
      </c>
      <c r="E99" s="28">
        <v>0</v>
      </c>
      <c r="F99" s="36">
        <v>0</v>
      </c>
      <c r="G99" s="36">
        <v>2</v>
      </c>
      <c r="H99" s="28">
        <f t="shared" si="6"/>
        <v>2</v>
      </c>
      <c r="I99">
        <f t="shared" si="7"/>
        <v>0</v>
      </c>
      <c r="J99">
        <f t="shared" si="8"/>
        <v>2</v>
      </c>
      <c r="K99" s="38">
        <f t="shared" si="9"/>
        <v>0</v>
      </c>
      <c r="M99" s="9">
        <v>12321241</v>
      </c>
      <c r="N99" s="14">
        <v>21</v>
      </c>
    </row>
    <row r="100" spans="1:14">
      <c r="A100" s="27" t="s">
        <v>5</v>
      </c>
      <c r="B100" s="27">
        <v>12321241</v>
      </c>
      <c r="C100" s="27" t="s">
        <v>114</v>
      </c>
      <c r="D100" s="27">
        <f t="shared" si="5"/>
        <v>1</v>
      </c>
      <c r="E100" s="28">
        <v>5</v>
      </c>
      <c r="F100" s="36">
        <v>3</v>
      </c>
      <c r="G100" s="36">
        <v>14</v>
      </c>
      <c r="H100" s="28">
        <f t="shared" si="6"/>
        <v>11</v>
      </c>
      <c r="I100">
        <f t="shared" si="7"/>
        <v>1</v>
      </c>
      <c r="J100">
        <f t="shared" si="8"/>
        <v>21</v>
      </c>
      <c r="K100" s="38">
        <f t="shared" si="9"/>
        <v>-7</v>
      </c>
      <c r="M100" s="9">
        <v>287403</v>
      </c>
      <c r="N100" s="14">
        <v>0</v>
      </c>
    </row>
    <row r="101" spans="1:14">
      <c r="A101" s="27" t="s">
        <v>5</v>
      </c>
      <c r="B101" s="27">
        <v>12321243</v>
      </c>
      <c r="C101" s="27" t="s">
        <v>115</v>
      </c>
      <c r="D101" s="27">
        <f t="shared" si="5"/>
        <v>1</v>
      </c>
      <c r="E101" s="28">
        <v>4</v>
      </c>
      <c r="F101" s="36">
        <v>2</v>
      </c>
      <c r="G101" s="36">
        <v>87</v>
      </c>
      <c r="H101" s="28">
        <f t="shared" si="6"/>
        <v>85</v>
      </c>
      <c r="I101">
        <f t="shared" si="7"/>
        <v>1</v>
      </c>
      <c r="J101">
        <f t="shared" si="8"/>
        <v>90</v>
      </c>
      <c r="K101" s="38">
        <f t="shared" si="9"/>
        <v>-3</v>
      </c>
      <c r="M101" s="9" t="s">
        <v>102</v>
      </c>
      <c r="N101" s="14">
        <v>0</v>
      </c>
    </row>
    <row r="102" spans="1:14">
      <c r="A102" s="27" t="s">
        <v>5</v>
      </c>
      <c r="B102" s="27">
        <v>12322430</v>
      </c>
      <c r="C102" s="27" t="s">
        <v>116</v>
      </c>
      <c r="D102" s="27">
        <f t="shared" si="5"/>
        <v>0</v>
      </c>
      <c r="E102" s="28">
        <v>0</v>
      </c>
      <c r="F102" s="36">
        <v>0</v>
      </c>
      <c r="G102" s="36">
        <v>0</v>
      </c>
      <c r="H102" s="28">
        <f t="shared" si="6"/>
        <v>0</v>
      </c>
      <c r="I102">
        <f t="shared" si="7"/>
        <v>0</v>
      </c>
      <c r="J102">
        <f t="shared" si="8"/>
        <v>0</v>
      </c>
      <c r="K102" s="38">
        <f t="shared" si="9"/>
        <v>0</v>
      </c>
      <c r="M102" s="9">
        <v>511584</v>
      </c>
      <c r="N102" s="14">
        <v>3</v>
      </c>
    </row>
    <row r="103" spans="1:14">
      <c r="A103" s="27" t="s">
        <v>5</v>
      </c>
      <c r="B103" s="27">
        <v>12324194</v>
      </c>
      <c r="C103" s="27" t="s">
        <v>117</v>
      </c>
      <c r="D103" s="27">
        <f t="shared" si="5"/>
        <v>0</v>
      </c>
      <c r="E103" s="28">
        <v>0</v>
      </c>
      <c r="F103" s="36">
        <v>0</v>
      </c>
      <c r="G103" s="36">
        <v>0</v>
      </c>
      <c r="H103" s="28">
        <f t="shared" si="6"/>
        <v>0</v>
      </c>
      <c r="I103">
        <f t="shared" si="7"/>
        <v>0</v>
      </c>
      <c r="J103">
        <f t="shared" si="8"/>
        <v>0</v>
      </c>
      <c r="K103" s="38">
        <f t="shared" si="9"/>
        <v>0</v>
      </c>
      <c r="M103" s="9">
        <v>12295542</v>
      </c>
      <c r="N103" s="14">
        <v>2</v>
      </c>
    </row>
    <row r="104" spans="1:14">
      <c r="A104" s="27" t="s">
        <v>5</v>
      </c>
      <c r="B104" s="27">
        <v>12327316</v>
      </c>
      <c r="C104" s="27" t="s">
        <v>118</v>
      </c>
      <c r="D104" s="27">
        <f t="shared" si="5"/>
        <v>1</v>
      </c>
      <c r="E104" s="28">
        <v>0</v>
      </c>
      <c r="F104" s="36">
        <v>1</v>
      </c>
      <c r="G104" s="36">
        <v>1</v>
      </c>
      <c r="H104" s="28">
        <f t="shared" si="6"/>
        <v>0</v>
      </c>
      <c r="I104">
        <f t="shared" si="7"/>
        <v>0</v>
      </c>
      <c r="J104">
        <f t="shared" si="8"/>
        <v>1</v>
      </c>
      <c r="K104" s="38">
        <f t="shared" si="9"/>
        <v>0</v>
      </c>
      <c r="M104" s="9">
        <v>546446</v>
      </c>
      <c r="N104" s="14">
        <v>2</v>
      </c>
    </row>
    <row r="105" spans="1:14">
      <c r="A105" s="27" t="s">
        <v>5</v>
      </c>
      <c r="B105" s="27">
        <v>12331450</v>
      </c>
      <c r="C105" s="27" t="s">
        <v>119</v>
      </c>
      <c r="D105" s="27">
        <f t="shared" si="5"/>
        <v>0</v>
      </c>
      <c r="E105" s="28">
        <v>0</v>
      </c>
      <c r="F105" s="36">
        <v>1</v>
      </c>
      <c r="G105" s="36">
        <v>0</v>
      </c>
      <c r="H105" s="28">
        <f t="shared" si="6"/>
        <v>0</v>
      </c>
      <c r="I105">
        <f t="shared" si="7"/>
        <v>0</v>
      </c>
      <c r="J105">
        <f t="shared" si="8"/>
        <v>0</v>
      </c>
      <c r="K105" s="38">
        <f t="shared" si="9"/>
        <v>0</v>
      </c>
      <c r="M105" s="9">
        <v>199020</v>
      </c>
      <c r="N105" s="14">
        <v>0</v>
      </c>
    </row>
    <row r="106" spans="1:14">
      <c r="A106" s="27" t="s">
        <v>5</v>
      </c>
      <c r="B106" s="27">
        <v>12332670</v>
      </c>
      <c r="C106" s="27" t="s">
        <v>120</v>
      </c>
      <c r="D106" s="27">
        <f t="shared" si="5"/>
        <v>1</v>
      </c>
      <c r="E106" s="28">
        <v>0</v>
      </c>
      <c r="F106" s="36">
        <v>1</v>
      </c>
      <c r="G106" s="36">
        <v>2</v>
      </c>
      <c r="H106" s="28">
        <f t="shared" si="6"/>
        <v>1</v>
      </c>
      <c r="I106">
        <f t="shared" si="7"/>
        <v>0</v>
      </c>
      <c r="J106">
        <f t="shared" si="8"/>
        <v>5</v>
      </c>
      <c r="K106" s="38">
        <f t="shared" si="9"/>
        <v>-3</v>
      </c>
      <c r="M106" s="9">
        <v>522623</v>
      </c>
      <c r="N106" s="14">
        <v>10</v>
      </c>
    </row>
    <row r="107" spans="1:14">
      <c r="A107" s="27" t="s">
        <v>5</v>
      </c>
      <c r="B107" s="27">
        <v>12332811</v>
      </c>
      <c r="C107" s="27" t="s">
        <v>121</v>
      </c>
      <c r="D107" s="27">
        <f t="shared" si="5"/>
        <v>0</v>
      </c>
      <c r="E107" s="28">
        <v>0</v>
      </c>
      <c r="F107" s="36">
        <v>0</v>
      </c>
      <c r="G107" s="36">
        <v>0</v>
      </c>
      <c r="H107" s="28">
        <f t="shared" si="6"/>
        <v>0</v>
      </c>
      <c r="I107">
        <f t="shared" si="7"/>
        <v>0</v>
      </c>
      <c r="J107">
        <f t="shared" si="8"/>
        <v>0</v>
      </c>
      <c r="K107" s="38">
        <f t="shared" si="9"/>
        <v>0</v>
      </c>
      <c r="M107" s="9">
        <v>12303072</v>
      </c>
      <c r="N107" s="14">
        <v>2</v>
      </c>
    </row>
    <row r="108" spans="1:14">
      <c r="A108" s="27" t="s">
        <v>5</v>
      </c>
      <c r="B108" s="27">
        <v>12333237</v>
      </c>
      <c r="C108" s="27" t="s">
        <v>122</v>
      </c>
      <c r="D108" s="27">
        <f t="shared" si="5"/>
        <v>1</v>
      </c>
      <c r="E108" s="28">
        <v>0</v>
      </c>
      <c r="F108" s="36">
        <v>1</v>
      </c>
      <c r="G108" s="36">
        <v>7</v>
      </c>
      <c r="H108" s="28">
        <f t="shared" si="6"/>
        <v>6</v>
      </c>
      <c r="I108">
        <f t="shared" si="7"/>
        <v>1</v>
      </c>
      <c r="J108">
        <f t="shared" si="8"/>
        <v>8</v>
      </c>
      <c r="K108" s="38">
        <f t="shared" si="9"/>
        <v>-1</v>
      </c>
      <c r="M108" s="9">
        <v>12295820</v>
      </c>
      <c r="N108" s="14">
        <v>0</v>
      </c>
    </row>
    <row r="109" spans="1:14">
      <c r="A109" s="27" t="s">
        <v>5</v>
      </c>
      <c r="B109" s="27">
        <v>12334635</v>
      </c>
      <c r="C109" s="27" t="s">
        <v>123</v>
      </c>
      <c r="D109" s="27">
        <f t="shared" si="5"/>
        <v>0</v>
      </c>
      <c r="E109" s="28">
        <v>2</v>
      </c>
      <c r="F109" s="36">
        <v>1</v>
      </c>
      <c r="G109" s="36">
        <v>0</v>
      </c>
      <c r="H109" s="28">
        <f t="shared" si="6"/>
        <v>0</v>
      </c>
      <c r="I109">
        <f t="shared" si="7"/>
        <v>0</v>
      </c>
      <c r="J109">
        <f t="shared" si="8"/>
        <v>0</v>
      </c>
      <c r="K109" s="38">
        <f t="shared" si="9"/>
        <v>0</v>
      </c>
      <c r="M109" s="9">
        <v>358231</v>
      </c>
      <c r="N109" s="14">
        <v>0</v>
      </c>
    </row>
    <row r="110" spans="1:14">
      <c r="A110" s="27" t="s">
        <v>5</v>
      </c>
      <c r="B110" s="27">
        <v>12334637</v>
      </c>
      <c r="C110" s="27" t="s">
        <v>124</v>
      </c>
      <c r="D110" s="27">
        <f t="shared" si="5"/>
        <v>1</v>
      </c>
      <c r="E110" s="28">
        <v>1</v>
      </c>
      <c r="F110" s="36">
        <v>1</v>
      </c>
      <c r="G110" s="36">
        <v>2</v>
      </c>
      <c r="H110" s="28">
        <f t="shared" si="6"/>
        <v>1</v>
      </c>
      <c r="I110">
        <f t="shared" si="7"/>
        <v>0</v>
      </c>
      <c r="J110">
        <f t="shared" si="8"/>
        <v>2</v>
      </c>
      <c r="K110" s="38">
        <f t="shared" si="9"/>
        <v>0</v>
      </c>
      <c r="M110" s="9">
        <v>396176</v>
      </c>
      <c r="N110" s="14">
        <v>1</v>
      </c>
    </row>
    <row r="111" spans="1:14">
      <c r="A111" s="27" t="s">
        <v>5</v>
      </c>
      <c r="B111" s="27">
        <v>126963</v>
      </c>
      <c r="C111" s="27" t="s">
        <v>125</v>
      </c>
      <c r="D111" s="27">
        <f t="shared" si="5"/>
        <v>0</v>
      </c>
      <c r="E111" s="28">
        <v>0</v>
      </c>
      <c r="F111" s="36">
        <v>1</v>
      </c>
      <c r="G111" s="36">
        <v>0</v>
      </c>
      <c r="H111" s="28">
        <f t="shared" si="6"/>
        <v>0</v>
      </c>
      <c r="I111">
        <f t="shared" si="7"/>
        <v>0</v>
      </c>
      <c r="J111">
        <f t="shared" si="8"/>
        <v>0</v>
      </c>
      <c r="K111" s="38">
        <f t="shared" si="9"/>
        <v>0</v>
      </c>
      <c r="M111" s="9">
        <v>539088</v>
      </c>
      <c r="N111" s="14">
        <v>2</v>
      </c>
    </row>
    <row r="112" spans="1:14">
      <c r="A112" s="27" t="s">
        <v>5</v>
      </c>
      <c r="B112" s="27">
        <v>127198</v>
      </c>
      <c r="C112" s="27" t="s">
        <v>126</v>
      </c>
      <c r="D112" s="27">
        <f t="shared" si="5"/>
        <v>1</v>
      </c>
      <c r="E112" s="28">
        <v>0</v>
      </c>
      <c r="F112" s="36">
        <v>2</v>
      </c>
      <c r="G112" s="36">
        <v>10</v>
      </c>
      <c r="H112" s="28">
        <f t="shared" si="6"/>
        <v>8</v>
      </c>
      <c r="I112">
        <f t="shared" si="7"/>
        <v>1</v>
      </c>
      <c r="J112">
        <f t="shared" si="8"/>
        <v>14</v>
      </c>
      <c r="K112" s="38">
        <f t="shared" si="9"/>
        <v>-4</v>
      </c>
      <c r="M112" s="9">
        <v>525590</v>
      </c>
      <c r="N112" s="14">
        <v>1</v>
      </c>
    </row>
    <row r="113" spans="1:14">
      <c r="A113" s="27" t="s">
        <v>5</v>
      </c>
      <c r="B113" s="27">
        <v>195918</v>
      </c>
      <c r="C113" s="27" t="s">
        <v>127</v>
      </c>
      <c r="D113" s="27">
        <f t="shared" si="5"/>
        <v>1</v>
      </c>
      <c r="E113" s="28">
        <v>1</v>
      </c>
      <c r="F113" s="36">
        <v>0</v>
      </c>
      <c r="G113" s="36">
        <v>1</v>
      </c>
      <c r="H113" s="28">
        <f t="shared" si="6"/>
        <v>1</v>
      </c>
      <c r="I113">
        <f t="shared" si="7"/>
        <v>0</v>
      </c>
      <c r="J113">
        <f t="shared" si="8"/>
        <v>4</v>
      </c>
      <c r="K113" s="38">
        <f t="shared" si="9"/>
        <v>-3</v>
      </c>
      <c r="M113" s="9">
        <v>368809</v>
      </c>
      <c r="N113" s="14">
        <v>1</v>
      </c>
    </row>
    <row r="114" spans="1:14">
      <c r="A114" s="27" t="s">
        <v>5</v>
      </c>
      <c r="B114" s="27">
        <v>199020</v>
      </c>
      <c r="C114" s="27" t="s">
        <v>128</v>
      </c>
      <c r="D114" s="27">
        <f t="shared" si="5"/>
        <v>0</v>
      </c>
      <c r="E114" s="28">
        <v>0</v>
      </c>
      <c r="F114" s="36">
        <v>1</v>
      </c>
      <c r="G114" s="36">
        <v>0</v>
      </c>
      <c r="H114" s="28">
        <f t="shared" si="6"/>
        <v>0</v>
      </c>
      <c r="I114">
        <f t="shared" si="7"/>
        <v>0</v>
      </c>
      <c r="J114">
        <f t="shared" si="8"/>
        <v>0</v>
      </c>
      <c r="K114" s="38">
        <f t="shared" si="9"/>
        <v>0</v>
      </c>
      <c r="M114" s="9">
        <v>199010</v>
      </c>
      <c r="N114" s="14">
        <v>1</v>
      </c>
    </row>
    <row r="115" spans="1:14">
      <c r="A115" s="27" t="s">
        <v>5</v>
      </c>
      <c r="B115" s="27">
        <v>240084</v>
      </c>
      <c r="C115" s="27" t="s">
        <v>129</v>
      </c>
      <c r="D115" s="27">
        <f t="shared" si="5"/>
        <v>0</v>
      </c>
      <c r="E115" s="28">
        <v>0</v>
      </c>
      <c r="F115" s="36">
        <v>0</v>
      </c>
      <c r="G115" s="36">
        <v>0</v>
      </c>
      <c r="H115" s="28">
        <f t="shared" si="6"/>
        <v>0</v>
      </c>
      <c r="I115">
        <f t="shared" si="7"/>
        <v>0</v>
      </c>
      <c r="J115">
        <f t="shared" si="8"/>
        <v>0</v>
      </c>
      <c r="K115" s="38">
        <f t="shared" si="9"/>
        <v>0</v>
      </c>
      <c r="M115" s="9">
        <v>519286</v>
      </c>
      <c r="N115" s="14">
        <v>1</v>
      </c>
    </row>
    <row r="116" spans="1:14">
      <c r="A116" s="27" t="s">
        <v>5</v>
      </c>
      <c r="B116" s="27">
        <v>240713</v>
      </c>
      <c r="C116" s="27" t="s">
        <v>130</v>
      </c>
      <c r="D116" s="27">
        <f t="shared" si="5"/>
        <v>1</v>
      </c>
      <c r="E116" s="28">
        <v>1</v>
      </c>
      <c r="F116" s="36">
        <v>1</v>
      </c>
      <c r="G116" s="36">
        <v>2</v>
      </c>
      <c r="H116" s="28">
        <f t="shared" si="6"/>
        <v>1</v>
      </c>
      <c r="I116">
        <f t="shared" si="7"/>
        <v>0</v>
      </c>
      <c r="J116">
        <f t="shared" si="8"/>
        <v>1</v>
      </c>
      <c r="K116" s="38">
        <f t="shared" si="9"/>
        <v>1</v>
      </c>
      <c r="M116" s="9">
        <v>523194</v>
      </c>
      <c r="N116" s="14">
        <v>1</v>
      </c>
    </row>
    <row r="117" spans="1:14">
      <c r="A117" s="27" t="s">
        <v>5</v>
      </c>
      <c r="B117" s="27">
        <v>304264</v>
      </c>
      <c r="C117" s="27" t="s">
        <v>131</v>
      </c>
      <c r="D117" s="27">
        <f t="shared" si="5"/>
        <v>1</v>
      </c>
      <c r="E117" s="28">
        <v>0</v>
      </c>
      <c r="F117" s="36">
        <v>1</v>
      </c>
      <c r="G117" s="36">
        <v>1</v>
      </c>
      <c r="H117" s="28">
        <f t="shared" si="6"/>
        <v>0</v>
      </c>
      <c r="I117">
        <f t="shared" si="7"/>
        <v>0</v>
      </c>
      <c r="J117">
        <f t="shared" si="8"/>
        <v>1</v>
      </c>
      <c r="K117" s="38">
        <f t="shared" si="9"/>
        <v>0</v>
      </c>
      <c r="M117" s="9">
        <v>61690</v>
      </c>
      <c r="N117" s="14">
        <v>0</v>
      </c>
    </row>
    <row r="118" spans="1:14">
      <c r="A118" s="27" t="s">
        <v>5</v>
      </c>
      <c r="B118" s="27">
        <v>342829</v>
      </c>
      <c r="C118" s="27" t="s">
        <v>132</v>
      </c>
      <c r="D118" s="27">
        <f t="shared" si="5"/>
        <v>1</v>
      </c>
      <c r="E118" s="28">
        <v>0</v>
      </c>
      <c r="F118" s="36">
        <v>2</v>
      </c>
      <c r="G118" s="36">
        <v>1</v>
      </c>
      <c r="H118" s="28">
        <f t="shared" si="6"/>
        <v>0</v>
      </c>
      <c r="I118">
        <f t="shared" si="7"/>
        <v>0</v>
      </c>
      <c r="J118">
        <f t="shared" si="8"/>
        <v>1</v>
      </c>
      <c r="K118" s="38">
        <f t="shared" si="9"/>
        <v>0</v>
      </c>
      <c r="M118" s="9">
        <v>12312295</v>
      </c>
      <c r="N118" s="14">
        <v>1</v>
      </c>
    </row>
    <row r="119" spans="1:14">
      <c r="A119" s="27" t="s">
        <v>5</v>
      </c>
      <c r="B119" s="27">
        <v>345427</v>
      </c>
      <c r="C119" s="27" t="s">
        <v>133</v>
      </c>
      <c r="D119" s="27">
        <f t="shared" si="5"/>
        <v>0</v>
      </c>
      <c r="E119" s="28">
        <v>0</v>
      </c>
      <c r="F119" s="36">
        <v>1</v>
      </c>
      <c r="G119" s="36">
        <v>0</v>
      </c>
      <c r="H119" s="28">
        <f t="shared" si="6"/>
        <v>0</v>
      </c>
      <c r="I119">
        <f t="shared" si="7"/>
        <v>0</v>
      </c>
      <c r="J119">
        <f t="shared" si="8"/>
        <v>0</v>
      </c>
      <c r="K119" s="38">
        <f t="shared" si="9"/>
        <v>0</v>
      </c>
      <c r="M119" s="9">
        <v>12318079</v>
      </c>
      <c r="N119" s="14">
        <v>3</v>
      </c>
    </row>
    <row r="120" spans="1:14">
      <c r="A120" s="27" t="s">
        <v>5</v>
      </c>
      <c r="B120" s="27">
        <v>352167</v>
      </c>
      <c r="C120" s="27" t="s">
        <v>134</v>
      </c>
      <c r="D120" s="27">
        <f t="shared" si="5"/>
        <v>1</v>
      </c>
      <c r="E120" s="28">
        <v>0</v>
      </c>
      <c r="F120" s="36">
        <v>0</v>
      </c>
      <c r="G120" s="36">
        <v>1</v>
      </c>
      <c r="H120" s="28">
        <f t="shared" si="6"/>
        <v>1</v>
      </c>
      <c r="I120">
        <f t="shared" si="7"/>
        <v>0</v>
      </c>
      <c r="J120">
        <f t="shared" si="8"/>
        <v>1</v>
      </c>
      <c r="K120" s="38">
        <f t="shared" si="9"/>
        <v>0</v>
      </c>
      <c r="M120" s="9">
        <v>12321230</v>
      </c>
      <c r="N120" s="14">
        <v>2</v>
      </c>
    </row>
    <row r="121" spans="1:14">
      <c r="A121" s="27" t="s">
        <v>5</v>
      </c>
      <c r="B121" s="27">
        <v>396176</v>
      </c>
      <c r="C121" s="27" t="s">
        <v>135</v>
      </c>
      <c r="D121" s="27">
        <f t="shared" si="5"/>
        <v>1</v>
      </c>
      <c r="E121" s="28">
        <v>0</v>
      </c>
      <c r="F121" s="36">
        <v>0</v>
      </c>
      <c r="G121" s="36">
        <v>1</v>
      </c>
      <c r="H121" s="28">
        <f t="shared" si="6"/>
        <v>1</v>
      </c>
      <c r="I121">
        <f t="shared" si="7"/>
        <v>0</v>
      </c>
      <c r="J121">
        <f t="shared" si="8"/>
        <v>1</v>
      </c>
      <c r="K121" s="38">
        <f t="shared" si="9"/>
        <v>0</v>
      </c>
      <c r="M121" s="9">
        <v>12301356</v>
      </c>
      <c r="N121" s="14">
        <v>3</v>
      </c>
    </row>
    <row r="122" spans="1:14">
      <c r="A122" s="27" t="s">
        <v>5</v>
      </c>
      <c r="B122" s="27">
        <v>401031</v>
      </c>
      <c r="C122" s="27" t="s">
        <v>136</v>
      </c>
      <c r="D122" s="27">
        <f t="shared" si="5"/>
        <v>0</v>
      </c>
      <c r="E122" s="28">
        <v>0</v>
      </c>
      <c r="F122" s="36">
        <v>0</v>
      </c>
      <c r="G122" s="36">
        <v>0</v>
      </c>
      <c r="H122" s="28">
        <f t="shared" si="6"/>
        <v>0</v>
      </c>
      <c r="I122">
        <f t="shared" si="7"/>
        <v>0</v>
      </c>
      <c r="J122">
        <f t="shared" si="8"/>
        <v>0</v>
      </c>
      <c r="K122" s="38">
        <f t="shared" si="9"/>
        <v>0</v>
      </c>
      <c r="M122" s="9">
        <v>12295752</v>
      </c>
      <c r="N122" s="14">
        <v>1</v>
      </c>
    </row>
    <row r="123" spans="1:14">
      <c r="A123" s="27" t="s">
        <v>5</v>
      </c>
      <c r="B123" s="27">
        <v>471389</v>
      </c>
      <c r="C123" s="27" t="s">
        <v>137</v>
      </c>
      <c r="D123" s="27">
        <f t="shared" si="5"/>
        <v>1</v>
      </c>
      <c r="E123" s="28">
        <v>0</v>
      </c>
      <c r="F123" s="36">
        <v>1</v>
      </c>
      <c r="G123" s="36">
        <v>1</v>
      </c>
      <c r="H123" s="28">
        <f t="shared" si="6"/>
        <v>0</v>
      </c>
      <c r="I123">
        <f t="shared" si="7"/>
        <v>0</v>
      </c>
      <c r="J123">
        <f t="shared" si="8"/>
        <v>1</v>
      </c>
      <c r="K123" s="38">
        <f t="shared" si="9"/>
        <v>0</v>
      </c>
      <c r="M123" s="9">
        <v>12313881</v>
      </c>
      <c r="N123" s="14">
        <v>20</v>
      </c>
    </row>
    <row r="124" spans="1:14">
      <c r="A124" s="27" t="s">
        <v>5</v>
      </c>
      <c r="B124" s="27">
        <v>477625</v>
      </c>
      <c r="C124" s="27" t="s">
        <v>138</v>
      </c>
      <c r="D124" s="27">
        <f t="shared" si="5"/>
        <v>1</v>
      </c>
      <c r="E124" s="28">
        <v>0</v>
      </c>
      <c r="F124" s="36">
        <v>0</v>
      </c>
      <c r="G124" s="36">
        <v>2</v>
      </c>
      <c r="H124" s="28">
        <f t="shared" si="6"/>
        <v>2</v>
      </c>
      <c r="I124">
        <f t="shared" si="7"/>
        <v>0</v>
      </c>
      <c r="J124">
        <f t="shared" si="8"/>
        <v>0</v>
      </c>
      <c r="K124" s="38">
        <f t="shared" si="9"/>
        <v>2</v>
      </c>
      <c r="M124" s="9">
        <v>12302808</v>
      </c>
      <c r="N124" s="14">
        <v>0</v>
      </c>
    </row>
    <row r="125" spans="1:14">
      <c r="A125" s="27" t="s">
        <v>5</v>
      </c>
      <c r="B125" s="27">
        <v>481857</v>
      </c>
      <c r="C125" s="27" t="s">
        <v>139</v>
      </c>
      <c r="D125" s="27">
        <f t="shared" si="5"/>
        <v>0</v>
      </c>
      <c r="E125" s="28">
        <v>0</v>
      </c>
      <c r="F125" s="36">
        <v>1</v>
      </c>
      <c r="G125" s="36">
        <v>0</v>
      </c>
      <c r="H125" s="28">
        <f t="shared" si="6"/>
        <v>0</v>
      </c>
      <c r="I125">
        <f t="shared" si="7"/>
        <v>0</v>
      </c>
      <c r="J125">
        <f t="shared" si="8"/>
        <v>0</v>
      </c>
      <c r="K125" s="38">
        <f t="shared" si="9"/>
        <v>0</v>
      </c>
      <c r="M125" s="9">
        <v>12334637</v>
      </c>
      <c r="N125" s="14">
        <v>2</v>
      </c>
    </row>
    <row r="126" spans="1:14">
      <c r="A126" s="27" t="s">
        <v>5</v>
      </c>
      <c r="B126" s="27">
        <v>483240</v>
      </c>
      <c r="C126" s="27" t="s">
        <v>140</v>
      </c>
      <c r="D126" s="27">
        <f t="shared" si="5"/>
        <v>1</v>
      </c>
      <c r="E126" s="28">
        <v>0</v>
      </c>
      <c r="F126" s="36">
        <v>0</v>
      </c>
      <c r="G126" s="36">
        <v>1</v>
      </c>
      <c r="H126" s="28">
        <f t="shared" si="6"/>
        <v>1</v>
      </c>
      <c r="I126">
        <f t="shared" si="7"/>
        <v>0</v>
      </c>
      <c r="J126">
        <f t="shared" si="8"/>
        <v>1</v>
      </c>
      <c r="K126" s="38">
        <f t="shared" si="9"/>
        <v>0</v>
      </c>
      <c r="M126" s="9">
        <v>471389</v>
      </c>
      <c r="N126" s="14">
        <v>1</v>
      </c>
    </row>
    <row r="127" spans="1:14">
      <c r="A127" s="27" t="s">
        <v>5</v>
      </c>
      <c r="B127" s="27">
        <v>499483</v>
      </c>
      <c r="C127" s="27" t="s">
        <v>141</v>
      </c>
      <c r="D127" s="27">
        <f t="shared" si="5"/>
        <v>1</v>
      </c>
      <c r="E127" s="28">
        <v>0</v>
      </c>
      <c r="F127" s="36">
        <v>1</v>
      </c>
      <c r="G127" s="36">
        <v>2</v>
      </c>
      <c r="H127" s="28">
        <f t="shared" si="6"/>
        <v>1</v>
      </c>
      <c r="I127">
        <f t="shared" si="7"/>
        <v>0</v>
      </c>
      <c r="J127">
        <f t="shared" si="8"/>
        <v>2</v>
      </c>
      <c r="K127" s="38">
        <f t="shared" si="9"/>
        <v>0</v>
      </c>
      <c r="M127" s="9">
        <v>529249</v>
      </c>
      <c r="N127" s="14">
        <v>0</v>
      </c>
    </row>
    <row r="128" spans="1:14">
      <c r="A128" s="27" t="s">
        <v>5</v>
      </c>
      <c r="B128" s="27">
        <v>501141</v>
      </c>
      <c r="C128" s="27" t="s">
        <v>142</v>
      </c>
      <c r="D128" s="27">
        <f t="shared" si="5"/>
        <v>0</v>
      </c>
      <c r="E128" s="28">
        <v>0</v>
      </c>
      <c r="F128" s="36">
        <v>1</v>
      </c>
      <c r="G128" s="36">
        <v>0</v>
      </c>
      <c r="H128" s="28">
        <f t="shared" si="6"/>
        <v>0</v>
      </c>
      <c r="I128">
        <f t="shared" si="7"/>
        <v>0</v>
      </c>
      <c r="J128">
        <f t="shared" si="8"/>
        <v>0</v>
      </c>
      <c r="K128" s="38">
        <f t="shared" si="9"/>
        <v>0</v>
      </c>
      <c r="M128" s="9">
        <v>366702</v>
      </c>
      <c r="N128" s="14">
        <v>2</v>
      </c>
    </row>
    <row r="129" spans="1:14">
      <c r="A129" s="27" t="s">
        <v>5</v>
      </c>
      <c r="B129" s="27">
        <v>501263</v>
      </c>
      <c r="C129" s="27" t="s">
        <v>143</v>
      </c>
      <c r="D129" s="27">
        <f t="shared" si="5"/>
        <v>1</v>
      </c>
      <c r="E129" s="28">
        <v>0</v>
      </c>
      <c r="F129" s="36">
        <v>1</v>
      </c>
      <c r="G129" s="36">
        <v>1</v>
      </c>
      <c r="H129" s="28">
        <f t="shared" si="6"/>
        <v>0</v>
      </c>
      <c r="I129">
        <f t="shared" si="7"/>
        <v>0</v>
      </c>
      <c r="J129">
        <f t="shared" si="8"/>
        <v>1</v>
      </c>
      <c r="K129" s="38">
        <f t="shared" si="9"/>
        <v>0</v>
      </c>
      <c r="M129" s="9">
        <v>514589</v>
      </c>
      <c r="N129" s="14">
        <v>0</v>
      </c>
    </row>
    <row r="130" spans="1:14">
      <c r="A130" s="27" t="s">
        <v>5</v>
      </c>
      <c r="B130" s="27">
        <v>501860</v>
      </c>
      <c r="C130" s="27" t="s">
        <v>144</v>
      </c>
      <c r="D130" s="27">
        <f t="shared" ref="D130:D146" si="10">IF(G130&gt;0,1,0)</f>
        <v>1</v>
      </c>
      <c r="E130" s="28">
        <v>1</v>
      </c>
      <c r="F130" s="36">
        <v>1</v>
      </c>
      <c r="G130" s="36">
        <v>2</v>
      </c>
      <c r="H130" s="28">
        <f t="shared" ref="H130:H146" si="11">MAX(G130-F130,0)</f>
        <v>1</v>
      </c>
      <c r="I130">
        <f t="shared" si="7"/>
        <v>0</v>
      </c>
      <c r="J130">
        <f t="shared" si="8"/>
        <v>3</v>
      </c>
      <c r="K130" s="38">
        <f t="shared" si="9"/>
        <v>-1</v>
      </c>
      <c r="M130" s="9">
        <v>401031</v>
      </c>
      <c r="N130" s="14">
        <v>0</v>
      </c>
    </row>
    <row r="131" spans="1:14">
      <c r="A131" s="27" t="s">
        <v>5</v>
      </c>
      <c r="B131" s="27">
        <v>510295</v>
      </c>
      <c r="C131" s="27" t="s">
        <v>145</v>
      </c>
      <c r="D131" s="27">
        <f t="shared" si="10"/>
        <v>0</v>
      </c>
      <c r="E131" s="28">
        <v>0</v>
      </c>
      <c r="F131" s="36">
        <v>1</v>
      </c>
      <c r="G131" s="36">
        <v>0</v>
      </c>
      <c r="H131" s="28">
        <f t="shared" si="11"/>
        <v>0</v>
      </c>
      <c r="I131">
        <f t="shared" ref="I131:I146" si="12">IF(G131&gt;=3,1,0)</f>
        <v>0</v>
      </c>
      <c r="J131">
        <f t="shared" ref="J131:J146" si="13">INDEX(M:N,MATCH(B131,M:M,0),2)</f>
        <v>0</v>
      </c>
      <c r="K131" s="38">
        <f t="shared" ref="K131:K146" si="14">G131-J131</f>
        <v>0</v>
      </c>
      <c r="M131" s="9">
        <v>562953</v>
      </c>
      <c r="N131" s="14">
        <v>0</v>
      </c>
    </row>
    <row r="132" spans="1:14">
      <c r="A132" s="27" t="s">
        <v>5</v>
      </c>
      <c r="B132" s="27">
        <v>510299</v>
      </c>
      <c r="C132" s="27" t="s">
        <v>146</v>
      </c>
      <c r="D132" s="27">
        <f t="shared" si="10"/>
        <v>0</v>
      </c>
      <c r="E132" s="28">
        <v>0</v>
      </c>
      <c r="F132" s="36">
        <v>0</v>
      </c>
      <c r="G132" s="36">
        <v>0</v>
      </c>
      <c r="H132" s="28">
        <f t="shared" si="11"/>
        <v>0</v>
      </c>
      <c r="I132">
        <f t="shared" si="12"/>
        <v>0</v>
      </c>
      <c r="J132">
        <f t="shared" si="13"/>
        <v>0</v>
      </c>
      <c r="K132" s="38">
        <f t="shared" si="14"/>
        <v>0</v>
      </c>
      <c r="M132" s="9">
        <v>529090</v>
      </c>
      <c r="N132" s="14">
        <v>1</v>
      </c>
    </row>
    <row r="133" spans="1:14">
      <c r="A133" s="27" t="s">
        <v>5</v>
      </c>
      <c r="B133" s="27">
        <v>511584</v>
      </c>
      <c r="C133" s="27" t="s">
        <v>147</v>
      </c>
      <c r="D133" s="27">
        <f t="shared" si="10"/>
        <v>1</v>
      </c>
      <c r="E133" s="28">
        <v>0</v>
      </c>
      <c r="F133" s="36">
        <v>1</v>
      </c>
      <c r="G133" s="36">
        <v>3</v>
      </c>
      <c r="H133" s="28">
        <f t="shared" si="11"/>
        <v>2</v>
      </c>
      <c r="I133">
        <f t="shared" si="12"/>
        <v>1</v>
      </c>
      <c r="J133">
        <f t="shared" si="13"/>
        <v>3</v>
      </c>
      <c r="K133" s="38">
        <f t="shared" si="14"/>
        <v>0</v>
      </c>
      <c r="M133" s="9">
        <v>345691</v>
      </c>
      <c r="N133" s="14">
        <v>1</v>
      </c>
    </row>
    <row r="134" spans="1:14">
      <c r="A134" s="27" t="s">
        <v>5</v>
      </c>
      <c r="B134" s="27">
        <v>514589</v>
      </c>
      <c r="C134" s="27" t="s">
        <v>148</v>
      </c>
      <c r="D134" s="27">
        <f t="shared" si="10"/>
        <v>0</v>
      </c>
      <c r="E134" s="28">
        <v>0</v>
      </c>
      <c r="F134" s="36">
        <v>1</v>
      </c>
      <c r="G134" s="36">
        <v>0</v>
      </c>
      <c r="H134" s="28">
        <f t="shared" si="11"/>
        <v>0</v>
      </c>
      <c r="I134">
        <f t="shared" si="12"/>
        <v>0</v>
      </c>
      <c r="J134">
        <f t="shared" si="13"/>
        <v>0</v>
      </c>
      <c r="K134" s="38">
        <f t="shared" si="14"/>
        <v>0</v>
      </c>
      <c r="M134" s="9">
        <v>347538</v>
      </c>
      <c r="N134" s="14">
        <v>2</v>
      </c>
    </row>
    <row r="135" spans="1:14">
      <c r="A135" s="27" t="s">
        <v>5</v>
      </c>
      <c r="B135" s="27">
        <v>523849</v>
      </c>
      <c r="C135" s="27" t="s">
        <v>149</v>
      </c>
      <c r="D135" s="27">
        <f t="shared" si="10"/>
        <v>0</v>
      </c>
      <c r="E135" s="28">
        <v>0</v>
      </c>
      <c r="F135" s="36">
        <v>1</v>
      </c>
      <c r="G135" s="36">
        <v>0</v>
      </c>
      <c r="H135" s="28">
        <f t="shared" si="11"/>
        <v>0</v>
      </c>
      <c r="I135">
        <f t="shared" si="12"/>
        <v>0</v>
      </c>
      <c r="J135">
        <f t="shared" si="13"/>
        <v>0</v>
      </c>
      <c r="K135" s="38">
        <f t="shared" si="14"/>
        <v>0</v>
      </c>
      <c r="M135" s="9">
        <v>301600</v>
      </c>
      <c r="N135" s="14">
        <v>2</v>
      </c>
    </row>
    <row r="136" spans="1:14">
      <c r="A136" s="27" t="s">
        <v>5</v>
      </c>
      <c r="B136" s="27">
        <v>526916</v>
      </c>
      <c r="C136" s="27" t="s">
        <v>150</v>
      </c>
      <c r="D136" s="27">
        <f t="shared" si="10"/>
        <v>1</v>
      </c>
      <c r="E136" s="28">
        <v>0</v>
      </c>
      <c r="F136" s="36">
        <v>2</v>
      </c>
      <c r="G136" s="36">
        <v>3</v>
      </c>
      <c r="H136" s="28">
        <f t="shared" si="11"/>
        <v>1</v>
      </c>
      <c r="I136">
        <f t="shared" si="12"/>
        <v>1</v>
      </c>
      <c r="J136">
        <f t="shared" si="13"/>
        <v>3</v>
      </c>
      <c r="K136" s="38">
        <f t="shared" si="14"/>
        <v>0</v>
      </c>
      <c r="M136" s="9">
        <v>563095</v>
      </c>
      <c r="N136" s="14">
        <v>0</v>
      </c>
    </row>
    <row r="137" spans="1:14">
      <c r="A137" s="27" t="s">
        <v>5</v>
      </c>
      <c r="B137" s="27">
        <v>530334</v>
      </c>
      <c r="C137" s="27" t="s">
        <v>151</v>
      </c>
      <c r="D137" s="27">
        <f t="shared" si="10"/>
        <v>1</v>
      </c>
      <c r="E137" s="28">
        <v>0</v>
      </c>
      <c r="F137" s="36">
        <v>1</v>
      </c>
      <c r="G137" s="36">
        <v>1</v>
      </c>
      <c r="H137" s="28">
        <f t="shared" si="11"/>
        <v>0</v>
      </c>
      <c r="I137">
        <f t="shared" si="12"/>
        <v>0</v>
      </c>
      <c r="J137">
        <f t="shared" si="13"/>
        <v>0</v>
      </c>
      <c r="K137" s="38">
        <f t="shared" si="14"/>
        <v>1</v>
      </c>
      <c r="M137" s="9">
        <v>480658</v>
      </c>
      <c r="N137" s="14">
        <v>2</v>
      </c>
    </row>
    <row r="138" spans="1:14">
      <c r="A138" s="27" t="s">
        <v>5</v>
      </c>
      <c r="B138" s="27">
        <v>543771</v>
      </c>
      <c r="C138" s="27" t="s">
        <v>152</v>
      </c>
      <c r="D138" s="27">
        <f t="shared" si="10"/>
        <v>0</v>
      </c>
      <c r="E138" s="28">
        <v>1</v>
      </c>
      <c r="F138" s="36">
        <v>1</v>
      </c>
      <c r="G138" s="36">
        <v>0</v>
      </c>
      <c r="H138" s="28">
        <f t="shared" si="11"/>
        <v>0</v>
      </c>
      <c r="I138">
        <f t="shared" si="12"/>
        <v>0</v>
      </c>
      <c r="J138">
        <f t="shared" si="13"/>
        <v>0</v>
      </c>
      <c r="K138" s="38">
        <f t="shared" si="14"/>
        <v>0</v>
      </c>
      <c r="M138" s="9">
        <v>543720</v>
      </c>
      <c r="N138" s="14">
        <v>1</v>
      </c>
    </row>
    <row r="139" spans="1:14">
      <c r="A139" s="27" t="s">
        <v>5</v>
      </c>
      <c r="B139" s="27">
        <v>543826</v>
      </c>
      <c r="C139" s="27" t="s">
        <v>153</v>
      </c>
      <c r="D139" s="27">
        <f t="shared" si="10"/>
        <v>1</v>
      </c>
      <c r="E139" s="28">
        <v>5</v>
      </c>
      <c r="F139" s="36">
        <v>0</v>
      </c>
      <c r="G139" s="36">
        <v>18</v>
      </c>
      <c r="H139" s="28">
        <f t="shared" si="11"/>
        <v>18</v>
      </c>
      <c r="I139">
        <f t="shared" si="12"/>
        <v>1</v>
      </c>
      <c r="J139">
        <f t="shared" si="13"/>
        <v>23</v>
      </c>
      <c r="K139" s="38">
        <f t="shared" si="14"/>
        <v>-5</v>
      </c>
      <c r="M139" s="9">
        <v>352167</v>
      </c>
      <c r="N139" s="14">
        <v>1</v>
      </c>
    </row>
    <row r="140" spans="1:14">
      <c r="A140" s="27" t="s">
        <v>5</v>
      </c>
      <c r="B140" s="27">
        <v>546446</v>
      </c>
      <c r="C140" s="27" t="s">
        <v>154</v>
      </c>
      <c r="D140" s="27">
        <f t="shared" si="10"/>
        <v>1</v>
      </c>
      <c r="E140" s="28">
        <v>0</v>
      </c>
      <c r="F140" s="36">
        <v>0</v>
      </c>
      <c r="G140" s="36">
        <v>2</v>
      </c>
      <c r="H140" s="28">
        <f t="shared" si="11"/>
        <v>2</v>
      </c>
      <c r="I140">
        <f t="shared" si="12"/>
        <v>0</v>
      </c>
      <c r="J140">
        <f t="shared" si="13"/>
        <v>2</v>
      </c>
      <c r="K140" s="38">
        <f t="shared" si="14"/>
        <v>0</v>
      </c>
      <c r="M140" s="9">
        <v>526916</v>
      </c>
      <c r="N140" s="14">
        <v>3</v>
      </c>
    </row>
    <row r="141" spans="1:14">
      <c r="A141" s="27" t="s">
        <v>5</v>
      </c>
      <c r="B141" s="27">
        <v>558955</v>
      </c>
      <c r="C141" s="27" t="s">
        <v>155</v>
      </c>
      <c r="D141" s="27">
        <f t="shared" si="10"/>
        <v>0</v>
      </c>
      <c r="E141" s="28">
        <v>0</v>
      </c>
      <c r="F141" s="36">
        <v>0</v>
      </c>
      <c r="G141" s="36">
        <v>0</v>
      </c>
      <c r="H141" s="28">
        <f t="shared" si="11"/>
        <v>0</v>
      </c>
      <c r="I141">
        <f t="shared" si="12"/>
        <v>0</v>
      </c>
      <c r="J141">
        <f t="shared" si="13"/>
        <v>0</v>
      </c>
      <c r="K141" s="38">
        <f t="shared" si="14"/>
        <v>0</v>
      </c>
      <c r="M141" s="9">
        <v>491288</v>
      </c>
      <c r="N141" s="14">
        <v>0</v>
      </c>
    </row>
    <row r="142" spans="1:14">
      <c r="A142" s="27" t="s">
        <v>5</v>
      </c>
      <c r="B142" s="27">
        <v>562953</v>
      </c>
      <c r="C142" s="27" t="s">
        <v>156</v>
      </c>
      <c r="D142" s="27">
        <f t="shared" si="10"/>
        <v>0</v>
      </c>
      <c r="E142" s="28">
        <v>0</v>
      </c>
      <c r="F142" s="36">
        <v>0</v>
      </c>
      <c r="G142" s="36">
        <v>0</v>
      </c>
      <c r="H142" s="28">
        <f t="shared" si="11"/>
        <v>0</v>
      </c>
      <c r="I142">
        <f t="shared" si="12"/>
        <v>0</v>
      </c>
      <c r="J142">
        <f t="shared" si="13"/>
        <v>0</v>
      </c>
      <c r="K142" s="38">
        <f t="shared" si="14"/>
        <v>0</v>
      </c>
      <c r="M142" s="9">
        <v>501141</v>
      </c>
      <c r="N142" s="14">
        <v>0</v>
      </c>
    </row>
    <row r="143" spans="1:14">
      <c r="A143" s="27" t="s">
        <v>5</v>
      </c>
      <c r="B143" s="27">
        <v>569298</v>
      </c>
      <c r="C143" s="27" t="s">
        <v>157</v>
      </c>
      <c r="D143" s="27">
        <f t="shared" si="10"/>
        <v>0</v>
      </c>
      <c r="E143" s="28">
        <v>0</v>
      </c>
      <c r="F143" s="36">
        <v>1</v>
      </c>
      <c r="G143" s="36">
        <v>0</v>
      </c>
      <c r="H143" s="28">
        <f t="shared" si="11"/>
        <v>0</v>
      </c>
      <c r="I143">
        <f t="shared" si="12"/>
        <v>0</v>
      </c>
      <c r="J143">
        <f t="shared" si="13"/>
        <v>0</v>
      </c>
      <c r="K143" s="38">
        <f t="shared" si="14"/>
        <v>0</v>
      </c>
      <c r="M143" s="9">
        <v>240084</v>
      </c>
      <c r="N143" s="14">
        <v>0</v>
      </c>
    </row>
    <row r="144" spans="1:14">
      <c r="A144" s="27" t="s">
        <v>5</v>
      </c>
      <c r="B144" s="27">
        <v>574633</v>
      </c>
      <c r="C144" s="27" t="s">
        <v>158</v>
      </c>
      <c r="D144" s="27">
        <f t="shared" si="10"/>
        <v>1</v>
      </c>
      <c r="E144" s="28">
        <v>0</v>
      </c>
      <c r="F144" s="36">
        <v>0</v>
      </c>
      <c r="G144" s="36">
        <v>1</v>
      </c>
      <c r="H144" s="28">
        <f t="shared" si="11"/>
        <v>1</v>
      </c>
      <c r="I144">
        <f t="shared" si="12"/>
        <v>0</v>
      </c>
      <c r="J144">
        <f t="shared" si="13"/>
        <v>0</v>
      </c>
      <c r="K144" s="38">
        <f t="shared" si="14"/>
        <v>1</v>
      </c>
      <c r="M144" s="9">
        <v>12324647</v>
      </c>
      <c r="N144" s="14">
        <v>0</v>
      </c>
    </row>
    <row r="145" spans="1:14">
      <c r="A145" s="27" t="s">
        <v>5</v>
      </c>
      <c r="B145" s="27">
        <v>61688</v>
      </c>
      <c r="C145" s="27" t="s">
        <v>159</v>
      </c>
      <c r="D145" s="27">
        <f t="shared" si="10"/>
        <v>1</v>
      </c>
      <c r="E145" s="28">
        <v>0</v>
      </c>
      <c r="F145" s="36">
        <v>1</v>
      </c>
      <c r="G145" s="36">
        <v>4</v>
      </c>
      <c r="H145" s="28">
        <f t="shared" si="11"/>
        <v>3</v>
      </c>
      <c r="I145">
        <f t="shared" si="12"/>
        <v>1</v>
      </c>
      <c r="J145">
        <f t="shared" si="13"/>
        <v>4</v>
      </c>
      <c r="K145" s="38">
        <f t="shared" si="14"/>
        <v>0</v>
      </c>
      <c r="M145" s="9">
        <v>503633</v>
      </c>
      <c r="N145" s="14">
        <v>0</v>
      </c>
    </row>
    <row r="146" spans="1:14">
      <c r="A146" s="27" t="s">
        <v>5</v>
      </c>
      <c r="B146" s="27" t="s">
        <v>160</v>
      </c>
      <c r="C146" s="27" t="s">
        <v>97</v>
      </c>
      <c r="D146" s="27">
        <f t="shared" si="10"/>
        <v>0</v>
      </c>
      <c r="E146" s="28">
        <v>0</v>
      </c>
      <c r="F146" s="36">
        <v>0</v>
      </c>
      <c r="G146" s="36">
        <v>0</v>
      </c>
      <c r="H146" s="28">
        <f t="shared" si="11"/>
        <v>0</v>
      </c>
      <c r="I146">
        <f t="shared" si="12"/>
        <v>0</v>
      </c>
      <c r="J146">
        <f t="shared" si="13"/>
        <v>0</v>
      </c>
      <c r="K146" s="38">
        <f t="shared" si="14"/>
        <v>0</v>
      </c>
      <c r="M146" s="9">
        <v>12322430</v>
      </c>
      <c r="N146" s="14">
        <v>0</v>
      </c>
    </row>
  </sheetData>
  <autoFilter ref="A1:K146" xr:uid="{F42E2FEA-7579-4105-BB5C-707DD11104C2}"/>
  <conditionalFormatting sqref="D1">
    <cfRule type="containsText" dxfId="1" priority="5" operator="containsText" text="Outlet Telco">
      <formula>NOT(ISERROR(SEARCH("Outlet Telco",D1)))</formula>
    </cfRule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BIO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2026-07-25T04:33:12Z</dcterms:modified>
</cp:coreProperties>
</file>
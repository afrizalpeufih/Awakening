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MN\Documents\Projek\Projectg\AWAKENING\"/>
    </mc:Choice>
  </mc:AlternateContent>
  <xr:revisionPtr revIDLastSave="0" documentId="13_ncr:1_{DB7FA14D-8A7A-4C38-B985-C7CE7359E168}" xr6:coauthVersionLast="47" xr6:coauthVersionMax="47" xr10:uidLastSave="{00000000-0000-0000-0000-000000000000}"/>
  <bookViews>
    <workbookView xWindow="-120" yWindow="240" windowWidth="29040" windowHeight="16080" activeTab="5" xr2:uid="{B793076F-8D73-466D-B30A-FF91CE4E6F62}"/>
  </bookViews>
  <sheets>
    <sheet name="DATA" sheetId="1" r:id="rId1"/>
    <sheet name="TARGET" sheetId="5" r:id="rId2"/>
    <sheet name="BIO" sheetId="4" r:id="rId3"/>
    <sheet name="MTD OSA | 3GB" sheetId="7" r:id="rId4"/>
    <sheet name="LMTD OSA | 3GB" sheetId="3" r:id="rId5"/>
    <sheet name="BIO WAHYU" sheetId="8" r:id="rId6"/>
  </sheets>
  <definedNames>
    <definedName name="_xlnm._FilterDatabase" localSheetId="5" hidden="1">'BIO WAHYU'!$A$1:$K$146</definedName>
    <definedName name="_xlnm._FilterDatabase" localSheetId="0" hidden="1">DATA!$B$1:$M$146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8" l="1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2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2" i="8"/>
  <c r="K2" i="8" l="1"/>
  <c r="H146" i="8" l="1"/>
  <c r="D146" i="8"/>
  <c r="H145" i="8"/>
  <c r="D145" i="8"/>
  <c r="H144" i="8"/>
  <c r="D144" i="8"/>
  <c r="H143" i="8"/>
  <c r="D143" i="8"/>
  <c r="H142" i="8"/>
  <c r="D142" i="8"/>
  <c r="H141" i="8"/>
  <c r="D141" i="8"/>
  <c r="H140" i="8"/>
  <c r="D140" i="8"/>
  <c r="H139" i="8"/>
  <c r="D139" i="8"/>
  <c r="H138" i="8"/>
  <c r="D138" i="8"/>
  <c r="H137" i="8"/>
  <c r="D137" i="8"/>
  <c r="H136" i="8"/>
  <c r="D136" i="8"/>
  <c r="H135" i="8"/>
  <c r="D135" i="8"/>
  <c r="H134" i="8"/>
  <c r="D134" i="8"/>
  <c r="H133" i="8"/>
  <c r="D133" i="8"/>
  <c r="H132" i="8"/>
  <c r="D132" i="8"/>
  <c r="H131" i="8"/>
  <c r="D131" i="8"/>
  <c r="H130" i="8"/>
  <c r="D130" i="8"/>
  <c r="H129" i="8"/>
  <c r="D129" i="8"/>
  <c r="H128" i="8"/>
  <c r="D128" i="8"/>
  <c r="H127" i="8"/>
  <c r="D127" i="8"/>
  <c r="H126" i="8"/>
  <c r="D126" i="8"/>
  <c r="H125" i="8"/>
  <c r="D125" i="8"/>
  <c r="H124" i="8"/>
  <c r="D124" i="8"/>
  <c r="H123" i="8"/>
  <c r="D123" i="8"/>
  <c r="H122" i="8"/>
  <c r="D122" i="8"/>
  <c r="H121" i="8"/>
  <c r="D121" i="8"/>
  <c r="H120" i="8"/>
  <c r="D120" i="8"/>
  <c r="H119" i="8"/>
  <c r="D119" i="8"/>
  <c r="H118" i="8"/>
  <c r="D118" i="8"/>
  <c r="H117" i="8"/>
  <c r="D117" i="8"/>
  <c r="H116" i="8"/>
  <c r="D116" i="8"/>
  <c r="H115" i="8"/>
  <c r="D115" i="8"/>
  <c r="H114" i="8"/>
  <c r="D114" i="8"/>
  <c r="H113" i="8"/>
  <c r="D113" i="8"/>
  <c r="H112" i="8"/>
  <c r="D112" i="8"/>
  <c r="H111" i="8"/>
  <c r="D111" i="8"/>
  <c r="H110" i="8"/>
  <c r="D110" i="8"/>
  <c r="H109" i="8"/>
  <c r="D109" i="8"/>
  <c r="H108" i="8"/>
  <c r="D108" i="8"/>
  <c r="H107" i="8"/>
  <c r="D107" i="8"/>
  <c r="H106" i="8"/>
  <c r="D106" i="8"/>
  <c r="H105" i="8"/>
  <c r="D105" i="8"/>
  <c r="H104" i="8"/>
  <c r="D104" i="8"/>
  <c r="H103" i="8"/>
  <c r="D103" i="8"/>
  <c r="H102" i="8"/>
  <c r="D102" i="8"/>
  <c r="H101" i="8"/>
  <c r="D101" i="8"/>
  <c r="H100" i="8"/>
  <c r="D100" i="8"/>
  <c r="H99" i="8"/>
  <c r="D99" i="8"/>
  <c r="H98" i="8"/>
  <c r="D98" i="8"/>
  <c r="H97" i="8"/>
  <c r="D97" i="8"/>
  <c r="H96" i="8"/>
  <c r="D96" i="8"/>
  <c r="H95" i="8"/>
  <c r="D95" i="8"/>
  <c r="H94" i="8"/>
  <c r="D94" i="8"/>
  <c r="H93" i="8"/>
  <c r="D93" i="8"/>
  <c r="H92" i="8"/>
  <c r="D92" i="8"/>
  <c r="H91" i="8"/>
  <c r="D91" i="8"/>
  <c r="H90" i="8"/>
  <c r="D90" i="8"/>
  <c r="H89" i="8"/>
  <c r="D89" i="8"/>
  <c r="H88" i="8"/>
  <c r="D88" i="8"/>
  <c r="H87" i="8"/>
  <c r="D87" i="8"/>
  <c r="H86" i="8"/>
  <c r="D86" i="8"/>
  <c r="H85" i="8"/>
  <c r="D85" i="8"/>
  <c r="H84" i="8"/>
  <c r="D84" i="8"/>
  <c r="H83" i="8"/>
  <c r="D83" i="8"/>
  <c r="H82" i="8"/>
  <c r="D82" i="8"/>
  <c r="H81" i="8"/>
  <c r="D81" i="8"/>
  <c r="H80" i="8"/>
  <c r="D80" i="8"/>
  <c r="H79" i="8"/>
  <c r="D79" i="8"/>
  <c r="H78" i="8"/>
  <c r="D78" i="8"/>
  <c r="H77" i="8"/>
  <c r="D77" i="8"/>
  <c r="H76" i="8"/>
  <c r="D76" i="8"/>
  <c r="H75" i="8"/>
  <c r="D75" i="8"/>
  <c r="H74" i="8"/>
  <c r="D74" i="8"/>
  <c r="H73" i="8"/>
  <c r="D73" i="8"/>
  <c r="H72" i="8"/>
  <c r="D72" i="8"/>
  <c r="H71" i="8"/>
  <c r="D71" i="8"/>
  <c r="H70" i="8"/>
  <c r="D70" i="8"/>
  <c r="H69" i="8"/>
  <c r="D69" i="8"/>
  <c r="H68" i="8"/>
  <c r="D68" i="8"/>
  <c r="H67" i="8"/>
  <c r="D67" i="8"/>
  <c r="H66" i="8"/>
  <c r="D66" i="8"/>
  <c r="H65" i="8"/>
  <c r="D65" i="8"/>
  <c r="H64" i="8"/>
  <c r="D64" i="8"/>
  <c r="H63" i="8"/>
  <c r="D63" i="8"/>
  <c r="H62" i="8"/>
  <c r="D62" i="8"/>
  <c r="H61" i="8"/>
  <c r="D61" i="8"/>
  <c r="H60" i="8"/>
  <c r="D60" i="8"/>
  <c r="H59" i="8"/>
  <c r="D59" i="8"/>
  <c r="H58" i="8"/>
  <c r="D58" i="8"/>
  <c r="H57" i="8"/>
  <c r="D57" i="8"/>
  <c r="H56" i="8"/>
  <c r="D56" i="8"/>
  <c r="H55" i="8"/>
  <c r="D55" i="8"/>
  <c r="H54" i="8"/>
  <c r="D54" i="8"/>
  <c r="H53" i="8"/>
  <c r="D53" i="8"/>
  <c r="H52" i="8"/>
  <c r="D52" i="8"/>
  <c r="H51" i="8"/>
  <c r="D51" i="8"/>
  <c r="H50" i="8"/>
  <c r="D50" i="8"/>
  <c r="H49" i="8"/>
  <c r="D49" i="8"/>
  <c r="H48" i="8"/>
  <c r="D48" i="8"/>
  <c r="H47" i="8"/>
  <c r="D47" i="8"/>
  <c r="H46" i="8"/>
  <c r="D46" i="8"/>
  <c r="H45" i="8"/>
  <c r="D45" i="8"/>
  <c r="H44" i="8"/>
  <c r="D44" i="8"/>
  <c r="H43" i="8"/>
  <c r="D43" i="8"/>
  <c r="H42" i="8"/>
  <c r="D42" i="8"/>
  <c r="H41" i="8"/>
  <c r="D41" i="8"/>
  <c r="H40" i="8"/>
  <c r="D40" i="8"/>
  <c r="H39" i="8"/>
  <c r="D39" i="8"/>
  <c r="H38" i="8"/>
  <c r="D38" i="8"/>
  <c r="H37" i="8"/>
  <c r="D37" i="8"/>
  <c r="H36" i="8"/>
  <c r="D36" i="8"/>
  <c r="H35" i="8"/>
  <c r="D35" i="8"/>
  <c r="H34" i="8"/>
  <c r="D34" i="8"/>
  <c r="H33" i="8"/>
  <c r="D33" i="8"/>
  <c r="H32" i="8"/>
  <c r="D32" i="8"/>
  <c r="H31" i="8"/>
  <c r="D31" i="8"/>
  <c r="H30" i="8"/>
  <c r="D30" i="8"/>
  <c r="H29" i="8"/>
  <c r="D29" i="8"/>
  <c r="H28" i="8"/>
  <c r="D28" i="8"/>
  <c r="H27" i="8"/>
  <c r="D27" i="8"/>
  <c r="H26" i="8"/>
  <c r="D26" i="8"/>
  <c r="H25" i="8"/>
  <c r="D25" i="8"/>
  <c r="H24" i="8"/>
  <c r="D24" i="8"/>
  <c r="H23" i="8"/>
  <c r="D23" i="8"/>
  <c r="H22" i="8"/>
  <c r="D22" i="8"/>
  <c r="H21" i="8"/>
  <c r="D21" i="8"/>
  <c r="H20" i="8"/>
  <c r="D20" i="8"/>
  <c r="H19" i="8"/>
  <c r="D19" i="8"/>
  <c r="H18" i="8"/>
  <c r="D18" i="8"/>
  <c r="H17" i="8"/>
  <c r="D17" i="8"/>
  <c r="H16" i="8"/>
  <c r="D16" i="8"/>
  <c r="H15" i="8"/>
  <c r="D15" i="8"/>
  <c r="H14" i="8"/>
  <c r="D14" i="8"/>
  <c r="H13" i="8"/>
  <c r="D13" i="8"/>
  <c r="H12" i="8"/>
  <c r="D12" i="8"/>
  <c r="H11" i="8"/>
  <c r="D11" i="8"/>
  <c r="H10" i="8"/>
  <c r="D10" i="8"/>
  <c r="H9" i="8"/>
  <c r="D9" i="8"/>
  <c r="H8" i="8"/>
  <c r="D8" i="8"/>
  <c r="H7" i="8"/>
  <c r="D7" i="8"/>
  <c r="H6" i="8"/>
  <c r="D6" i="8"/>
  <c r="H5" i="8"/>
  <c r="D5" i="8"/>
  <c r="H4" i="8"/>
  <c r="D4" i="8"/>
  <c r="H3" i="8"/>
  <c r="D3" i="8"/>
  <c r="H2" i="8"/>
  <c r="D2" i="8"/>
  <c r="I25" i="8" l="1"/>
  <c r="I13" i="8"/>
  <c r="I23" i="8"/>
  <c r="I11" i="8"/>
  <c r="I21" i="8"/>
  <c r="I9" i="8"/>
  <c r="I31" i="8"/>
  <c r="I19" i="8"/>
  <c r="I7" i="8"/>
  <c r="I29" i="8"/>
  <c r="I17" i="8"/>
  <c r="I5" i="8"/>
  <c r="I27" i="8"/>
  <c r="I15" i="8"/>
  <c r="I3" i="8"/>
  <c r="I139" i="8"/>
  <c r="K139" i="8"/>
  <c r="I127" i="8"/>
  <c r="K127" i="8"/>
  <c r="I115" i="8"/>
  <c r="K115" i="8"/>
  <c r="I103" i="8"/>
  <c r="K103" i="8"/>
  <c r="I91" i="8"/>
  <c r="K91" i="8"/>
  <c r="I79" i="8"/>
  <c r="K79" i="8"/>
  <c r="I67" i="8"/>
  <c r="K67" i="8"/>
  <c r="I55" i="8"/>
  <c r="K55" i="8"/>
  <c r="I43" i="8"/>
  <c r="K43" i="8"/>
  <c r="I138" i="8"/>
  <c r="K138" i="8"/>
  <c r="I126" i="8"/>
  <c r="K126" i="8"/>
  <c r="I114" i="8"/>
  <c r="K114" i="8"/>
  <c r="I102" i="8"/>
  <c r="K102" i="8"/>
  <c r="I90" i="8"/>
  <c r="K90" i="8"/>
  <c r="I78" i="8"/>
  <c r="K78" i="8"/>
  <c r="I66" i="8"/>
  <c r="K66" i="8"/>
  <c r="I54" i="8"/>
  <c r="K54" i="8"/>
  <c r="I42" i="8"/>
  <c r="K42" i="8"/>
  <c r="I137" i="8"/>
  <c r="K137" i="8"/>
  <c r="I125" i="8"/>
  <c r="K125" i="8"/>
  <c r="I113" i="8"/>
  <c r="K113" i="8"/>
  <c r="I101" i="8"/>
  <c r="K101" i="8"/>
  <c r="I89" i="8"/>
  <c r="K89" i="8"/>
  <c r="I77" i="8"/>
  <c r="K77" i="8"/>
  <c r="I65" i="8"/>
  <c r="K65" i="8"/>
  <c r="I53" i="8"/>
  <c r="K53" i="8"/>
  <c r="I41" i="8"/>
  <c r="K41" i="8"/>
  <c r="I136" i="8"/>
  <c r="K136" i="8"/>
  <c r="I124" i="8"/>
  <c r="K124" i="8"/>
  <c r="I112" i="8"/>
  <c r="K112" i="8"/>
  <c r="I100" i="8"/>
  <c r="K100" i="8"/>
  <c r="I88" i="8"/>
  <c r="K88" i="8"/>
  <c r="I76" i="8"/>
  <c r="K76" i="8"/>
  <c r="I64" i="8"/>
  <c r="K64" i="8"/>
  <c r="I52" i="8"/>
  <c r="K52" i="8"/>
  <c r="I40" i="8"/>
  <c r="K40" i="8"/>
  <c r="I30" i="8"/>
  <c r="K30" i="8"/>
  <c r="I24" i="8"/>
  <c r="K24" i="8"/>
  <c r="I18" i="8"/>
  <c r="K18" i="8"/>
  <c r="I12" i="8"/>
  <c r="K12" i="8"/>
  <c r="I6" i="8"/>
  <c r="K6" i="8"/>
  <c r="I135" i="8"/>
  <c r="K135" i="8"/>
  <c r="I123" i="8"/>
  <c r="K123" i="8"/>
  <c r="I111" i="8"/>
  <c r="K111" i="8"/>
  <c r="I99" i="8"/>
  <c r="K99" i="8"/>
  <c r="I87" i="8"/>
  <c r="K87" i="8"/>
  <c r="I75" i="8"/>
  <c r="K75" i="8"/>
  <c r="I63" i="8"/>
  <c r="K63" i="8"/>
  <c r="I51" i="8"/>
  <c r="K51" i="8"/>
  <c r="I39" i="8"/>
  <c r="K39" i="8"/>
  <c r="I146" i="8"/>
  <c r="K146" i="8"/>
  <c r="I134" i="8"/>
  <c r="K134" i="8"/>
  <c r="I122" i="8"/>
  <c r="K122" i="8"/>
  <c r="I110" i="8"/>
  <c r="K110" i="8"/>
  <c r="I98" i="8"/>
  <c r="K98" i="8"/>
  <c r="I86" i="8"/>
  <c r="K86" i="8"/>
  <c r="I74" i="8"/>
  <c r="K74" i="8"/>
  <c r="I62" i="8"/>
  <c r="K62" i="8"/>
  <c r="I50" i="8"/>
  <c r="K50" i="8"/>
  <c r="I38" i="8"/>
  <c r="K38" i="8"/>
  <c r="I145" i="8"/>
  <c r="K145" i="8"/>
  <c r="I133" i="8"/>
  <c r="K133" i="8"/>
  <c r="I121" i="8"/>
  <c r="K121" i="8"/>
  <c r="I109" i="8"/>
  <c r="K109" i="8"/>
  <c r="I97" i="8"/>
  <c r="K97" i="8"/>
  <c r="I85" i="8"/>
  <c r="K85" i="8"/>
  <c r="I73" i="8"/>
  <c r="K73" i="8"/>
  <c r="I61" i="8"/>
  <c r="K61" i="8"/>
  <c r="I49" i="8"/>
  <c r="K49" i="8"/>
  <c r="I37" i="8"/>
  <c r="K37" i="8"/>
  <c r="I144" i="8"/>
  <c r="K144" i="8"/>
  <c r="I132" i="8"/>
  <c r="K132" i="8"/>
  <c r="I120" i="8"/>
  <c r="K120" i="8"/>
  <c r="I108" i="8"/>
  <c r="K108" i="8"/>
  <c r="I96" i="8"/>
  <c r="K96" i="8"/>
  <c r="I84" i="8"/>
  <c r="K84" i="8"/>
  <c r="I72" i="8"/>
  <c r="K72" i="8"/>
  <c r="I60" i="8"/>
  <c r="K60" i="8"/>
  <c r="I48" i="8"/>
  <c r="K48" i="8"/>
  <c r="I36" i="8"/>
  <c r="K36" i="8"/>
  <c r="I28" i="8"/>
  <c r="K28" i="8"/>
  <c r="I22" i="8"/>
  <c r="K22" i="8"/>
  <c r="I16" i="8"/>
  <c r="K16" i="8"/>
  <c r="I10" i="8"/>
  <c r="K10" i="8"/>
  <c r="I4" i="8"/>
  <c r="K4" i="8"/>
  <c r="I143" i="8"/>
  <c r="K143" i="8"/>
  <c r="I131" i="8"/>
  <c r="K131" i="8"/>
  <c r="I119" i="8"/>
  <c r="K119" i="8"/>
  <c r="I107" i="8"/>
  <c r="K107" i="8"/>
  <c r="I95" i="8"/>
  <c r="K95" i="8"/>
  <c r="I83" i="8"/>
  <c r="K83" i="8"/>
  <c r="I71" i="8"/>
  <c r="K71" i="8"/>
  <c r="I59" i="8"/>
  <c r="K59" i="8"/>
  <c r="I47" i="8"/>
  <c r="K47" i="8"/>
  <c r="I35" i="8"/>
  <c r="K35" i="8"/>
  <c r="I142" i="8"/>
  <c r="K142" i="8"/>
  <c r="I130" i="8"/>
  <c r="K130" i="8"/>
  <c r="I118" i="8"/>
  <c r="K118" i="8"/>
  <c r="I106" i="8"/>
  <c r="K106" i="8"/>
  <c r="I94" i="8"/>
  <c r="K94" i="8"/>
  <c r="I82" i="8"/>
  <c r="K82" i="8"/>
  <c r="I70" i="8"/>
  <c r="K70" i="8"/>
  <c r="I58" i="8"/>
  <c r="K58" i="8"/>
  <c r="I46" i="8"/>
  <c r="K46" i="8"/>
  <c r="I34" i="8"/>
  <c r="K34" i="8"/>
  <c r="I141" i="8"/>
  <c r="K141" i="8"/>
  <c r="I129" i="8"/>
  <c r="K129" i="8"/>
  <c r="I117" i="8"/>
  <c r="K117" i="8"/>
  <c r="I105" i="8"/>
  <c r="K105" i="8"/>
  <c r="I93" i="8"/>
  <c r="K93" i="8"/>
  <c r="I81" i="8"/>
  <c r="K81" i="8"/>
  <c r="I69" i="8"/>
  <c r="K69" i="8"/>
  <c r="I57" i="8"/>
  <c r="K57" i="8"/>
  <c r="I45" i="8"/>
  <c r="K45" i="8"/>
  <c r="I33" i="8"/>
  <c r="K33" i="8"/>
  <c r="I140" i="8"/>
  <c r="K140" i="8"/>
  <c r="I128" i="8"/>
  <c r="K128" i="8"/>
  <c r="I116" i="8"/>
  <c r="K116" i="8"/>
  <c r="I104" i="8"/>
  <c r="K104" i="8"/>
  <c r="I92" i="8"/>
  <c r="K92" i="8"/>
  <c r="I80" i="8"/>
  <c r="K80" i="8"/>
  <c r="I68" i="8"/>
  <c r="K68" i="8"/>
  <c r="I56" i="8"/>
  <c r="K56" i="8"/>
  <c r="I44" i="8"/>
  <c r="K44" i="8"/>
  <c r="I32" i="8"/>
  <c r="K32" i="8"/>
  <c r="I26" i="8"/>
  <c r="K26" i="8"/>
  <c r="I20" i="8"/>
  <c r="K20" i="8"/>
  <c r="I14" i="8"/>
  <c r="K14" i="8"/>
  <c r="I8" i="8"/>
  <c r="K8" i="8"/>
  <c r="I2" i="8"/>
  <c r="K31" i="8"/>
  <c r="K29" i="8"/>
  <c r="K27" i="8"/>
  <c r="K25" i="8"/>
  <c r="K23" i="8"/>
  <c r="K21" i="8"/>
  <c r="K19" i="8"/>
  <c r="K17" i="8"/>
  <c r="K15" i="8"/>
  <c r="K13" i="8"/>
  <c r="K11" i="8"/>
  <c r="K9" i="8"/>
  <c r="K7" i="8"/>
  <c r="K5" i="8"/>
  <c r="K3" i="8"/>
  <c r="B37" i="4" l="1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2" i="4"/>
  <c r="K130" i="1" l="1"/>
  <c r="K54" i="1"/>
  <c r="K106" i="1"/>
  <c r="K138" i="1"/>
  <c r="K126" i="1"/>
  <c r="K88" i="1"/>
  <c r="K58" i="1"/>
  <c r="K36" i="1"/>
  <c r="K117" i="1"/>
  <c r="K44" i="1"/>
  <c r="K127" i="1"/>
  <c r="K47" i="1"/>
  <c r="K67" i="1"/>
  <c r="K64" i="1"/>
  <c r="K92" i="1"/>
  <c r="K4" i="1"/>
  <c r="K60" i="1"/>
  <c r="K49" i="1"/>
  <c r="K140" i="1"/>
  <c r="K34" i="1"/>
  <c r="K33" i="1"/>
  <c r="K35" i="1"/>
  <c r="K52" i="1"/>
  <c r="K80" i="1"/>
  <c r="K72" i="1"/>
  <c r="K120" i="1"/>
  <c r="K136" i="1"/>
  <c r="K128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2" i="1"/>
  <c r="C3" i="4"/>
  <c r="J105" i="1" s="1"/>
  <c r="C4" i="4"/>
  <c r="J70" i="1" s="1"/>
  <c r="C5" i="4"/>
  <c r="J101" i="1" s="1"/>
  <c r="C6" i="4"/>
  <c r="J98" i="1" s="1"/>
  <c r="C7" i="4"/>
  <c r="J130" i="1" s="1"/>
  <c r="C8" i="4"/>
  <c r="J54" i="1" s="1"/>
  <c r="C9" i="4"/>
  <c r="J74" i="1" s="1"/>
  <c r="C10" i="4"/>
  <c r="J39" i="1" s="1"/>
  <c r="C11" i="4"/>
  <c r="J143" i="1" s="1"/>
  <c r="C12" i="4"/>
  <c r="J125" i="1" s="1"/>
  <c r="C13" i="4"/>
  <c r="J141" i="1" s="1"/>
  <c r="C14" i="4"/>
  <c r="J11" i="1" s="1"/>
  <c r="C15" i="4"/>
  <c r="J32" i="1" s="1"/>
  <c r="C16" i="4"/>
  <c r="J27" i="1" s="1"/>
  <c r="C17" i="4"/>
  <c r="J14" i="1" s="1"/>
  <c r="C18" i="4"/>
  <c r="J65" i="1" s="1"/>
  <c r="C19" i="4"/>
  <c r="J106" i="1" s="1"/>
  <c r="C20" i="4"/>
  <c r="J138" i="1" s="1"/>
  <c r="C21" i="4"/>
  <c r="J53" i="1" s="1"/>
  <c r="C22" i="4"/>
  <c r="J126" i="1" s="1"/>
  <c r="C23" i="4"/>
  <c r="J131" i="1" s="1"/>
  <c r="C24" i="4"/>
  <c r="J50" i="1" s="1"/>
  <c r="C25" i="4"/>
  <c r="J96" i="1" s="1"/>
  <c r="C26" i="4"/>
  <c r="J59" i="1" s="1"/>
  <c r="C27" i="4"/>
  <c r="J84" i="1" s="1"/>
  <c r="C28" i="4"/>
  <c r="J87" i="1" s="1"/>
  <c r="C29" i="4"/>
  <c r="J107" i="1" s="1"/>
  <c r="C30" i="4"/>
  <c r="J15" i="1" s="1"/>
  <c r="C31" i="4"/>
  <c r="J88" i="1" s="1"/>
  <c r="C32" i="4"/>
  <c r="J58" i="1" s="1"/>
  <c r="C33" i="4"/>
  <c r="J81" i="1" s="1"/>
  <c r="C34" i="4"/>
  <c r="J36" i="1" s="1"/>
  <c r="C35" i="4"/>
  <c r="J129" i="1" s="1"/>
  <c r="C36" i="4"/>
  <c r="J132" i="1" s="1"/>
  <c r="C37" i="4"/>
  <c r="J2" i="1" s="1"/>
  <c r="C38" i="4"/>
  <c r="J17" i="1" s="1"/>
  <c r="C39" i="4"/>
  <c r="J78" i="1" s="1"/>
  <c r="C40" i="4"/>
  <c r="J112" i="1" s="1"/>
  <c r="C41" i="4"/>
  <c r="J45" i="1" s="1"/>
  <c r="C42" i="4"/>
  <c r="J28" i="1" s="1"/>
  <c r="C43" i="4"/>
  <c r="J3" i="1" s="1"/>
  <c r="C44" i="4"/>
  <c r="J77" i="1" s="1"/>
  <c r="C45" i="4"/>
  <c r="J76" i="1" s="1"/>
  <c r="C46" i="4"/>
  <c r="J38" i="1" s="1"/>
  <c r="C47" i="4"/>
  <c r="J9" i="1" s="1"/>
  <c r="C48" i="4"/>
  <c r="J19" i="1" s="1"/>
  <c r="C49" i="4"/>
  <c r="J68" i="1" s="1"/>
  <c r="C50" i="4"/>
  <c r="J137" i="1" s="1"/>
  <c r="C51" i="4"/>
  <c r="J63" i="1" s="1"/>
  <c r="C52" i="4"/>
  <c r="J42" i="1" s="1"/>
  <c r="C53" i="4"/>
  <c r="J46" i="1" s="1"/>
  <c r="C54" i="4"/>
  <c r="J48" i="1" s="1"/>
  <c r="C55" i="4"/>
  <c r="J117" i="1" s="1"/>
  <c r="C56" i="4"/>
  <c r="J44" i="1" s="1"/>
  <c r="C57" i="4"/>
  <c r="J37" i="1" s="1"/>
  <c r="C58" i="4"/>
  <c r="J135" i="1" s="1"/>
  <c r="C59" i="4"/>
  <c r="J8" i="1" s="1"/>
  <c r="C60" i="4"/>
  <c r="J26" i="1" s="1"/>
  <c r="C61" i="4"/>
  <c r="J16" i="1" s="1"/>
  <c r="C62" i="4"/>
  <c r="J29" i="1" s="1"/>
  <c r="C63" i="4"/>
  <c r="J104" i="1" s="1"/>
  <c r="C64" i="4"/>
  <c r="J109" i="1" s="1"/>
  <c r="C65" i="4"/>
  <c r="J13" i="1" s="1"/>
  <c r="C66" i="4"/>
  <c r="J119" i="1" s="1"/>
  <c r="C67" i="4"/>
  <c r="J127" i="1" s="1"/>
  <c r="C68" i="4"/>
  <c r="J113" i="1" s="1"/>
  <c r="C69" i="4"/>
  <c r="J57" i="1" s="1"/>
  <c r="C70" i="4"/>
  <c r="J47" i="1" s="1"/>
  <c r="C71" i="4"/>
  <c r="J66" i="1" s="1"/>
  <c r="C72" i="4"/>
  <c r="J144" i="1" s="1"/>
  <c r="C73" i="4"/>
  <c r="J145" i="1" s="1"/>
  <c r="C74" i="4"/>
  <c r="J90" i="1" s="1"/>
  <c r="C75" i="4"/>
  <c r="J5" i="1" s="1"/>
  <c r="C76" i="4"/>
  <c r="J56" i="1" s="1"/>
  <c r="C77" i="4"/>
  <c r="J103" i="1" s="1"/>
  <c r="C78" i="4"/>
  <c r="J30" i="1" s="1"/>
  <c r="C79" i="4"/>
  <c r="J41" i="1" s="1"/>
  <c r="C80" i="4"/>
  <c r="J67" i="1" s="1"/>
  <c r="C81" i="4"/>
  <c r="J62" i="1" s="1"/>
  <c r="C82" i="4"/>
  <c r="J64" i="1" s="1"/>
  <c r="C83" i="4"/>
  <c r="J118" i="1" s="1"/>
  <c r="C84" i="4"/>
  <c r="J139" i="1" s="1"/>
  <c r="C85" i="4"/>
  <c r="J146" i="1" s="1"/>
  <c r="C86" i="4"/>
  <c r="J21" i="1" s="1"/>
  <c r="C87" i="4"/>
  <c r="J43" i="1" s="1"/>
  <c r="C88" i="4"/>
  <c r="J51" i="1" s="1"/>
  <c r="C89" i="4"/>
  <c r="J108" i="1" s="1"/>
  <c r="C90" i="4"/>
  <c r="J124" i="1" s="1"/>
  <c r="C91" i="4"/>
  <c r="J92" i="1" s="1"/>
  <c r="C92" i="4"/>
  <c r="J4" i="1" s="1"/>
  <c r="C93" i="4"/>
  <c r="J111" i="1" s="1"/>
  <c r="C94" i="4"/>
  <c r="J60" i="1" s="1"/>
  <c r="C95" i="4"/>
  <c r="J91" i="1" s="1"/>
  <c r="C96" i="4"/>
  <c r="J18" i="1" s="1"/>
  <c r="C97" i="4"/>
  <c r="J69" i="1" s="1"/>
  <c r="C98" i="4"/>
  <c r="J55" i="1" s="1"/>
  <c r="C99" i="4"/>
  <c r="J100" i="1" s="1"/>
  <c r="C100" i="4"/>
  <c r="J20" i="1" s="1"/>
  <c r="C101" i="4"/>
  <c r="J89" i="1" s="1"/>
  <c r="C102" i="4"/>
  <c r="J133" i="1" s="1"/>
  <c r="C103" i="4"/>
  <c r="J49" i="1" s="1"/>
  <c r="C104" i="4"/>
  <c r="J140" i="1" s="1"/>
  <c r="C105" i="4"/>
  <c r="J114" i="1" s="1"/>
  <c r="C106" i="4"/>
  <c r="J34" i="1" s="1"/>
  <c r="C107" i="4"/>
  <c r="J94" i="1" s="1"/>
  <c r="C108" i="4"/>
  <c r="J7" i="1" s="1"/>
  <c r="C109" i="4"/>
  <c r="J24" i="1" s="1"/>
  <c r="C110" i="4"/>
  <c r="J121" i="1" s="1"/>
  <c r="C111" i="4"/>
  <c r="J82" i="1" s="1"/>
  <c r="C112" i="4"/>
  <c r="J40" i="1" s="1"/>
  <c r="C113" i="4"/>
  <c r="J25" i="1" s="1"/>
  <c r="C114" i="4"/>
  <c r="J61" i="1" s="1"/>
  <c r="C115" i="4"/>
  <c r="J33" i="1" s="1"/>
  <c r="C116" i="4"/>
  <c r="J35" i="1" s="1"/>
  <c r="C117" i="4"/>
  <c r="J86" i="1" s="1"/>
  <c r="C118" i="4"/>
  <c r="J52" i="1" s="1"/>
  <c r="C119" i="4"/>
  <c r="J97" i="1" s="1"/>
  <c r="C120" i="4"/>
  <c r="J99" i="1" s="1"/>
  <c r="C121" i="4"/>
  <c r="J10" i="1" s="1"/>
  <c r="C122" i="4"/>
  <c r="J6" i="1" s="1"/>
  <c r="C123" i="4"/>
  <c r="J95" i="1" s="1"/>
  <c r="C124" i="4"/>
  <c r="J93" i="1" s="1"/>
  <c r="C125" i="4"/>
  <c r="J110" i="1" s="1"/>
  <c r="C126" i="4"/>
  <c r="J123" i="1" s="1"/>
  <c r="C127" i="4"/>
  <c r="J80" i="1" s="1"/>
  <c r="C128" i="4"/>
  <c r="J72" i="1" s="1"/>
  <c r="C129" i="4"/>
  <c r="J134" i="1" s="1"/>
  <c r="C130" i="4"/>
  <c r="J122" i="1" s="1"/>
  <c r="C131" i="4"/>
  <c r="J142" i="1" s="1"/>
  <c r="C132" i="4"/>
  <c r="J79" i="1" s="1"/>
  <c r="C133" i="4"/>
  <c r="J71" i="1" s="1"/>
  <c r="C134" i="4"/>
  <c r="J23" i="1" s="1"/>
  <c r="C135" i="4"/>
  <c r="J22" i="1" s="1"/>
  <c r="C136" i="4"/>
  <c r="J85" i="1" s="1"/>
  <c r="C137" i="4"/>
  <c r="J73" i="1" s="1"/>
  <c r="C138" i="4"/>
  <c r="J83" i="1" s="1"/>
  <c r="C139" i="4"/>
  <c r="J120" i="1" s="1"/>
  <c r="C140" i="4"/>
  <c r="J136" i="1" s="1"/>
  <c r="C141" i="4"/>
  <c r="J31" i="1" s="1"/>
  <c r="C142" i="4"/>
  <c r="J128" i="1" s="1"/>
  <c r="C143" i="4"/>
  <c r="J115" i="1" s="1"/>
  <c r="C144" i="4"/>
  <c r="J12" i="1" s="1"/>
  <c r="C145" i="4"/>
  <c r="J75" i="1" s="1"/>
  <c r="C146" i="4"/>
  <c r="J102" i="1" s="1"/>
  <c r="C2" i="4"/>
  <c r="J116" i="1" s="1"/>
  <c r="K3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7" i="1"/>
  <c r="K38" i="1"/>
  <c r="K39" i="1"/>
  <c r="K40" i="1"/>
  <c r="K41" i="1"/>
  <c r="K42" i="1"/>
  <c r="K43" i="1"/>
  <c r="K45" i="1"/>
  <c r="K46" i="1"/>
  <c r="K48" i="1"/>
  <c r="K50" i="1"/>
  <c r="K51" i="1"/>
  <c r="K53" i="1"/>
  <c r="K55" i="1"/>
  <c r="K56" i="1"/>
  <c r="K57" i="1"/>
  <c r="K59" i="1"/>
  <c r="K61" i="1"/>
  <c r="K62" i="1"/>
  <c r="K63" i="1"/>
  <c r="K65" i="1"/>
  <c r="K66" i="1"/>
  <c r="K68" i="1"/>
  <c r="K69" i="1"/>
  <c r="K70" i="1"/>
  <c r="K71" i="1"/>
  <c r="K73" i="1"/>
  <c r="K74" i="1"/>
  <c r="K75" i="1"/>
  <c r="K76" i="1"/>
  <c r="K77" i="1"/>
  <c r="K78" i="1"/>
  <c r="K79" i="1"/>
  <c r="K81" i="1"/>
  <c r="K82" i="1"/>
  <c r="K83" i="1"/>
  <c r="K84" i="1"/>
  <c r="K85" i="1"/>
  <c r="K86" i="1"/>
  <c r="K87" i="1"/>
  <c r="K89" i="1"/>
  <c r="K90" i="1"/>
  <c r="K91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7" i="1"/>
  <c r="K108" i="1"/>
  <c r="K109" i="1"/>
  <c r="K110" i="1"/>
  <c r="K111" i="1"/>
  <c r="K112" i="1"/>
  <c r="K113" i="1"/>
  <c r="K114" i="1"/>
  <c r="K115" i="1"/>
  <c r="K116" i="1"/>
  <c r="K118" i="1"/>
  <c r="K119" i="1"/>
  <c r="K121" i="1"/>
  <c r="K122" i="1"/>
  <c r="K123" i="1"/>
  <c r="K124" i="1"/>
  <c r="K125" i="1"/>
  <c r="K129" i="1"/>
  <c r="K131" i="1"/>
  <c r="K132" i="1"/>
  <c r="K133" i="1"/>
  <c r="K134" i="1"/>
  <c r="K135" i="1"/>
  <c r="K137" i="1"/>
  <c r="K139" i="1"/>
  <c r="K141" i="1"/>
  <c r="K142" i="1"/>
  <c r="K143" i="1"/>
  <c r="K144" i="1"/>
  <c r="K145" i="1"/>
  <c r="K146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L87" i="1" l="1"/>
  <c r="L60" i="1"/>
  <c r="L112" i="1"/>
  <c r="L40" i="1"/>
  <c r="L65" i="1"/>
  <c r="L5" i="1"/>
  <c r="L12" i="1"/>
  <c r="L28" i="1"/>
  <c r="L63" i="1"/>
  <c r="L113" i="1"/>
  <c r="L89" i="1"/>
  <c r="L53" i="1"/>
  <c r="L77" i="1"/>
  <c r="L52" i="1"/>
  <c r="L7" i="1"/>
  <c r="L43" i="1"/>
  <c r="L10" i="1"/>
  <c r="L91" i="1"/>
  <c r="L88" i="1"/>
  <c r="L76" i="1"/>
  <c r="L4" i="1"/>
  <c r="L55" i="1"/>
  <c r="L99" i="1"/>
  <c r="L135" i="1"/>
  <c r="L16" i="1"/>
  <c r="L124" i="1"/>
  <c r="L93" i="1"/>
  <c r="L140" i="1"/>
  <c r="L44" i="1"/>
  <c r="L139" i="1"/>
  <c r="L125" i="1"/>
  <c r="L92" i="1"/>
  <c r="L41" i="1"/>
  <c r="L100" i="1"/>
  <c r="L64" i="1"/>
  <c r="L108" i="1"/>
  <c r="L103" i="1"/>
  <c r="L45" i="1"/>
  <c r="L123" i="1"/>
  <c r="L111" i="1"/>
  <c r="L27" i="1"/>
  <c r="L58" i="1"/>
  <c r="L59" i="1"/>
  <c r="L107" i="1"/>
  <c r="L101" i="1"/>
  <c r="L75" i="1"/>
  <c r="L39" i="1"/>
  <c r="L15" i="1"/>
  <c r="L3" i="1"/>
  <c r="L51" i="1"/>
  <c r="L29" i="1"/>
  <c r="L137" i="1"/>
  <c r="L17" i="1"/>
  <c r="L11" i="1"/>
  <c r="L106" i="1"/>
  <c r="L82" i="1"/>
  <c r="L70" i="1"/>
  <c r="L34" i="1"/>
  <c r="L22" i="1"/>
  <c r="L141" i="1"/>
  <c r="L118" i="1"/>
  <c r="L144" i="1"/>
  <c r="L132" i="1"/>
  <c r="L120" i="1"/>
  <c r="L96" i="1"/>
  <c r="L84" i="1"/>
  <c r="L72" i="1"/>
  <c r="L48" i="1"/>
  <c r="L36" i="1"/>
  <c r="L24" i="1"/>
  <c r="L143" i="1"/>
  <c r="L131" i="1"/>
  <c r="L119" i="1"/>
  <c r="L95" i="1"/>
  <c r="L83" i="1"/>
  <c r="L71" i="1"/>
  <c r="L47" i="1"/>
  <c r="L35" i="1"/>
  <c r="L23" i="1"/>
  <c r="L142" i="1"/>
  <c r="L130" i="1"/>
  <c r="L94" i="1"/>
  <c r="L46" i="1"/>
  <c r="L129" i="1"/>
  <c r="L117" i="1"/>
  <c r="L105" i="1"/>
  <c r="L81" i="1"/>
  <c r="L69" i="1"/>
  <c r="L57" i="1"/>
  <c r="L33" i="1"/>
  <c r="L21" i="1"/>
  <c r="L9" i="1"/>
  <c r="L128" i="1"/>
  <c r="L116" i="1"/>
  <c r="L104" i="1"/>
  <c r="L80" i="1"/>
  <c r="L68" i="1"/>
  <c r="L56" i="1"/>
  <c r="L32" i="1"/>
  <c r="L20" i="1"/>
  <c r="L8" i="1"/>
  <c r="L127" i="1"/>
  <c r="L115" i="1"/>
  <c r="L79" i="1"/>
  <c r="L67" i="1"/>
  <c r="L31" i="1"/>
  <c r="L19" i="1"/>
  <c r="L136" i="1"/>
  <c r="L138" i="1"/>
  <c r="L126" i="1"/>
  <c r="L114" i="1"/>
  <c r="L102" i="1"/>
  <c r="L90" i="1"/>
  <c r="L78" i="1"/>
  <c r="L66" i="1"/>
  <c r="L54" i="1"/>
  <c r="L42" i="1"/>
  <c r="L30" i="1"/>
  <c r="L18" i="1"/>
  <c r="L6" i="1"/>
  <c r="L146" i="1"/>
  <c r="L134" i="1"/>
  <c r="L122" i="1"/>
  <c r="L110" i="1"/>
  <c r="L98" i="1"/>
  <c r="L86" i="1"/>
  <c r="L74" i="1"/>
  <c r="L62" i="1"/>
  <c r="L50" i="1"/>
  <c r="L38" i="1"/>
  <c r="L26" i="1"/>
  <c r="L14" i="1"/>
  <c r="L145" i="1"/>
  <c r="L133" i="1"/>
  <c r="L121" i="1"/>
  <c r="L109" i="1"/>
  <c r="L97" i="1"/>
  <c r="L85" i="1"/>
  <c r="L73" i="1"/>
  <c r="L61" i="1"/>
  <c r="L49" i="1"/>
  <c r="L37" i="1"/>
  <c r="L25" i="1"/>
  <c r="L13" i="1"/>
  <c r="F2" i="1" l="1"/>
  <c r="I2" i="1"/>
  <c r="D89" i="4" l="1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2" i="4"/>
  <c r="L2" i="1" l="1"/>
  <c r="G2" i="1"/>
</calcChain>
</file>

<file path=xl/sharedStrings.xml><?xml version="1.0" encoding="utf-8"?>
<sst xmlns="http://schemas.openxmlformats.org/spreadsheetml/2006/main" count="1119" uniqueCount="213">
  <si>
    <t>TS_NAME</t>
  </si>
  <si>
    <t>CS NORTH MINAHASA</t>
  </si>
  <si>
    <t>SE_NAME</t>
  </si>
  <si>
    <t>1-179956096674</t>
  </si>
  <si>
    <t>1-179957288290</t>
  </si>
  <si>
    <t>1-179957290903</t>
  </si>
  <si>
    <t>RETAILER_NAME</t>
  </si>
  <si>
    <t>RETAILER_QR CODE</t>
  </si>
  <si>
    <t>RETAILER_TYPE</t>
  </si>
  <si>
    <t>DIPAN CELL</t>
  </si>
  <si>
    <t>Outlet Regular</t>
  </si>
  <si>
    <t>Juniver cell</t>
  </si>
  <si>
    <t>Ansi cell</t>
  </si>
  <si>
    <t>Qian Qian Cell</t>
  </si>
  <si>
    <t>C2w cell</t>
  </si>
  <si>
    <t>Outlet Non-Telco</t>
  </si>
  <si>
    <t>CGS CELL</t>
  </si>
  <si>
    <t>KLABAT JAYA CELL</t>
  </si>
  <si>
    <t>intan cell</t>
  </si>
  <si>
    <t>JESIKA CELL</t>
  </si>
  <si>
    <t>michael cell</t>
  </si>
  <si>
    <t>Zaini Cell</t>
  </si>
  <si>
    <t>TRIPLE M CELL</t>
  </si>
  <si>
    <t>Doax Cell</t>
  </si>
  <si>
    <t>Johanis Cell</t>
  </si>
  <si>
    <t>RAINBOW CELL</t>
  </si>
  <si>
    <t>Ike CELL</t>
  </si>
  <si>
    <t>KIRAN CELL</t>
  </si>
  <si>
    <t>KJ CELL</t>
  </si>
  <si>
    <t>Outlet KRO</t>
  </si>
  <si>
    <t>AUDREY CELL</t>
  </si>
  <si>
    <t>Acox Pulsa</t>
  </si>
  <si>
    <t>Queen CELL</t>
  </si>
  <si>
    <t>Kios Mba Rati</t>
  </si>
  <si>
    <t>Acox Link</t>
  </si>
  <si>
    <t>def cell</t>
  </si>
  <si>
    <t>joy cell</t>
  </si>
  <si>
    <t>king cell</t>
  </si>
  <si>
    <t>SIGIT CELL</t>
  </si>
  <si>
    <t>cici cell</t>
  </si>
  <si>
    <t>TIARA CELL</t>
  </si>
  <si>
    <t>The The Cell</t>
  </si>
  <si>
    <t>Shield Cell</t>
  </si>
  <si>
    <t>ja cell</t>
  </si>
  <si>
    <t>PUTRI CELL 1</t>
  </si>
  <si>
    <t>jefik cell</t>
  </si>
  <si>
    <t>ANI Cell</t>
  </si>
  <si>
    <t>Nab cell 1</t>
  </si>
  <si>
    <t>Blesing cell</t>
  </si>
  <si>
    <t>FF CELL</t>
  </si>
  <si>
    <t>mj cell</t>
  </si>
  <si>
    <t>Dipan Cell Matungkas</t>
  </si>
  <si>
    <t>CHA CHA CELL MATUNGKAS</t>
  </si>
  <si>
    <t>JMW CELL</t>
  </si>
  <si>
    <t>Fai cell 2</t>
  </si>
  <si>
    <t>ALIBABA CELL</t>
  </si>
  <si>
    <t>DR CELL</t>
  </si>
  <si>
    <t>BERKAT INDAH CELL</t>
  </si>
  <si>
    <t>QALBI  CELL</t>
  </si>
  <si>
    <t>Loni cell</t>
  </si>
  <si>
    <t>BALERINNA CELL</t>
  </si>
  <si>
    <t>KIOS NADYA</t>
  </si>
  <si>
    <t>Dinda Celll</t>
  </si>
  <si>
    <t>Hikma ponsel</t>
  </si>
  <si>
    <t>Mitra A2</t>
  </si>
  <si>
    <t>ALEYA CELL</t>
  </si>
  <si>
    <t>KIOS TASYA</t>
  </si>
  <si>
    <t>tuti cell</t>
  </si>
  <si>
    <t>ABADI CELL</t>
  </si>
  <si>
    <t>Bless Cell</t>
  </si>
  <si>
    <t>Ribby Cell</t>
  </si>
  <si>
    <t>ayu cell</t>
  </si>
  <si>
    <t>PRIMA PONSEL</t>
  </si>
  <si>
    <t>DENTHA CELL</t>
  </si>
  <si>
    <t>keren moren cell</t>
  </si>
  <si>
    <t>KLABAT  CELL</t>
  </si>
  <si>
    <t>Blessed cell</t>
  </si>
  <si>
    <t>KENZIE CELL</t>
  </si>
  <si>
    <t>ONE CELL</t>
  </si>
  <si>
    <t>aurel cell</t>
  </si>
  <si>
    <t>PROMO CELL</t>
  </si>
  <si>
    <t>DINA CELL</t>
  </si>
  <si>
    <t>DZIKRA CELL</t>
  </si>
  <si>
    <t>marques cell</t>
  </si>
  <si>
    <t>Mantari Cell</t>
  </si>
  <si>
    <t>Kuffy Cell</t>
  </si>
  <si>
    <t>Ayang Cell</t>
  </si>
  <si>
    <t>KEENAN CELL</t>
  </si>
  <si>
    <t>NIZMA CELL</t>
  </si>
  <si>
    <t>ZANNA CELL</t>
  </si>
  <si>
    <t>Alchris Cell</t>
  </si>
  <si>
    <t>Kios Saudara 03 Cell</t>
  </si>
  <si>
    <t>Hikmah cell</t>
  </si>
  <si>
    <t>Sweet Cell</t>
  </si>
  <si>
    <t>bellvaido cell</t>
  </si>
  <si>
    <t>Crisilia Cell</t>
  </si>
  <si>
    <t>ARYA CELL</t>
  </si>
  <si>
    <t>PELANGI CELL</t>
  </si>
  <si>
    <t>SH004093</t>
  </si>
  <si>
    <t>QALBI 2 CELL</t>
  </si>
  <si>
    <t>SH007991</t>
  </si>
  <si>
    <t>Yuke Cell</t>
  </si>
  <si>
    <t>SH010548</t>
  </si>
  <si>
    <t>DZIKRA CELL KAUDITAN</t>
  </si>
  <si>
    <t>SH011477</t>
  </si>
  <si>
    <t>Club cell</t>
  </si>
  <si>
    <t>Zall Cell</t>
  </si>
  <si>
    <t>RIO CELL</t>
  </si>
  <si>
    <t>YANI CELL</t>
  </si>
  <si>
    <t>Niks cell</t>
  </si>
  <si>
    <t>Pandi cell</t>
  </si>
  <si>
    <t>BERRY CELL</t>
  </si>
  <si>
    <t>BINTANG CELL</t>
  </si>
  <si>
    <t>DAP CELL</t>
  </si>
  <si>
    <t>Dhivaa cell</t>
  </si>
  <si>
    <t>Ria Cell</t>
  </si>
  <si>
    <t>Mandiri jaya cell</t>
  </si>
  <si>
    <t>ARJUNA CELL</t>
  </si>
  <si>
    <t>ALhafiz cell</t>
  </si>
  <si>
    <t>Purple Cell</t>
  </si>
  <si>
    <t>Tasya cell</t>
  </si>
  <si>
    <t>Jefone cell</t>
  </si>
  <si>
    <t>anugerah cell</t>
  </si>
  <si>
    <t>Atan cell</t>
  </si>
  <si>
    <t>Fred cell</t>
  </si>
  <si>
    <t>NYOMAN CELL</t>
  </si>
  <si>
    <t>gaul cell</t>
  </si>
  <si>
    <t>3 V</t>
  </si>
  <si>
    <t>PRIMA CELL</t>
  </si>
  <si>
    <t>Monalisa Cell</t>
  </si>
  <si>
    <t>Naldy cell</t>
  </si>
  <si>
    <t>COCO CELL</t>
  </si>
  <si>
    <t>denny cell</t>
  </si>
  <si>
    <t>Rey Cell</t>
  </si>
  <si>
    <t>w3 cell</t>
  </si>
  <si>
    <t>zidan cell</t>
  </si>
  <si>
    <t>HAWE Cell</t>
  </si>
  <si>
    <t>Jihan Cell</t>
  </si>
  <si>
    <t>Yunita Cell</t>
  </si>
  <si>
    <t>Eliana Cell</t>
  </si>
  <si>
    <t>PINK CELL</t>
  </si>
  <si>
    <t>INDRA CELL</t>
  </si>
  <si>
    <t>Djeiske cell</t>
  </si>
  <si>
    <t>Bontel Cell</t>
  </si>
  <si>
    <t>ASTER CELL</t>
  </si>
  <si>
    <t>nyox cell</t>
  </si>
  <si>
    <t>hermon cell</t>
  </si>
  <si>
    <t>46 Cell</t>
  </si>
  <si>
    <t>kios honey cell</t>
  </si>
  <si>
    <t>MilanQueen</t>
  </si>
  <si>
    <t>FR3S Cell</t>
  </si>
  <si>
    <t>2 putra</t>
  </si>
  <si>
    <t>carter cell</t>
  </si>
  <si>
    <t>Floria cell</t>
  </si>
  <si>
    <t>CRP Cell</t>
  </si>
  <si>
    <t>KK STORE</t>
  </si>
  <si>
    <t>Prisilia Cell</t>
  </si>
  <si>
    <t>EL333 cell</t>
  </si>
  <si>
    <t>nia cell</t>
  </si>
  <si>
    <t>Asia Jaya Cell</t>
  </si>
  <si>
    <t>SH009121</t>
  </si>
  <si>
    <t>Sellin Sp 3GB</t>
  </si>
  <si>
    <t>OSA KPI</t>
  </si>
  <si>
    <t>Outlet Code</t>
  </si>
  <si>
    <t>Outlet Name</t>
  </si>
  <si>
    <t>SSO Biometric</t>
  </si>
  <si>
    <t>Hit 1.5 Jam Outlet Promotor</t>
  </si>
  <si>
    <t>Baseline</t>
  </si>
  <si>
    <t>July</t>
  </si>
  <si>
    <t>Incremental</t>
  </si>
  <si>
    <t>DSE Code</t>
  </si>
  <si>
    <t>QR</t>
  </si>
  <si>
    <t>Visit 1,5 Jam</t>
  </si>
  <si>
    <t>BIO JULI</t>
  </si>
  <si>
    <t>TARGET OSA JULY</t>
  </si>
  <si>
    <t>Target Sellin SP3GB</t>
  </si>
  <si>
    <t>Sellin SP3GB LMTD</t>
  </si>
  <si>
    <t>OSA KPI LMTD</t>
  </si>
  <si>
    <t>Sellin SP3GB MTD</t>
  </si>
  <si>
    <t>OSA KPI MTD</t>
  </si>
  <si>
    <t>BIO LMTD</t>
  </si>
  <si>
    <t>BIO MTD</t>
  </si>
  <si>
    <t>NAMA</t>
  </si>
  <si>
    <t>Bio JUNI</t>
  </si>
  <si>
    <t>BIO JUNI AMBIL DI WAHYU</t>
  </si>
  <si>
    <t>Target INCREMENTAL</t>
  </si>
  <si>
    <t>Target VISIT</t>
  </si>
  <si>
    <t>3pcs</t>
  </si>
  <si>
    <t xml:space="preserve">Bio July ambil di </t>
  </si>
  <si>
    <t>Selisih</t>
  </si>
  <si>
    <t>22 juli</t>
  </si>
  <si>
    <t>SH010158</t>
  </si>
  <si>
    <t>SH024480</t>
  </si>
  <si>
    <t>SH010918</t>
  </si>
  <si>
    <t>SH003008</t>
  </si>
  <si>
    <t>SH023940</t>
  </si>
  <si>
    <t>SH014183</t>
  </si>
  <si>
    <t>SH026610</t>
  </si>
  <si>
    <t>SH002860</t>
  </si>
  <si>
    <t>SH024821</t>
  </si>
  <si>
    <t>SH008176</t>
  </si>
  <si>
    <t>SH017659</t>
  </si>
  <si>
    <t>SH016679</t>
  </si>
  <si>
    <t>SH006807</t>
  </si>
  <si>
    <t>SH022501</t>
  </si>
  <si>
    <t>SH026926</t>
  </si>
  <si>
    <t>SH021805</t>
  </si>
  <si>
    <t>SH021484</t>
  </si>
  <si>
    <t>SH025919</t>
  </si>
  <si>
    <t>SH027205</t>
  </si>
  <si>
    <t>SH026434</t>
  </si>
  <si>
    <t>SH006831</t>
  </si>
  <si>
    <t>SH025158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</si>
</sst>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0"/>
      <color rgb="FF000000"/>
      <name val="Arial"/>
      <family val="2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9"/>
      <color rgb="FF000000"/>
      <name val="Arial"/>
      <family val="2"/>
    </font>
    <font>
      <sz val="11"/>
      <color rgb="FF000000"/>
      <name val="Aptos Narrow"/>
      <family val="2"/>
    </font>
    <font>
      <sz val="11"/>
      <color theme="1"/>
      <name val="Aptos Narrow"/>
      <family val="2"/>
      <charset val="1"/>
      <scheme val="minor"/>
    </font>
    <font>
      <sz val="10"/>
      <color theme="1"/>
      <name val="Indosat Regular"/>
    </font>
    <font>
      <b/>
      <sz val="10"/>
      <color theme="0"/>
      <name val="Indosat Regular"/>
    </font>
    <font>
      <b/>
      <sz val="10"/>
      <color theme="1"/>
      <name val="Indosat Regular"/>
    </font>
    <font>
      <b/>
      <sz val="11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04040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595959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A6A6A6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0" fillId="0" borderId="0"/>
  </cellStyleXfs>
  <cellXfs count="46">
    <xf numFmtId="0" fontId="0" fillId="0" borderId="0" xfId="0"/>
    <xf numFmtId="0" fontId="4" fillId="0" borderId="1" xfId="0" applyFont="1" applyBorder="1"/>
    <xf numFmtId="0" fontId="5" fillId="0" borderId="0" xfId="0" applyFont="1"/>
    <xf numFmtId="3" fontId="2" fillId="3" borderId="0" xfId="0" applyNumberFormat="1" applyFont="1" applyFill="1"/>
    <xf numFmtId="3" fontId="5" fillId="0" borderId="0" xfId="0" applyNumberFormat="1" applyFont="1"/>
    <xf numFmtId="0" fontId="3" fillId="4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3" fillId="2" borderId="0" xfId="0" applyNumberFormat="1" applyFont="1" applyFill="1" applyAlignment="1">
      <alignment horizontal="center" vertical="center"/>
    </xf>
    <xf numFmtId="1" fontId="0" fillId="0" borderId="0" xfId="0" applyNumberFormat="1"/>
    <xf numFmtId="164" fontId="4" fillId="0" borderId="0" xfId="1" applyNumberFormat="1" applyFont="1" applyBorder="1"/>
    <xf numFmtId="164" fontId="5" fillId="0" borderId="0" xfId="1" applyNumberFormat="1" applyFont="1"/>
    <xf numFmtId="164" fontId="2" fillId="0" borderId="0" xfId="1" applyNumberFormat="1" applyFont="1" applyFill="1"/>
    <xf numFmtId="0" fontId="0" fillId="0" borderId="0" xfId="0" applyFill="1"/>
    <xf numFmtId="164" fontId="0" fillId="0" borderId="0" xfId="1" applyNumberFormat="1" applyFont="1"/>
    <xf numFmtId="0" fontId="0" fillId="0" borderId="0" xfId="1" applyNumberFormat="1" applyFont="1"/>
    <xf numFmtId="0" fontId="7" fillId="0" borderId="0" xfId="0" applyNumberFormat="1" applyFont="1" applyFill="1"/>
    <xf numFmtId="0" fontId="7" fillId="0" borderId="0" xfId="0" applyNumberFormat="1" applyFont="1" applyFill="1" applyAlignment="1">
      <alignment horizontal="center" vertical="center"/>
    </xf>
    <xf numFmtId="0" fontId="7" fillId="0" borderId="0" xfId="0" applyNumberFormat="1" applyFont="1" applyFill="1" applyAlignment="1">
      <alignment horizontal="center"/>
    </xf>
    <xf numFmtId="0" fontId="7" fillId="0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9" fillId="0" borderId="6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1" fillId="0" borderId="7" xfId="2" applyFont="1" applyBorder="1"/>
    <xf numFmtId="0" fontId="11" fillId="0" borderId="8" xfId="2" applyFont="1" applyBorder="1" applyAlignment="1">
      <alignment horizontal="center" vertical="center"/>
    </xf>
    <xf numFmtId="1" fontId="0" fillId="0" borderId="0" xfId="0" applyNumberFormat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0" fontId="12" fillId="6" borderId="7" xfId="2" applyFont="1" applyFill="1" applyBorder="1" applyAlignment="1">
      <alignment horizontal="center" vertical="center" wrapText="1"/>
    </xf>
    <xf numFmtId="0" fontId="13" fillId="7" borderId="7" xfId="2" applyFont="1" applyFill="1" applyBorder="1" applyAlignment="1">
      <alignment horizontal="center" vertical="center" wrapText="1"/>
    </xf>
    <xf numFmtId="0" fontId="13" fillId="7" borderId="9" xfId="2" applyFont="1" applyFill="1" applyBorder="1" applyAlignment="1">
      <alignment horizontal="center" vertical="center" wrapText="1"/>
    </xf>
    <xf numFmtId="0" fontId="12" fillId="6" borderId="4" xfId="2" applyFont="1" applyFill="1" applyBorder="1" applyAlignment="1">
      <alignment horizontal="center" vertical="center" wrapText="1"/>
    </xf>
    <xf numFmtId="0" fontId="11" fillId="0" borderId="7" xfId="2" applyFont="1" applyBorder="1" applyAlignment="1">
      <alignment horizontal="center" vertical="center"/>
    </xf>
    <xf numFmtId="0" fontId="12" fillId="6" borderId="10" xfId="2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1" fillId="0" borderId="0" xfId="2" applyFont="1" applyFill="1" applyBorder="1" applyAlignment="1">
      <alignment horizontal="center" vertical="center"/>
    </xf>
    <xf numFmtId="3" fontId="0" fillId="0" borderId="0" xfId="0" applyNumberFormat="1"/>
    <xf numFmtId="16" fontId="0" fillId="0" borderId="0" xfId="0" applyNumberFormat="1"/>
    <xf numFmtId="16" fontId="12" fillId="6" borderId="10" xfId="2" applyNumberFormat="1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2" xfId="2" xr:uid="{D5019CC4-02B2-43E1-96DB-4B33F471B016}"/>
  </cellStyles>
  <dxfs count="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F0BB8-1CA9-4379-9049-AB6F95C27E32}">
  <sheetPr codeName="Sheet1"/>
  <dimension ref="A1:M146"/>
  <sheetViews>
    <sheetView topLeftCell="A109" workbookViewId="0">
      <selection activeCell="O123" sqref="O123"/>
    </sheetView>
  </sheetViews>
  <sheetFormatPr defaultRowHeight="15"/>
  <cols>
    <col min="1" max="1" width="21" bestFit="1" customWidth="1"/>
    <col min="2" max="2" width="15.28515625" bestFit="1" customWidth="1"/>
    <col min="3" max="3" width="27.28515625" bestFit="1" customWidth="1"/>
    <col min="4" max="4" width="19.28515625" bestFit="1" customWidth="1"/>
    <col min="5" max="5" width="15" bestFit="1" customWidth="1"/>
    <col min="6" max="6" width="17.7109375" bestFit="1" customWidth="1"/>
    <col min="7" max="7" width="15" customWidth="1"/>
    <col min="8" max="8" width="17.85546875" bestFit="1" customWidth="1"/>
    <col min="9" max="9" width="14.28515625" bestFit="1" customWidth="1"/>
    <col min="10" max="10" width="14.28515625" style="13" customWidth="1"/>
    <col min="11" max="11" width="9.42578125" customWidth="1"/>
    <col min="12" max="12" width="15.42578125" bestFit="1" customWidth="1"/>
    <col min="13" max="13" width="11.85546875" bestFit="1" customWidth="1"/>
  </cols>
  <sheetData>
    <row r="1" spans="1:13">
      <c r="A1" s="16" t="s">
        <v>0</v>
      </c>
      <c r="B1" s="16" t="s">
        <v>2</v>
      </c>
      <c r="C1" s="16" t="s">
        <v>6</v>
      </c>
      <c r="D1" s="17" t="s">
        <v>7</v>
      </c>
      <c r="E1" s="18" t="s">
        <v>8</v>
      </c>
      <c r="F1" s="19" t="s">
        <v>176</v>
      </c>
      <c r="G1" s="19" t="s">
        <v>177</v>
      </c>
      <c r="H1" s="19" t="s">
        <v>178</v>
      </c>
      <c r="I1" s="20" t="s">
        <v>179</v>
      </c>
      <c r="J1" s="21" t="s">
        <v>180</v>
      </c>
      <c r="K1" s="21" t="s">
        <v>181</v>
      </c>
      <c r="L1" s="21" t="s">
        <v>169</v>
      </c>
      <c r="M1" s="21" t="s">
        <v>172</v>
      </c>
    </row>
    <row r="2" spans="1:13">
      <c r="A2" s="1" t="s">
        <v>1</v>
      </c>
      <c r="B2" s="1" t="s">
        <v>3</v>
      </c>
      <c r="C2" s="1" t="s">
        <v>9</v>
      </c>
      <c r="D2" s="7">
        <v>10466</v>
      </c>
      <c r="E2" s="1" t="s">
        <v>10</v>
      </c>
      <c r="F2" s="10">
        <f>_xlfn.IFNA(INDEX('LMTD OSA | 3GB'!A:C,MATCH(DATA!D2,'LMTD OSA | 3GB'!A:A,0),2),0)</f>
        <v>3</v>
      </c>
      <c r="G2" s="10">
        <f>INDEX('LMTD OSA | 3GB'!A:C,MATCH(DATA!D2,'LMTD OSA | 3GB'!A:A,0),3)</f>
        <v>2058000</v>
      </c>
      <c r="H2" s="11">
        <f>INDEX('MTD OSA | 3GB'!B:D,MATCH(DATA!D2,'MTD OSA | 3GB'!B:B,0),2)</f>
        <v>5</v>
      </c>
      <c r="I2" s="12">
        <f>INDEX('MTD OSA | 3GB'!B:D,MATCH(DATA!D2,'MTD OSA | 3GB'!B:B,0),3)</f>
        <v>2265000</v>
      </c>
      <c r="J2" s="12">
        <f>INDEX(BIO!A:E,MATCH(DATA!D2,BIO!A:A,0),3)</f>
        <v>1</v>
      </c>
      <c r="K2" s="14">
        <f>INDEX(BIO!A:E,MATCH(DATA!D2,BIO!A:A,0),2)</f>
        <v>1</v>
      </c>
      <c r="L2" s="15">
        <f>IF(K2-J2&lt;=0,0,K2-J2)</f>
        <v>0</v>
      </c>
      <c r="M2" s="14">
        <f>INDEX('BIO WAHYU'!B:E,MATCH(DATA!D2,'BIO WAHYU'!B:B,0),4)</f>
        <v>1</v>
      </c>
    </row>
    <row r="3" spans="1:13">
      <c r="A3" s="1" t="s">
        <v>1</v>
      </c>
      <c r="B3" s="1" t="s">
        <v>3</v>
      </c>
      <c r="C3" s="1" t="s">
        <v>11</v>
      </c>
      <c r="D3" s="7">
        <v>12295592</v>
      </c>
      <c r="E3" s="1" t="s">
        <v>10</v>
      </c>
      <c r="F3" s="10">
        <f>_xlfn.IFNA(INDEX('LMTD OSA | 3GB'!A:C,MATCH(DATA!D3,'LMTD OSA | 3GB'!A:A,0),2),0)</f>
        <v>60</v>
      </c>
      <c r="G3" s="10">
        <f>INDEX('LMTD OSA | 3GB'!A:C,MATCH(DATA!D3,'LMTD OSA | 3GB'!A:A,0),3)</f>
        <v>8236800</v>
      </c>
      <c r="H3" s="11">
        <f>INDEX('MTD OSA | 3GB'!B:D,MATCH(DATA!D3,'MTD OSA | 3GB'!B:B,0),2)</f>
        <v>11</v>
      </c>
      <c r="I3" s="12">
        <f>INDEX('MTD OSA | 3GB'!B:D,MATCH(DATA!D3,'MTD OSA | 3GB'!B:B,0),3)</f>
        <v>3106000</v>
      </c>
      <c r="J3" s="12">
        <f>INDEX(BIO!A:E,MATCH(DATA!D3,BIO!A:A,0),3)</f>
        <v>1</v>
      </c>
      <c r="K3" s="14">
        <f>INDEX(BIO!A:E,MATCH(DATA!D3,BIO!A:A,0),2)</f>
        <v>11</v>
      </c>
      <c r="L3" s="15">
        <f t="shared" ref="L3:L66" si="0">IF(K3-J3&lt;=0,0,K3-J3)</f>
        <v>10</v>
      </c>
      <c r="M3" s="14">
        <f>INDEX('BIO WAHYU'!B:E,MATCH(DATA!D3,'BIO WAHYU'!B:B,0),4)</f>
        <v>1</v>
      </c>
    </row>
    <row r="4" spans="1:13">
      <c r="A4" s="1" t="s">
        <v>1</v>
      </c>
      <c r="B4" s="1" t="s">
        <v>3</v>
      </c>
      <c r="C4" s="1" t="s">
        <v>12</v>
      </c>
      <c r="D4" s="7">
        <v>12295626</v>
      </c>
      <c r="E4" s="1" t="s">
        <v>10</v>
      </c>
      <c r="F4" s="10">
        <f>_xlfn.IFNA(INDEX('LMTD OSA | 3GB'!A:C,MATCH(DATA!D4,'LMTD OSA | 3GB'!A:A,0),2),0)</f>
        <v>0</v>
      </c>
      <c r="G4" s="10">
        <f>INDEX('LMTD OSA | 3GB'!A:C,MATCH(DATA!D4,'LMTD OSA | 3GB'!A:A,0),3)</f>
        <v>0</v>
      </c>
      <c r="H4" s="11">
        <f>INDEX('MTD OSA | 3GB'!B:D,MATCH(DATA!D4,'MTD OSA | 3GB'!B:B,0),2)</f>
        <v>0</v>
      </c>
      <c r="I4" s="12">
        <f>INDEX('MTD OSA | 3GB'!B:D,MATCH(DATA!D4,'MTD OSA | 3GB'!B:B,0),3)</f>
        <v>1000</v>
      </c>
      <c r="J4" s="12">
        <f>INDEX(BIO!A:E,MATCH(DATA!D4,BIO!A:A,0),3)</f>
        <v>0</v>
      </c>
      <c r="K4" s="14">
        <f>INDEX(BIO!A:E,MATCH(DATA!D4,BIO!A:A,0),2)</f>
        <v>0</v>
      </c>
      <c r="L4" s="15">
        <f t="shared" si="0"/>
        <v>0</v>
      </c>
      <c r="M4" s="14">
        <f>INDEX('BIO WAHYU'!B:E,MATCH(DATA!D4,'BIO WAHYU'!B:B,0),4)</f>
        <v>0</v>
      </c>
    </row>
    <row r="5" spans="1:13">
      <c r="A5" s="1" t="s">
        <v>1</v>
      </c>
      <c r="B5" s="1" t="s">
        <v>3</v>
      </c>
      <c r="C5" s="1" t="s">
        <v>13</v>
      </c>
      <c r="D5" s="7">
        <v>12295724</v>
      </c>
      <c r="E5" s="1" t="s">
        <v>10</v>
      </c>
      <c r="F5" s="10">
        <f>_xlfn.IFNA(INDEX('LMTD OSA | 3GB'!A:C,MATCH(DATA!D5,'LMTD OSA | 3GB'!A:A,0),2),0)</f>
        <v>4</v>
      </c>
      <c r="G5" s="10">
        <f>INDEX('LMTD OSA | 3GB'!A:C,MATCH(DATA!D5,'LMTD OSA | 3GB'!A:A,0),3)</f>
        <v>2700000</v>
      </c>
      <c r="H5" s="11">
        <f>INDEX('MTD OSA | 3GB'!B:D,MATCH(DATA!D5,'MTD OSA | 3GB'!B:B,0),2)</f>
        <v>3</v>
      </c>
      <c r="I5" s="12">
        <f>INDEX('MTD OSA | 3GB'!B:D,MATCH(DATA!D5,'MTD OSA | 3GB'!B:B,0),3)</f>
        <v>50000</v>
      </c>
      <c r="J5" s="12">
        <f>INDEX(BIO!A:E,MATCH(DATA!D5,BIO!A:A,0),3)</f>
        <v>1</v>
      </c>
      <c r="K5" s="14">
        <f>INDEX(BIO!A:E,MATCH(DATA!D5,BIO!A:A,0),2)</f>
        <v>1</v>
      </c>
      <c r="L5" s="15">
        <f t="shared" si="0"/>
        <v>0</v>
      </c>
      <c r="M5" s="14">
        <f>INDEX('BIO WAHYU'!B:E,MATCH(DATA!D5,'BIO WAHYU'!B:B,0),4)</f>
        <v>2</v>
      </c>
    </row>
    <row r="6" spans="1:13">
      <c r="A6" s="1" t="s">
        <v>1</v>
      </c>
      <c r="B6" s="1" t="s">
        <v>3</v>
      </c>
      <c r="C6" s="1" t="s">
        <v>14</v>
      </c>
      <c r="D6" s="7">
        <v>12295752</v>
      </c>
      <c r="E6" s="1" t="s">
        <v>15</v>
      </c>
      <c r="F6" s="10">
        <f>_xlfn.IFNA(INDEX('LMTD OSA | 3GB'!A:C,MATCH(DATA!D6,'LMTD OSA | 3GB'!A:A,0),2),0)</f>
        <v>0</v>
      </c>
      <c r="G6" s="10">
        <f>INDEX('LMTD OSA | 3GB'!A:C,MATCH(DATA!D6,'LMTD OSA | 3GB'!A:A,0),3)</f>
        <v>3000000</v>
      </c>
      <c r="H6" s="11">
        <f>INDEX('MTD OSA | 3GB'!B:D,MATCH(DATA!D6,'MTD OSA | 3GB'!B:B,0),2)</f>
        <v>3</v>
      </c>
      <c r="I6" s="12">
        <f>INDEX('MTD OSA | 3GB'!B:D,MATCH(DATA!D6,'MTD OSA | 3GB'!B:B,0),3)</f>
        <v>369000</v>
      </c>
      <c r="J6" s="12">
        <f>INDEX(BIO!A:E,MATCH(DATA!D6,BIO!A:A,0),3)</f>
        <v>2</v>
      </c>
      <c r="K6" s="14">
        <f>INDEX(BIO!A:E,MATCH(DATA!D6,BIO!A:A,0),2)</f>
        <v>1</v>
      </c>
      <c r="L6" s="15">
        <f t="shared" si="0"/>
        <v>0</v>
      </c>
      <c r="M6" s="14">
        <f>INDEX('BIO WAHYU'!B:E,MATCH(DATA!D6,'BIO WAHYU'!B:B,0),4)</f>
        <v>2</v>
      </c>
    </row>
    <row r="7" spans="1:13">
      <c r="A7" s="1" t="s">
        <v>1</v>
      </c>
      <c r="B7" s="1" t="s">
        <v>3</v>
      </c>
      <c r="C7" s="1" t="s">
        <v>16</v>
      </c>
      <c r="D7" s="7">
        <v>12295820</v>
      </c>
      <c r="E7" s="1" t="s">
        <v>10</v>
      </c>
      <c r="F7" s="10">
        <f>_xlfn.IFNA(INDEX('LMTD OSA | 3GB'!A:C,MATCH(DATA!D7,'LMTD OSA | 3GB'!A:A,0),2),0)</f>
        <v>0</v>
      </c>
      <c r="G7" s="10">
        <f>INDEX('LMTD OSA | 3GB'!A:C,MATCH(DATA!D7,'LMTD OSA | 3GB'!A:A,0),3)</f>
        <v>2500000</v>
      </c>
      <c r="H7" s="11">
        <f>INDEX('MTD OSA | 3GB'!B:D,MATCH(DATA!D7,'MTD OSA | 3GB'!B:B,0),2)</f>
        <v>0</v>
      </c>
      <c r="I7" s="12">
        <f>INDEX('MTD OSA | 3GB'!B:D,MATCH(DATA!D7,'MTD OSA | 3GB'!B:B,0),3)</f>
        <v>4000000</v>
      </c>
      <c r="J7" s="12">
        <f>INDEX(BIO!A:E,MATCH(DATA!D7,BIO!A:A,0),3)</f>
        <v>0</v>
      </c>
      <c r="K7" s="14">
        <f>INDEX(BIO!A:E,MATCH(DATA!D7,BIO!A:A,0),2)</f>
        <v>0</v>
      </c>
      <c r="L7" s="15">
        <f t="shared" si="0"/>
        <v>0</v>
      </c>
      <c r="M7" s="14">
        <f>INDEX('BIO WAHYU'!B:E,MATCH(DATA!D7,'BIO WAHYU'!B:B,0),4)</f>
        <v>0</v>
      </c>
    </row>
    <row r="8" spans="1:13">
      <c r="A8" s="1" t="s">
        <v>1</v>
      </c>
      <c r="B8" s="1" t="s">
        <v>3</v>
      </c>
      <c r="C8" s="1" t="s">
        <v>17</v>
      </c>
      <c r="D8" s="7">
        <v>12295826</v>
      </c>
      <c r="E8" s="1" t="s">
        <v>15</v>
      </c>
      <c r="F8" s="10">
        <f>_xlfn.IFNA(INDEX('LMTD OSA | 3GB'!A:C,MATCH(DATA!D8,'LMTD OSA | 3GB'!A:A,0),2),0)</f>
        <v>0</v>
      </c>
      <c r="G8" s="10">
        <f>INDEX('LMTD OSA | 3GB'!A:C,MATCH(DATA!D8,'LMTD OSA | 3GB'!A:A,0),3)</f>
        <v>0</v>
      </c>
      <c r="H8" s="11">
        <f>INDEX('MTD OSA | 3GB'!B:D,MATCH(DATA!D8,'MTD OSA | 3GB'!B:B,0),2)</f>
        <v>3</v>
      </c>
      <c r="I8" s="12">
        <f>INDEX('MTD OSA | 3GB'!B:D,MATCH(DATA!D8,'MTD OSA | 3GB'!B:B,0),3)</f>
        <v>1000</v>
      </c>
      <c r="J8" s="12">
        <f>INDEX(BIO!A:E,MATCH(DATA!D8,BIO!A:A,0),3)</f>
        <v>0</v>
      </c>
      <c r="K8" s="14">
        <f>INDEX(BIO!A:E,MATCH(DATA!D8,BIO!A:A,0),2)</f>
        <v>0</v>
      </c>
      <c r="L8" s="15">
        <f t="shared" si="0"/>
        <v>0</v>
      </c>
      <c r="M8" s="14">
        <f>INDEX('BIO WAHYU'!B:E,MATCH(DATA!D8,'BIO WAHYU'!B:B,0),4)</f>
        <v>0</v>
      </c>
    </row>
    <row r="9" spans="1:13">
      <c r="A9" s="1" t="s">
        <v>1</v>
      </c>
      <c r="B9" s="1" t="s">
        <v>3</v>
      </c>
      <c r="C9" s="1" t="s">
        <v>18</v>
      </c>
      <c r="D9" s="7">
        <v>12295833</v>
      </c>
      <c r="E9" s="1" t="s">
        <v>15</v>
      </c>
      <c r="F9" s="10">
        <f>_xlfn.IFNA(INDEX('LMTD OSA | 3GB'!A:C,MATCH(DATA!D9,'LMTD OSA | 3GB'!A:A,0),2),0)</f>
        <v>0</v>
      </c>
      <c r="G9" s="10">
        <f>INDEX('LMTD OSA | 3GB'!A:C,MATCH(DATA!D9,'LMTD OSA | 3GB'!A:A,0),3)</f>
        <v>0</v>
      </c>
      <c r="H9" s="11">
        <f>INDEX('MTD OSA | 3GB'!B:D,MATCH(DATA!D9,'MTD OSA | 3GB'!B:B,0),2)</f>
        <v>3</v>
      </c>
      <c r="I9" s="12">
        <f>INDEX('MTD OSA | 3GB'!B:D,MATCH(DATA!D9,'MTD OSA | 3GB'!B:B,0),3)</f>
        <v>1000</v>
      </c>
      <c r="J9" s="12">
        <f>INDEX(BIO!A:E,MATCH(DATA!D9,BIO!A:A,0),3)</f>
        <v>0</v>
      </c>
      <c r="K9" s="14">
        <f>INDEX(BIO!A:E,MATCH(DATA!D9,BIO!A:A,0),2)</f>
        <v>0</v>
      </c>
      <c r="L9" s="15">
        <f t="shared" si="0"/>
        <v>0</v>
      </c>
      <c r="M9" s="14">
        <f>INDEX('BIO WAHYU'!B:E,MATCH(DATA!D9,'BIO WAHYU'!B:B,0),4)</f>
        <v>0</v>
      </c>
    </row>
    <row r="10" spans="1:13">
      <c r="A10" s="1" t="s">
        <v>1</v>
      </c>
      <c r="B10" s="1" t="s">
        <v>3</v>
      </c>
      <c r="C10" s="1" t="s">
        <v>19</v>
      </c>
      <c r="D10" s="7">
        <v>12301356</v>
      </c>
      <c r="E10" s="1" t="s">
        <v>15</v>
      </c>
      <c r="F10" s="10">
        <f>_xlfn.IFNA(INDEX('LMTD OSA | 3GB'!A:C,MATCH(DATA!D10,'LMTD OSA | 3GB'!A:A,0),2),0)</f>
        <v>3</v>
      </c>
      <c r="G10" s="10">
        <f>INDEX('LMTD OSA | 3GB'!A:C,MATCH(DATA!D10,'LMTD OSA | 3GB'!A:A,0),3)</f>
        <v>8681000</v>
      </c>
      <c r="H10" s="11">
        <f>INDEX('MTD OSA | 3GB'!B:D,MATCH(DATA!D10,'MTD OSA | 3GB'!B:B,0),2)</f>
        <v>11</v>
      </c>
      <c r="I10" s="12">
        <f>INDEX('MTD OSA | 3GB'!B:D,MATCH(DATA!D10,'MTD OSA | 3GB'!B:B,0),3)</f>
        <v>2113700</v>
      </c>
      <c r="J10" s="12">
        <f>INDEX(BIO!A:E,MATCH(DATA!D10,BIO!A:A,0),3)</f>
        <v>1</v>
      </c>
      <c r="K10" s="14">
        <f>INDEX(BIO!A:E,MATCH(DATA!D10,BIO!A:A,0),2)</f>
        <v>5</v>
      </c>
      <c r="L10" s="15">
        <f t="shared" si="0"/>
        <v>4</v>
      </c>
      <c r="M10" s="14">
        <f>INDEX('BIO WAHYU'!B:E,MATCH(DATA!D10,'BIO WAHYU'!B:B,0),4)</f>
        <v>0</v>
      </c>
    </row>
    <row r="11" spans="1:13">
      <c r="A11" s="1" t="s">
        <v>1</v>
      </c>
      <c r="B11" s="1" t="s">
        <v>3</v>
      </c>
      <c r="C11" s="1" t="s">
        <v>20</v>
      </c>
      <c r="D11" s="7">
        <v>12323218</v>
      </c>
      <c r="E11" s="1" t="s">
        <v>15</v>
      </c>
      <c r="F11" s="10">
        <f>_xlfn.IFNA(INDEX('LMTD OSA | 3GB'!A:C,MATCH(DATA!D11,'LMTD OSA | 3GB'!A:A,0),2),0)</f>
        <v>2</v>
      </c>
      <c r="G11" s="10">
        <f>INDEX('LMTD OSA | 3GB'!A:C,MATCH(DATA!D11,'LMTD OSA | 3GB'!A:A,0),3)</f>
        <v>6750900</v>
      </c>
      <c r="H11" s="11">
        <f>INDEX('MTD OSA | 3GB'!B:D,MATCH(DATA!D11,'MTD OSA | 3GB'!B:B,0),2)</f>
        <v>14</v>
      </c>
      <c r="I11" s="12">
        <f>INDEX('MTD OSA | 3GB'!B:D,MATCH(DATA!D11,'MTD OSA | 3GB'!B:B,0),3)</f>
        <v>1979000</v>
      </c>
      <c r="J11" s="12">
        <f>INDEX(BIO!A:E,MATCH(DATA!D11,BIO!A:A,0),3)</f>
        <v>1</v>
      </c>
      <c r="K11" s="14">
        <f>INDEX(BIO!A:E,MATCH(DATA!D11,BIO!A:A,0),2)</f>
        <v>1</v>
      </c>
      <c r="L11" s="15">
        <f t="shared" si="0"/>
        <v>0</v>
      </c>
      <c r="M11" s="14">
        <f>INDEX('BIO WAHYU'!B:E,MATCH(DATA!D11,'BIO WAHYU'!B:B,0),4)</f>
        <v>0</v>
      </c>
    </row>
    <row r="12" spans="1:13">
      <c r="A12" s="1" t="s">
        <v>1</v>
      </c>
      <c r="B12" s="1" t="s">
        <v>3</v>
      </c>
      <c r="C12" s="1" t="s">
        <v>21</v>
      </c>
      <c r="D12" s="7">
        <v>12324647</v>
      </c>
      <c r="E12" s="1" t="s">
        <v>10</v>
      </c>
      <c r="F12" s="10">
        <f>_xlfn.IFNA(INDEX('LMTD OSA | 3GB'!A:C,MATCH(DATA!D12,'LMTD OSA | 3GB'!A:A,0),2),0)</f>
        <v>0</v>
      </c>
      <c r="G12" s="10">
        <f>INDEX('LMTD OSA | 3GB'!A:C,MATCH(DATA!D12,'LMTD OSA | 3GB'!A:A,0),3)</f>
        <v>0</v>
      </c>
      <c r="H12" s="11">
        <f>INDEX('MTD OSA | 3GB'!B:D,MATCH(DATA!D12,'MTD OSA | 3GB'!B:B,0),2)</f>
        <v>3</v>
      </c>
      <c r="I12" s="12">
        <f>INDEX('MTD OSA | 3GB'!B:D,MATCH(DATA!D12,'MTD OSA | 3GB'!B:B,0),3)</f>
        <v>1000</v>
      </c>
      <c r="J12" s="12">
        <f>INDEX(BIO!A:E,MATCH(DATA!D12,BIO!A:A,0),3)</f>
        <v>0</v>
      </c>
      <c r="K12" s="14">
        <f>INDEX(BIO!A:E,MATCH(DATA!D12,BIO!A:A,0),2)</f>
        <v>0</v>
      </c>
      <c r="L12" s="15">
        <f t="shared" si="0"/>
        <v>0</v>
      </c>
      <c r="M12" s="14">
        <f>INDEX('BIO WAHYU'!B:E,MATCH(DATA!D12,'BIO WAHYU'!B:B,0),4)</f>
        <v>0</v>
      </c>
    </row>
    <row r="13" spans="1:13">
      <c r="A13" s="1" t="s">
        <v>1</v>
      </c>
      <c r="B13" s="1" t="s">
        <v>3</v>
      </c>
      <c r="C13" s="1" t="s">
        <v>22</v>
      </c>
      <c r="D13" s="7">
        <v>12326118</v>
      </c>
      <c r="E13" s="1" t="s">
        <v>15</v>
      </c>
      <c r="F13" s="10">
        <f>_xlfn.IFNA(INDEX('LMTD OSA | 3GB'!A:C,MATCH(DATA!D13,'LMTD OSA | 3GB'!A:A,0),2),0)</f>
        <v>3</v>
      </c>
      <c r="G13" s="10">
        <f>INDEX('LMTD OSA | 3GB'!A:C,MATCH(DATA!D13,'LMTD OSA | 3GB'!A:A,0),3)</f>
        <v>8770000</v>
      </c>
      <c r="H13" s="11">
        <f>INDEX('MTD OSA | 3GB'!B:D,MATCH(DATA!D13,'MTD OSA | 3GB'!B:B,0),2)</f>
        <v>16</v>
      </c>
      <c r="I13" s="12">
        <f>INDEX('MTD OSA | 3GB'!B:D,MATCH(DATA!D13,'MTD OSA | 3GB'!B:B,0),3)</f>
        <v>8143300</v>
      </c>
      <c r="J13" s="12">
        <f>INDEX(BIO!A:E,MATCH(DATA!D13,BIO!A:A,0),3)</f>
        <v>1</v>
      </c>
      <c r="K13" s="14">
        <f>INDEX(BIO!A:E,MATCH(DATA!D13,BIO!A:A,0),2)</f>
        <v>1</v>
      </c>
      <c r="L13" s="15">
        <f t="shared" si="0"/>
        <v>0</v>
      </c>
      <c r="M13" s="14">
        <f>INDEX('BIO WAHYU'!B:E,MATCH(DATA!D13,'BIO WAHYU'!B:B,0),4)</f>
        <v>4</v>
      </c>
    </row>
    <row r="14" spans="1:13">
      <c r="A14" s="1" t="s">
        <v>1</v>
      </c>
      <c r="B14" s="1" t="s">
        <v>3</v>
      </c>
      <c r="C14" s="1" t="s">
        <v>23</v>
      </c>
      <c r="D14" s="7">
        <v>12326313</v>
      </c>
      <c r="E14" s="1" t="s">
        <v>10</v>
      </c>
      <c r="F14" s="10">
        <f>_xlfn.IFNA(INDEX('LMTD OSA | 3GB'!A:C,MATCH(DATA!D14,'LMTD OSA | 3GB'!A:A,0),2),0)</f>
        <v>3</v>
      </c>
      <c r="G14" s="10">
        <f>INDEX('LMTD OSA | 3GB'!A:C,MATCH(DATA!D14,'LMTD OSA | 3GB'!A:A,0),3)</f>
        <v>11704000</v>
      </c>
      <c r="H14" s="11">
        <f>INDEX('MTD OSA | 3GB'!B:D,MATCH(DATA!D14,'MTD OSA | 3GB'!B:B,0),2)</f>
        <v>32</v>
      </c>
      <c r="I14" s="12">
        <f>INDEX('MTD OSA | 3GB'!B:D,MATCH(DATA!D14,'MTD OSA | 3GB'!B:B,0),3)</f>
        <v>8481200</v>
      </c>
      <c r="J14" s="12">
        <f>INDEX(BIO!A:E,MATCH(DATA!D14,BIO!A:A,0),3)</f>
        <v>1</v>
      </c>
      <c r="K14" s="14">
        <f>INDEX(BIO!A:E,MATCH(DATA!D14,BIO!A:A,0),2)</f>
        <v>2</v>
      </c>
      <c r="L14" s="15">
        <f t="shared" si="0"/>
        <v>1</v>
      </c>
      <c r="M14" s="14">
        <f>INDEX('BIO WAHYU'!B:E,MATCH(DATA!D14,'BIO WAHYU'!B:B,0),4)</f>
        <v>0</v>
      </c>
    </row>
    <row r="15" spans="1:13">
      <c r="A15" s="1" t="s">
        <v>1</v>
      </c>
      <c r="B15" s="1" t="s">
        <v>3</v>
      </c>
      <c r="C15" s="1" t="s">
        <v>24</v>
      </c>
      <c r="D15" s="7">
        <v>12326533</v>
      </c>
      <c r="E15" s="1" t="s">
        <v>15</v>
      </c>
      <c r="F15" s="10">
        <f>_xlfn.IFNA(INDEX('LMTD OSA | 3GB'!A:C,MATCH(DATA!D15,'LMTD OSA | 3GB'!A:A,0),2),0)</f>
        <v>11</v>
      </c>
      <c r="G15" s="10">
        <f>INDEX('LMTD OSA | 3GB'!A:C,MATCH(DATA!D15,'LMTD OSA | 3GB'!A:A,0),3)</f>
        <v>8702500</v>
      </c>
      <c r="H15" s="11">
        <f>INDEX('MTD OSA | 3GB'!B:D,MATCH(DATA!D15,'MTD OSA | 3GB'!B:B,0),2)</f>
        <v>4</v>
      </c>
      <c r="I15" s="12">
        <f>INDEX('MTD OSA | 3GB'!B:D,MATCH(DATA!D15,'MTD OSA | 3GB'!B:B,0),3)</f>
        <v>200000</v>
      </c>
      <c r="J15" s="12">
        <f>INDEX(BIO!A:E,MATCH(DATA!D15,BIO!A:A,0),3)</f>
        <v>30</v>
      </c>
      <c r="K15" s="14">
        <f>INDEX(BIO!A:E,MATCH(DATA!D15,BIO!A:A,0),2)</f>
        <v>0</v>
      </c>
      <c r="L15" s="15">
        <f t="shared" si="0"/>
        <v>0</v>
      </c>
      <c r="M15" s="14">
        <f>INDEX('BIO WAHYU'!B:E,MATCH(DATA!D15,'BIO WAHYU'!B:B,0),4)</f>
        <v>0</v>
      </c>
    </row>
    <row r="16" spans="1:13">
      <c r="A16" s="1" t="s">
        <v>1</v>
      </c>
      <c r="B16" s="1" t="s">
        <v>3</v>
      </c>
      <c r="C16" s="1" t="s">
        <v>25</v>
      </c>
      <c r="D16" s="7">
        <v>12326920</v>
      </c>
      <c r="E16" s="1" t="s">
        <v>10</v>
      </c>
      <c r="F16" s="10">
        <f>_xlfn.IFNA(INDEX('LMTD OSA | 3GB'!A:C,MATCH(DATA!D16,'LMTD OSA | 3GB'!A:A,0),2),0)</f>
        <v>3</v>
      </c>
      <c r="G16" s="10">
        <f>INDEX('LMTD OSA | 3GB'!A:C,MATCH(DATA!D16,'LMTD OSA | 3GB'!A:A,0),3)</f>
        <v>5433500</v>
      </c>
      <c r="H16" s="11">
        <f>INDEX('MTD OSA | 3GB'!B:D,MATCH(DATA!D16,'MTD OSA | 3GB'!B:B,0),2)</f>
        <v>5</v>
      </c>
      <c r="I16" s="12">
        <f>INDEX('MTD OSA | 3GB'!B:D,MATCH(DATA!D16,'MTD OSA | 3GB'!B:B,0),3)</f>
        <v>22123000</v>
      </c>
      <c r="J16" s="12">
        <f>INDEX(BIO!A:E,MATCH(DATA!D16,BIO!A:A,0),3)</f>
        <v>1</v>
      </c>
      <c r="K16" s="14">
        <f>INDEX(BIO!A:E,MATCH(DATA!D16,BIO!A:A,0),2)</f>
        <v>0</v>
      </c>
      <c r="L16" s="15">
        <f t="shared" si="0"/>
        <v>0</v>
      </c>
      <c r="M16" s="14">
        <f>INDEX('BIO WAHYU'!B:E,MATCH(DATA!D16,'BIO WAHYU'!B:B,0),4)</f>
        <v>2</v>
      </c>
    </row>
    <row r="17" spans="1:13">
      <c r="A17" s="1" t="s">
        <v>1</v>
      </c>
      <c r="B17" s="1" t="s">
        <v>3</v>
      </c>
      <c r="C17" s="1" t="s">
        <v>26</v>
      </c>
      <c r="D17" s="7">
        <v>1661</v>
      </c>
      <c r="E17" s="1" t="s">
        <v>10</v>
      </c>
      <c r="F17" s="10">
        <f>_xlfn.IFNA(INDEX('LMTD OSA | 3GB'!A:C,MATCH(DATA!D17,'LMTD OSA | 3GB'!A:A,0),2),0)</f>
        <v>1</v>
      </c>
      <c r="G17" s="10">
        <f>INDEX('LMTD OSA | 3GB'!A:C,MATCH(DATA!D17,'LMTD OSA | 3GB'!A:A,0),3)</f>
        <v>58000</v>
      </c>
      <c r="H17" s="11">
        <f>INDEX('MTD OSA | 3GB'!B:D,MATCH(DATA!D17,'MTD OSA | 3GB'!B:B,0),2)</f>
        <v>6</v>
      </c>
      <c r="I17" s="12">
        <f>INDEX('MTD OSA | 3GB'!B:D,MATCH(DATA!D17,'MTD OSA | 3GB'!B:B,0),3)</f>
        <v>1000</v>
      </c>
      <c r="J17" s="12">
        <f>INDEX(BIO!A:E,MATCH(DATA!D17,BIO!A:A,0),3)</f>
        <v>1</v>
      </c>
      <c r="K17" s="14">
        <f>INDEX(BIO!A:E,MATCH(DATA!D17,BIO!A:A,0),2)</f>
        <v>0</v>
      </c>
      <c r="L17" s="15">
        <f t="shared" si="0"/>
        <v>0</v>
      </c>
      <c r="M17" s="14">
        <f>INDEX('BIO WAHYU'!B:E,MATCH(DATA!D17,'BIO WAHYU'!B:B,0),4)</f>
        <v>0</v>
      </c>
    </row>
    <row r="18" spans="1:13">
      <c r="A18" s="1" t="s">
        <v>1</v>
      </c>
      <c r="B18" s="1" t="s">
        <v>3</v>
      </c>
      <c r="C18" s="1" t="s">
        <v>27</v>
      </c>
      <c r="D18" s="7">
        <v>213944</v>
      </c>
      <c r="E18" s="1" t="s">
        <v>10</v>
      </c>
      <c r="F18" s="10">
        <f>_xlfn.IFNA(INDEX('LMTD OSA | 3GB'!A:C,MATCH(DATA!D18,'LMTD OSA | 3GB'!A:A,0),2),0)</f>
        <v>3</v>
      </c>
      <c r="G18" s="10">
        <f>INDEX('LMTD OSA | 3GB'!A:C,MATCH(DATA!D18,'LMTD OSA | 3GB'!A:A,0),3)</f>
        <v>4529000</v>
      </c>
      <c r="H18" s="11">
        <f>INDEX('MTD OSA | 3GB'!B:D,MATCH(DATA!D18,'MTD OSA | 3GB'!B:B,0),2)</f>
        <v>3</v>
      </c>
      <c r="I18" s="12">
        <f>INDEX('MTD OSA | 3GB'!B:D,MATCH(DATA!D18,'MTD OSA | 3GB'!B:B,0),3)</f>
        <v>2200000</v>
      </c>
      <c r="J18" s="12">
        <f>INDEX(BIO!A:E,MATCH(DATA!D18,BIO!A:A,0),3)</f>
        <v>1</v>
      </c>
      <c r="K18" s="14">
        <f>INDEX(BIO!A:E,MATCH(DATA!D18,BIO!A:A,0),2)</f>
        <v>7</v>
      </c>
      <c r="L18" s="15">
        <f t="shared" si="0"/>
        <v>6</v>
      </c>
      <c r="M18" s="14">
        <f>INDEX('BIO WAHYU'!B:E,MATCH(DATA!D18,'BIO WAHYU'!B:B,0),4)</f>
        <v>1</v>
      </c>
    </row>
    <row r="19" spans="1:13">
      <c r="A19" s="1" t="s">
        <v>1</v>
      </c>
      <c r="B19" s="1" t="s">
        <v>3</v>
      </c>
      <c r="C19" s="1" t="s">
        <v>28</v>
      </c>
      <c r="D19" s="7">
        <v>240048</v>
      </c>
      <c r="E19" s="1" t="s">
        <v>29</v>
      </c>
      <c r="F19" s="10">
        <f>_xlfn.IFNA(INDEX('LMTD OSA | 3GB'!A:C,MATCH(DATA!D19,'LMTD OSA | 3GB'!A:A,0),2),0)</f>
        <v>3</v>
      </c>
      <c r="G19" s="10">
        <f>INDEX('LMTD OSA | 3GB'!A:C,MATCH(DATA!D19,'LMTD OSA | 3GB'!A:A,0),3)</f>
        <v>1029000</v>
      </c>
      <c r="H19" s="11">
        <f>INDEX('MTD OSA | 3GB'!B:D,MATCH(DATA!D19,'MTD OSA | 3GB'!B:B,0),2)</f>
        <v>15</v>
      </c>
      <c r="I19" s="12">
        <f>INDEX('MTD OSA | 3GB'!B:D,MATCH(DATA!D19,'MTD OSA | 3GB'!B:B,0),3)</f>
        <v>400000</v>
      </c>
      <c r="J19" s="12">
        <f>INDEX(BIO!A:E,MATCH(DATA!D19,BIO!A:A,0),3)</f>
        <v>1</v>
      </c>
      <c r="K19" s="14">
        <f>INDEX(BIO!A:E,MATCH(DATA!D19,BIO!A:A,0),2)</f>
        <v>1</v>
      </c>
      <c r="L19" s="15">
        <f t="shared" si="0"/>
        <v>0</v>
      </c>
      <c r="M19" s="14">
        <f>INDEX('BIO WAHYU'!B:E,MATCH(DATA!D19,'BIO WAHYU'!B:B,0),4)</f>
        <v>2</v>
      </c>
    </row>
    <row r="20" spans="1:13">
      <c r="A20" s="1" t="s">
        <v>1</v>
      </c>
      <c r="B20" s="1" t="s">
        <v>3</v>
      </c>
      <c r="C20" s="1" t="s">
        <v>30</v>
      </c>
      <c r="D20" s="7">
        <v>287403</v>
      </c>
      <c r="E20" s="1" t="s">
        <v>10</v>
      </c>
      <c r="F20" s="10">
        <f>_xlfn.IFNA(INDEX('LMTD OSA | 3GB'!A:C,MATCH(DATA!D20,'LMTD OSA | 3GB'!A:A,0),2),0)</f>
        <v>11</v>
      </c>
      <c r="G20" s="10">
        <f>INDEX('LMTD OSA | 3GB'!A:C,MATCH(DATA!D20,'LMTD OSA | 3GB'!A:A,0),3)</f>
        <v>3478900</v>
      </c>
      <c r="H20" s="11">
        <f>INDEX('MTD OSA | 3GB'!B:D,MATCH(DATA!D20,'MTD OSA | 3GB'!B:B,0),2)</f>
        <v>4</v>
      </c>
      <c r="I20" s="12">
        <f>INDEX('MTD OSA | 3GB'!B:D,MATCH(DATA!D20,'MTD OSA | 3GB'!B:B,0),3)</f>
        <v>2616600</v>
      </c>
      <c r="J20" s="12">
        <f>INDEX(BIO!A:E,MATCH(DATA!D20,BIO!A:A,0),3)</f>
        <v>1</v>
      </c>
      <c r="K20" s="14">
        <f>INDEX(BIO!A:E,MATCH(DATA!D20,BIO!A:A,0),2)</f>
        <v>0</v>
      </c>
      <c r="L20" s="15">
        <f t="shared" si="0"/>
        <v>0</v>
      </c>
      <c r="M20" s="14">
        <f>INDEX('BIO WAHYU'!B:E,MATCH(DATA!D20,'BIO WAHYU'!B:B,0),4)</f>
        <v>3</v>
      </c>
    </row>
    <row r="21" spans="1:13">
      <c r="A21" s="1" t="s">
        <v>1</v>
      </c>
      <c r="B21" s="1" t="s">
        <v>3</v>
      </c>
      <c r="C21" s="1" t="s">
        <v>31</v>
      </c>
      <c r="D21" s="7">
        <v>287622</v>
      </c>
      <c r="E21" s="1" t="s">
        <v>10</v>
      </c>
      <c r="F21" s="10">
        <f>_xlfn.IFNA(INDEX('LMTD OSA | 3GB'!A:C,MATCH(DATA!D21,'LMTD OSA | 3GB'!A:A,0),2),0)</f>
        <v>19</v>
      </c>
      <c r="G21" s="10">
        <f>INDEX('LMTD OSA | 3GB'!A:C,MATCH(DATA!D21,'LMTD OSA | 3GB'!A:A,0),3)</f>
        <v>1800000</v>
      </c>
      <c r="H21" s="11">
        <f>INDEX('MTD OSA | 3GB'!B:D,MATCH(DATA!D21,'MTD OSA | 3GB'!B:B,0),2)</f>
        <v>5</v>
      </c>
      <c r="I21" s="12">
        <f>INDEX('MTD OSA | 3GB'!B:D,MATCH(DATA!D21,'MTD OSA | 3GB'!B:B,0),3)</f>
        <v>2117000</v>
      </c>
      <c r="J21" s="12">
        <f>INDEX(BIO!A:E,MATCH(DATA!D21,BIO!A:A,0),3)</f>
        <v>1</v>
      </c>
      <c r="K21" s="14">
        <f>INDEX(BIO!A:E,MATCH(DATA!D21,BIO!A:A,0),2)</f>
        <v>1</v>
      </c>
      <c r="L21" s="15">
        <f t="shared" si="0"/>
        <v>0</v>
      </c>
      <c r="M21" s="14">
        <f>INDEX('BIO WAHYU'!B:E,MATCH(DATA!D21,'BIO WAHYU'!B:B,0),4)</f>
        <v>1</v>
      </c>
    </row>
    <row r="22" spans="1:13">
      <c r="A22" s="1" t="s">
        <v>1</v>
      </c>
      <c r="B22" s="1" t="s">
        <v>3</v>
      </c>
      <c r="C22" s="1" t="s">
        <v>32</v>
      </c>
      <c r="D22" s="7">
        <v>301600</v>
      </c>
      <c r="E22" s="1" t="s">
        <v>10</v>
      </c>
      <c r="F22" s="10">
        <f>_xlfn.IFNA(INDEX('LMTD OSA | 3GB'!A:C,MATCH(DATA!D22,'LMTD OSA | 3GB'!A:A,0),2),0)</f>
        <v>3</v>
      </c>
      <c r="G22" s="10">
        <f>INDEX('LMTD OSA | 3GB'!A:C,MATCH(DATA!D22,'LMTD OSA | 3GB'!A:A,0),3)</f>
        <v>6604000</v>
      </c>
      <c r="H22" s="11">
        <f>INDEX('MTD OSA | 3GB'!B:D,MATCH(DATA!D22,'MTD OSA | 3GB'!B:B,0),2)</f>
        <v>0</v>
      </c>
      <c r="I22" s="12">
        <f>INDEX('MTD OSA | 3GB'!B:D,MATCH(DATA!D22,'MTD OSA | 3GB'!B:B,0),3)</f>
        <v>3762500</v>
      </c>
      <c r="J22" s="12">
        <f>INDEX(BIO!A:E,MATCH(DATA!D22,BIO!A:A,0),3)</f>
        <v>1</v>
      </c>
      <c r="K22" s="14">
        <f>INDEX(BIO!A:E,MATCH(DATA!D22,BIO!A:A,0),2)</f>
        <v>2</v>
      </c>
      <c r="L22" s="15">
        <f t="shared" si="0"/>
        <v>1</v>
      </c>
      <c r="M22" s="14">
        <f>INDEX('BIO WAHYU'!B:E,MATCH(DATA!D22,'BIO WAHYU'!B:B,0),4)</f>
        <v>1</v>
      </c>
    </row>
    <row r="23" spans="1:13">
      <c r="A23" s="1" t="s">
        <v>1</v>
      </c>
      <c r="B23" s="1" t="s">
        <v>3</v>
      </c>
      <c r="C23" s="1" t="s">
        <v>33</v>
      </c>
      <c r="D23" s="7">
        <v>347538</v>
      </c>
      <c r="E23" s="1" t="s">
        <v>10</v>
      </c>
      <c r="F23" s="10">
        <f>_xlfn.IFNA(INDEX('LMTD OSA | 3GB'!A:C,MATCH(DATA!D23,'LMTD OSA | 3GB'!A:A,0),2),0)</f>
        <v>3</v>
      </c>
      <c r="G23" s="10">
        <f>INDEX('LMTD OSA | 3GB'!A:C,MATCH(DATA!D23,'LMTD OSA | 3GB'!A:A,0),3)</f>
        <v>1050200</v>
      </c>
      <c r="H23" s="11">
        <f>INDEX('MTD OSA | 3GB'!B:D,MATCH(DATA!D23,'MTD OSA | 3GB'!B:B,0),2)</f>
        <v>0</v>
      </c>
      <c r="I23" s="12">
        <f>INDEX('MTD OSA | 3GB'!B:D,MATCH(DATA!D23,'MTD OSA | 3GB'!B:B,0),3)</f>
        <v>966000</v>
      </c>
      <c r="J23" s="12">
        <f>INDEX(BIO!A:E,MATCH(DATA!D23,BIO!A:A,0),3)</f>
        <v>1</v>
      </c>
      <c r="K23" s="14">
        <f>INDEX(BIO!A:E,MATCH(DATA!D23,BIO!A:A,0),2)</f>
        <v>2</v>
      </c>
      <c r="L23" s="15">
        <f t="shared" si="0"/>
        <v>1</v>
      </c>
      <c r="M23" s="14">
        <f>INDEX('BIO WAHYU'!B:E,MATCH(DATA!D23,'BIO WAHYU'!B:B,0),4)</f>
        <v>1</v>
      </c>
    </row>
    <row r="24" spans="1:13">
      <c r="A24" s="1" t="s">
        <v>1</v>
      </c>
      <c r="B24" s="1" t="s">
        <v>3</v>
      </c>
      <c r="C24" s="1" t="s">
        <v>34</v>
      </c>
      <c r="D24" s="7">
        <v>358231</v>
      </c>
      <c r="E24" s="1" t="s">
        <v>10</v>
      </c>
      <c r="F24" s="10">
        <f>_xlfn.IFNA(INDEX('LMTD OSA | 3GB'!A:C,MATCH(DATA!D24,'LMTD OSA | 3GB'!A:A,0),2),0)</f>
        <v>2</v>
      </c>
      <c r="G24" s="10">
        <f>INDEX('LMTD OSA | 3GB'!A:C,MATCH(DATA!D24,'LMTD OSA | 3GB'!A:A,0),3)</f>
        <v>4800000</v>
      </c>
      <c r="H24" s="11">
        <f>INDEX('MTD OSA | 3GB'!B:D,MATCH(DATA!D24,'MTD OSA | 3GB'!B:B,0),2)</f>
        <v>3</v>
      </c>
      <c r="I24" s="12">
        <f>INDEX('MTD OSA | 3GB'!B:D,MATCH(DATA!D24,'MTD OSA | 3GB'!B:B,0),3)</f>
        <v>3500000</v>
      </c>
      <c r="J24" s="12">
        <f>INDEX(BIO!A:E,MATCH(DATA!D24,BIO!A:A,0),3)</f>
        <v>1</v>
      </c>
      <c r="K24" s="14">
        <f>INDEX(BIO!A:E,MATCH(DATA!D24,BIO!A:A,0),2)</f>
        <v>0</v>
      </c>
      <c r="L24" s="15">
        <f t="shared" si="0"/>
        <v>0</v>
      </c>
      <c r="M24" s="14">
        <f>INDEX('BIO WAHYU'!B:E,MATCH(DATA!D24,'BIO WAHYU'!B:B,0),4)</f>
        <v>0</v>
      </c>
    </row>
    <row r="25" spans="1:13">
      <c r="A25" s="1" t="s">
        <v>1</v>
      </c>
      <c r="B25" s="1" t="s">
        <v>3</v>
      </c>
      <c r="C25" s="1" t="s">
        <v>35</v>
      </c>
      <c r="D25" s="7">
        <v>368809</v>
      </c>
      <c r="E25" s="1" t="s">
        <v>10</v>
      </c>
      <c r="F25" s="10">
        <f>_xlfn.IFNA(INDEX('LMTD OSA | 3GB'!A:C,MATCH(DATA!D25,'LMTD OSA | 3GB'!A:A,0),2),0)</f>
        <v>3</v>
      </c>
      <c r="G25" s="10">
        <f>INDEX('LMTD OSA | 3GB'!A:C,MATCH(DATA!D25,'LMTD OSA | 3GB'!A:A,0),3)</f>
        <v>3895000</v>
      </c>
      <c r="H25" s="11">
        <f>INDEX('MTD OSA | 3GB'!B:D,MATCH(DATA!D25,'MTD OSA | 3GB'!B:B,0),2)</f>
        <v>0</v>
      </c>
      <c r="I25" s="12">
        <f>INDEX('MTD OSA | 3GB'!B:D,MATCH(DATA!D25,'MTD OSA | 3GB'!B:B,0),3)</f>
        <v>1615000</v>
      </c>
      <c r="J25" s="12">
        <f>INDEX(BIO!A:E,MATCH(DATA!D25,BIO!A:A,0),3)</f>
        <v>1</v>
      </c>
      <c r="K25" s="14">
        <f>INDEX(BIO!A:E,MATCH(DATA!D25,BIO!A:A,0),2)</f>
        <v>1</v>
      </c>
      <c r="L25" s="15">
        <f t="shared" si="0"/>
        <v>0</v>
      </c>
      <c r="M25" s="14">
        <f>INDEX('BIO WAHYU'!B:E,MATCH(DATA!D25,'BIO WAHYU'!B:B,0),4)</f>
        <v>0</v>
      </c>
    </row>
    <row r="26" spans="1:13">
      <c r="A26" s="1" t="s">
        <v>1</v>
      </c>
      <c r="B26" s="1" t="s">
        <v>3</v>
      </c>
      <c r="C26" s="1" t="s">
        <v>36</v>
      </c>
      <c r="D26" s="7">
        <v>385575</v>
      </c>
      <c r="E26" s="1" t="s">
        <v>10</v>
      </c>
      <c r="F26" s="10">
        <f>_xlfn.IFNA(INDEX('LMTD OSA | 3GB'!A:C,MATCH(DATA!D26,'LMTD OSA | 3GB'!A:A,0),2),0)</f>
        <v>0</v>
      </c>
      <c r="G26" s="10">
        <f>INDEX('LMTD OSA | 3GB'!A:C,MATCH(DATA!D26,'LMTD OSA | 3GB'!A:A,0),3)</f>
        <v>0</v>
      </c>
      <c r="H26" s="11">
        <f>INDEX('MTD OSA | 3GB'!B:D,MATCH(DATA!D26,'MTD OSA | 3GB'!B:B,0),2)</f>
        <v>0</v>
      </c>
      <c r="I26" s="12">
        <f>INDEX('MTD OSA | 3GB'!B:D,MATCH(DATA!D26,'MTD OSA | 3GB'!B:B,0),3)</f>
        <v>1000</v>
      </c>
      <c r="J26" s="12">
        <f>INDEX(BIO!A:E,MATCH(DATA!D26,BIO!A:A,0),3)</f>
        <v>0</v>
      </c>
      <c r="K26" s="14">
        <f>INDEX(BIO!A:E,MATCH(DATA!D26,BIO!A:A,0),2)</f>
        <v>0</v>
      </c>
      <c r="L26" s="15">
        <f t="shared" si="0"/>
        <v>0</v>
      </c>
      <c r="M26" s="14">
        <f>INDEX('BIO WAHYU'!B:E,MATCH(DATA!D26,'BIO WAHYU'!B:B,0),4)</f>
        <v>0</v>
      </c>
    </row>
    <row r="27" spans="1:13">
      <c r="A27" s="1" t="s">
        <v>1</v>
      </c>
      <c r="B27" s="1" t="s">
        <v>3</v>
      </c>
      <c r="C27" s="1" t="s">
        <v>37</v>
      </c>
      <c r="D27" s="7">
        <v>408290</v>
      </c>
      <c r="E27" s="1" t="s">
        <v>10</v>
      </c>
      <c r="F27" s="10">
        <f>_xlfn.IFNA(INDEX('LMTD OSA | 3GB'!A:C,MATCH(DATA!D27,'LMTD OSA | 3GB'!A:A,0),2),0)</f>
        <v>3</v>
      </c>
      <c r="G27" s="10">
        <f>INDEX('LMTD OSA | 3GB'!A:C,MATCH(DATA!D27,'LMTD OSA | 3GB'!A:A,0),3)</f>
        <v>9058000</v>
      </c>
      <c r="H27" s="11">
        <f>INDEX('MTD OSA | 3GB'!B:D,MATCH(DATA!D27,'MTD OSA | 3GB'!B:B,0),2)</f>
        <v>3</v>
      </c>
      <c r="I27" s="12">
        <f>INDEX('MTD OSA | 3GB'!B:D,MATCH(DATA!D27,'MTD OSA | 3GB'!B:B,0),3)</f>
        <v>7000000</v>
      </c>
      <c r="J27" s="12">
        <f>INDEX(BIO!A:E,MATCH(DATA!D27,BIO!A:A,0),3)</f>
        <v>1</v>
      </c>
      <c r="K27" s="14">
        <f>INDEX(BIO!A:E,MATCH(DATA!D27,BIO!A:A,0),2)</f>
        <v>2</v>
      </c>
      <c r="L27" s="15">
        <f t="shared" si="0"/>
        <v>1</v>
      </c>
      <c r="M27" s="14">
        <f>INDEX('BIO WAHYU'!B:E,MATCH(DATA!D27,'BIO WAHYU'!B:B,0),4)</f>
        <v>1</v>
      </c>
    </row>
    <row r="28" spans="1:13">
      <c r="A28" s="1" t="s">
        <v>1</v>
      </c>
      <c r="B28" s="1" t="s">
        <v>3</v>
      </c>
      <c r="C28" s="1" t="s">
        <v>38</v>
      </c>
      <c r="D28" s="7">
        <v>416191</v>
      </c>
      <c r="E28" s="1" t="s">
        <v>10</v>
      </c>
      <c r="F28" s="10">
        <f>_xlfn.IFNA(INDEX('LMTD OSA | 3GB'!A:C,MATCH(DATA!D28,'LMTD OSA | 3GB'!A:A,0),2),0)</f>
        <v>3</v>
      </c>
      <c r="G28" s="10">
        <f>INDEX('LMTD OSA | 3GB'!A:C,MATCH(DATA!D28,'LMTD OSA | 3GB'!A:A,0),3)</f>
        <v>1021900</v>
      </c>
      <c r="H28" s="11">
        <f>INDEX('MTD OSA | 3GB'!B:D,MATCH(DATA!D28,'MTD OSA | 3GB'!B:B,0),2)</f>
        <v>3</v>
      </c>
      <c r="I28" s="12">
        <f>INDEX('MTD OSA | 3GB'!B:D,MATCH(DATA!D28,'MTD OSA | 3GB'!B:B,0),3)</f>
        <v>513200</v>
      </c>
      <c r="J28" s="12">
        <f>INDEX(BIO!A:E,MATCH(DATA!D28,BIO!A:A,0),3)</f>
        <v>1</v>
      </c>
      <c r="K28" s="14">
        <f>INDEX(BIO!A:E,MATCH(DATA!D28,BIO!A:A,0),2)</f>
        <v>0</v>
      </c>
      <c r="L28" s="15">
        <f t="shared" si="0"/>
        <v>0</v>
      </c>
      <c r="M28" s="14">
        <f>INDEX('BIO WAHYU'!B:E,MATCH(DATA!D28,'BIO WAHYU'!B:B,0),4)</f>
        <v>1</v>
      </c>
    </row>
    <row r="29" spans="1:13">
      <c r="A29" s="1" t="s">
        <v>1</v>
      </c>
      <c r="B29" s="1" t="s">
        <v>3</v>
      </c>
      <c r="C29" s="1" t="s">
        <v>39</v>
      </c>
      <c r="D29" s="7">
        <v>484741</v>
      </c>
      <c r="E29" s="1" t="s">
        <v>10</v>
      </c>
      <c r="F29" s="10">
        <f>_xlfn.IFNA(INDEX('LMTD OSA | 3GB'!A:C,MATCH(DATA!D29,'LMTD OSA | 3GB'!A:A,0),2),0)</f>
        <v>3</v>
      </c>
      <c r="G29" s="10">
        <f>INDEX('LMTD OSA | 3GB'!A:C,MATCH(DATA!D29,'LMTD OSA | 3GB'!A:A,0),3)</f>
        <v>3000000</v>
      </c>
      <c r="H29" s="11">
        <f>INDEX('MTD OSA | 3GB'!B:D,MATCH(DATA!D29,'MTD OSA | 3GB'!B:B,0),2)</f>
        <v>0</v>
      </c>
      <c r="I29" s="12">
        <f>INDEX('MTD OSA | 3GB'!B:D,MATCH(DATA!D29,'MTD OSA | 3GB'!B:B,0),3)</f>
        <v>2000000</v>
      </c>
      <c r="J29" s="12">
        <f>INDEX(BIO!A:E,MATCH(DATA!D29,BIO!A:A,0),3)</f>
        <v>1</v>
      </c>
      <c r="K29" s="14">
        <f>INDEX(BIO!A:E,MATCH(DATA!D29,BIO!A:A,0),2)</f>
        <v>0</v>
      </c>
      <c r="L29" s="15">
        <f t="shared" si="0"/>
        <v>0</v>
      </c>
      <c r="M29" s="14">
        <f>INDEX('BIO WAHYU'!B:E,MATCH(DATA!D29,'BIO WAHYU'!B:B,0),4)</f>
        <v>1</v>
      </c>
    </row>
    <row r="30" spans="1:13">
      <c r="A30" s="1" t="s">
        <v>1</v>
      </c>
      <c r="B30" s="1" t="s">
        <v>3</v>
      </c>
      <c r="C30" s="1" t="s">
        <v>40</v>
      </c>
      <c r="D30" s="7">
        <v>486638</v>
      </c>
      <c r="E30" s="1" t="s">
        <v>10</v>
      </c>
      <c r="F30" s="10">
        <f>_xlfn.IFNA(INDEX('LMTD OSA | 3GB'!A:C,MATCH(DATA!D30,'LMTD OSA | 3GB'!A:A,0),2),0)</f>
        <v>3</v>
      </c>
      <c r="G30" s="10">
        <f>INDEX('LMTD OSA | 3GB'!A:C,MATCH(DATA!D30,'LMTD OSA | 3GB'!A:A,0),3)</f>
        <v>1100000</v>
      </c>
      <c r="H30" s="11">
        <f>INDEX('MTD OSA | 3GB'!B:D,MATCH(DATA!D30,'MTD OSA | 3GB'!B:B,0),2)</f>
        <v>0</v>
      </c>
      <c r="I30" s="12">
        <f>INDEX('MTD OSA | 3GB'!B:D,MATCH(DATA!D30,'MTD OSA | 3GB'!B:B,0),3)</f>
        <v>3400000</v>
      </c>
      <c r="J30" s="12">
        <f>INDEX(BIO!A:E,MATCH(DATA!D30,BIO!A:A,0),3)</f>
        <v>1</v>
      </c>
      <c r="K30" s="14">
        <f>INDEX(BIO!A:E,MATCH(DATA!D30,BIO!A:A,0),2)</f>
        <v>1</v>
      </c>
      <c r="L30" s="15">
        <f t="shared" si="0"/>
        <v>0</v>
      </c>
      <c r="M30" s="14">
        <f>INDEX('BIO WAHYU'!B:E,MATCH(DATA!D30,'BIO WAHYU'!B:B,0),4)</f>
        <v>2</v>
      </c>
    </row>
    <row r="31" spans="1:13">
      <c r="A31" s="1" t="s">
        <v>1</v>
      </c>
      <c r="B31" s="1" t="s">
        <v>3</v>
      </c>
      <c r="C31" s="1" t="s">
        <v>41</v>
      </c>
      <c r="D31" s="7">
        <v>491288</v>
      </c>
      <c r="E31" s="1" t="s">
        <v>10</v>
      </c>
      <c r="F31" s="10">
        <f>_xlfn.IFNA(INDEX('LMTD OSA | 3GB'!A:C,MATCH(DATA!D31,'LMTD OSA | 3GB'!A:A,0),2),0)</f>
        <v>3</v>
      </c>
      <c r="G31" s="10">
        <f>INDEX('LMTD OSA | 3GB'!A:C,MATCH(DATA!D31,'LMTD OSA | 3GB'!A:A,0),3)</f>
        <v>700000</v>
      </c>
      <c r="H31" s="11">
        <f>INDEX('MTD OSA | 3GB'!B:D,MATCH(DATA!D31,'MTD OSA | 3GB'!B:B,0),2)</f>
        <v>2</v>
      </c>
      <c r="I31" s="12">
        <f>INDEX('MTD OSA | 3GB'!B:D,MATCH(DATA!D31,'MTD OSA | 3GB'!B:B,0),3)</f>
        <v>470500</v>
      </c>
      <c r="J31" s="12">
        <f>INDEX(BIO!A:E,MATCH(DATA!D31,BIO!A:A,0),3)</f>
        <v>1</v>
      </c>
      <c r="K31" s="14">
        <f>INDEX(BIO!A:E,MATCH(DATA!D31,BIO!A:A,0),2)</f>
        <v>0</v>
      </c>
      <c r="L31" s="15">
        <f t="shared" si="0"/>
        <v>0</v>
      </c>
      <c r="M31" s="14">
        <f>INDEX('BIO WAHYU'!B:E,MATCH(DATA!D31,'BIO WAHYU'!B:B,0),4)</f>
        <v>0</v>
      </c>
    </row>
    <row r="32" spans="1:13">
      <c r="A32" s="1" t="s">
        <v>1</v>
      </c>
      <c r="B32" s="1" t="s">
        <v>3</v>
      </c>
      <c r="C32" s="1" t="s">
        <v>42</v>
      </c>
      <c r="D32" s="7">
        <v>501643</v>
      </c>
      <c r="E32" s="1" t="s">
        <v>10</v>
      </c>
      <c r="F32" s="10">
        <f>_xlfn.IFNA(INDEX('LMTD OSA | 3GB'!A:C,MATCH(DATA!D32,'LMTD OSA | 3GB'!A:A,0),2),0)</f>
        <v>1</v>
      </c>
      <c r="G32" s="10">
        <f>INDEX('LMTD OSA | 3GB'!A:C,MATCH(DATA!D32,'LMTD OSA | 3GB'!A:A,0),3)</f>
        <v>9458000</v>
      </c>
      <c r="H32" s="11">
        <f>INDEX('MTD OSA | 3GB'!B:D,MATCH(DATA!D32,'MTD OSA | 3GB'!B:B,0),2)</f>
        <v>3</v>
      </c>
      <c r="I32" s="12">
        <f>INDEX('MTD OSA | 3GB'!B:D,MATCH(DATA!D32,'MTD OSA | 3GB'!B:B,0),3)</f>
        <v>9600000</v>
      </c>
      <c r="J32" s="12">
        <f>INDEX(BIO!A:E,MATCH(DATA!D32,BIO!A:A,0),3)</f>
        <v>1</v>
      </c>
      <c r="K32" s="14">
        <f>INDEX(BIO!A:E,MATCH(DATA!D32,BIO!A:A,0),2)</f>
        <v>0</v>
      </c>
      <c r="L32" s="15">
        <f t="shared" si="0"/>
        <v>0</v>
      </c>
      <c r="M32" s="14">
        <f>INDEX('BIO WAHYU'!B:E,MATCH(DATA!D32,'BIO WAHYU'!B:B,0),4)</f>
        <v>0</v>
      </c>
    </row>
    <row r="33" spans="1:13">
      <c r="A33" s="1" t="s">
        <v>1</v>
      </c>
      <c r="B33" s="1" t="s">
        <v>3</v>
      </c>
      <c r="C33" s="1" t="s">
        <v>43</v>
      </c>
      <c r="D33" s="7">
        <v>519286</v>
      </c>
      <c r="E33" s="1" t="s">
        <v>10</v>
      </c>
      <c r="F33" s="10">
        <f>_xlfn.IFNA(INDEX('LMTD OSA | 3GB'!A:C,MATCH(DATA!D33,'LMTD OSA | 3GB'!A:A,0),2),0)</f>
        <v>32</v>
      </c>
      <c r="G33" s="10">
        <f>INDEX('LMTD OSA | 3GB'!A:C,MATCH(DATA!D33,'LMTD OSA | 3GB'!A:A,0),3)</f>
        <v>7684000</v>
      </c>
      <c r="H33" s="11">
        <f>INDEX('MTD OSA | 3GB'!B:D,MATCH(DATA!D33,'MTD OSA | 3GB'!B:B,0),2)</f>
        <v>3</v>
      </c>
      <c r="I33" s="12">
        <f>INDEX('MTD OSA | 3GB'!B:D,MATCH(DATA!D33,'MTD OSA | 3GB'!B:B,0),3)</f>
        <v>1009000</v>
      </c>
      <c r="J33" s="12">
        <f>INDEX(BIO!A:E,MATCH(DATA!D33,BIO!A:A,0),3)</f>
        <v>1</v>
      </c>
      <c r="K33" s="14">
        <f>INDEX(BIO!A:E,MATCH(DATA!D33,BIO!A:A,0),2)</f>
        <v>1</v>
      </c>
      <c r="L33" s="15">
        <f t="shared" si="0"/>
        <v>0</v>
      </c>
      <c r="M33" s="14">
        <f>INDEX('BIO WAHYU'!B:E,MATCH(DATA!D33,'BIO WAHYU'!B:B,0),4)</f>
        <v>0</v>
      </c>
    </row>
    <row r="34" spans="1:13">
      <c r="A34" s="1" t="s">
        <v>1</v>
      </c>
      <c r="B34" s="1" t="s">
        <v>3</v>
      </c>
      <c r="C34" s="1" t="s">
        <v>44</v>
      </c>
      <c r="D34" s="7">
        <v>522623</v>
      </c>
      <c r="E34" s="1" t="s">
        <v>10</v>
      </c>
      <c r="F34" s="10">
        <f>_xlfn.IFNA(INDEX('LMTD OSA | 3GB'!A:C,MATCH(DATA!D34,'LMTD OSA | 3GB'!A:A,0),2),0)</f>
        <v>3</v>
      </c>
      <c r="G34" s="10">
        <f>INDEX('LMTD OSA | 3GB'!A:C,MATCH(DATA!D34,'LMTD OSA | 3GB'!A:A,0),3)</f>
        <v>6930000</v>
      </c>
      <c r="H34" s="11">
        <f>INDEX('MTD OSA | 3GB'!B:D,MATCH(DATA!D34,'MTD OSA | 3GB'!B:B,0),2)</f>
        <v>13</v>
      </c>
      <c r="I34" s="12">
        <f>INDEX('MTD OSA | 3GB'!B:D,MATCH(DATA!D34,'MTD OSA | 3GB'!B:B,0),3)</f>
        <v>1414000</v>
      </c>
      <c r="J34" s="12">
        <f>INDEX(BIO!A:E,MATCH(DATA!D34,BIO!A:A,0),3)</f>
        <v>1</v>
      </c>
      <c r="K34" s="14">
        <f>INDEX(BIO!A:E,MATCH(DATA!D34,BIO!A:A,0),2)</f>
        <v>10</v>
      </c>
      <c r="L34" s="15">
        <f t="shared" si="0"/>
        <v>9</v>
      </c>
      <c r="M34" s="14">
        <f>INDEX('BIO WAHYU'!B:E,MATCH(DATA!D34,'BIO WAHYU'!B:B,0),4)</f>
        <v>1</v>
      </c>
    </row>
    <row r="35" spans="1:13">
      <c r="A35" s="1" t="s">
        <v>1</v>
      </c>
      <c r="B35" s="1" t="s">
        <v>3</v>
      </c>
      <c r="C35" s="1" t="s">
        <v>45</v>
      </c>
      <c r="D35" s="7">
        <v>523194</v>
      </c>
      <c r="E35" s="1" t="s">
        <v>10</v>
      </c>
      <c r="F35" s="10">
        <f>_xlfn.IFNA(INDEX('LMTD OSA | 3GB'!A:C,MATCH(DATA!D35,'LMTD OSA | 3GB'!A:A,0),2),0)</f>
        <v>3</v>
      </c>
      <c r="G35" s="10">
        <f>INDEX('LMTD OSA | 3GB'!A:C,MATCH(DATA!D35,'LMTD OSA | 3GB'!A:A,0),3)</f>
        <v>308000</v>
      </c>
      <c r="H35" s="11">
        <f>INDEX('MTD OSA | 3GB'!B:D,MATCH(DATA!D35,'MTD OSA | 3GB'!B:B,0),2)</f>
        <v>1</v>
      </c>
      <c r="I35" s="12">
        <f>INDEX('MTD OSA | 3GB'!B:D,MATCH(DATA!D35,'MTD OSA | 3GB'!B:B,0),3)</f>
        <v>200000</v>
      </c>
      <c r="J35" s="12">
        <f>INDEX(BIO!A:E,MATCH(DATA!D35,BIO!A:A,0),3)</f>
        <v>2</v>
      </c>
      <c r="K35" s="14">
        <f>INDEX(BIO!A:E,MATCH(DATA!D35,BIO!A:A,0),2)</f>
        <v>1</v>
      </c>
      <c r="L35" s="15">
        <f t="shared" si="0"/>
        <v>0</v>
      </c>
      <c r="M35" s="14">
        <f>INDEX('BIO WAHYU'!B:E,MATCH(DATA!D35,'BIO WAHYU'!B:B,0),4)</f>
        <v>0</v>
      </c>
    </row>
    <row r="36" spans="1:13">
      <c r="A36" s="1" t="s">
        <v>1</v>
      </c>
      <c r="B36" s="1" t="s">
        <v>3</v>
      </c>
      <c r="C36" s="1" t="s">
        <v>46</v>
      </c>
      <c r="D36" s="7">
        <v>523935</v>
      </c>
      <c r="E36" s="1" t="s">
        <v>10</v>
      </c>
      <c r="F36" s="10">
        <f>_xlfn.IFNA(INDEX('LMTD OSA | 3GB'!A:C,MATCH(DATA!D36,'LMTD OSA | 3GB'!A:A,0),2),0)</f>
        <v>3</v>
      </c>
      <c r="G36" s="10">
        <f>INDEX('LMTD OSA | 3GB'!A:C,MATCH(DATA!D36,'LMTD OSA | 3GB'!A:A,0),3)</f>
        <v>5100000</v>
      </c>
      <c r="H36" s="11">
        <f>INDEX('MTD OSA | 3GB'!B:D,MATCH(DATA!D36,'MTD OSA | 3GB'!B:B,0),2)</f>
        <v>0</v>
      </c>
      <c r="I36" s="12">
        <f>INDEX('MTD OSA | 3GB'!B:D,MATCH(DATA!D36,'MTD OSA | 3GB'!B:B,0),3)</f>
        <v>4250000</v>
      </c>
      <c r="J36" s="12">
        <f>INDEX(BIO!A:E,MATCH(DATA!D36,BIO!A:A,0),3)</f>
        <v>1</v>
      </c>
      <c r="K36" s="14">
        <f>INDEX(BIO!A:E,MATCH(DATA!D36,BIO!A:A,0),2)</f>
        <v>0</v>
      </c>
      <c r="L36" s="15">
        <f t="shared" si="0"/>
        <v>0</v>
      </c>
      <c r="M36" s="14">
        <f>INDEX('BIO WAHYU'!B:E,MATCH(DATA!D36,'BIO WAHYU'!B:B,0),4)</f>
        <v>0</v>
      </c>
    </row>
    <row r="37" spans="1:13">
      <c r="A37" s="1" t="s">
        <v>1</v>
      </c>
      <c r="B37" s="1" t="s">
        <v>3</v>
      </c>
      <c r="C37" s="1" t="s">
        <v>47</v>
      </c>
      <c r="D37" s="7">
        <v>523938</v>
      </c>
      <c r="E37" s="1" t="s">
        <v>10</v>
      </c>
      <c r="F37" s="10">
        <f>_xlfn.IFNA(INDEX('LMTD OSA | 3GB'!A:C,MATCH(DATA!D37,'LMTD OSA | 3GB'!A:A,0),2),0)</f>
        <v>3</v>
      </c>
      <c r="G37" s="10">
        <f>INDEX('LMTD OSA | 3GB'!A:C,MATCH(DATA!D37,'LMTD OSA | 3GB'!A:A,0),3)</f>
        <v>1631000</v>
      </c>
      <c r="H37" s="11">
        <f>INDEX('MTD OSA | 3GB'!B:D,MATCH(DATA!D37,'MTD OSA | 3GB'!B:B,0),2)</f>
        <v>0</v>
      </c>
      <c r="I37" s="12">
        <f>INDEX('MTD OSA | 3GB'!B:D,MATCH(DATA!D37,'MTD OSA | 3GB'!B:B,0),3)</f>
        <v>220500</v>
      </c>
      <c r="J37" s="12">
        <f>INDEX(BIO!A:E,MATCH(DATA!D37,BIO!A:A,0),3)</f>
        <v>1</v>
      </c>
      <c r="K37" s="14">
        <f>INDEX(BIO!A:E,MATCH(DATA!D37,BIO!A:A,0),2)</f>
        <v>0</v>
      </c>
      <c r="L37" s="15">
        <f t="shared" si="0"/>
        <v>0</v>
      </c>
      <c r="M37" s="14">
        <f>INDEX('BIO WAHYU'!B:E,MATCH(DATA!D37,'BIO WAHYU'!B:B,0),4)</f>
        <v>0</v>
      </c>
    </row>
    <row r="38" spans="1:13">
      <c r="A38" s="1" t="s">
        <v>1</v>
      </c>
      <c r="B38" s="1" t="s">
        <v>3</v>
      </c>
      <c r="C38" s="1" t="s">
        <v>48</v>
      </c>
      <c r="D38" s="7">
        <v>524281</v>
      </c>
      <c r="E38" s="1" t="s">
        <v>10</v>
      </c>
      <c r="F38" s="10">
        <f>_xlfn.IFNA(INDEX('LMTD OSA | 3GB'!A:C,MATCH(DATA!D38,'LMTD OSA | 3GB'!A:A,0),2),0)</f>
        <v>3</v>
      </c>
      <c r="G38" s="10">
        <f>INDEX('LMTD OSA | 3GB'!A:C,MATCH(DATA!D38,'LMTD OSA | 3GB'!A:A,0),3)</f>
        <v>29000</v>
      </c>
      <c r="H38" s="11">
        <f>INDEX('MTD OSA | 3GB'!B:D,MATCH(DATA!D38,'MTD OSA | 3GB'!B:B,0),2)</f>
        <v>0</v>
      </c>
      <c r="I38" s="12">
        <f>INDEX('MTD OSA | 3GB'!B:D,MATCH(DATA!D38,'MTD OSA | 3GB'!B:B,0),3)</f>
        <v>300000</v>
      </c>
      <c r="J38" s="12">
        <f>INDEX(BIO!A:E,MATCH(DATA!D38,BIO!A:A,0),3)</f>
        <v>1</v>
      </c>
      <c r="K38" s="14">
        <f>INDEX(BIO!A:E,MATCH(DATA!D38,BIO!A:A,0),2)</f>
        <v>0</v>
      </c>
      <c r="L38" s="15">
        <f t="shared" si="0"/>
        <v>0</v>
      </c>
      <c r="M38" s="14">
        <f>INDEX('BIO WAHYU'!B:E,MATCH(DATA!D38,'BIO WAHYU'!B:B,0),4)</f>
        <v>0</v>
      </c>
    </row>
    <row r="39" spans="1:13">
      <c r="A39" s="1" t="s">
        <v>1</v>
      </c>
      <c r="B39" s="1" t="s">
        <v>3</v>
      </c>
      <c r="C39" s="1" t="s">
        <v>49</v>
      </c>
      <c r="D39" s="7">
        <v>524283</v>
      </c>
      <c r="E39" s="1" t="s">
        <v>10</v>
      </c>
      <c r="F39" s="10">
        <f>_xlfn.IFNA(INDEX('LMTD OSA | 3GB'!A:C,MATCH(DATA!D39,'LMTD OSA | 3GB'!A:A,0),2),0)</f>
        <v>1</v>
      </c>
      <c r="G39" s="10">
        <f>INDEX('LMTD OSA | 3GB'!A:C,MATCH(DATA!D39,'LMTD OSA | 3GB'!A:A,0),3)</f>
        <v>427000</v>
      </c>
      <c r="H39" s="11">
        <f>INDEX('MTD OSA | 3GB'!B:D,MATCH(DATA!D39,'MTD OSA | 3GB'!B:B,0),2)</f>
        <v>0</v>
      </c>
      <c r="I39" s="12">
        <f>INDEX('MTD OSA | 3GB'!B:D,MATCH(DATA!D39,'MTD OSA | 3GB'!B:B,0),3)</f>
        <v>141000</v>
      </c>
      <c r="J39" s="12">
        <f>INDEX(BIO!A:E,MATCH(DATA!D39,BIO!A:A,0),3)</f>
        <v>1</v>
      </c>
      <c r="K39" s="14">
        <f>INDEX(BIO!A:E,MATCH(DATA!D39,BIO!A:A,0),2)</f>
        <v>0</v>
      </c>
      <c r="L39" s="15">
        <f t="shared" si="0"/>
        <v>0</v>
      </c>
      <c r="M39" s="14">
        <f>INDEX('BIO WAHYU'!B:E,MATCH(DATA!D39,'BIO WAHYU'!B:B,0),4)</f>
        <v>0</v>
      </c>
    </row>
    <row r="40" spans="1:13">
      <c r="A40" s="1" t="s">
        <v>1</v>
      </c>
      <c r="B40" s="1" t="s">
        <v>3</v>
      </c>
      <c r="C40" s="1" t="s">
        <v>50</v>
      </c>
      <c r="D40" s="7">
        <v>525590</v>
      </c>
      <c r="E40" s="1" t="s">
        <v>10</v>
      </c>
      <c r="F40" s="10">
        <f>_xlfn.IFNA(INDEX('LMTD OSA | 3GB'!A:C,MATCH(DATA!D40,'LMTD OSA | 3GB'!A:A,0),2),0)</f>
        <v>11</v>
      </c>
      <c r="G40" s="10">
        <f>INDEX('LMTD OSA | 3GB'!A:C,MATCH(DATA!D40,'LMTD OSA | 3GB'!A:A,0),3)</f>
        <v>6983500</v>
      </c>
      <c r="H40" s="11">
        <f>INDEX('MTD OSA | 3GB'!B:D,MATCH(DATA!D40,'MTD OSA | 3GB'!B:B,0),2)</f>
        <v>4</v>
      </c>
      <c r="I40" s="12">
        <f>INDEX('MTD OSA | 3GB'!B:D,MATCH(DATA!D40,'MTD OSA | 3GB'!B:B,0),3)</f>
        <v>9369000</v>
      </c>
      <c r="J40" s="12">
        <f>INDEX(BIO!A:E,MATCH(DATA!D40,BIO!A:A,0),3)</f>
        <v>2</v>
      </c>
      <c r="K40" s="14">
        <f>INDEX(BIO!A:E,MATCH(DATA!D40,BIO!A:A,0),2)</f>
        <v>1</v>
      </c>
      <c r="L40" s="15">
        <f t="shared" si="0"/>
        <v>0</v>
      </c>
      <c r="M40" s="14">
        <f>INDEX('BIO WAHYU'!B:E,MATCH(DATA!D40,'BIO WAHYU'!B:B,0),4)</f>
        <v>0</v>
      </c>
    </row>
    <row r="41" spans="1:13">
      <c r="A41" s="1" t="s">
        <v>1</v>
      </c>
      <c r="B41" s="1" t="s">
        <v>3</v>
      </c>
      <c r="C41" s="1" t="s">
        <v>51</v>
      </c>
      <c r="D41" s="7">
        <v>530058</v>
      </c>
      <c r="E41" s="1" t="s">
        <v>10</v>
      </c>
      <c r="F41" s="10">
        <f>_xlfn.IFNA(INDEX('LMTD OSA | 3GB'!A:C,MATCH(DATA!D41,'LMTD OSA | 3GB'!A:A,0),2),0)</f>
        <v>3</v>
      </c>
      <c r="G41" s="10">
        <f>INDEX('LMTD OSA | 3GB'!A:C,MATCH(DATA!D41,'LMTD OSA | 3GB'!A:A,0),3)</f>
        <v>3058000</v>
      </c>
      <c r="H41" s="11">
        <f>INDEX('MTD OSA | 3GB'!B:D,MATCH(DATA!D41,'MTD OSA | 3GB'!B:B,0),2)</f>
        <v>0</v>
      </c>
      <c r="I41" s="12">
        <f>INDEX('MTD OSA | 3GB'!B:D,MATCH(DATA!D41,'MTD OSA | 3GB'!B:B,0),3)</f>
        <v>2300000</v>
      </c>
      <c r="J41" s="12">
        <f>INDEX(BIO!A:E,MATCH(DATA!D41,BIO!A:A,0),3)</f>
        <v>1</v>
      </c>
      <c r="K41" s="14">
        <f>INDEX(BIO!A:E,MATCH(DATA!D41,BIO!A:A,0),2)</f>
        <v>1</v>
      </c>
      <c r="L41" s="15">
        <f t="shared" si="0"/>
        <v>0</v>
      </c>
      <c r="M41" s="14">
        <f>INDEX('BIO WAHYU'!B:E,MATCH(DATA!D41,'BIO WAHYU'!B:B,0),4)</f>
        <v>4</v>
      </c>
    </row>
    <row r="42" spans="1:13">
      <c r="A42" s="1" t="s">
        <v>1</v>
      </c>
      <c r="B42" s="1" t="s">
        <v>3</v>
      </c>
      <c r="C42" s="1" t="s">
        <v>52</v>
      </c>
      <c r="D42" s="7">
        <v>535790</v>
      </c>
      <c r="E42" s="1" t="s">
        <v>10</v>
      </c>
      <c r="F42" s="10">
        <f>_xlfn.IFNA(INDEX('LMTD OSA | 3GB'!A:C,MATCH(DATA!D42,'LMTD OSA | 3GB'!A:A,0),2),0)</f>
        <v>3</v>
      </c>
      <c r="G42" s="10">
        <f>INDEX('LMTD OSA | 3GB'!A:C,MATCH(DATA!D42,'LMTD OSA | 3GB'!A:A,0),3)</f>
        <v>4100000</v>
      </c>
      <c r="H42" s="11">
        <f>INDEX('MTD OSA | 3GB'!B:D,MATCH(DATA!D42,'MTD OSA | 3GB'!B:B,0),2)</f>
        <v>3</v>
      </c>
      <c r="I42" s="12">
        <f>INDEX('MTD OSA | 3GB'!B:D,MATCH(DATA!D42,'MTD OSA | 3GB'!B:B,0),3)</f>
        <v>2300000</v>
      </c>
      <c r="J42" s="12">
        <f>INDEX(BIO!A:E,MATCH(DATA!D42,BIO!A:A,0),3)</f>
        <v>1</v>
      </c>
      <c r="K42" s="14">
        <f>INDEX(BIO!A:E,MATCH(DATA!D42,BIO!A:A,0),2)</f>
        <v>4</v>
      </c>
      <c r="L42" s="15">
        <f t="shared" si="0"/>
        <v>3</v>
      </c>
      <c r="M42" s="14">
        <f>INDEX('BIO WAHYU'!B:E,MATCH(DATA!D42,'BIO WAHYU'!B:B,0),4)</f>
        <v>2</v>
      </c>
    </row>
    <row r="43" spans="1:13">
      <c r="A43" s="1" t="s">
        <v>1</v>
      </c>
      <c r="B43" s="1" t="s">
        <v>3</v>
      </c>
      <c r="C43" s="1" t="s">
        <v>53</v>
      </c>
      <c r="D43" s="7">
        <v>542823</v>
      </c>
      <c r="E43" s="1" t="s">
        <v>15</v>
      </c>
      <c r="F43" s="10">
        <f>_xlfn.IFNA(INDEX('LMTD OSA | 3GB'!A:C,MATCH(DATA!D43,'LMTD OSA | 3GB'!A:A,0),2),0)</f>
        <v>3</v>
      </c>
      <c r="G43" s="10">
        <f>INDEX('LMTD OSA | 3GB'!A:C,MATCH(DATA!D43,'LMTD OSA | 3GB'!A:A,0),3)</f>
        <v>766000</v>
      </c>
      <c r="H43" s="11">
        <f>INDEX('MTD OSA | 3GB'!B:D,MATCH(DATA!D43,'MTD OSA | 3GB'!B:B,0),2)</f>
        <v>6</v>
      </c>
      <c r="I43" s="12">
        <f>INDEX('MTD OSA | 3GB'!B:D,MATCH(DATA!D43,'MTD OSA | 3GB'!B:B,0),3)</f>
        <v>700000</v>
      </c>
      <c r="J43" s="12">
        <f>INDEX(BIO!A:E,MATCH(DATA!D43,BIO!A:A,0),3)</f>
        <v>1</v>
      </c>
      <c r="K43" s="14">
        <f>INDEX(BIO!A:E,MATCH(DATA!D43,BIO!A:A,0),2)</f>
        <v>2</v>
      </c>
      <c r="L43" s="15">
        <f t="shared" si="0"/>
        <v>1</v>
      </c>
      <c r="M43" s="14">
        <f>INDEX('BIO WAHYU'!B:E,MATCH(DATA!D43,'BIO WAHYU'!B:B,0),4)</f>
        <v>2</v>
      </c>
    </row>
    <row r="44" spans="1:13">
      <c r="A44" s="1" t="s">
        <v>1</v>
      </c>
      <c r="B44" s="1" t="s">
        <v>3</v>
      </c>
      <c r="C44" s="1" t="s">
        <v>54</v>
      </c>
      <c r="D44" s="7">
        <v>549259</v>
      </c>
      <c r="E44" s="1" t="s">
        <v>10</v>
      </c>
      <c r="F44" s="10">
        <f>_xlfn.IFNA(INDEX('LMTD OSA | 3GB'!A:C,MATCH(DATA!D44,'LMTD OSA | 3GB'!A:A,0),2),0)</f>
        <v>0</v>
      </c>
      <c r="G44" s="10">
        <f>INDEX('LMTD OSA | 3GB'!A:C,MATCH(DATA!D44,'LMTD OSA | 3GB'!A:A,0),3)</f>
        <v>0</v>
      </c>
      <c r="H44" s="11">
        <f>INDEX('MTD OSA | 3GB'!B:D,MATCH(DATA!D44,'MTD OSA | 3GB'!B:B,0),2)</f>
        <v>0</v>
      </c>
      <c r="I44" s="12">
        <f>INDEX('MTD OSA | 3GB'!B:D,MATCH(DATA!D44,'MTD OSA | 3GB'!B:B,0),3)</f>
        <v>1000</v>
      </c>
      <c r="J44" s="12">
        <f>INDEX(BIO!A:E,MATCH(DATA!D44,BIO!A:A,0),3)</f>
        <v>0</v>
      </c>
      <c r="K44" s="14">
        <f>INDEX(BIO!A:E,MATCH(DATA!D44,BIO!A:A,0),2)</f>
        <v>0</v>
      </c>
      <c r="L44" s="15">
        <f t="shared" si="0"/>
        <v>0</v>
      </c>
      <c r="M44" s="14">
        <f>INDEX('BIO WAHYU'!B:E,MATCH(DATA!D44,'BIO WAHYU'!B:B,0),4)</f>
        <v>0</v>
      </c>
    </row>
    <row r="45" spans="1:13">
      <c r="A45" s="1" t="s">
        <v>1</v>
      </c>
      <c r="B45" s="1" t="s">
        <v>3</v>
      </c>
      <c r="C45" s="1" t="s">
        <v>55</v>
      </c>
      <c r="D45" s="7">
        <v>571174</v>
      </c>
      <c r="E45" s="1" t="s">
        <v>10</v>
      </c>
      <c r="F45" s="10">
        <f>_xlfn.IFNA(INDEX('LMTD OSA | 3GB'!A:C,MATCH(DATA!D45,'LMTD OSA | 3GB'!A:A,0),2),0)</f>
        <v>1</v>
      </c>
      <c r="G45" s="10">
        <f>INDEX('LMTD OSA | 3GB'!A:C,MATCH(DATA!D45,'LMTD OSA | 3GB'!A:A,0),3)</f>
        <v>3475500</v>
      </c>
      <c r="H45" s="11">
        <f>INDEX('MTD OSA | 3GB'!B:D,MATCH(DATA!D45,'MTD OSA | 3GB'!B:B,0),2)</f>
        <v>3</v>
      </c>
      <c r="I45" s="12">
        <f>INDEX('MTD OSA | 3GB'!B:D,MATCH(DATA!D45,'MTD OSA | 3GB'!B:B,0),3)</f>
        <v>610500</v>
      </c>
      <c r="J45" s="12">
        <f>INDEX(BIO!A:E,MATCH(DATA!D45,BIO!A:A,0),3)</f>
        <v>1</v>
      </c>
      <c r="K45" s="14">
        <f>INDEX(BIO!A:E,MATCH(DATA!D45,BIO!A:A,0),2)</f>
        <v>0</v>
      </c>
      <c r="L45" s="15">
        <f t="shared" si="0"/>
        <v>0</v>
      </c>
      <c r="M45" s="14">
        <f>INDEX('BIO WAHYU'!B:E,MATCH(DATA!D45,'BIO WAHYU'!B:B,0),4)</f>
        <v>0</v>
      </c>
    </row>
    <row r="46" spans="1:13">
      <c r="A46" s="1" t="s">
        <v>1</v>
      </c>
      <c r="B46" s="1" t="s">
        <v>3</v>
      </c>
      <c r="C46" s="1" t="s">
        <v>56</v>
      </c>
      <c r="D46" s="7">
        <v>62086</v>
      </c>
      <c r="E46" s="1" t="s">
        <v>10</v>
      </c>
      <c r="F46" s="10">
        <f>_xlfn.IFNA(INDEX('LMTD OSA | 3GB'!A:C,MATCH(DATA!D46,'LMTD OSA | 3GB'!A:A,0),2),0)</f>
        <v>0</v>
      </c>
      <c r="G46" s="10">
        <f>INDEX('LMTD OSA | 3GB'!A:C,MATCH(DATA!D46,'LMTD OSA | 3GB'!A:A,0),3)</f>
        <v>0</v>
      </c>
      <c r="H46" s="11">
        <f>INDEX('MTD OSA | 3GB'!B:D,MATCH(DATA!D46,'MTD OSA | 3GB'!B:B,0),2)</f>
        <v>3</v>
      </c>
      <c r="I46" s="12">
        <f>INDEX('MTD OSA | 3GB'!B:D,MATCH(DATA!D46,'MTD OSA | 3GB'!B:B,0),3)</f>
        <v>100000</v>
      </c>
      <c r="J46" s="12">
        <f>INDEX(BIO!A:E,MATCH(DATA!D46,BIO!A:A,0),3)</f>
        <v>0</v>
      </c>
      <c r="K46" s="14">
        <f>INDEX(BIO!A:E,MATCH(DATA!D46,BIO!A:A,0),2)</f>
        <v>0</v>
      </c>
      <c r="L46" s="15">
        <f t="shared" si="0"/>
        <v>0</v>
      </c>
      <c r="M46" s="14">
        <f>INDEX('BIO WAHYU'!B:E,MATCH(DATA!D46,'BIO WAHYU'!B:B,0),4)</f>
        <v>0</v>
      </c>
    </row>
    <row r="47" spans="1:13">
      <c r="A47" s="1" t="s">
        <v>1</v>
      </c>
      <c r="B47" s="1" t="s">
        <v>3</v>
      </c>
      <c r="C47" s="1" t="s">
        <v>57</v>
      </c>
      <c r="D47" s="7">
        <v>63887</v>
      </c>
      <c r="E47" s="1" t="s">
        <v>15</v>
      </c>
      <c r="F47" s="10">
        <f>_xlfn.IFNA(INDEX('LMTD OSA | 3GB'!A:C,MATCH(DATA!D47,'LMTD OSA | 3GB'!A:A,0),2),0)</f>
        <v>0</v>
      </c>
      <c r="G47" s="10">
        <f>INDEX('LMTD OSA | 3GB'!A:C,MATCH(DATA!D47,'LMTD OSA | 3GB'!A:A,0),3)</f>
        <v>1800000</v>
      </c>
      <c r="H47" s="11">
        <f>INDEX('MTD OSA | 3GB'!B:D,MATCH(DATA!D47,'MTD OSA | 3GB'!B:B,0),2)</f>
        <v>0</v>
      </c>
      <c r="I47" s="12">
        <f>INDEX('MTD OSA | 3GB'!B:D,MATCH(DATA!D47,'MTD OSA | 3GB'!B:B,0),3)</f>
        <v>500000</v>
      </c>
      <c r="J47" s="12">
        <f>INDEX(BIO!A:E,MATCH(DATA!D47,BIO!A:A,0),3)</f>
        <v>0</v>
      </c>
      <c r="K47" s="14">
        <f>INDEX(BIO!A:E,MATCH(DATA!D47,BIO!A:A,0),2)</f>
        <v>1</v>
      </c>
      <c r="L47" s="15">
        <f t="shared" si="0"/>
        <v>1</v>
      </c>
      <c r="M47" s="14">
        <f>INDEX('BIO WAHYU'!B:E,MATCH(DATA!D47,'BIO WAHYU'!B:B,0),4)</f>
        <v>0</v>
      </c>
    </row>
    <row r="48" spans="1:13">
      <c r="A48" s="1" t="s">
        <v>1</v>
      </c>
      <c r="B48" s="1" t="s">
        <v>4</v>
      </c>
      <c r="C48" s="1" t="s">
        <v>58</v>
      </c>
      <c r="D48" s="7">
        <v>116871</v>
      </c>
      <c r="E48" s="1" t="s">
        <v>29</v>
      </c>
      <c r="F48" s="10">
        <f>_xlfn.IFNA(INDEX('LMTD OSA | 3GB'!A:C,MATCH(DATA!D48,'LMTD OSA | 3GB'!A:A,0),2),0)</f>
        <v>3</v>
      </c>
      <c r="G48" s="10">
        <f>INDEX('LMTD OSA | 3GB'!A:C,MATCH(DATA!D48,'LMTD OSA | 3GB'!A:A,0),3)</f>
        <v>26116000</v>
      </c>
      <c r="H48" s="11">
        <f>INDEX('MTD OSA | 3GB'!B:D,MATCH(DATA!D48,'MTD OSA | 3GB'!B:B,0),2)</f>
        <v>57</v>
      </c>
      <c r="I48" s="12">
        <f>INDEX('MTD OSA | 3GB'!B:D,MATCH(DATA!D48,'MTD OSA | 3GB'!B:B,0),3)</f>
        <v>30058000</v>
      </c>
      <c r="J48" s="12">
        <f>INDEX(BIO!A:E,MATCH(DATA!D48,BIO!A:A,0),3)</f>
        <v>2</v>
      </c>
      <c r="K48" s="14">
        <f>INDEX(BIO!A:E,MATCH(DATA!D48,BIO!A:A,0),2)</f>
        <v>9</v>
      </c>
      <c r="L48" s="15">
        <f t="shared" si="0"/>
        <v>7</v>
      </c>
      <c r="M48" s="14">
        <f>INDEX('BIO WAHYU'!B:E,MATCH(DATA!D48,'BIO WAHYU'!B:B,0),4)</f>
        <v>6</v>
      </c>
    </row>
    <row r="49" spans="1:13">
      <c r="A49" s="1" t="s">
        <v>1</v>
      </c>
      <c r="B49" s="1" t="s">
        <v>4</v>
      </c>
      <c r="C49" s="1" t="s">
        <v>59</v>
      </c>
      <c r="D49" s="7">
        <v>12295542</v>
      </c>
      <c r="E49" s="1" t="s">
        <v>10</v>
      </c>
      <c r="F49" s="10">
        <f>_xlfn.IFNA(INDEX('LMTD OSA | 3GB'!A:C,MATCH(DATA!D49,'LMTD OSA | 3GB'!A:A,0),2),0)</f>
        <v>0</v>
      </c>
      <c r="G49" s="10">
        <f>INDEX('LMTD OSA | 3GB'!A:C,MATCH(DATA!D49,'LMTD OSA | 3GB'!A:A,0),3)</f>
        <v>34616800</v>
      </c>
      <c r="H49" s="11">
        <f>INDEX('MTD OSA | 3GB'!B:D,MATCH(DATA!D49,'MTD OSA | 3GB'!B:B,0),2)</f>
        <v>12</v>
      </c>
      <c r="I49" s="12">
        <f>INDEX('MTD OSA | 3GB'!B:D,MATCH(DATA!D49,'MTD OSA | 3GB'!B:B,0),3)</f>
        <v>7860000</v>
      </c>
      <c r="J49" s="12">
        <f>INDEX(BIO!A:E,MATCH(DATA!D49,BIO!A:A,0),3)</f>
        <v>1</v>
      </c>
      <c r="K49" s="14">
        <f>INDEX(BIO!A:E,MATCH(DATA!D49,BIO!A:A,0),2)</f>
        <v>2</v>
      </c>
      <c r="L49" s="15">
        <f t="shared" si="0"/>
        <v>1</v>
      </c>
      <c r="M49" s="14">
        <f>INDEX('BIO WAHYU'!B:E,MATCH(DATA!D49,'BIO WAHYU'!B:B,0),4)</f>
        <v>3</v>
      </c>
    </row>
    <row r="50" spans="1:13">
      <c r="A50" s="1" t="s">
        <v>1</v>
      </c>
      <c r="B50" s="1" t="s">
        <v>4</v>
      </c>
      <c r="C50" s="1" t="s">
        <v>60</v>
      </c>
      <c r="D50" s="7">
        <v>12295717</v>
      </c>
      <c r="E50" s="1" t="s">
        <v>10</v>
      </c>
      <c r="F50" s="10">
        <f>_xlfn.IFNA(INDEX('LMTD OSA | 3GB'!A:C,MATCH(DATA!D50,'LMTD OSA | 3GB'!A:A,0),2),0)</f>
        <v>5</v>
      </c>
      <c r="G50" s="10">
        <f>INDEX('LMTD OSA | 3GB'!A:C,MATCH(DATA!D50,'LMTD OSA | 3GB'!A:A,0),3)</f>
        <v>100000</v>
      </c>
      <c r="H50" s="11">
        <f>INDEX('MTD OSA | 3GB'!B:D,MATCH(DATA!D50,'MTD OSA | 3GB'!B:B,0),2)</f>
        <v>3</v>
      </c>
      <c r="I50" s="12">
        <f>INDEX('MTD OSA | 3GB'!B:D,MATCH(DATA!D50,'MTD OSA | 3GB'!B:B,0),3)</f>
        <v>50000</v>
      </c>
      <c r="J50" s="12">
        <f>INDEX(BIO!A:E,MATCH(DATA!D50,BIO!A:A,0),3)</f>
        <v>1</v>
      </c>
      <c r="K50" s="14">
        <f>INDEX(BIO!A:E,MATCH(DATA!D50,BIO!A:A,0),2)</f>
        <v>1</v>
      </c>
      <c r="L50" s="15">
        <f t="shared" si="0"/>
        <v>0</v>
      </c>
      <c r="M50" s="14">
        <f>INDEX('BIO WAHYU'!B:E,MATCH(DATA!D50,'BIO WAHYU'!B:B,0),4)</f>
        <v>0</v>
      </c>
    </row>
    <row r="51" spans="1:13">
      <c r="A51" s="1" t="s">
        <v>1</v>
      </c>
      <c r="B51" s="1" t="s">
        <v>4</v>
      </c>
      <c r="C51" s="1" t="s">
        <v>61</v>
      </c>
      <c r="D51" s="7">
        <v>12295887</v>
      </c>
      <c r="E51" s="1" t="s">
        <v>10</v>
      </c>
      <c r="F51" s="10">
        <f>_xlfn.IFNA(INDEX('LMTD OSA | 3GB'!A:C,MATCH(DATA!D51,'LMTD OSA | 3GB'!A:A,0),2),0)</f>
        <v>0</v>
      </c>
      <c r="G51" s="10">
        <f>INDEX('LMTD OSA | 3GB'!A:C,MATCH(DATA!D51,'LMTD OSA | 3GB'!A:A,0),3)</f>
        <v>0</v>
      </c>
      <c r="H51" s="11">
        <f>INDEX('MTD OSA | 3GB'!B:D,MATCH(DATA!D51,'MTD OSA | 3GB'!B:B,0),2)</f>
        <v>4</v>
      </c>
      <c r="I51" s="12">
        <f>INDEX('MTD OSA | 3GB'!B:D,MATCH(DATA!D51,'MTD OSA | 3GB'!B:B,0),3)</f>
        <v>2122000</v>
      </c>
      <c r="J51" s="12">
        <f>INDEX(BIO!A:E,MATCH(DATA!D51,BIO!A:A,0),3)</f>
        <v>0</v>
      </c>
      <c r="K51" s="14">
        <f>INDEX(BIO!A:E,MATCH(DATA!D51,BIO!A:A,0),2)</f>
        <v>1</v>
      </c>
      <c r="L51" s="15">
        <f t="shared" si="0"/>
        <v>1</v>
      </c>
      <c r="M51" s="14">
        <f>INDEX('BIO WAHYU'!B:E,MATCH(DATA!D51,'BIO WAHYU'!B:B,0),4)</f>
        <v>0</v>
      </c>
    </row>
    <row r="52" spans="1:13">
      <c r="A52" s="1" t="s">
        <v>1</v>
      </c>
      <c r="B52" s="1" t="s">
        <v>4</v>
      </c>
      <c r="C52" s="1" t="s">
        <v>62</v>
      </c>
      <c r="D52" s="7">
        <v>12312295</v>
      </c>
      <c r="E52" s="1" t="s">
        <v>10</v>
      </c>
      <c r="F52" s="10">
        <f>_xlfn.IFNA(INDEX('LMTD OSA | 3GB'!A:C,MATCH(DATA!D52,'LMTD OSA | 3GB'!A:A,0),2),0)</f>
        <v>0</v>
      </c>
      <c r="G52" s="10">
        <f>INDEX('LMTD OSA | 3GB'!A:C,MATCH(DATA!D52,'LMTD OSA | 3GB'!A:A,0),3)</f>
        <v>10523500</v>
      </c>
      <c r="H52" s="11">
        <f>INDEX('MTD OSA | 3GB'!B:D,MATCH(DATA!D52,'MTD OSA | 3GB'!B:B,0),2)</f>
        <v>4</v>
      </c>
      <c r="I52" s="12">
        <f>INDEX('MTD OSA | 3GB'!B:D,MATCH(DATA!D52,'MTD OSA | 3GB'!B:B,0),3)</f>
        <v>0</v>
      </c>
      <c r="J52" s="12">
        <f>INDEX(BIO!A:E,MATCH(DATA!D52,BIO!A:A,0),3)</f>
        <v>2</v>
      </c>
      <c r="K52" s="14">
        <f>INDEX(BIO!A:E,MATCH(DATA!D52,BIO!A:A,0),2)</f>
        <v>1</v>
      </c>
      <c r="L52" s="15">
        <f t="shared" si="0"/>
        <v>0</v>
      </c>
      <c r="M52" s="14">
        <f>INDEX('BIO WAHYU'!B:E,MATCH(DATA!D52,'BIO WAHYU'!B:B,0),4)</f>
        <v>0</v>
      </c>
    </row>
    <row r="53" spans="1:13">
      <c r="A53" s="1" t="s">
        <v>1</v>
      </c>
      <c r="B53" s="1" t="s">
        <v>4</v>
      </c>
      <c r="C53" s="1" t="s">
        <v>63</v>
      </c>
      <c r="D53" s="7">
        <v>12322237</v>
      </c>
      <c r="E53" s="1" t="s">
        <v>15</v>
      </c>
      <c r="F53" s="10">
        <f>_xlfn.IFNA(INDEX('LMTD OSA | 3GB'!A:C,MATCH(DATA!D53,'LMTD OSA | 3GB'!A:A,0),2),0)</f>
        <v>1</v>
      </c>
      <c r="G53" s="10">
        <f>INDEX('LMTD OSA | 3GB'!A:C,MATCH(DATA!D53,'LMTD OSA | 3GB'!A:A,0),3)</f>
        <v>0</v>
      </c>
      <c r="H53" s="11">
        <f>INDEX('MTD OSA | 3GB'!B:D,MATCH(DATA!D53,'MTD OSA | 3GB'!B:B,0),2)</f>
        <v>0</v>
      </c>
      <c r="I53" s="12">
        <f>INDEX('MTD OSA | 3GB'!B:D,MATCH(DATA!D53,'MTD OSA | 3GB'!B:B,0),3)</f>
        <v>0</v>
      </c>
      <c r="J53" s="12">
        <f>INDEX(BIO!A:E,MATCH(DATA!D53,BIO!A:A,0),3)</f>
        <v>1</v>
      </c>
      <c r="K53" s="14">
        <f>INDEX(BIO!A:E,MATCH(DATA!D53,BIO!A:A,0),2)</f>
        <v>1</v>
      </c>
      <c r="L53" s="15">
        <f t="shared" si="0"/>
        <v>0</v>
      </c>
      <c r="M53" s="14">
        <f>INDEX('BIO WAHYU'!B:E,MATCH(DATA!D53,'BIO WAHYU'!B:B,0),4)</f>
        <v>1</v>
      </c>
    </row>
    <row r="54" spans="1:13">
      <c r="A54" s="1" t="s">
        <v>1</v>
      </c>
      <c r="B54" s="1" t="s">
        <v>4</v>
      </c>
      <c r="C54" s="1" t="s">
        <v>64</v>
      </c>
      <c r="D54" s="7">
        <v>12322483</v>
      </c>
      <c r="E54" s="1" t="s">
        <v>15</v>
      </c>
      <c r="F54" s="10">
        <f>_xlfn.IFNA(INDEX('LMTD OSA | 3GB'!A:C,MATCH(DATA!D54,'LMTD OSA | 3GB'!A:A,0),2),0)</f>
        <v>0</v>
      </c>
      <c r="G54" s="10">
        <f>INDEX('LMTD OSA | 3GB'!A:C,MATCH(DATA!D54,'LMTD OSA | 3GB'!A:A,0),3)</f>
        <v>0</v>
      </c>
      <c r="H54" s="11">
        <f>INDEX('MTD OSA | 3GB'!B:D,MATCH(DATA!D54,'MTD OSA | 3GB'!B:B,0),2)</f>
        <v>5</v>
      </c>
      <c r="I54" s="12">
        <f>INDEX('MTD OSA | 3GB'!B:D,MATCH(DATA!D54,'MTD OSA | 3GB'!B:B,0),3)</f>
        <v>1000</v>
      </c>
      <c r="J54" s="12">
        <f>INDEX(BIO!A:E,MATCH(DATA!D54,BIO!A:A,0),3)</f>
        <v>0</v>
      </c>
      <c r="K54" s="14">
        <f>INDEX(BIO!A:E,MATCH(DATA!D54,BIO!A:A,0),2)</f>
        <v>1</v>
      </c>
      <c r="L54" s="15">
        <f t="shared" si="0"/>
        <v>1</v>
      </c>
      <c r="M54" s="14">
        <f>INDEX('BIO WAHYU'!B:E,MATCH(DATA!D54,'BIO WAHYU'!B:B,0),4)</f>
        <v>0</v>
      </c>
    </row>
    <row r="55" spans="1:13">
      <c r="A55" s="1" t="s">
        <v>1</v>
      </c>
      <c r="B55" s="1" t="s">
        <v>4</v>
      </c>
      <c r="C55" s="1" t="s">
        <v>65</v>
      </c>
      <c r="D55" s="7">
        <v>12323463</v>
      </c>
      <c r="E55" s="1" t="s">
        <v>10</v>
      </c>
      <c r="F55" s="10">
        <f>_xlfn.IFNA(INDEX('LMTD OSA | 3GB'!A:C,MATCH(DATA!D55,'LMTD OSA | 3GB'!A:A,0),2),0)</f>
        <v>102</v>
      </c>
      <c r="G55" s="10">
        <f>INDEX('LMTD OSA | 3GB'!A:C,MATCH(DATA!D55,'LMTD OSA | 3GB'!A:A,0),3)</f>
        <v>17855500</v>
      </c>
      <c r="H55" s="11">
        <f>INDEX('MTD OSA | 3GB'!B:D,MATCH(DATA!D55,'MTD OSA | 3GB'!B:B,0),2)</f>
        <v>39</v>
      </c>
      <c r="I55" s="12">
        <f>INDEX('MTD OSA | 3GB'!B:D,MATCH(DATA!D55,'MTD OSA | 3GB'!B:B,0),3)</f>
        <v>4340000</v>
      </c>
      <c r="J55" s="12">
        <f>INDEX(BIO!A:E,MATCH(DATA!D55,BIO!A:A,0),3)</f>
        <v>18</v>
      </c>
      <c r="K55" s="14">
        <f>INDEX(BIO!A:E,MATCH(DATA!D55,BIO!A:A,0),2)</f>
        <v>89</v>
      </c>
      <c r="L55" s="15">
        <f t="shared" si="0"/>
        <v>71</v>
      </c>
      <c r="M55" s="14">
        <f>INDEX('BIO WAHYU'!B:E,MATCH(DATA!D55,'BIO WAHYU'!B:B,0),4)</f>
        <v>3</v>
      </c>
    </row>
    <row r="56" spans="1:13">
      <c r="A56" s="1" t="s">
        <v>1</v>
      </c>
      <c r="B56" s="1" t="s">
        <v>4</v>
      </c>
      <c r="C56" s="1" t="s">
        <v>66</v>
      </c>
      <c r="D56" s="7">
        <v>12325263</v>
      </c>
      <c r="E56" s="1" t="s">
        <v>10</v>
      </c>
      <c r="F56" s="10">
        <f>_xlfn.IFNA(INDEX('LMTD OSA | 3GB'!A:C,MATCH(DATA!D56,'LMTD OSA | 3GB'!A:A,0),2),0)</f>
        <v>0</v>
      </c>
      <c r="G56" s="10">
        <f>INDEX('LMTD OSA | 3GB'!A:C,MATCH(DATA!D56,'LMTD OSA | 3GB'!A:A,0),3)</f>
        <v>0</v>
      </c>
      <c r="H56" s="11">
        <f>INDEX('MTD OSA | 3GB'!B:D,MATCH(DATA!D56,'MTD OSA | 3GB'!B:B,0),2)</f>
        <v>6</v>
      </c>
      <c r="I56" s="12">
        <f>INDEX('MTD OSA | 3GB'!B:D,MATCH(DATA!D56,'MTD OSA | 3GB'!B:B,0),3)</f>
        <v>7000</v>
      </c>
      <c r="J56" s="12">
        <f>INDEX(BIO!A:E,MATCH(DATA!D56,BIO!A:A,0),3)</f>
        <v>0</v>
      </c>
      <c r="K56" s="14">
        <f>INDEX(BIO!A:E,MATCH(DATA!D56,BIO!A:A,0),2)</f>
        <v>0</v>
      </c>
      <c r="L56" s="15">
        <f t="shared" si="0"/>
        <v>0</v>
      </c>
      <c r="M56" s="14">
        <f>INDEX('BIO WAHYU'!B:E,MATCH(DATA!D56,'BIO WAHYU'!B:B,0),4)</f>
        <v>0</v>
      </c>
    </row>
    <row r="57" spans="1:13">
      <c r="A57" s="1" t="s">
        <v>1</v>
      </c>
      <c r="B57" s="1" t="s">
        <v>4</v>
      </c>
      <c r="C57" s="1" t="s">
        <v>67</v>
      </c>
      <c r="D57" s="7">
        <v>126951</v>
      </c>
      <c r="E57" s="1" t="s">
        <v>10</v>
      </c>
      <c r="F57" s="10">
        <f>_xlfn.IFNA(INDEX('LMTD OSA | 3GB'!A:C,MATCH(DATA!D57,'LMTD OSA | 3GB'!A:A,0),2),0)</f>
        <v>3</v>
      </c>
      <c r="G57" s="10">
        <f>INDEX('LMTD OSA | 3GB'!A:C,MATCH(DATA!D57,'LMTD OSA | 3GB'!A:A,0),3)</f>
        <v>6000000</v>
      </c>
      <c r="H57" s="11">
        <f>INDEX('MTD OSA | 3GB'!B:D,MATCH(DATA!D57,'MTD OSA | 3GB'!B:B,0),2)</f>
        <v>0</v>
      </c>
      <c r="I57" s="12">
        <f>INDEX('MTD OSA | 3GB'!B:D,MATCH(DATA!D57,'MTD OSA | 3GB'!B:B,0),3)</f>
        <v>3000000</v>
      </c>
      <c r="J57" s="12">
        <f>INDEX(BIO!A:E,MATCH(DATA!D57,BIO!A:A,0),3)</f>
        <v>2</v>
      </c>
      <c r="K57" s="14">
        <f>INDEX(BIO!A:E,MATCH(DATA!D57,BIO!A:A,0),2)</f>
        <v>3</v>
      </c>
      <c r="L57" s="15">
        <f t="shared" si="0"/>
        <v>1</v>
      </c>
      <c r="M57" s="14">
        <f>INDEX('BIO WAHYU'!B:E,MATCH(DATA!D57,'BIO WAHYU'!B:B,0),4)</f>
        <v>2</v>
      </c>
    </row>
    <row r="58" spans="1:13">
      <c r="A58" s="1" t="s">
        <v>1</v>
      </c>
      <c r="B58" s="1" t="s">
        <v>4</v>
      </c>
      <c r="C58" s="1" t="s">
        <v>68</v>
      </c>
      <c r="D58" s="7">
        <v>126952</v>
      </c>
      <c r="E58" s="1" t="s">
        <v>15</v>
      </c>
      <c r="F58" s="10">
        <f>_xlfn.IFNA(INDEX('LMTD OSA | 3GB'!A:C,MATCH(DATA!D58,'LMTD OSA | 3GB'!A:A,0),2),0)</f>
        <v>0</v>
      </c>
      <c r="G58" s="10" t="e">
        <f>INDEX('LMTD OSA | 3GB'!A:C,MATCH(DATA!D58,'LMTD OSA | 3GB'!A:A,0),3)</f>
        <v>#N/A</v>
      </c>
      <c r="H58" s="11">
        <f>INDEX('MTD OSA | 3GB'!B:D,MATCH(DATA!D58,'MTD OSA | 3GB'!B:B,0),2)</f>
        <v>6</v>
      </c>
      <c r="I58" s="12">
        <f>INDEX('MTD OSA | 3GB'!B:D,MATCH(DATA!D58,'MTD OSA | 3GB'!B:B,0),3)</f>
        <v>86000</v>
      </c>
      <c r="J58" s="12">
        <f>INDEX(BIO!A:E,MATCH(DATA!D58,BIO!A:A,0),3)</f>
        <v>0</v>
      </c>
      <c r="K58" s="14">
        <f>INDEX(BIO!A:E,MATCH(DATA!D58,BIO!A:A,0),2)</f>
        <v>5</v>
      </c>
      <c r="L58" s="15">
        <f t="shared" si="0"/>
        <v>5</v>
      </c>
      <c r="M58" s="14">
        <f>INDEX('BIO WAHYU'!B:E,MATCH(DATA!D58,'BIO WAHYU'!B:B,0),4)</f>
        <v>0</v>
      </c>
    </row>
    <row r="59" spans="1:13">
      <c r="A59" s="1" t="s">
        <v>1</v>
      </c>
      <c r="B59" s="1" t="s">
        <v>4</v>
      </c>
      <c r="C59" s="1" t="s">
        <v>69</v>
      </c>
      <c r="D59" s="7">
        <v>195514</v>
      </c>
      <c r="E59" s="1" t="s">
        <v>10</v>
      </c>
      <c r="F59" s="10">
        <f>_xlfn.IFNA(INDEX('LMTD OSA | 3GB'!A:C,MATCH(DATA!D59,'LMTD OSA | 3GB'!A:A,0),2),0)</f>
        <v>3</v>
      </c>
      <c r="G59" s="10">
        <f>INDEX('LMTD OSA | 3GB'!A:C,MATCH(DATA!D59,'LMTD OSA | 3GB'!A:A,0),3)</f>
        <v>200000</v>
      </c>
      <c r="H59" s="11">
        <f>INDEX('MTD OSA | 3GB'!B:D,MATCH(DATA!D59,'MTD OSA | 3GB'!B:B,0),2)</f>
        <v>3</v>
      </c>
      <c r="I59" s="12">
        <f>INDEX('MTD OSA | 3GB'!B:D,MATCH(DATA!D59,'MTD OSA | 3GB'!B:B,0),3)</f>
        <v>50000</v>
      </c>
      <c r="J59" s="12">
        <f>INDEX(BIO!A:E,MATCH(DATA!D59,BIO!A:A,0),3)</f>
        <v>1</v>
      </c>
      <c r="K59" s="14">
        <f>INDEX(BIO!A:E,MATCH(DATA!D59,BIO!A:A,0),2)</f>
        <v>3</v>
      </c>
      <c r="L59" s="15">
        <f t="shared" si="0"/>
        <v>2</v>
      </c>
      <c r="M59" s="14">
        <f>INDEX('BIO WAHYU'!B:E,MATCH(DATA!D59,'BIO WAHYU'!B:B,0),4)</f>
        <v>0</v>
      </c>
    </row>
    <row r="60" spans="1:13">
      <c r="A60" s="1" t="s">
        <v>1</v>
      </c>
      <c r="B60" s="1" t="s">
        <v>4</v>
      </c>
      <c r="C60" s="1" t="s">
        <v>70</v>
      </c>
      <c r="D60" s="7">
        <v>199007</v>
      </c>
      <c r="E60" s="1" t="s">
        <v>15</v>
      </c>
      <c r="F60" s="10">
        <f>_xlfn.IFNA(INDEX('LMTD OSA | 3GB'!A:C,MATCH(DATA!D60,'LMTD OSA | 3GB'!A:A,0),2),0)</f>
        <v>0</v>
      </c>
      <c r="G60" s="10">
        <f>INDEX('LMTD OSA | 3GB'!A:C,MATCH(DATA!D60,'LMTD OSA | 3GB'!A:A,0),3)</f>
        <v>0</v>
      </c>
      <c r="H60" s="11">
        <f>INDEX('MTD OSA | 3GB'!B:D,MATCH(DATA!D60,'MTD OSA | 3GB'!B:B,0),2)</f>
        <v>6</v>
      </c>
      <c r="I60" s="12">
        <f>INDEX('MTD OSA | 3GB'!B:D,MATCH(DATA!D60,'MTD OSA | 3GB'!B:B,0),3)</f>
        <v>0</v>
      </c>
      <c r="J60" s="12">
        <f>INDEX(BIO!A:E,MATCH(DATA!D60,BIO!A:A,0),3)</f>
        <v>0</v>
      </c>
      <c r="K60" s="14">
        <f>INDEX(BIO!A:E,MATCH(DATA!D60,BIO!A:A,0),2)</f>
        <v>0</v>
      </c>
      <c r="L60" s="15">
        <f t="shared" si="0"/>
        <v>0</v>
      </c>
      <c r="M60" s="14">
        <f>INDEX('BIO WAHYU'!B:E,MATCH(DATA!D60,'BIO WAHYU'!B:B,0),4)</f>
        <v>0</v>
      </c>
    </row>
    <row r="61" spans="1:13">
      <c r="A61" s="1" t="s">
        <v>1</v>
      </c>
      <c r="B61" s="1" t="s">
        <v>4</v>
      </c>
      <c r="C61" s="1" t="s">
        <v>71</v>
      </c>
      <c r="D61" s="7">
        <v>199010</v>
      </c>
      <c r="E61" s="1" t="s">
        <v>10</v>
      </c>
      <c r="F61" s="10">
        <f>_xlfn.IFNA(INDEX('LMTD OSA | 3GB'!A:C,MATCH(DATA!D61,'LMTD OSA | 3GB'!A:A,0),2),0)</f>
        <v>3</v>
      </c>
      <c r="G61" s="10">
        <f>INDEX('LMTD OSA | 3GB'!A:C,MATCH(DATA!D61,'LMTD OSA | 3GB'!A:A,0),3)</f>
        <v>5050000</v>
      </c>
      <c r="H61" s="11">
        <f>INDEX('MTD OSA | 3GB'!B:D,MATCH(DATA!D61,'MTD OSA | 3GB'!B:B,0),2)</f>
        <v>0</v>
      </c>
      <c r="I61" s="12">
        <f>INDEX('MTD OSA | 3GB'!B:D,MATCH(DATA!D61,'MTD OSA | 3GB'!B:B,0),3)</f>
        <v>1750000</v>
      </c>
      <c r="J61" s="12">
        <f>INDEX(BIO!A:E,MATCH(DATA!D61,BIO!A:A,0),3)</f>
        <v>1</v>
      </c>
      <c r="K61" s="14">
        <f>INDEX(BIO!A:E,MATCH(DATA!D61,BIO!A:A,0),2)</f>
        <v>1</v>
      </c>
      <c r="L61" s="15">
        <f t="shared" si="0"/>
        <v>0</v>
      </c>
      <c r="M61" s="14">
        <f>INDEX('BIO WAHYU'!B:E,MATCH(DATA!D61,'BIO WAHYU'!B:B,0),4)</f>
        <v>0</v>
      </c>
    </row>
    <row r="62" spans="1:13">
      <c r="A62" s="1" t="s">
        <v>1</v>
      </c>
      <c r="B62" s="1" t="s">
        <v>4</v>
      </c>
      <c r="C62" s="1" t="s">
        <v>72</v>
      </c>
      <c r="D62" s="7">
        <v>199217</v>
      </c>
      <c r="E62" s="1" t="s">
        <v>10</v>
      </c>
      <c r="F62" s="10">
        <f>_xlfn.IFNA(INDEX('LMTD OSA | 3GB'!A:C,MATCH(DATA!D62,'LMTD OSA | 3GB'!A:A,0),2),0)</f>
        <v>3</v>
      </c>
      <c r="G62" s="10">
        <f>INDEX('LMTD OSA | 3GB'!A:C,MATCH(DATA!D62,'LMTD OSA | 3GB'!A:A,0),3)</f>
        <v>58000</v>
      </c>
      <c r="H62" s="11">
        <f>INDEX('MTD OSA | 3GB'!B:D,MATCH(DATA!D62,'MTD OSA | 3GB'!B:B,0),2)</f>
        <v>8</v>
      </c>
      <c r="I62" s="12">
        <f>INDEX('MTD OSA | 3GB'!B:D,MATCH(DATA!D62,'MTD OSA | 3GB'!B:B,0),3)</f>
        <v>3342000</v>
      </c>
      <c r="J62" s="12">
        <f>INDEX(BIO!A:E,MATCH(DATA!D62,BIO!A:A,0),3)</f>
        <v>1</v>
      </c>
      <c r="K62" s="14">
        <f>INDEX(BIO!A:E,MATCH(DATA!D62,BIO!A:A,0),2)</f>
        <v>2</v>
      </c>
      <c r="L62" s="15">
        <f t="shared" si="0"/>
        <v>1</v>
      </c>
      <c r="M62" s="14">
        <f>INDEX('BIO WAHYU'!B:E,MATCH(DATA!D62,'BIO WAHYU'!B:B,0),4)</f>
        <v>3</v>
      </c>
    </row>
    <row r="63" spans="1:13">
      <c r="A63" s="1" t="s">
        <v>1</v>
      </c>
      <c r="B63" s="1" t="s">
        <v>4</v>
      </c>
      <c r="C63" s="1" t="s">
        <v>73</v>
      </c>
      <c r="D63" s="7">
        <v>211794</v>
      </c>
      <c r="E63" s="1" t="s">
        <v>10</v>
      </c>
      <c r="F63" s="10">
        <f>_xlfn.IFNA(INDEX('LMTD OSA | 3GB'!A:C,MATCH(DATA!D63,'LMTD OSA | 3GB'!A:A,0),2),0)</f>
        <v>3</v>
      </c>
      <c r="G63" s="10">
        <f>INDEX('LMTD OSA | 3GB'!A:C,MATCH(DATA!D63,'LMTD OSA | 3GB'!A:A,0),3)</f>
        <v>1500000</v>
      </c>
      <c r="H63" s="11">
        <f>INDEX('MTD OSA | 3GB'!B:D,MATCH(DATA!D63,'MTD OSA | 3GB'!B:B,0),2)</f>
        <v>0</v>
      </c>
      <c r="I63" s="12">
        <f>INDEX('MTD OSA | 3GB'!B:D,MATCH(DATA!D63,'MTD OSA | 3GB'!B:B,0),3)</f>
        <v>950000</v>
      </c>
      <c r="J63" s="12">
        <f>INDEX(BIO!A:E,MATCH(DATA!D63,BIO!A:A,0),3)</f>
        <v>1</v>
      </c>
      <c r="K63" s="14">
        <f>INDEX(BIO!A:E,MATCH(DATA!D63,BIO!A:A,0),2)</f>
        <v>3</v>
      </c>
      <c r="L63" s="15">
        <f t="shared" si="0"/>
        <v>2</v>
      </c>
      <c r="M63" s="14">
        <f>INDEX('BIO WAHYU'!B:E,MATCH(DATA!D63,'BIO WAHYU'!B:B,0),4)</f>
        <v>1</v>
      </c>
    </row>
    <row r="64" spans="1:13">
      <c r="A64" s="1" t="s">
        <v>1</v>
      </c>
      <c r="B64" s="1" t="s">
        <v>4</v>
      </c>
      <c r="C64" s="1" t="s">
        <v>74</v>
      </c>
      <c r="D64" s="7">
        <v>222816</v>
      </c>
      <c r="E64" s="1" t="s">
        <v>10</v>
      </c>
      <c r="F64" s="10">
        <f>_xlfn.IFNA(INDEX('LMTD OSA | 3GB'!A:C,MATCH(DATA!D64,'LMTD OSA | 3GB'!A:A,0),2),0)</f>
        <v>3</v>
      </c>
      <c r="G64" s="10">
        <f>INDEX('LMTD OSA | 3GB'!A:C,MATCH(DATA!D64,'LMTD OSA | 3GB'!A:A,0),3)</f>
        <v>8800000</v>
      </c>
      <c r="H64" s="11">
        <f>INDEX('MTD OSA | 3GB'!B:D,MATCH(DATA!D64,'MTD OSA | 3GB'!B:B,0),2)</f>
        <v>0</v>
      </c>
      <c r="I64" s="12">
        <f>INDEX('MTD OSA | 3GB'!B:D,MATCH(DATA!D64,'MTD OSA | 3GB'!B:B,0),3)</f>
        <v>8800000</v>
      </c>
      <c r="J64" s="12">
        <f>INDEX(BIO!A:E,MATCH(DATA!D64,BIO!A:A,0),3)</f>
        <v>1</v>
      </c>
      <c r="K64" s="14">
        <f>INDEX(BIO!A:E,MATCH(DATA!D64,BIO!A:A,0),2)</f>
        <v>1</v>
      </c>
      <c r="L64" s="15">
        <f t="shared" si="0"/>
        <v>0</v>
      </c>
      <c r="M64" s="14">
        <f>INDEX('BIO WAHYU'!B:E,MATCH(DATA!D64,'BIO WAHYU'!B:B,0),4)</f>
        <v>3</v>
      </c>
    </row>
    <row r="65" spans="1:13">
      <c r="A65" s="1" t="s">
        <v>1</v>
      </c>
      <c r="B65" s="1" t="s">
        <v>4</v>
      </c>
      <c r="C65" s="1" t="s">
        <v>75</v>
      </c>
      <c r="D65" s="7">
        <v>228872</v>
      </c>
      <c r="E65" s="1" t="s">
        <v>10</v>
      </c>
      <c r="F65" s="10">
        <f>_xlfn.IFNA(INDEX('LMTD OSA | 3GB'!A:C,MATCH(DATA!D65,'LMTD OSA | 3GB'!A:A,0),2),0)</f>
        <v>8</v>
      </c>
      <c r="G65" s="10">
        <f>INDEX('LMTD OSA | 3GB'!A:C,MATCH(DATA!D65,'LMTD OSA | 3GB'!A:A,0),3)</f>
        <v>4000000</v>
      </c>
      <c r="H65" s="11">
        <f>INDEX('MTD OSA | 3GB'!B:D,MATCH(DATA!D65,'MTD OSA | 3GB'!B:B,0),2)</f>
        <v>3</v>
      </c>
      <c r="I65" s="12">
        <f>INDEX('MTD OSA | 3GB'!B:D,MATCH(DATA!D65,'MTD OSA | 3GB'!B:B,0),3)</f>
        <v>4500000</v>
      </c>
      <c r="J65" s="12">
        <f>INDEX(BIO!A:E,MATCH(DATA!D65,BIO!A:A,0),3)</f>
        <v>1</v>
      </c>
      <c r="K65" s="14">
        <f>INDEX(BIO!A:E,MATCH(DATA!D65,BIO!A:A,0),2)</f>
        <v>0</v>
      </c>
      <c r="L65" s="15">
        <f t="shared" si="0"/>
        <v>0</v>
      </c>
      <c r="M65" s="14">
        <f>INDEX('BIO WAHYU'!B:E,MATCH(DATA!D65,'BIO WAHYU'!B:B,0),4)</f>
        <v>0</v>
      </c>
    </row>
    <row r="66" spans="1:13">
      <c r="A66" s="1" t="s">
        <v>1</v>
      </c>
      <c r="B66" s="1" t="s">
        <v>4</v>
      </c>
      <c r="C66" s="1" t="s">
        <v>76</v>
      </c>
      <c r="D66" s="7">
        <v>229765</v>
      </c>
      <c r="E66" s="1" t="s">
        <v>10</v>
      </c>
      <c r="F66" s="10">
        <f>_xlfn.IFNA(INDEX('LMTD OSA | 3GB'!A:C,MATCH(DATA!D66,'LMTD OSA | 3GB'!A:A,0),2),0)</f>
        <v>3</v>
      </c>
      <c r="G66" s="10">
        <f>INDEX('LMTD OSA | 3GB'!A:C,MATCH(DATA!D66,'LMTD OSA | 3GB'!A:A,0),3)</f>
        <v>22000000</v>
      </c>
      <c r="H66" s="11">
        <f>INDEX('MTD OSA | 3GB'!B:D,MATCH(DATA!D66,'MTD OSA | 3GB'!B:B,0),2)</f>
        <v>12</v>
      </c>
      <c r="I66" s="12">
        <f>INDEX('MTD OSA | 3GB'!B:D,MATCH(DATA!D66,'MTD OSA | 3GB'!B:B,0),3)</f>
        <v>22000000</v>
      </c>
      <c r="J66" s="12">
        <f>INDEX(BIO!A:E,MATCH(DATA!D66,BIO!A:A,0),3)</f>
        <v>4</v>
      </c>
      <c r="K66" s="14">
        <f>INDEX(BIO!A:E,MATCH(DATA!D66,BIO!A:A,0),2)</f>
        <v>27</v>
      </c>
      <c r="L66" s="15">
        <f t="shared" si="0"/>
        <v>23</v>
      </c>
      <c r="M66" s="14">
        <f>INDEX('BIO WAHYU'!B:E,MATCH(DATA!D66,'BIO WAHYU'!B:B,0),4)</f>
        <v>3</v>
      </c>
    </row>
    <row r="67" spans="1:13">
      <c r="A67" s="1" t="s">
        <v>1</v>
      </c>
      <c r="B67" s="1" t="s">
        <v>4</v>
      </c>
      <c r="C67" s="1" t="s">
        <v>77</v>
      </c>
      <c r="D67" s="7">
        <v>231278</v>
      </c>
      <c r="E67" s="1" t="s">
        <v>10</v>
      </c>
      <c r="F67" s="10">
        <f>_xlfn.IFNA(INDEX('LMTD OSA | 3GB'!A:C,MATCH(DATA!D67,'LMTD OSA | 3GB'!A:A,0),2),0)</f>
        <v>0</v>
      </c>
      <c r="G67" s="10">
        <f>INDEX('LMTD OSA | 3GB'!A:C,MATCH(DATA!D67,'LMTD OSA | 3GB'!A:A,0),3)</f>
        <v>0</v>
      </c>
      <c r="H67" s="11">
        <f>INDEX('MTD OSA | 3GB'!B:D,MATCH(DATA!D67,'MTD OSA | 3GB'!B:B,0),2)</f>
        <v>1</v>
      </c>
      <c r="I67" s="12">
        <f>INDEX('MTD OSA | 3GB'!B:D,MATCH(DATA!D67,'MTD OSA | 3GB'!B:B,0),3)</f>
        <v>500000</v>
      </c>
      <c r="J67" s="12">
        <f>INDEX(BIO!A:E,MATCH(DATA!D67,BIO!A:A,0),3)</f>
        <v>1</v>
      </c>
      <c r="K67" s="14">
        <f>INDEX(BIO!A:E,MATCH(DATA!D67,BIO!A:A,0),2)</f>
        <v>0</v>
      </c>
      <c r="L67" s="15">
        <f t="shared" ref="L67:L130" si="1">IF(K67-J67&lt;=0,0,K67-J67)</f>
        <v>0</v>
      </c>
      <c r="M67" s="14">
        <f>INDEX('BIO WAHYU'!B:E,MATCH(DATA!D67,'BIO WAHYU'!B:B,0),4)</f>
        <v>0</v>
      </c>
    </row>
    <row r="68" spans="1:13">
      <c r="A68" s="1" t="s">
        <v>1</v>
      </c>
      <c r="B68" s="1" t="s">
        <v>4</v>
      </c>
      <c r="C68" s="1" t="s">
        <v>78</v>
      </c>
      <c r="D68" s="7">
        <v>246732</v>
      </c>
      <c r="E68" s="1" t="s">
        <v>10</v>
      </c>
      <c r="F68" s="10">
        <f>_xlfn.IFNA(INDEX('LMTD OSA | 3GB'!A:C,MATCH(DATA!D68,'LMTD OSA | 3GB'!A:A,0),2),0)</f>
        <v>3</v>
      </c>
      <c r="G68" s="10">
        <f>INDEX('LMTD OSA | 3GB'!A:C,MATCH(DATA!D68,'LMTD OSA | 3GB'!A:A,0),3)</f>
        <v>150000</v>
      </c>
      <c r="H68" s="11">
        <f>INDEX('MTD OSA | 3GB'!B:D,MATCH(DATA!D68,'MTD OSA | 3GB'!B:B,0),2)</f>
        <v>0</v>
      </c>
      <c r="I68" s="12">
        <f>INDEX('MTD OSA | 3GB'!B:D,MATCH(DATA!D68,'MTD OSA | 3GB'!B:B,0),3)</f>
        <v>200000</v>
      </c>
      <c r="J68" s="12">
        <f>INDEX(BIO!A:E,MATCH(DATA!D68,BIO!A:A,0),3)</f>
        <v>1</v>
      </c>
      <c r="K68" s="14">
        <f>INDEX(BIO!A:E,MATCH(DATA!D68,BIO!A:A,0),2)</f>
        <v>1</v>
      </c>
      <c r="L68" s="15">
        <f t="shared" si="1"/>
        <v>0</v>
      </c>
      <c r="M68" s="14">
        <f>INDEX('BIO WAHYU'!B:E,MATCH(DATA!D68,'BIO WAHYU'!B:B,0),4)</f>
        <v>0</v>
      </c>
    </row>
    <row r="69" spans="1:13">
      <c r="A69" s="1" t="s">
        <v>1</v>
      </c>
      <c r="B69" s="1" t="s">
        <v>4</v>
      </c>
      <c r="C69" s="1" t="s">
        <v>79</v>
      </c>
      <c r="D69" s="7">
        <v>278608</v>
      </c>
      <c r="E69" s="1" t="s">
        <v>10</v>
      </c>
      <c r="F69" s="10">
        <f>_xlfn.IFNA(INDEX('LMTD OSA | 3GB'!A:C,MATCH(DATA!D69,'LMTD OSA | 3GB'!A:A,0),2),0)</f>
        <v>11</v>
      </c>
      <c r="G69" s="10">
        <f>INDEX('LMTD OSA | 3GB'!A:C,MATCH(DATA!D69,'LMTD OSA | 3GB'!A:A,0),3)</f>
        <v>3600000</v>
      </c>
      <c r="H69" s="11">
        <f>INDEX('MTD OSA | 3GB'!B:D,MATCH(DATA!D69,'MTD OSA | 3GB'!B:B,0),2)</f>
        <v>3</v>
      </c>
      <c r="I69" s="12">
        <f>INDEX('MTD OSA | 3GB'!B:D,MATCH(DATA!D69,'MTD OSA | 3GB'!B:B,0),3)</f>
        <v>3850000</v>
      </c>
      <c r="J69" s="12">
        <f>INDEX(BIO!A:E,MATCH(DATA!D69,BIO!A:A,0),3)</f>
        <v>2</v>
      </c>
      <c r="K69" s="14">
        <f>INDEX(BIO!A:E,MATCH(DATA!D69,BIO!A:A,0),2)</f>
        <v>4</v>
      </c>
      <c r="L69" s="15">
        <f t="shared" si="1"/>
        <v>2</v>
      </c>
      <c r="M69" s="14">
        <f>INDEX('BIO WAHYU'!B:E,MATCH(DATA!D69,'BIO WAHYU'!B:B,0),4)</f>
        <v>6</v>
      </c>
    </row>
    <row r="70" spans="1:13">
      <c r="A70" s="1" t="s">
        <v>1</v>
      </c>
      <c r="B70" s="1" t="s">
        <v>4</v>
      </c>
      <c r="C70" s="1" t="s">
        <v>80</v>
      </c>
      <c r="D70" s="7">
        <v>292836</v>
      </c>
      <c r="E70" s="1" t="s">
        <v>10</v>
      </c>
      <c r="F70" s="10">
        <f>_xlfn.IFNA(INDEX('LMTD OSA | 3GB'!A:C,MATCH(DATA!D70,'LMTD OSA | 3GB'!A:A,0),2),0)</f>
        <v>0</v>
      </c>
      <c r="G70" s="10">
        <f>INDEX('LMTD OSA | 3GB'!A:C,MATCH(DATA!D70,'LMTD OSA | 3GB'!A:A,0),3)</f>
        <v>2000000</v>
      </c>
      <c r="H70" s="11">
        <f>INDEX('MTD OSA | 3GB'!B:D,MATCH(DATA!D70,'MTD OSA | 3GB'!B:B,0),2)</f>
        <v>0</v>
      </c>
      <c r="I70" s="12">
        <f>INDEX('MTD OSA | 3GB'!B:D,MATCH(DATA!D70,'MTD OSA | 3GB'!B:B,0),3)</f>
        <v>700000</v>
      </c>
      <c r="J70" s="12">
        <f>INDEX(BIO!A:E,MATCH(DATA!D70,BIO!A:A,0),3)</f>
        <v>0</v>
      </c>
      <c r="K70" s="14">
        <f>INDEX(BIO!A:E,MATCH(DATA!D70,BIO!A:A,0),2)</f>
        <v>0</v>
      </c>
      <c r="L70" s="15">
        <f t="shared" si="1"/>
        <v>0</v>
      </c>
      <c r="M70" s="14">
        <f>INDEX('BIO WAHYU'!B:E,MATCH(DATA!D70,'BIO WAHYU'!B:B,0),4)</f>
        <v>0</v>
      </c>
    </row>
    <row r="71" spans="1:13">
      <c r="A71" s="1" t="s">
        <v>1</v>
      </c>
      <c r="B71" s="1" t="s">
        <v>4</v>
      </c>
      <c r="C71" s="1" t="s">
        <v>81</v>
      </c>
      <c r="D71" s="7">
        <v>345691</v>
      </c>
      <c r="E71" s="1" t="s">
        <v>10</v>
      </c>
      <c r="F71" s="10">
        <f>_xlfn.IFNA(INDEX('LMTD OSA | 3GB'!A:C,MATCH(DATA!D71,'LMTD OSA | 3GB'!A:A,0),2),0)</f>
        <v>3</v>
      </c>
      <c r="G71" s="10">
        <f>INDEX('LMTD OSA | 3GB'!A:C,MATCH(DATA!D71,'LMTD OSA | 3GB'!A:A,0),3)</f>
        <v>2667000</v>
      </c>
      <c r="H71" s="11">
        <f>INDEX('MTD OSA | 3GB'!B:D,MATCH(DATA!D71,'MTD OSA | 3GB'!B:B,0),2)</f>
        <v>3</v>
      </c>
      <c r="I71" s="12">
        <f>INDEX('MTD OSA | 3GB'!B:D,MATCH(DATA!D71,'MTD OSA | 3GB'!B:B,0),3)</f>
        <v>2455000</v>
      </c>
      <c r="J71" s="12">
        <f>INDEX(BIO!A:E,MATCH(DATA!D71,BIO!A:A,0),3)</f>
        <v>2</v>
      </c>
      <c r="K71" s="14">
        <f>INDEX(BIO!A:E,MATCH(DATA!D71,BIO!A:A,0),2)</f>
        <v>1</v>
      </c>
      <c r="L71" s="15">
        <f t="shared" si="1"/>
        <v>0</v>
      </c>
      <c r="M71" s="14">
        <f>INDEX('BIO WAHYU'!B:E,MATCH(DATA!D71,'BIO WAHYU'!B:B,0),4)</f>
        <v>0</v>
      </c>
    </row>
    <row r="72" spans="1:13">
      <c r="A72" s="1" t="s">
        <v>1</v>
      </c>
      <c r="B72" s="1" t="s">
        <v>4</v>
      </c>
      <c r="C72" s="1" t="s">
        <v>82</v>
      </c>
      <c r="D72" s="7">
        <v>366702</v>
      </c>
      <c r="E72" s="1" t="s">
        <v>10</v>
      </c>
      <c r="F72" s="10">
        <f>_xlfn.IFNA(INDEX('LMTD OSA | 3GB'!A:C,MATCH(DATA!D72,'LMTD OSA | 3GB'!A:A,0),2),0)</f>
        <v>3</v>
      </c>
      <c r="G72" s="10">
        <f>INDEX('LMTD OSA | 3GB'!A:C,MATCH(DATA!D72,'LMTD OSA | 3GB'!A:A,0),3)</f>
        <v>8175000</v>
      </c>
      <c r="H72" s="11">
        <f>INDEX('MTD OSA | 3GB'!B:D,MATCH(DATA!D72,'MTD OSA | 3GB'!B:B,0),2)</f>
        <v>2</v>
      </c>
      <c r="I72" s="12">
        <f>INDEX('MTD OSA | 3GB'!B:D,MATCH(DATA!D72,'MTD OSA | 3GB'!B:B,0),3)</f>
        <v>7050000</v>
      </c>
      <c r="J72" s="12">
        <f>INDEX(BIO!A:E,MATCH(DATA!D72,BIO!A:A,0),3)</f>
        <v>1</v>
      </c>
      <c r="K72" s="14">
        <f>INDEX(BIO!A:E,MATCH(DATA!D72,BIO!A:A,0),2)</f>
        <v>1</v>
      </c>
      <c r="L72" s="15">
        <f t="shared" si="1"/>
        <v>0</v>
      </c>
      <c r="M72" s="14">
        <f>INDEX('BIO WAHYU'!B:E,MATCH(DATA!D72,'BIO WAHYU'!B:B,0),4)</f>
        <v>0</v>
      </c>
    </row>
    <row r="73" spans="1:13">
      <c r="A73" s="1" t="s">
        <v>1</v>
      </c>
      <c r="B73" s="1" t="s">
        <v>4</v>
      </c>
      <c r="C73" s="1" t="s">
        <v>83</v>
      </c>
      <c r="D73" s="7">
        <v>480658</v>
      </c>
      <c r="E73" s="1" t="s">
        <v>10</v>
      </c>
      <c r="F73" s="10">
        <f>_xlfn.IFNA(INDEX('LMTD OSA | 3GB'!A:C,MATCH(DATA!D73,'LMTD OSA | 3GB'!A:A,0),2),0)</f>
        <v>6</v>
      </c>
      <c r="G73" s="10">
        <f>INDEX('LMTD OSA | 3GB'!A:C,MATCH(DATA!D73,'LMTD OSA | 3GB'!A:A,0),3)</f>
        <v>1000000</v>
      </c>
      <c r="H73" s="11">
        <f>INDEX('MTD OSA | 3GB'!B:D,MATCH(DATA!D73,'MTD OSA | 3GB'!B:B,0),2)</f>
        <v>3</v>
      </c>
      <c r="I73" s="12">
        <f>INDEX('MTD OSA | 3GB'!B:D,MATCH(DATA!D73,'MTD OSA | 3GB'!B:B,0),3)</f>
        <v>700000</v>
      </c>
      <c r="J73" s="12">
        <f>INDEX(BIO!A:E,MATCH(DATA!D73,BIO!A:A,0),3)</f>
        <v>1</v>
      </c>
      <c r="K73" s="14">
        <f>INDEX(BIO!A:E,MATCH(DATA!D73,BIO!A:A,0),2)</f>
        <v>5</v>
      </c>
      <c r="L73" s="15">
        <f t="shared" si="1"/>
        <v>4</v>
      </c>
      <c r="M73" s="14">
        <f>INDEX('BIO WAHYU'!B:E,MATCH(DATA!D73,'BIO WAHYU'!B:B,0),4)</f>
        <v>0</v>
      </c>
    </row>
    <row r="74" spans="1:13">
      <c r="A74" s="1" t="s">
        <v>1</v>
      </c>
      <c r="B74" s="1" t="s">
        <v>4</v>
      </c>
      <c r="C74" s="1" t="s">
        <v>84</v>
      </c>
      <c r="D74" s="7">
        <v>503354</v>
      </c>
      <c r="E74" s="1" t="s">
        <v>10</v>
      </c>
      <c r="F74" s="10">
        <f>_xlfn.IFNA(INDEX('LMTD OSA | 3GB'!A:C,MATCH(DATA!D74,'LMTD OSA | 3GB'!A:A,0),2),0)</f>
        <v>2</v>
      </c>
      <c r="G74" s="10">
        <f>INDEX('LMTD OSA | 3GB'!A:C,MATCH(DATA!D74,'LMTD OSA | 3GB'!A:A,0),3)</f>
        <v>2300000</v>
      </c>
      <c r="H74" s="11">
        <f>INDEX('MTD OSA | 3GB'!B:D,MATCH(DATA!D74,'MTD OSA | 3GB'!B:B,0),2)</f>
        <v>5</v>
      </c>
      <c r="I74" s="12">
        <f>INDEX('MTD OSA | 3GB'!B:D,MATCH(DATA!D74,'MTD OSA | 3GB'!B:B,0),3)</f>
        <v>1950000</v>
      </c>
      <c r="J74" s="12">
        <f>INDEX(BIO!A:E,MATCH(DATA!D74,BIO!A:A,0),3)</f>
        <v>1</v>
      </c>
      <c r="K74" s="14">
        <f>INDEX(BIO!A:E,MATCH(DATA!D74,BIO!A:A,0),2)</f>
        <v>2</v>
      </c>
      <c r="L74" s="15">
        <f t="shared" si="1"/>
        <v>1</v>
      </c>
      <c r="M74" s="14">
        <f>INDEX('BIO WAHYU'!B:E,MATCH(DATA!D74,'BIO WAHYU'!B:B,0),4)</f>
        <v>0</v>
      </c>
    </row>
    <row r="75" spans="1:13">
      <c r="A75" s="1" t="s">
        <v>1</v>
      </c>
      <c r="B75" s="1" t="s">
        <v>4</v>
      </c>
      <c r="C75" s="1" t="s">
        <v>85</v>
      </c>
      <c r="D75" s="7">
        <v>503633</v>
      </c>
      <c r="E75" s="1" t="s">
        <v>10</v>
      </c>
      <c r="F75" s="10">
        <f>_xlfn.IFNA(INDEX('LMTD OSA | 3GB'!A:C,MATCH(DATA!D75,'LMTD OSA | 3GB'!A:A,0),2),0)</f>
        <v>3</v>
      </c>
      <c r="G75" s="10">
        <f>INDEX('LMTD OSA | 3GB'!A:C,MATCH(DATA!D75,'LMTD OSA | 3GB'!A:A,0),3)</f>
        <v>350000</v>
      </c>
      <c r="H75" s="11">
        <f>INDEX('MTD OSA | 3GB'!B:D,MATCH(DATA!D75,'MTD OSA | 3GB'!B:B,0),2)</f>
        <v>0</v>
      </c>
      <c r="I75" s="12">
        <f>INDEX('MTD OSA | 3GB'!B:D,MATCH(DATA!D75,'MTD OSA | 3GB'!B:B,0),3)</f>
        <v>200000</v>
      </c>
      <c r="J75" s="12">
        <f>INDEX(BIO!A:E,MATCH(DATA!D75,BIO!A:A,0),3)</f>
        <v>1</v>
      </c>
      <c r="K75" s="14">
        <f>INDEX(BIO!A:E,MATCH(DATA!D75,BIO!A:A,0),2)</f>
        <v>0</v>
      </c>
      <c r="L75" s="15">
        <f t="shared" si="1"/>
        <v>0</v>
      </c>
      <c r="M75" s="14">
        <f>INDEX('BIO WAHYU'!B:E,MATCH(DATA!D75,'BIO WAHYU'!B:B,0),4)</f>
        <v>0</v>
      </c>
    </row>
    <row r="76" spans="1:13">
      <c r="A76" s="1" t="s">
        <v>1</v>
      </c>
      <c r="B76" s="1" t="s">
        <v>4</v>
      </c>
      <c r="C76" s="1" t="s">
        <v>86</v>
      </c>
      <c r="D76" s="7">
        <v>503866</v>
      </c>
      <c r="E76" s="1" t="s">
        <v>10</v>
      </c>
      <c r="F76" s="10">
        <f>_xlfn.IFNA(INDEX('LMTD OSA | 3GB'!A:C,MATCH(DATA!D76,'LMTD OSA | 3GB'!A:A,0),2),0)</f>
        <v>3</v>
      </c>
      <c r="G76" s="10">
        <f>INDEX('LMTD OSA | 3GB'!A:C,MATCH(DATA!D76,'LMTD OSA | 3GB'!A:A,0),3)</f>
        <v>4508000</v>
      </c>
      <c r="H76" s="11">
        <f>INDEX('MTD OSA | 3GB'!B:D,MATCH(DATA!D76,'MTD OSA | 3GB'!B:B,0),2)</f>
        <v>6</v>
      </c>
      <c r="I76" s="12">
        <f>INDEX('MTD OSA | 3GB'!B:D,MATCH(DATA!D76,'MTD OSA | 3GB'!B:B,0),3)</f>
        <v>3600000</v>
      </c>
      <c r="J76" s="12">
        <f>INDEX(BIO!A:E,MATCH(DATA!D76,BIO!A:A,0),3)</f>
        <v>1</v>
      </c>
      <c r="K76" s="14">
        <f>INDEX(BIO!A:E,MATCH(DATA!D76,BIO!A:A,0),2)</f>
        <v>4</v>
      </c>
      <c r="L76" s="15">
        <f t="shared" si="1"/>
        <v>3</v>
      </c>
      <c r="M76" s="14">
        <f>INDEX('BIO WAHYU'!B:E,MATCH(DATA!D76,'BIO WAHYU'!B:B,0),4)</f>
        <v>0</v>
      </c>
    </row>
    <row r="77" spans="1:13">
      <c r="A77" s="1" t="s">
        <v>1</v>
      </c>
      <c r="B77" s="1" t="s">
        <v>4</v>
      </c>
      <c r="C77" s="1" t="s">
        <v>87</v>
      </c>
      <c r="D77" s="7">
        <v>510053</v>
      </c>
      <c r="E77" s="1" t="s">
        <v>10</v>
      </c>
      <c r="F77" s="10">
        <f>_xlfn.IFNA(INDEX('LMTD OSA | 3GB'!A:C,MATCH(DATA!D77,'LMTD OSA | 3GB'!A:A,0),2),0)</f>
        <v>3</v>
      </c>
      <c r="G77" s="10">
        <f>INDEX('LMTD OSA | 3GB'!A:C,MATCH(DATA!D77,'LMTD OSA | 3GB'!A:A,0),3)</f>
        <v>500000</v>
      </c>
      <c r="H77" s="11">
        <f>INDEX('MTD OSA | 3GB'!B:D,MATCH(DATA!D77,'MTD OSA | 3GB'!B:B,0),2)</f>
        <v>1</v>
      </c>
      <c r="I77" s="12">
        <f>INDEX('MTD OSA | 3GB'!B:D,MATCH(DATA!D77,'MTD OSA | 3GB'!B:B,0),3)</f>
        <v>658000</v>
      </c>
      <c r="J77" s="12">
        <f>INDEX(BIO!A:E,MATCH(DATA!D77,BIO!A:A,0),3)</f>
        <v>1</v>
      </c>
      <c r="K77" s="14">
        <f>INDEX(BIO!A:E,MATCH(DATA!D77,BIO!A:A,0),2)</f>
        <v>1</v>
      </c>
      <c r="L77" s="15">
        <f t="shared" si="1"/>
        <v>0</v>
      </c>
      <c r="M77" s="14">
        <f>INDEX('BIO WAHYU'!B:E,MATCH(DATA!D77,'BIO WAHYU'!B:B,0),4)</f>
        <v>1</v>
      </c>
    </row>
    <row r="78" spans="1:13">
      <c r="A78" s="1" t="s">
        <v>1</v>
      </c>
      <c r="B78" s="1" t="s">
        <v>4</v>
      </c>
      <c r="C78" s="1" t="s">
        <v>88</v>
      </c>
      <c r="D78" s="7">
        <v>523430</v>
      </c>
      <c r="E78" s="1" t="s">
        <v>10</v>
      </c>
      <c r="F78" s="10">
        <f>_xlfn.IFNA(INDEX('LMTD OSA | 3GB'!A:C,MATCH(DATA!D78,'LMTD OSA | 3GB'!A:A,0),2),0)</f>
        <v>3</v>
      </c>
      <c r="G78" s="10">
        <f>INDEX('LMTD OSA | 3GB'!A:C,MATCH(DATA!D78,'LMTD OSA | 3GB'!A:A,0),3)</f>
        <v>9670000</v>
      </c>
      <c r="H78" s="11">
        <f>INDEX('MTD OSA | 3GB'!B:D,MATCH(DATA!D78,'MTD OSA | 3GB'!B:B,0),2)</f>
        <v>0</v>
      </c>
      <c r="I78" s="12">
        <f>INDEX('MTD OSA | 3GB'!B:D,MATCH(DATA!D78,'MTD OSA | 3GB'!B:B,0),3)</f>
        <v>9970000</v>
      </c>
      <c r="J78" s="12">
        <f>INDEX(BIO!A:E,MATCH(DATA!D78,BIO!A:A,0),3)</f>
        <v>2</v>
      </c>
      <c r="K78" s="14">
        <f>INDEX(BIO!A:E,MATCH(DATA!D78,BIO!A:A,0),2)</f>
        <v>0</v>
      </c>
      <c r="L78" s="15">
        <f t="shared" si="1"/>
        <v>0</v>
      </c>
      <c r="M78" s="14">
        <f>INDEX('BIO WAHYU'!B:E,MATCH(DATA!D78,'BIO WAHYU'!B:B,0),4)</f>
        <v>2</v>
      </c>
    </row>
    <row r="79" spans="1:13">
      <c r="A79" s="1" t="s">
        <v>1</v>
      </c>
      <c r="B79" s="1" t="s">
        <v>4</v>
      </c>
      <c r="C79" s="1" t="s">
        <v>89</v>
      </c>
      <c r="D79" s="7">
        <v>529090</v>
      </c>
      <c r="E79" s="1" t="s">
        <v>15</v>
      </c>
      <c r="F79" s="10">
        <f>_xlfn.IFNA(INDEX('LMTD OSA | 3GB'!A:C,MATCH(DATA!D79,'LMTD OSA | 3GB'!A:A,0),2),0)</f>
        <v>0</v>
      </c>
      <c r="G79" s="10">
        <f>INDEX('LMTD OSA | 3GB'!A:C,MATCH(DATA!D79,'LMTD OSA | 3GB'!A:A,0),3)</f>
        <v>0</v>
      </c>
      <c r="H79" s="11">
        <f>INDEX('MTD OSA | 3GB'!B:D,MATCH(DATA!D79,'MTD OSA | 3GB'!B:B,0),2)</f>
        <v>5</v>
      </c>
      <c r="I79" s="12">
        <f>INDEX('MTD OSA | 3GB'!B:D,MATCH(DATA!D79,'MTD OSA | 3GB'!B:B,0),3)</f>
        <v>100000</v>
      </c>
      <c r="J79" s="12">
        <f>INDEX(BIO!A:E,MATCH(DATA!D79,BIO!A:A,0),3)</f>
        <v>0</v>
      </c>
      <c r="K79" s="14">
        <f>INDEX(BIO!A:E,MATCH(DATA!D79,BIO!A:A,0),2)</f>
        <v>1</v>
      </c>
      <c r="L79" s="15">
        <f t="shared" si="1"/>
        <v>1</v>
      </c>
      <c r="M79" s="14">
        <f>INDEX('BIO WAHYU'!B:E,MATCH(DATA!D79,'BIO WAHYU'!B:B,0),4)</f>
        <v>2</v>
      </c>
    </row>
    <row r="80" spans="1:13">
      <c r="A80" s="1" t="s">
        <v>1</v>
      </c>
      <c r="B80" s="1" t="s">
        <v>4</v>
      </c>
      <c r="C80" s="1" t="s">
        <v>90</v>
      </c>
      <c r="D80" s="7">
        <v>529249</v>
      </c>
      <c r="E80" s="1" t="s">
        <v>15</v>
      </c>
      <c r="F80" s="10">
        <f>_xlfn.IFNA(INDEX('LMTD OSA | 3GB'!A:C,MATCH(DATA!D80,'LMTD OSA | 3GB'!A:A,0),2),0)</f>
        <v>0</v>
      </c>
      <c r="G80" s="10">
        <f>INDEX('LMTD OSA | 3GB'!A:C,MATCH(DATA!D80,'LMTD OSA | 3GB'!A:A,0),3)</f>
        <v>4735000</v>
      </c>
      <c r="H80" s="11">
        <f>INDEX('MTD OSA | 3GB'!B:D,MATCH(DATA!D80,'MTD OSA | 3GB'!B:B,0),2)</f>
        <v>6</v>
      </c>
      <c r="I80" s="12">
        <f>INDEX('MTD OSA | 3GB'!B:D,MATCH(DATA!D80,'MTD OSA | 3GB'!B:B,0),3)</f>
        <v>0</v>
      </c>
      <c r="J80" s="12">
        <f>INDEX(BIO!A:E,MATCH(DATA!D80,BIO!A:A,0),3)</f>
        <v>1</v>
      </c>
      <c r="K80" s="14">
        <f>INDEX(BIO!A:E,MATCH(DATA!D80,BIO!A:A,0),2)</f>
        <v>1</v>
      </c>
      <c r="L80" s="15">
        <f t="shared" si="1"/>
        <v>0</v>
      </c>
      <c r="M80" s="14">
        <f>INDEX('BIO WAHYU'!B:E,MATCH(DATA!D80,'BIO WAHYU'!B:B,0),4)</f>
        <v>0</v>
      </c>
    </row>
    <row r="81" spans="1:13">
      <c r="A81" s="1" t="s">
        <v>1</v>
      </c>
      <c r="B81" s="1" t="s">
        <v>4</v>
      </c>
      <c r="C81" s="1" t="s">
        <v>91</v>
      </c>
      <c r="D81" s="7">
        <v>530345</v>
      </c>
      <c r="E81" s="1" t="s">
        <v>10</v>
      </c>
      <c r="F81" s="10">
        <f>_xlfn.IFNA(INDEX('LMTD OSA | 3GB'!A:C,MATCH(DATA!D81,'LMTD OSA | 3GB'!A:A,0),2),0)</f>
        <v>0</v>
      </c>
      <c r="G81" s="10">
        <f>INDEX('LMTD OSA | 3GB'!A:C,MATCH(DATA!D81,'LMTD OSA | 3GB'!A:A,0),3)</f>
        <v>7000000</v>
      </c>
      <c r="H81" s="11">
        <f>INDEX('MTD OSA | 3GB'!B:D,MATCH(DATA!D81,'MTD OSA | 3GB'!B:B,0),2)</f>
        <v>3</v>
      </c>
      <c r="I81" s="12">
        <f>INDEX('MTD OSA | 3GB'!B:D,MATCH(DATA!D81,'MTD OSA | 3GB'!B:B,0),3)</f>
        <v>8000000</v>
      </c>
      <c r="J81" s="12">
        <f>INDEX(BIO!A:E,MATCH(DATA!D81,BIO!A:A,0),3)</f>
        <v>1</v>
      </c>
      <c r="K81" s="14">
        <f>INDEX(BIO!A:E,MATCH(DATA!D81,BIO!A:A,0),2)</f>
        <v>2</v>
      </c>
      <c r="L81" s="15">
        <f t="shared" si="1"/>
        <v>1</v>
      </c>
      <c r="M81" s="14">
        <f>INDEX('BIO WAHYU'!B:E,MATCH(DATA!D81,'BIO WAHYU'!B:B,0),4)</f>
        <v>1</v>
      </c>
    </row>
    <row r="82" spans="1:13">
      <c r="A82" s="1" t="s">
        <v>1</v>
      </c>
      <c r="B82" s="1" t="s">
        <v>4</v>
      </c>
      <c r="C82" s="1" t="s">
        <v>92</v>
      </c>
      <c r="D82" s="7">
        <v>539088</v>
      </c>
      <c r="E82" s="1" t="s">
        <v>10</v>
      </c>
      <c r="F82" s="10">
        <f>_xlfn.IFNA(INDEX('LMTD OSA | 3GB'!A:C,MATCH(DATA!D82,'LMTD OSA | 3GB'!A:A,0),2),0)</f>
        <v>0</v>
      </c>
      <c r="G82" s="10">
        <f>INDEX('LMTD OSA | 3GB'!A:C,MATCH(DATA!D82,'LMTD OSA | 3GB'!A:A,0),3)</f>
        <v>0</v>
      </c>
      <c r="H82" s="11">
        <f>INDEX('MTD OSA | 3GB'!B:D,MATCH(DATA!D82,'MTD OSA | 3GB'!B:B,0),2)</f>
        <v>6</v>
      </c>
      <c r="I82" s="12">
        <f>INDEX('MTD OSA | 3GB'!B:D,MATCH(DATA!D82,'MTD OSA | 3GB'!B:B,0),3)</f>
        <v>8144000</v>
      </c>
      <c r="J82" s="12">
        <f>INDEX(BIO!A:E,MATCH(DATA!D82,BIO!A:A,0),3)</f>
        <v>0</v>
      </c>
      <c r="K82" s="14">
        <f>INDEX(BIO!A:E,MATCH(DATA!D82,BIO!A:A,0),2)</f>
        <v>3</v>
      </c>
      <c r="L82" s="15">
        <f t="shared" si="1"/>
        <v>3</v>
      </c>
      <c r="M82" s="14">
        <f>INDEX('BIO WAHYU'!B:E,MATCH(DATA!D82,'BIO WAHYU'!B:B,0),4)</f>
        <v>5</v>
      </c>
    </row>
    <row r="83" spans="1:13">
      <c r="A83" s="1" t="s">
        <v>1</v>
      </c>
      <c r="B83" s="1" t="s">
        <v>4</v>
      </c>
      <c r="C83" s="1" t="s">
        <v>93</v>
      </c>
      <c r="D83" s="7">
        <v>543720</v>
      </c>
      <c r="E83" s="1" t="s">
        <v>15</v>
      </c>
      <c r="F83" s="10">
        <f>_xlfn.IFNA(INDEX('LMTD OSA | 3GB'!A:C,MATCH(DATA!D83,'LMTD OSA | 3GB'!A:A,0),2),0)</f>
        <v>0</v>
      </c>
      <c r="G83" s="10">
        <f>INDEX('LMTD OSA | 3GB'!A:C,MATCH(DATA!D83,'LMTD OSA | 3GB'!A:A,0),3)</f>
        <v>0</v>
      </c>
      <c r="H83" s="11">
        <f>INDEX('MTD OSA | 3GB'!B:D,MATCH(DATA!D83,'MTD OSA | 3GB'!B:B,0),2)</f>
        <v>7</v>
      </c>
      <c r="I83" s="12">
        <f>INDEX('MTD OSA | 3GB'!B:D,MATCH(DATA!D83,'MTD OSA | 3GB'!B:B,0),3)</f>
        <v>0</v>
      </c>
      <c r="J83" s="12">
        <f>INDEX(BIO!A:E,MATCH(DATA!D83,BIO!A:A,0),3)</f>
        <v>1</v>
      </c>
      <c r="K83" s="14">
        <f>INDEX(BIO!A:E,MATCH(DATA!D83,BIO!A:A,0),2)</f>
        <v>3</v>
      </c>
      <c r="L83" s="15">
        <f t="shared" si="1"/>
        <v>2</v>
      </c>
      <c r="M83" s="14">
        <f>INDEX('BIO WAHYU'!B:E,MATCH(DATA!D83,'BIO WAHYU'!B:B,0),4)</f>
        <v>0</v>
      </c>
    </row>
    <row r="84" spans="1:13">
      <c r="A84" s="1" t="s">
        <v>1</v>
      </c>
      <c r="B84" s="1" t="s">
        <v>4</v>
      </c>
      <c r="C84" s="1" t="s">
        <v>94</v>
      </c>
      <c r="D84" s="7">
        <v>560814</v>
      </c>
      <c r="E84" s="1" t="s">
        <v>15</v>
      </c>
      <c r="F84" s="10">
        <f>_xlfn.IFNA(INDEX('LMTD OSA | 3GB'!A:C,MATCH(DATA!D84,'LMTD OSA | 3GB'!A:A,0),2),0)</f>
        <v>0</v>
      </c>
      <c r="G84" s="10">
        <f>INDEX('LMTD OSA | 3GB'!A:C,MATCH(DATA!D84,'LMTD OSA | 3GB'!A:A,0),3)</f>
        <v>4950000</v>
      </c>
      <c r="H84" s="11">
        <f>INDEX('MTD OSA | 3GB'!B:D,MATCH(DATA!D84,'MTD OSA | 3GB'!B:B,0),2)</f>
        <v>5</v>
      </c>
      <c r="I84" s="12">
        <f>INDEX('MTD OSA | 3GB'!B:D,MATCH(DATA!D84,'MTD OSA | 3GB'!B:B,0),3)</f>
        <v>0</v>
      </c>
      <c r="J84" s="12">
        <f>INDEX(BIO!A:E,MATCH(DATA!D84,BIO!A:A,0),3)</f>
        <v>1</v>
      </c>
      <c r="K84" s="14">
        <f>INDEX(BIO!A:E,MATCH(DATA!D84,BIO!A:A,0),2)</f>
        <v>2</v>
      </c>
      <c r="L84" s="15">
        <f t="shared" si="1"/>
        <v>1</v>
      </c>
      <c r="M84" s="14">
        <f>INDEX('BIO WAHYU'!B:E,MATCH(DATA!D84,'BIO WAHYU'!B:B,0),4)</f>
        <v>0</v>
      </c>
    </row>
    <row r="85" spans="1:13">
      <c r="A85" s="1" t="s">
        <v>1</v>
      </c>
      <c r="B85" s="1" t="s">
        <v>4</v>
      </c>
      <c r="C85" s="1" t="s">
        <v>95</v>
      </c>
      <c r="D85" s="7">
        <v>563095</v>
      </c>
      <c r="E85" s="1" t="s">
        <v>10</v>
      </c>
      <c r="F85" s="10">
        <f>_xlfn.IFNA(INDEX('LMTD OSA | 3GB'!A:C,MATCH(DATA!D85,'LMTD OSA | 3GB'!A:A,0),2),0)</f>
        <v>3</v>
      </c>
      <c r="G85" s="10">
        <f>INDEX('LMTD OSA | 3GB'!A:C,MATCH(DATA!D85,'LMTD OSA | 3GB'!A:A,0),3)</f>
        <v>6000000</v>
      </c>
      <c r="H85" s="11">
        <f>INDEX('MTD OSA | 3GB'!B:D,MATCH(DATA!D85,'MTD OSA | 3GB'!B:B,0),2)</f>
        <v>1</v>
      </c>
      <c r="I85" s="12">
        <f>INDEX('MTD OSA | 3GB'!B:D,MATCH(DATA!D85,'MTD OSA | 3GB'!B:B,0),3)</f>
        <v>5150000</v>
      </c>
      <c r="J85" s="12">
        <f>INDEX(BIO!A:E,MATCH(DATA!D85,BIO!A:A,0),3)</f>
        <v>2</v>
      </c>
      <c r="K85" s="14">
        <f>INDEX(BIO!A:E,MATCH(DATA!D85,BIO!A:A,0),2)</f>
        <v>0</v>
      </c>
      <c r="L85" s="15">
        <f t="shared" si="1"/>
        <v>0</v>
      </c>
      <c r="M85" s="14">
        <f>INDEX('BIO WAHYU'!B:E,MATCH(DATA!D85,'BIO WAHYU'!B:B,0),4)</f>
        <v>0</v>
      </c>
    </row>
    <row r="86" spans="1:13">
      <c r="A86" s="1" t="s">
        <v>1</v>
      </c>
      <c r="B86" s="1" t="s">
        <v>4</v>
      </c>
      <c r="C86" s="1" t="s">
        <v>96</v>
      </c>
      <c r="D86" s="7">
        <v>61690</v>
      </c>
      <c r="E86" s="1" t="s">
        <v>10</v>
      </c>
      <c r="F86" s="10">
        <f>_xlfn.IFNA(INDEX('LMTD OSA | 3GB'!A:C,MATCH(DATA!D86,'LMTD OSA | 3GB'!A:A,0),2),0)</f>
        <v>3</v>
      </c>
      <c r="G86" s="10">
        <f>INDEX('LMTD OSA | 3GB'!A:C,MATCH(DATA!D86,'LMTD OSA | 3GB'!A:A,0),3)</f>
        <v>18058000</v>
      </c>
      <c r="H86" s="11">
        <f>INDEX('MTD OSA | 3GB'!B:D,MATCH(DATA!D86,'MTD OSA | 3GB'!B:B,0),2)</f>
        <v>4</v>
      </c>
      <c r="I86" s="12">
        <f>INDEX('MTD OSA | 3GB'!B:D,MATCH(DATA!D86,'MTD OSA | 3GB'!B:B,0),3)</f>
        <v>15000000</v>
      </c>
      <c r="J86" s="12">
        <f>INDEX(BIO!A:E,MATCH(DATA!D86,BIO!A:A,0),3)</f>
        <v>1</v>
      </c>
      <c r="K86" s="14">
        <f>INDEX(BIO!A:E,MATCH(DATA!D86,BIO!A:A,0),2)</f>
        <v>0</v>
      </c>
      <c r="L86" s="15">
        <f t="shared" si="1"/>
        <v>0</v>
      </c>
      <c r="M86" s="14">
        <f>INDEX('BIO WAHYU'!B:E,MATCH(DATA!D86,'BIO WAHYU'!B:B,0),4)</f>
        <v>4</v>
      </c>
    </row>
    <row r="87" spans="1:13">
      <c r="A87" s="1" t="s">
        <v>1</v>
      </c>
      <c r="B87" s="1" t="s">
        <v>4</v>
      </c>
      <c r="C87" s="1" t="s">
        <v>97</v>
      </c>
      <c r="D87" s="7" t="s">
        <v>98</v>
      </c>
      <c r="E87" s="1" t="s">
        <v>10</v>
      </c>
      <c r="F87" s="10">
        <f>_xlfn.IFNA(INDEX('LMTD OSA | 3GB'!A:C,MATCH(DATA!D87,'LMTD OSA | 3GB'!A:A,0),2),0)</f>
        <v>55</v>
      </c>
      <c r="G87" s="10">
        <f>INDEX('LMTD OSA | 3GB'!A:C,MATCH(DATA!D87,'LMTD OSA | 3GB'!A:A,0),3)</f>
        <v>11815000</v>
      </c>
      <c r="H87" s="11">
        <f>INDEX('MTD OSA | 3GB'!B:D,MATCH(DATA!D87,'MTD OSA | 3GB'!B:B,0),2)</f>
        <v>32</v>
      </c>
      <c r="I87" s="12">
        <f>INDEX('MTD OSA | 3GB'!B:D,MATCH(DATA!D87,'MTD OSA | 3GB'!B:B,0),3)</f>
        <v>15116000</v>
      </c>
      <c r="J87" s="12">
        <f>INDEX(BIO!A:E,MATCH(DATA!D87,BIO!A:A,0),3)</f>
        <v>0</v>
      </c>
      <c r="K87" s="14">
        <f>INDEX(BIO!A:E,MATCH(DATA!D87,BIO!A:A,0),2)</f>
        <v>36</v>
      </c>
      <c r="L87" s="15">
        <f t="shared" si="1"/>
        <v>36</v>
      </c>
      <c r="M87" s="14">
        <f>INDEX('BIO WAHYU'!B:E,MATCH(DATA!D87,'BIO WAHYU'!B:B,0),4)</f>
        <v>1</v>
      </c>
    </row>
    <row r="88" spans="1:13">
      <c r="A88" s="1" t="s">
        <v>1</v>
      </c>
      <c r="B88" s="1" t="s">
        <v>4</v>
      </c>
      <c r="C88" s="1" t="s">
        <v>99</v>
      </c>
      <c r="D88" s="7" t="s">
        <v>100</v>
      </c>
      <c r="E88" s="1" t="s">
        <v>10</v>
      </c>
      <c r="F88" s="10">
        <f>_xlfn.IFNA(INDEX('LMTD OSA | 3GB'!A:C,MATCH(DATA!D88,'LMTD OSA | 3GB'!A:A,0),2),0)</f>
        <v>4</v>
      </c>
      <c r="G88" s="10">
        <f>INDEX('LMTD OSA | 3GB'!A:C,MATCH(DATA!D88,'LMTD OSA | 3GB'!A:A,0),3)</f>
        <v>3000000</v>
      </c>
      <c r="H88" s="11">
        <f>INDEX('MTD OSA | 3GB'!B:D,MATCH(DATA!D88,'MTD OSA | 3GB'!B:B,0),2)</f>
        <v>6</v>
      </c>
      <c r="I88" s="12">
        <f>INDEX('MTD OSA | 3GB'!B:D,MATCH(DATA!D88,'MTD OSA | 3GB'!B:B,0),3)</f>
        <v>18752000</v>
      </c>
      <c r="J88" s="12">
        <f>INDEX(BIO!A:E,MATCH(DATA!D88,BIO!A:A,0),3)</f>
        <v>1</v>
      </c>
      <c r="K88" s="14">
        <f>INDEX(BIO!A:E,MATCH(DATA!D88,BIO!A:A,0),2)</f>
        <v>5</v>
      </c>
      <c r="L88" s="15">
        <f t="shared" si="1"/>
        <v>4</v>
      </c>
      <c r="M88" s="14">
        <f>INDEX('BIO WAHYU'!B:E,MATCH(DATA!D88,'BIO WAHYU'!B:B,0),4)</f>
        <v>0</v>
      </c>
    </row>
    <row r="89" spans="1:13">
      <c r="A89" s="1" t="s">
        <v>1</v>
      </c>
      <c r="B89" s="1" t="s">
        <v>4</v>
      </c>
      <c r="C89" s="1" t="s">
        <v>101</v>
      </c>
      <c r="D89" s="7" t="s">
        <v>102</v>
      </c>
      <c r="E89" s="1" t="s">
        <v>10</v>
      </c>
      <c r="F89" s="10">
        <f>_xlfn.IFNA(INDEX('LMTD OSA | 3GB'!A:C,MATCH(DATA!D89,'LMTD OSA | 3GB'!A:A,0),2),0)</f>
        <v>0</v>
      </c>
      <c r="G89" s="10">
        <f>INDEX('LMTD OSA | 3GB'!A:C,MATCH(DATA!D89,'LMTD OSA | 3GB'!A:A,0),3)</f>
        <v>300000</v>
      </c>
      <c r="H89" s="11">
        <f>INDEX('MTD OSA | 3GB'!B:D,MATCH(DATA!D89,'MTD OSA | 3GB'!B:B,0),2)</f>
        <v>0</v>
      </c>
      <c r="I89" s="12">
        <f>INDEX('MTD OSA | 3GB'!B:D,MATCH(DATA!D89,'MTD OSA | 3GB'!B:B,0),3)</f>
        <v>0</v>
      </c>
      <c r="J89" s="12">
        <f>INDEX(BIO!A:E,MATCH(DATA!D89,BIO!A:A,0),3)</f>
        <v>3</v>
      </c>
      <c r="K89" s="14">
        <f>INDEX(BIO!A:E,MATCH(DATA!D89,BIO!A:A,0),2)</f>
        <v>0</v>
      </c>
      <c r="L89" s="15">
        <f t="shared" si="1"/>
        <v>0</v>
      </c>
      <c r="M89" s="14">
        <f>INDEX('BIO WAHYU'!B:E,MATCH(DATA!D89,'BIO WAHYU'!B:B,0),4)</f>
        <v>0</v>
      </c>
    </row>
    <row r="90" spans="1:13">
      <c r="A90" s="1" t="s">
        <v>1</v>
      </c>
      <c r="B90" s="1" t="s">
        <v>4</v>
      </c>
      <c r="C90" s="1" t="s">
        <v>103</v>
      </c>
      <c r="D90" s="7" t="s">
        <v>104</v>
      </c>
      <c r="E90" s="1" t="s">
        <v>10</v>
      </c>
      <c r="F90" s="10">
        <f>_xlfn.IFNA(INDEX('LMTD OSA | 3GB'!A:C,MATCH(DATA!D90,'LMTD OSA | 3GB'!A:A,0),2),0)</f>
        <v>3</v>
      </c>
      <c r="G90" s="10">
        <f>INDEX('LMTD OSA | 3GB'!A:C,MATCH(DATA!D90,'LMTD OSA | 3GB'!A:A,0),3)</f>
        <v>300000</v>
      </c>
      <c r="H90" s="11">
        <f>INDEX('MTD OSA | 3GB'!B:D,MATCH(DATA!D90,'MTD OSA | 3GB'!B:B,0),2)</f>
        <v>0</v>
      </c>
      <c r="I90" s="12">
        <f>INDEX('MTD OSA | 3GB'!B:D,MATCH(DATA!D90,'MTD OSA | 3GB'!B:B,0),3)</f>
        <v>2200000</v>
      </c>
      <c r="J90" s="12">
        <f>INDEX(BIO!A:E,MATCH(DATA!D90,BIO!A:A,0),3)</f>
        <v>1</v>
      </c>
      <c r="K90" s="14">
        <f>INDEX(BIO!A:E,MATCH(DATA!D90,BIO!A:A,0),2)</f>
        <v>0</v>
      </c>
      <c r="L90" s="15">
        <f t="shared" si="1"/>
        <v>0</v>
      </c>
      <c r="M90" s="14">
        <f>INDEX('BIO WAHYU'!B:E,MATCH(DATA!D90,'BIO WAHYU'!B:B,0),4)</f>
        <v>0</v>
      </c>
    </row>
    <row r="91" spans="1:13">
      <c r="A91" s="1" t="s">
        <v>1</v>
      </c>
      <c r="B91" s="1" t="s">
        <v>5</v>
      </c>
      <c r="C91" s="1" t="s">
        <v>105</v>
      </c>
      <c r="D91" s="7">
        <v>12295536</v>
      </c>
      <c r="E91" s="1" t="s">
        <v>10</v>
      </c>
      <c r="F91" s="10">
        <f>_xlfn.IFNA(INDEX('LMTD OSA | 3GB'!A:C,MATCH(DATA!D91,'LMTD OSA | 3GB'!A:A,0),2),0)</f>
        <v>6</v>
      </c>
      <c r="G91" s="10">
        <f>INDEX('LMTD OSA | 3GB'!A:C,MATCH(DATA!D91,'LMTD OSA | 3GB'!A:A,0),3)</f>
        <v>1029000</v>
      </c>
      <c r="H91" s="11">
        <f>INDEX('MTD OSA | 3GB'!B:D,MATCH(DATA!D91,'MTD OSA | 3GB'!B:B,0),2)</f>
        <v>0</v>
      </c>
      <c r="I91" s="12">
        <f>INDEX('MTD OSA | 3GB'!B:D,MATCH(DATA!D91,'MTD OSA | 3GB'!B:B,0),3)</f>
        <v>0</v>
      </c>
      <c r="J91" s="12">
        <f>INDEX(BIO!A:E,MATCH(DATA!D91,BIO!A:A,0),3)</f>
        <v>0</v>
      </c>
      <c r="K91" s="14">
        <f>INDEX(BIO!A:E,MATCH(DATA!D91,BIO!A:A,0),2)</f>
        <v>1</v>
      </c>
      <c r="L91" s="15">
        <f t="shared" si="1"/>
        <v>1</v>
      </c>
      <c r="M91" s="14">
        <f>INDEX('BIO WAHYU'!B:E,MATCH(DATA!D91,'BIO WAHYU'!B:B,0),4)</f>
        <v>2</v>
      </c>
    </row>
    <row r="92" spans="1:13">
      <c r="A92" s="1" t="s">
        <v>1</v>
      </c>
      <c r="B92" s="1" t="s">
        <v>5</v>
      </c>
      <c r="C92" s="1" t="s">
        <v>106</v>
      </c>
      <c r="D92" s="7">
        <v>12295980</v>
      </c>
      <c r="E92" s="1" t="s">
        <v>15</v>
      </c>
      <c r="F92" s="10">
        <f>_xlfn.IFNA(INDEX('LMTD OSA | 3GB'!A:C,MATCH(DATA!D92,'LMTD OSA | 3GB'!A:A,0),2),0)</f>
        <v>0</v>
      </c>
      <c r="G92" s="10">
        <f>INDEX('LMTD OSA | 3GB'!A:C,MATCH(DATA!D92,'LMTD OSA | 3GB'!A:A,0),3)</f>
        <v>0</v>
      </c>
      <c r="H92" s="11">
        <f>INDEX('MTD OSA | 3GB'!B:D,MATCH(DATA!D92,'MTD OSA | 3GB'!B:B,0),2)</f>
        <v>4</v>
      </c>
      <c r="I92" s="12">
        <f>INDEX('MTD OSA | 3GB'!B:D,MATCH(DATA!D92,'MTD OSA | 3GB'!B:B,0),3)</f>
        <v>0</v>
      </c>
      <c r="J92" s="12">
        <f>INDEX(BIO!A:E,MATCH(DATA!D92,BIO!A:A,0),3)</f>
        <v>0</v>
      </c>
      <c r="K92" s="14">
        <f>INDEX(BIO!A:E,MATCH(DATA!D92,BIO!A:A,0),2)</f>
        <v>0</v>
      </c>
      <c r="L92" s="15">
        <f t="shared" si="1"/>
        <v>0</v>
      </c>
      <c r="M92" s="14">
        <f>INDEX('BIO WAHYU'!B:E,MATCH(DATA!D92,'BIO WAHYU'!B:B,0),4)</f>
        <v>0</v>
      </c>
    </row>
    <row r="93" spans="1:13">
      <c r="A93" s="1" t="s">
        <v>1</v>
      </c>
      <c r="B93" s="1" t="s">
        <v>5</v>
      </c>
      <c r="C93" s="1" t="s">
        <v>107</v>
      </c>
      <c r="D93" s="7">
        <v>12302808</v>
      </c>
      <c r="E93" s="1" t="s">
        <v>10</v>
      </c>
      <c r="F93" s="10">
        <f>_xlfn.IFNA(INDEX('LMTD OSA | 3GB'!A:C,MATCH(DATA!D93,'LMTD OSA | 3GB'!A:A,0),2),0)</f>
        <v>1</v>
      </c>
      <c r="G93" s="10">
        <f>INDEX('LMTD OSA | 3GB'!A:C,MATCH(DATA!D93,'LMTD OSA | 3GB'!A:A,0),3)</f>
        <v>50000</v>
      </c>
      <c r="H93" s="11">
        <f>INDEX('MTD OSA | 3GB'!B:D,MATCH(DATA!D93,'MTD OSA | 3GB'!B:B,0),2)</f>
        <v>0</v>
      </c>
      <c r="I93" s="12">
        <f>INDEX('MTD OSA | 3GB'!B:D,MATCH(DATA!D93,'MTD OSA | 3GB'!B:B,0),3)</f>
        <v>0</v>
      </c>
      <c r="J93" s="12">
        <f>INDEX(BIO!A:E,MATCH(DATA!D93,BIO!A:A,0),3)</f>
        <v>0</v>
      </c>
      <c r="K93" s="14">
        <f>INDEX(BIO!A:E,MATCH(DATA!D93,BIO!A:A,0),2)</f>
        <v>0</v>
      </c>
      <c r="L93" s="15">
        <f t="shared" si="1"/>
        <v>0</v>
      </c>
      <c r="M93" s="14">
        <f>INDEX('BIO WAHYU'!B:E,MATCH(DATA!D93,'BIO WAHYU'!B:B,0),4)</f>
        <v>0</v>
      </c>
    </row>
    <row r="94" spans="1:13">
      <c r="A94" s="1" t="s">
        <v>1</v>
      </c>
      <c r="B94" s="1" t="s">
        <v>5</v>
      </c>
      <c r="C94" s="1" t="s">
        <v>108</v>
      </c>
      <c r="D94" s="7">
        <v>12303072</v>
      </c>
      <c r="E94" s="1" t="s">
        <v>15</v>
      </c>
      <c r="F94" s="10">
        <f>_xlfn.IFNA(INDEX('LMTD OSA | 3GB'!A:C,MATCH(DATA!D94,'LMTD OSA | 3GB'!A:A,0),2),0)</f>
        <v>3</v>
      </c>
      <c r="G94" s="10">
        <f>INDEX('LMTD OSA | 3GB'!A:C,MATCH(DATA!D94,'LMTD OSA | 3GB'!A:A,0),3)</f>
        <v>0</v>
      </c>
      <c r="H94" s="11">
        <f>INDEX('MTD OSA | 3GB'!B:D,MATCH(DATA!D94,'MTD OSA | 3GB'!B:B,0),2)</f>
        <v>0</v>
      </c>
      <c r="I94" s="12">
        <f>INDEX('MTD OSA | 3GB'!B:D,MATCH(DATA!D94,'MTD OSA | 3GB'!B:B,0),3)</f>
        <v>0</v>
      </c>
      <c r="J94" s="12">
        <f>INDEX(BIO!A:E,MATCH(DATA!D94,BIO!A:A,0),3)</f>
        <v>2</v>
      </c>
      <c r="K94" s="14">
        <f>INDEX(BIO!A:E,MATCH(DATA!D94,BIO!A:A,0),2)</f>
        <v>2</v>
      </c>
      <c r="L94" s="15">
        <f t="shared" si="1"/>
        <v>0</v>
      </c>
      <c r="M94" s="14">
        <f>INDEX('BIO WAHYU'!B:E,MATCH(DATA!D94,'BIO WAHYU'!B:B,0),4)</f>
        <v>0</v>
      </c>
    </row>
    <row r="95" spans="1:13">
      <c r="A95" s="1" t="s">
        <v>1</v>
      </c>
      <c r="B95" s="1" t="s">
        <v>5</v>
      </c>
      <c r="C95" s="1" t="s">
        <v>109</v>
      </c>
      <c r="D95" s="7">
        <v>12313881</v>
      </c>
      <c r="E95" s="1" t="s">
        <v>10</v>
      </c>
      <c r="F95" s="10">
        <f>_xlfn.IFNA(INDEX('LMTD OSA | 3GB'!A:C,MATCH(DATA!D95,'LMTD OSA | 3GB'!A:A,0),2),0)</f>
        <v>6</v>
      </c>
      <c r="G95" s="10">
        <f>INDEX('LMTD OSA | 3GB'!A:C,MATCH(DATA!D95,'LMTD OSA | 3GB'!A:A,0),3)</f>
        <v>58067000</v>
      </c>
      <c r="H95" s="11">
        <f>INDEX('MTD OSA | 3GB'!B:D,MATCH(DATA!D95,'MTD OSA | 3GB'!B:B,0),2)</f>
        <v>21</v>
      </c>
      <c r="I95" s="12">
        <f>INDEX('MTD OSA | 3GB'!B:D,MATCH(DATA!D95,'MTD OSA | 3GB'!B:B,0),3)</f>
        <v>15609000</v>
      </c>
      <c r="J95" s="12">
        <f>INDEX(BIO!A:E,MATCH(DATA!D95,BIO!A:A,0),3)</f>
        <v>1</v>
      </c>
      <c r="K95" s="14">
        <f>INDEX(BIO!A:E,MATCH(DATA!D95,BIO!A:A,0),2)</f>
        <v>31</v>
      </c>
      <c r="L95" s="15">
        <f t="shared" si="1"/>
        <v>30</v>
      </c>
      <c r="M95" s="14">
        <f>INDEX('BIO WAHYU'!B:E,MATCH(DATA!D95,'BIO WAHYU'!B:B,0),4)</f>
        <v>5</v>
      </c>
    </row>
    <row r="96" spans="1:13">
      <c r="A96" s="1" t="s">
        <v>1</v>
      </c>
      <c r="B96" s="1" t="s">
        <v>5</v>
      </c>
      <c r="C96" s="1" t="s">
        <v>110</v>
      </c>
      <c r="D96" s="7">
        <v>12317091</v>
      </c>
      <c r="E96" s="1" t="s">
        <v>10</v>
      </c>
      <c r="F96" s="10">
        <f>_xlfn.IFNA(INDEX('LMTD OSA | 3GB'!A:C,MATCH(DATA!D96,'LMTD OSA | 3GB'!A:A,0),2),0)</f>
        <v>0</v>
      </c>
      <c r="G96" s="10">
        <f>INDEX('LMTD OSA | 3GB'!A:C,MATCH(DATA!D96,'LMTD OSA | 3GB'!A:A,0),3)</f>
        <v>0</v>
      </c>
      <c r="H96" s="11">
        <f>INDEX('MTD OSA | 3GB'!B:D,MATCH(DATA!D96,'MTD OSA | 3GB'!B:B,0),2)</f>
        <v>3</v>
      </c>
      <c r="I96" s="12">
        <f>INDEX('MTD OSA | 3GB'!B:D,MATCH(DATA!D96,'MTD OSA | 3GB'!B:B,0),3)</f>
        <v>0</v>
      </c>
      <c r="J96" s="12">
        <f>INDEX(BIO!A:E,MATCH(DATA!D96,BIO!A:A,0),3)</f>
        <v>0</v>
      </c>
      <c r="K96" s="14">
        <f>INDEX(BIO!A:E,MATCH(DATA!D96,BIO!A:A,0),2)</f>
        <v>0</v>
      </c>
      <c r="L96" s="15">
        <f t="shared" si="1"/>
        <v>0</v>
      </c>
      <c r="M96" s="14">
        <f>INDEX('BIO WAHYU'!B:E,MATCH(DATA!D96,'BIO WAHYU'!B:B,0),4)</f>
        <v>0</v>
      </c>
    </row>
    <row r="97" spans="1:13">
      <c r="A97" s="1" t="s">
        <v>1</v>
      </c>
      <c r="B97" s="1" t="s">
        <v>5</v>
      </c>
      <c r="C97" s="1" t="s">
        <v>111</v>
      </c>
      <c r="D97" s="7">
        <v>12318079</v>
      </c>
      <c r="E97" s="1" t="s">
        <v>10</v>
      </c>
      <c r="F97" s="10">
        <f>_xlfn.IFNA(INDEX('LMTD OSA | 3GB'!A:C,MATCH(DATA!D97,'LMTD OSA | 3GB'!A:A,0),2),0)</f>
        <v>6</v>
      </c>
      <c r="G97" s="10">
        <f>INDEX('LMTD OSA | 3GB'!A:C,MATCH(DATA!D97,'LMTD OSA | 3GB'!A:A,0),3)</f>
        <v>950000</v>
      </c>
      <c r="H97" s="11">
        <f>INDEX('MTD OSA | 3GB'!B:D,MATCH(DATA!D97,'MTD OSA | 3GB'!B:B,0),2)</f>
        <v>4</v>
      </c>
      <c r="I97" s="12">
        <f>INDEX('MTD OSA | 3GB'!B:D,MATCH(DATA!D97,'MTD OSA | 3GB'!B:B,0),3)</f>
        <v>666000</v>
      </c>
      <c r="J97" s="12">
        <f>INDEX(BIO!A:E,MATCH(DATA!D97,BIO!A:A,0),3)</f>
        <v>1</v>
      </c>
      <c r="K97" s="14">
        <f>INDEX(BIO!A:E,MATCH(DATA!D97,BIO!A:A,0),2)</f>
        <v>4</v>
      </c>
      <c r="L97" s="15">
        <f t="shared" si="1"/>
        <v>3</v>
      </c>
      <c r="M97" s="14">
        <f>INDEX('BIO WAHYU'!B:E,MATCH(DATA!D97,'BIO WAHYU'!B:B,0),4)</f>
        <v>0</v>
      </c>
    </row>
    <row r="98" spans="1:13">
      <c r="A98" s="1" t="s">
        <v>1</v>
      </c>
      <c r="B98" s="1" t="s">
        <v>5</v>
      </c>
      <c r="C98" s="1" t="s">
        <v>112</v>
      </c>
      <c r="D98" s="7">
        <v>12320853</v>
      </c>
      <c r="E98" s="1" t="s">
        <v>10</v>
      </c>
      <c r="F98" s="10">
        <f>_xlfn.IFNA(INDEX('LMTD OSA | 3GB'!A:C,MATCH(DATA!D98,'LMTD OSA | 3GB'!A:A,0),2),0)</f>
        <v>5</v>
      </c>
      <c r="G98" s="10">
        <f>INDEX('LMTD OSA | 3GB'!A:C,MATCH(DATA!D98,'LMTD OSA | 3GB'!A:A,0),3)</f>
        <v>0</v>
      </c>
      <c r="H98" s="11">
        <f>INDEX('MTD OSA | 3GB'!B:D,MATCH(DATA!D98,'MTD OSA | 3GB'!B:B,0),2)</f>
        <v>0</v>
      </c>
      <c r="I98" s="12">
        <f>INDEX('MTD OSA | 3GB'!B:D,MATCH(DATA!D98,'MTD OSA | 3GB'!B:B,0),3)</f>
        <v>0</v>
      </c>
      <c r="J98" s="12">
        <f>INDEX(BIO!A:E,MATCH(DATA!D98,BIO!A:A,0),3)</f>
        <v>1</v>
      </c>
      <c r="K98" s="14">
        <f>INDEX(BIO!A:E,MATCH(DATA!D98,BIO!A:A,0),2)</f>
        <v>0</v>
      </c>
      <c r="L98" s="15">
        <f t="shared" si="1"/>
        <v>0</v>
      </c>
      <c r="M98" s="14">
        <f>INDEX('BIO WAHYU'!B:E,MATCH(DATA!D98,'BIO WAHYU'!B:B,0),4)</f>
        <v>0</v>
      </c>
    </row>
    <row r="99" spans="1:13">
      <c r="A99" s="1" t="s">
        <v>1</v>
      </c>
      <c r="B99" s="1" t="s">
        <v>5</v>
      </c>
      <c r="C99" s="1" t="s">
        <v>113</v>
      </c>
      <c r="D99" s="7">
        <v>12321230</v>
      </c>
      <c r="E99" s="1" t="s">
        <v>10</v>
      </c>
      <c r="F99" s="10">
        <f>_xlfn.IFNA(INDEX('LMTD OSA | 3GB'!A:C,MATCH(DATA!D99,'LMTD OSA | 3GB'!A:A,0),2),0)</f>
        <v>0</v>
      </c>
      <c r="G99" s="10">
        <f>INDEX('LMTD OSA | 3GB'!A:C,MATCH(DATA!D99,'LMTD OSA | 3GB'!A:A,0),3)</f>
        <v>203000</v>
      </c>
      <c r="H99" s="11">
        <f>INDEX('MTD OSA | 3GB'!B:D,MATCH(DATA!D99,'MTD OSA | 3GB'!B:B,0),2)</f>
        <v>3</v>
      </c>
      <c r="I99" s="12">
        <f>INDEX('MTD OSA | 3GB'!B:D,MATCH(DATA!D99,'MTD OSA | 3GB'!B:B,0),3)</f>
        <v>0</v>
      </c>
      <c r="J99" s="12">
        <f>INDEX(BIO!A:E,MATCH(DATA!D99,BIO!A:A,0),3)</f>
        <v>0</v>
      </c>
      <c r="K99" s="14">
        <f>INDEX(BIO!A:E,MATCH(DATA!D99,BIO!A:A,0),2)</f>
        <v>3</v>
      </c>
      <c r="L99" s="15">
        <f t="shared" si="1"/>
        <v>3</v>
      </c>
      <c r="M99" s="14">
        <f>INDEX('BIO WAHYU'!B:E,MATCH(DATA!D99,'BIO WAHYU'!B:B,0),4)</f>
        <v>0</v>
      </c>
    </row>
    <row r="100" spans="1:13">
      <c r="A100" s="1" t="s">
        <v>1</v>
      </c>
      <c r="B100" s="1" t="s">
        <v>5</v>
      </c>
      <c r="C100" s="1" t="s">
        <v>114</v>
      </c>
      <c r="D100" s="7">
        <v>12321241</v>
      </c>
      <c r="E100" s="1" t="s">
        <v>29</v>
      </c>
      <c r="F100" s="10">
        <f>_xlfn.IFNA(INDEX('LMTD OSA | 3GB'!A:C,MATCH(DATA!D100,'LMTD OSA | 3GB'!A:A,0),2),0)</f>
        <v>520</v>
      </c>
      <c r="G100" s="10">
        <f>INDEX('LMTD OSA | 3GB'!A:C,MATCH(DATA!D100,'LMTD OSA | 3GB'!A:A,0),3)</f>
        <v>58323000</v>
      </c>
      <c r="H100" s="11">
        <f>INDEX('MTD OSA | 3GB'!B:D,MATCH(DATA!D100,'MTD OSA | 3GB'!B:B,0),2)</f>
        <v>8</v>
      </c>
      <c r="I100" s="12">
        <f>INDEX('MTD OSA | 3GB'!B:D,MATCH(DATA!D100,'MTD OSA | 3GB'!B:B,0),3)</f>
        <v>27232000</v>
      </c>
      <c r="J100" s="12">
        <f>INDEX(BIO!A:E,MATCH(DATA!D100,BIO!A:A,0),3)</f>
        <v>3</v>
      </c>
      <c r="K100" s="14">
        <f>INDEX(BIO!A:E,MATCH(DATA!D100,BIO!A:A,0),2)</f>
        <v>31</v>
      </c>
      <c r="L100" s="15">
        <f t="shared" si="1"/>
        <v>28</v>
      </c>
      <c r="M100" s="14">
        <f>INDEX('BIO WAHYU'!B:E,MATCH(DATA!D100,'BIO WAHYU'!B:B,0),4)</f>
        <v>6</v>
      </c>
    </row>
    <row r="101" spans="1:13">
      <c r="A101" s="1" t="s">
        <v>1</v>
      </c>
      <c r="B101" s="1" t="s">
        <v>5</v>
      </c>
      <c r="C101" s="1" t="s">
        <v>115</v>
      </c>
      <c r="D101" s="7">
        <v>12321243</v>
      </c>
      <c r="E101" s="1" t="s">
        <v>10</v>
      </c>
      <c r="F101" s="10">
        <f>_xlfn.IFNA(INDEX('LMTD OSA | 3GB'!A:C,MATCH(DATA!D101,'LMTD OSA | 3GB'!A:A,0),2),0)</f>
        <v>38</v>
      </c>
      <c r="G101" s="10">
        <f>INDEX('LMTD OSA | 3GB'!A:C,MATCH(DATA!D101,'LMTD OSA | 3GB'!A:A,0),3)</f>
        <v>53322000</v>
      </c>
      <c r="H101" s="11">
        <f>INDEX('MTD OSA | 3GB'!B:D,MATCH(DATA!D101,'MTD OSA | 3GB'!B:B,0),2)</f>
        <v>407</v>
      </c>
      <c r="I101" s="12">
        <f>INDEX('MTD OSA | 3GB'!B:D,MATCH(DATA!D101,'MTD OSA | 3GB'!B:B,0),3)</f>
        <v>27203000</v>
      </c>
      <c r="J101" s="12">
        <f>INDEX(BIO!A:E,MATCH(DATA!D101,BIO!A:A,0),3)</f>
        <v>2</v>
      </c>
      <c r="K101" s="14">
        <f>INDEX(BIO!A:E,MATCH(DATA!D101,BIO!A:A,0),2)</f>
        <v>93</v>
      </c>
      <c r="L101" s="15">
        <f t="shared" si="1"/>
        <v>91</v>
      </c>
      <c r="M101" s="14">
        <f>INDEX('BIO WAHYU'!B:E,MATCH(DATA!D101,'BIO WAHYU'!B:B,0),4)</f>
        <v>4</v>
      </c>
    </row>
    <row r="102" spans="1:13">
      <c r="A102" s="1" t="s">
        <v>1</v>
      </c>
      <c r="B102" s="1" t="s">
        <v>5</v>
      </c>
      <c r="C102" s="1" t="s">
        <v>116</v>
      </c>
      <c r="D102" s="7">
        <v>12322430</v>
      </c>
      <c r="E102" s="1" t="s">
        <v>10</v>
      </c>
      <c r="F102" s="10">
        <f>_xlfn.IFNA(INDEX('LMTD OSA | 3GB'!A:C,MATCH(DATA!D102,'LMTD OSA | 3GB'!A:A,0),2),0)</f>
        <v>0</v>
      </c>
      <c r="G102" s="10">
        <f>INDEX('LMTD OSA | 3GB'!A:C,MATCH(DATA!D102,'LMTD OSA | 3GB'!A:A,0),3)</f>
        <v>0</v>
      </c>
      <c r="H102" s="11">
        <f>INDEX('MTD OSA | 3GB'!B:D,MATCH(DATA!D102,'MTD OSA | 3GB'!B:B,0),2)</f>
        <v>0</v>
      </c>
      <c r="I102" s="12">
        <f>INDEX('MTD OSA | 3GB'!B:D,MATCH(DATA!D102,'MTD OSA | 3GB'!B:B,0),3)</f>
        <v>450000</v>
      </c>
      <c r="J102" s="12">
        <f>INDEX(BIO!A:E,MATCH(DATA!D102,BIO!A:A,0),3)</f>
        <v>0</v>
      </c>
      <c r="K102" s="14">
        <f>INDEX(BIO!A:E,MATCH(DATA!D102,BIO!A:A,0),2)</f>
        <v>0</v>
      </c>
      <c r="L102" s="15">
        <f t="shared" si="1"/>
        <v>0</v>
      </c>
      <c r="M102" s="14">
        <f>INDEX('BIO WAHYU'!B:E,MATCH(DATA!D102,'BIO WAHYU'!B:B,0),4)</f>
        <v>0</v>
      </c>
    </row>
    <row r="103" spans="1:13">
      <c r="A103" s="1" t="s">
        <v>1</v>
      </c>
      <c r="B103" s="1" t="s">
        <v>5</v>
      </c>
      <c r="C103" s="1" t="s">
        <v>117</v>
      </c>
      <c r="D103" s="7">
        <v>12324194</v>
      </c>
      <c r="E103" s="1" t="s">
        <v>10</v>
      </c>
      <c r="F103" s="10">
        <f>_xlfn.IFNA(INDEX('LMTD OSA | 3GB'!A:C,MATCH(DATA!D103,'LMTD OSA | 3GB'!A:A,0),2),0)</f>
        <v>0</v>
      </c>
      <c r="G103" s="10">
        <f>INDEX('LMTD OSA | 3GB'!A:C,MATCH(DATA!D103,'LMTD OSA | 3GB'!A:A,0),3)</f>
        <v>0</v>
      </c>
      <c r="H103" s="11">
        <f>INDEX('MTD OSA | 3GB'!B:D,MATCH(DATA!D103,'MTD OSA | 3GB'!B:B,0),2)</f>
        <v>2</v>
      </c>
      <c r="I103" s="12">
        <f>INDEX('MTD OSA | 3GB'!B:D,MATCH(DATA!D103,'MTD OSA | 3GB'!B:B,0),3)</f>
        <v>0</v>
      </c>
      <c r="J103" s="12">
        <f>INDEX(BIO!A:E,MATCH(DATA!D103,BIO!A:A,0),3)</f>
        <v>0</v>
      </c>
      <c r="K103" s="14">
        <f>INDEX(BIO!A:E,MATCH(DATA!D103,BIO!A:A,0),2)</f>
        <v>0</v>
      </c>
      <c r="L103" s="15">
        <f t="shared" si="1"/>
        <v>0</v>
      </c>
      <c r="M103" s="14">
        <f>INDEX('BIO WAHYU'!B:E,MATCH(DATA!D103,'BIO WAHYU'!B:B,0),4)</f>
        <v>0</v>
      </c>
    </row>
    <row r="104" spans="1:13">
      <c r="A104" s="1" t="s">
        <v>1</v>
      </c>
      <c r="B104" s="1" t="s">
        <v>5</v>
      </c>
      <c r="C104" s="1" t="s">
        <v>118</v>
      </c>
      <c r="D104" s="7">
        <v>12327316</v>
      </c>
      <c r="E104" s="1" t="s">
        <v>10</v>
      </c>
      <c r="F104" s="10">
        <f>_xlfn.IFNA(INDEX('LMTD OSA | 3GB'!A:C,MATCH(DATA!D104,'LMTD OSA | 3GB'!A:A,0),2),0)</f>
        <v>5</v>
      </c>
      <c r="G104" s="10">
        <f>INDEX('LMTD OSA | 3GB'!A:C,MATCH(DATA!D104,'LMTD OSA | 3GB'!A:A,0),3)</f>
        <v>500000</v>
      </c>
      <c r="H104" s="11">
        <f>INDEX('MTD OSA | 3GB'!B:D,MATCH(DATA!D104,'MTD OSA | 3GB'!B:B,0),2)</f>
        <v>0</v>
      </c>
      <c r="I104" s="12">
        <f>INDEX('MTD OSA | 3GB'!B:D,MATCH(DATA!D104,'MTD OSA | 3GB'!B:B,0),3)</f>
        <v>0</v>
      </c>
      <c r="J104" s="12">
        <f>INDEX(BIO!A:E,MATCH(DATA!D104,BIO!A:A,0),3)</f>
        <v>1</v>
      </c>
      <c r="K104" s="14">
        <f>INDEX(BIO!A:E,MATCH(DATA!D104,BIO!A:A,0),2)</f>
        <v>1</v>
      </c>
      <c r="L104" s="15">
        <f t="shared" si="1"/>
        <v>0</v>
      </c>
      <c r="M104" s="14">
        <f>INDEX('BIO WAHYU'!B:E,MATCH(DATA!D104,'BIO WAHYU'!B:B,0),4)</f>
        <v>0</v>
      </c>
    </row>
    <row r="105" spans="1:13">
      <c r="A105" s="1" t="s">
        <v>1</v>
      </c>
      <c r="B105" s="1" t="s">
        <v>5</v>
      </c>
      <c r="C105" s="1" t="s">
        <v>119</v>
      </c>
      <c r="D105" s="7">
        <v>12331450</v>
      </c>
      <c r="E105" s="1" t="s">
        <v>10</v>
      </c>
      <c r="F105" s="10">
        <f>_xlfn.IFNA(INDEX('LMTD OSA | 3GB'!A:C,MATCH(DATA!D105,'LMTD OSA | 3GB'!A:A,0),2),0)</f>
        <v>0</v>
      </c>
      <c r="G105" s="10">
        <f>INDEX('LMTD OSA | 3GB'!A:C,MATCH(DATA!D105,'LMTD OSA | 3GB'!A:A,0),3)</f>
        <v>200000</v>
      </c>
      <c r="H105" s="11">
        <f>INDEX('MTD OSA | 3GB'!B:D,MATCH(DATA!D105,'MTD OSA | 3GB'!B:B,0),2)</f>
        <v>0</v>
      </c>
      <c r="I105" s="12">
        <f>INDEX('MTD OSA | 3GB'!B:D,MATCH(DATA!D105,'MTD OSA | 3GB'!B:B,0),3)</f>
        <v>200000</v>
      </c>
      <c r="J105" s="12">
        <f>INDEX(BIO!A:E,MATCH(DATA!D105,BIO!A:A,0),3)</f>
        <v>1</v>
      </c>
      <c r="K105" s="14">
        <f>INDEX(BIO!A:E,MATCH(DATA!D105,BIO!A:A,0),2)</f>
        <v>2</v>
      </c>
      <c r="L105" s="15">
        <f t="shared" si="1"/>
        <v>1</v>
      </c>
      <c r="M105" s="14">
        <f>INDEX('BIO WAHYU'!B:E,MATCH(DATA!D105,'BIO WAHYU'!B:B,0),4)</f>
        <v>0</v>
      </c>
    </row>
    <row r="106" spans="1:13">
      <c r="A106" s="1" t="s">
        <v>1</v>
      </c>
      <c r="B106" s="1" t="s">
        <v>5</v>
      </c>
      <c r="C106" s="1" t="s">
        <v>120</v>
      </c>
      <c r="D106" s="7">
        <v>12332670</v>
      </c>
      <c r="E106" s="1" t="s">
        <v>10</v>
      </c>
      <c r="F106" s="10">
        <f>_xlfn.IFNA(INDEX('LMTD OSA | 3GB'!A:C,MATCH(DATA!D106,'LMTD OSA | 3GB'!A:A,0),2),0)</f>
        <v>0</v>
      </c>
      <c r="G106" s="10">
        <f>INDEX('LMTD OSA | 3GB'!A:C,MATCH(DATA!D106,'LMTD OSA | 3GB'!A:A,0),3)</f>
        <v>1915000</v>
      </c>
      <c r="H106" s="11">
        <f>INDEX('MTD OSA | 3GB'!B:D,MATCH(DATA!D106,'MTD OSA | 3GB'!B:B,0),2)</f>
        <v>0</v>
      </c>
      <c r="I106" s="12">
        <f>INDEX('MTD OSA | 3GB'!B:D,MATCH(DATA!D106,'MTD OSA | 3GB'!B:B,0),3)</f>
        <v>1280000</v>
      </c>
      <c r="J106" s="12">
        <f>INDEX(BIO!A:E,MATCH(DATA!D106,BIO!A:A,0),3)</f>
        <v>1</v>
      </c>
      <c r="K106" s="14">
        <f>INDEX(BIO!A:E,MATCH(DATA!D106,BIO!A:A,0),2)</f>
        <v>5</v>
      </c>
      <c r="L106" s="15">
        <f t="shared" si="1"/>
        <v>4</v>
      </c>
      <c r="M106" s="14">
        <f>INDEX('BIO WAHYU'!B:E,MATCH(DATA!D106,'BIO WAHYU'!B:B,0),4)</f>
        <v>0</v>
      </c>
    </row>
    <row r="107" spans="1:13">
      <c r="A107" s="1" t="s">
        <v>1</v>
      </c>
      <c r="B107" s="1" t="s">
        <v>5</v>
      </c>
      <c r="C107" s="1" t="s">
        <v>121</v>
      </c>
      <c r="D107" s="7">
        <v>12332811</v>
      </c>
      <c r="E107" s="1" t="s">
        <v>10</v>
      </c>
      <c r="F107" s="10">
        <f>_xlfn.IFNA(INDEX('LMTD OSA | 3GB'!A:C,MATCH(DATA!D107,'LMTD OSA | 3GB'!A:A,0),2),0)</f>
        <v>0</v>
      </c>
      <c r="G107" s="10">
        <f>INDEX('LMTD OSA | 3GB'!A:C,MATCH(DATA!D107,'LMTD OSA | 3GB'!A:A,0),3)</f>
        <v>0</v>
      </c>
      <c r="H107" s="11">
        <f>INDEX('MTD OSA | 3GB'!B:D,MATCH(DATA!D107,'MTD OSA | 3GB'!B:B,0),2)</f>
        <v>0</v>
      </c>
      <c r="I107" s="12">
        <f>INDEX('MTD OSA | 3GB'!B:D,MATCH(DATA!D107,'MTD OSA | 3GB'!B:B,0),3)</f>
        <v>0</v>
      </c>
      <c r="J107" s="12">
        <f>INDEX(BIO!A:E,MATCH(DATA!D107,BIO!A:A,0),3)</f>
        <v>0</v>
      </c>
      <c r="K107" s="14">
        <f>INDEX(BIO!A:E,MATCH(DATA!D107,BIO!A:A,0),2)</f>
        <v>0</v>
      </c>
      <c r="L107" s="15">
        <f t="shared" si="1"/>
        <v>0</v>
      </c>
      <c r="M107" s="14">
        <f>INDEX('BIO WAHYU'!B:E,MATCH(DATA!D107,'BIO WAHYU'!B:B,0),4)</f>
        <v>0</v>
      </c>
    </row>
    <row r="108" spans="1:13">
      <c r="A108" s="1" t="s">
        <v>1</v>
      </c>
      <c r="B108" s="1" t="s">
        <v>5</v>
      </c>
      <c r="C108" s="1" t="s">
        <v>122</v>
      </c>
      <c r="D108" s="7">
        <v>12333237</v>
      </c>
      <c r="E108" s="1" t="s">
        <v>10</v>
      </c>
      <c r="F108" s="10">
        <f>_xlfn.IFNA(INDEX('LMTD OSA | 3GB'!A:C,MATCH(DATA!D108,'LMTD OSA | 3GB'!A:A,0),2),0)</f>
        <v>5</v>
      </c>
      <c r="G108" s="10">
        <f>INDEX('LMTD OSA | 3GB'!A:C,MATCH(DATA!D108,'LMTD OSA | 3GB'!A:A,0),3)</f>
        <v>100000</v>
      </c>
      <c r="H108" s="11">
        <f>INDEX('MTD OSA | 3GB'!B:D,MATCH(DATA!D108,'MTD OSA | 3GB'!B:B,0),2)</f>
        <v>4</v>
      </c>
      <c r="I108" s="12">
        <f>INDEX('MTD OSA | 3GB'!B:D,MATCH(DATA!D108,'MTD OSA | 3GB'!B:B,0),3)</f>
        <v>316000</v>
      </c>
      <c r="J108" s="12">
        <f>INDEX(BIO!A:E,MATCH(DATA!D108,BIO!A:A,0),3)</f>
        <v>1</v>
      </c>
      <c r="K108" s="14">
        <f>INDEX(BIO!A:E,MATCH(DATA!D108,BIO!A:A,0),2)</f>
        <v>13</v>
      </c>
      <c r="L108" s="15">
        <f t="shared" si="1"/>
        <v>12</v>
      </c>
      <c r="M108" s="14">
        <f>INDEX('BIO WAHYU'!B:E,MATCH(DATA!D108,'BIO WAHYU'!B:B,0),4)</f>
        <v>0</v>
      </c>
    </row>
    <row r="109" spans="1:13">
      <c r="A109" s="1" t="s">
        <v>1</v>
      </c>
      <c r="B109" s="1" t="s">
        <v>5</v>
      </c>
      <c r="C109" s="1" t="s">
        <v>123</v>
      </c>
      <c r="D109" s="7">
        <v>12334635</v>
      </c>
      <c r="E109" s="1" t="s">
        <v>10</v>
      </c>
      <c r="F109" s="10">
        <f>_xlfn.IFNA(INDEX('LMTD OSA | 3GB'!A:C,MATCH(DATA!D109,'LMTD OSA | 3GB'!A:A,0),2),0)</f>
        <v>4</v>
      </c>
      <c r="G109" s="10">
        <f>INDEX('LMTD OSA | 3GB'!A:C,MATCH(DATA!D109,'LMTD OSA | 3GB'!A:A,0),3)</f>
        <v>58616000</v>
      </c>
      <c r="H109" s="11">
        <f>INDEX('MTD OSA | 3GB'!B:D,MATCH(DATA!D109,'MTD OSA | 3GB'!B:B,0),2)</f>
        <v>5</v>
      </c>
      <c r="I109" s="12">
        <f>INDEX('MTD OSA | 3GB'!B:D,MATCH(DATA!D109,'MTD OSA | 3GB'!B:B,0),3)</f>
        <v>51377000</v>
      </c>
      <c r="J109" s="12">
        <f>INDEX(BIO!A:E,MATCH(DATA!D109,BIO!A:A,0),3)</f>
        <v>1</v>
      </c>
      <c r="K109" s="14">
        <f>INDEX(BIO!A:E,MATCH(DATA!D109,BIO!A:A,0),2)</f>
        <v>3</v>
      </c>
      <c r="L109" s="15">
        <f t="shared" si="1"/>
        <v>2</v>
      </c>
      <c r="M109" s="14">
        <f>INDEX('BIO WAHYU'!B:E,MATCH(DATA!D109,'BIO WAHYU'!B:B,0),4)</f>
        <v>2</v>
      </c>
    </row>
    <row r="110" spans="1:13">
      <c r="A110" s="1" t="s">
        <v>1</v>
      </c>
      <c r="B110" s="1" t="s">
        <v>5</v>
      </c>
      <c r="C110" s="1" t="s">
        <v>124</v>
      </c>
      <c r="D110" s="7">
        <v>12334637</v>
      </c>
      <c r="E110" s="1" t="s">
        <v>10</v>
      </c>
      <c r="F110" s="10">
        <f>_xlfn.IFNA(INDEX('LMTD OSA | 3GB'!A:C,MATCH(DATA!D110,'LMTD OSA | 3GB'!A:A,0),2),0)</f>
        <v>4</v>
      </c>
      <c r="G110" s="10">
        <f>INDEX('LMTD OSA | 3GB'!A:C,MATCH(DATA!D110,'LMTD OSA | 3GB'!A:A,0),3)</f>
        <v>46616000</v>
      </c>
      <c r="H110" s="11">
        <f>INDEX('MTD OSA | 3GB'!B:D,MATCH(DATA!D110,'MTD OSA | 3GB'!B:B,0),2)</f>
        <v>14</v>
      </c>
      <c r="I110" s="12">
        <f>INDEX('MTD OSA | 3GB'!B:D,MATCH(DATA!D110,'MTD OSA | 3GB'!B:B,0),3)</f>
        <v>17595290</v>
      </c>
      <c r="J110" s="12">
        <f>INDEX(BIO!A:E,MATCH(DATA!D110,BIO!A:A,0),3)</f>
        <v>1</v>
      </c>
      <c r="K110" s="14">
        <f>INDEX(BIO!A:E,MATCH(DATA!D110,BIO!A:A,0),2)</f>
        <v>3</v>
      </c>
      <c r="L110" s="15">
        <f t="shared" si="1"/>
        <v>2</v>
      </c>
      <c r="M110" s="14">
        <f>INDEX('BIO WAHYU'!B:E,MATCH(DATA!D110,'BIO WAHYU'!B:B,0),4)</f>
        <v>2</v>
      </c>
    </row>
    <row r="111" spans="1:13">
      <c r="A111" s="1" t="s">
        <v>1</v>
      </c>
      <c r="B111" s="1" t="s">
        <v>5</v>
      </c>
      <c r="C111" s="1" t="s">
        <v>125</v>
      </c>
      <c r="D111" s="7">
        <v>126963</v>
      </c>
      <c r="E111" s="1" t="s">
        <v>10</v>
      </c>
      <c r="F111" s="10">
        <f>_xlfn.IFNA(INDEX('LMTD OSA | 3GB'!A:C,MATCH(DATA!D111,'LMTD OSA | 3GB'!A:A,0),2),0)</f>
        <v>6</v>
      </c>
      <c r="G111" s="10">
        <f>INDEX('LMTD OSA | 3GB'!A:C,MATCH(DATA!D111,'LMTD OSA | 3GB'!A:A,0),3)</f>
        <v>800000</v>
      </c>
      <c r="H111" s="11">
        <f>INDEX('MTD OSA | 3GB'!B:D,MATCH(DATA!D111,'MTD OSA | 3GB'!B:B,0),2)</f>
        <v>4</v>
      </c>
      <c r="I111" s="12">
        <f>INDEX('MTD OSA | 3GB'!B:D,MATCH(DATA!D111,'MTD OSA | 3GB'!B:B,0),3)</f>
        <v>716000</v>
      </c>
      <c r="J111" s="12">
        <f>INDEX(BIO!A:E,MATCH(DATA!D111,BIO!A:A,0),3)</f>
        <v>1</v>
      </c>
      <c r="K111" s="14">
        <f>INDEX(BIO!A:E,MATCH(DATA!D111,BIO!A:A,0),2)</f>
        <v>1</v>
      </c>
      <c r="L111" s="15">
        <f t="shared" si="1"/>
        <v>0</v>
      </c>
      <c r="M111" s="14">
        <f>INDEX('BIO WAHYU'!B:E,MATCH(DATA!D111,'BIO WAHYU'!B:B,0),4)</f>
        <v>0</v>
      </c>
    </row>
    <row r="112" spans="1:13">
      <c r="A112" s="1" t="s">
        <v>1</v>
      </c>
      <c r="B112" s="1" t="s">
        <v>5</v>
      </c>
      <c r="C112" s="1" t="s">
        <v>126</v>
      </c>
      <c r="D112" s="7">
        <v>127198</v>
      </c>
      <c r="E112" s="1" t="s">
        <v>10</v>
      </c>
      <c r="F112" s="10">
        <f>_xlfn.IFNA(INDEX('LMTD OSA | 3GB'!A:C,MATCH(DATA!D112,'LMTD OSA | 3GB'!A:A,0),2),0)</f>
        <v>29</v>
      </c>
      <c r="G112" s="10">
        <f>INDEX('LMTD OSA | 3GB'!A:C,MATCH(DATA!D112,'LMTD OSA | 3GB'!A:A,0),3)</f>
        <v>4986000</v>
      </c>
      <c r="H112" s="11">
        <f>INDEX('MTD OSA | 3GB'!B:D,MATCH(DATA!D112,'MTD OSA | 3GB'!B:B,0),2)</f>
        <v>4</v>
      </c>
      <c r="I112" s="12">
        <f>INDEX('MTD OSA | 3GB'!B:D,MATCH(DATA!D112,'MTD OSA | 3GB'!B:B,0),3)</f>
        <v>4406000</v>
      </c>
      <c r="J112" s="12">
        <f>INDEX(BIO!A:E,MATCH(DATA!D112,BIO!A:A,0),3)</f>
        <v>2</v>
      </c>
      <c r="K112" s="14">
        <f>INDEX(BIO!A:E,MATCH(DATA!D112,BIO!A:A,0),2)</f>
        <v>18</v>
      </c>
      <c r="L112" s="15">
        <f t="shared" si="1"/>
        <v>16</v>
      </c>
      <c r="M112" s="14">
        <f>INDEX('BIO WAHYU'!B:E,MATCH(DATA!D112,'BIO WAHYU'!B:B,0),4)</f>
        <v>0</v>
      </c>
    </row>
    <row r="113" spans="1:13">
      <c r="A113" s="1" t="s">
        <v>1</v>
      </c>
      <c r="B113" s="1" t="s">
        <v>5</v>
      </c>
      <c r="C113" s="1" t="s">
        <v>127</v>
      </c>
      <c r="D113" s="7">
        <v>195918</v>
      </c>
      <c r="E113" s="1" t="s">
        <v>10</v>
      </c>
      <c r="F113" s="10">
        <f>_xlfn.IFNA(INDEX('LMTD OSA | 3GB'!A:C,MATCH(DATA!D113,'LMTD OSA | 3GB'!A:A,0),2),0)</f>
        <v>3</v>
      </c>
      <c r="G113" s="10">
        <f>INDEX('LMTD OSA | 3GB'!A:C,MATCH(DATA!D113,'LMTD OSA | 3GB'!A:A,0),3)</f>
        <v>13580000</v>
      </c>
      <c r="H113" s="11">
        <f>INDEX('MTD OSA | 3GB'!B:D,MATCH(DATA!D113,'MTD OSA | 3GB'!B:B,0),2)</f>
        <v>0</v>
      </c>
      <c r="I113" s="12">
        <f>INDEX('MTD OSA | 3GB'!B:D,MATCH(DATA!D113,'MTD OSA | 3GB'!B:B,0),3)</f>
        <v>14394999</v>
      </c>
      <c r="J113" s="12">
        <f>INDEX(BIO!A:E,MATCH(DATA!D113,BIO!A:A,0),3)</f>
        <v>0</v>
      </c>
      <c r="K113" s="14">
        <f>INDEX(BIO!A:E,MATCH(DATA!D113,BIO!A:A,0),2)</f>
        <v>5</v>
      </c>
      <c r="L113" s="15">
        <f t="shared" si="1"/>
        <v>5</v>
      </c>
      <c r="M113" s="14">
        <f>INDEX('BIO WAHYU'!B:E,MATCH(DATA!D113,'BIO WAHYU'!B:B,0),4)</f>
        <v>1</v>
      </c>
    </row>
    <row r="114" spans="1:13">
      <c r="A114" s="1" t="s">
        <v>1</v>
      </c>
      <c r="B114" s="1" t="s">
        <v>5</v>
      </c>
      <c r="C114" s="1" t="s">
        <v>128</v>
      </c>
      <c r="D114" s="7">
        <v>199020</v>
      </c>
      <c r="E114" s="1" t="s">
        <v>10</v>
      </c>
      <c r="F114" s="10">
        <f>_xlfn.IFNA(INDEX('LMTD OSA | 3GB'!A:C,MATCH(DATA!D114,'LMTD OSA | 3GB'!A:A,0),2),0)</f>
        <v>0</v>
      </c>
      <c r="G114" s="10">
        <f>INDEX('LMTD OSA | 3GB'!A:C,MATCH(DATA!D114,'LMTD OSA | 3GB'!A:A,0),3)</f>
        <v>700000</v>
      </c>
      <c r="H114" s="11">
        <f>INDEX('MTD OSA | 3GB'!B:D,MATCH(DATA!D114,'MTD OSA | 3GB'!B:B,0),2)</f>
        <v>0</v>
      </c>
      <c r="I114" s="12">
        <f>INDEX('MTD OSA | 3GB'!B:D,MATCH(DATA!D114,'MTD OSA | 3GB'!B:B,0),3)</f>
        <v>700000</v>
      </c>
      <c r="J114" s="12">
        <f>INDEX(BIO!A:E,MATCH(DATA!D114,BIO!A:A,0),3)</f>
        <v>1</v>
      </c>
      <c r="K114" s="14">
        <f>INDEX(BIO!A:E,MATCH(DATA!D114,BIO!A:A,0),2)</f>
        <v>0</v>
      </c>
      <c r="L114" s="15">
        <f t="shared" si="1"/>
        <v>0</v>
      </c>
      <c r="M114" s="14">
        <f>INDEX('BIO WAHYU'!B:E,MATCH(DATA!D114,'BIO WAHYU'!B:B,0),4)</f>
        <v>0</v>
      </c>
    </row>
    <row r="115" spans="1:13">
      <c r="A115" s="1" t="s">
        <v>1</v>
      </c>
      <c r="B115" s="1" t="s">
        <v>5</v>
      </c>
      <c r="C115" s="1" t="s">
        <v>129</v>
      </c>
      <c r="D115" s="7">
        <v>240084</v>
      </c>
      <c r="E115" s="1" t="s">
        <v>10</v>
      </c>
      <c r="F115" s="10">
        <f>_xlfn.IFNA(INDEX('LMTD OSA | 3GB'!A:C,MATCH(DATA!D115,'LMTD OSA | 3GB'!A:A,0),2),0)</f>
        <v>0</v>
      </c>
      <c r="G115" s="10">
        <f>INDEX('LMTD OSA | 3GB'!A:C,MATCH(DATA!D115,'LMTD OSA | 3GB'!A:A,0),3)</f>
        <v>11500000</v>
      </c>
      <c r="H115" s="11">
        <f>INDEX('MTD OSA | 3GB'!B:D,MATCH(DATA!D115,'MTD OSA | 3GB'!B:B,0),2)</f>
        <v>0</v>
      </c>
      <c r="I115" s="12">
        <f>INDEX('MTD OSA | 3GB'!B:D,MATCH(DATA!D115,'MTD OSA | 3GB'!B:B,0),3)</f>
        <v>11000000</v>
      </c>
      <c r="J115" s="12">
        <f>INDEX(BIO!A:E,MATCH(DATA!D115,BIO!A:A,0),3)</f>
        <v>0</v>
      </c>
      <c r="K115" s="14">
        <f>INDEX(BIO!A:E,MATCH(DATA!D115,BIO!A:A,0),2)</f>
        <v>3</v>
      </c>
      <c r="L115" s="15">
        <f t="shared" si="1"/>
        <v>3</v>
      </c>
      <c r="M115" s="14">
        <f>INDEX('BIO WAHYU'!B:E,MATCH(DATA!D115,'BIO WAHYU'!B:B,0),4)</f>
        <v>0</v>
      </c>
    </row>
    <row r="116" spans="1:13">
      <c r="A116" s="1" t="s">
        <v>1</v>
      </c>
      <c r="B116" s="1" t="s">
        <v>5</v>
      </c>
      <c r="C116" s="1" t="s">
        <v>130</v>
      </c>
      <c r="D116" s="7">
        <v>240713</v>
      </c>
      <c r="E116" s="1" t="s">
        <v>10</v>
      </c>
      <c r="F116" s="10">
        <f>_xlfn.IFNA(INDEX('LMTD OSA | 3GB'!A:C,MATCH(DATA!D116,'LMTD OSA | 3GB'!A:A,0),2),0)</f>
        <v>6</v>
      </c>
      <c r="G116" s="10">
        <f>INDEX('LMTD OSA | 3GB'!A:C,MATCH(DATA!D116,'LMTD OSA | 3GB'!A:A,0),3)</f>
        <v>8700000</v>
      </c>
      <c r="H116" s="11">
        <f>INDEX('MTD OSA | 3GB'!B:D,MATCH(DATA!D116,'MTD OSA | 3GB'!B:B,0),2)</f>
        <v>4</v>
      </c>
      <c r="I116" s="12">
        <f>INDEX('MTD OSA | 3GB'!B:D,MATCH(DATA!D116,'MTD OSA | 3GB'!B:B,0),3)</f>
        <v>11282000</v>
      </c>
      <c r="J116" s="12">
        <f>INDEX(BIO!A:E,MATCH(DATA!D116,BIO!A:A,0),3)</f>
        <v>1</v>
      </c>
      <c r="K116" s="14">
        <f>INDEX(BIO!A:E,MATCH(DATA!D116,BIO!A:A,0),2)</f>
        <v>5</v>
      </c>
      <c r="L116" s="15">
        <f t="shared" si="1"/>
        <v>4</v>
      </c>
      <c r="M116" s="14">
        <f>INDEX('BIO WAHYU'!B:E,MATCH(DATA!D116,'BIO WAHYU'!B:B,0),4)</f>
        <v>1</v>
      </c>
    </row>
    <row r="117" spans="1:13">
      <c r="A117" s="1" t="s">
        <v>1</v>
      </c>
      <c r="B117" s="1" t="s">
        <v>5</v>
      </c>
      <c r="C117" s="1" t="s">
        <v>131</v>
      </c>
      <c r="D117" s="7">
        <v>304264</v>
      </c>
      <c r="E117" s="1" t="s">
        <v>15</v>
      </c>
      <c r="F117" s="10">
        <f>_xlfn.IFNA(INDEX('LMTD OSA | 3GB'!A:C,MATCH(DATA!D117,'LMTD OSA | 3GB'!A:A,0),2),0)</f>
        <v>0</v>
      </c>
      <c r="G117" s="10">
        <f>INDEX('LMTD OSA | 3GB'!A:C,MATCH(DATA!D117,'LMTD OSA | 3GB'!A:A,0),3)</f>
        <v>529000</v>
      </c>
      <c r="H117" s="11">
        <f>INDEX('MTD OSA | 3GB'!B:D,MATCH(DATA!D117,'MTD OSA | 3GB'!B:B,0),2)</f>
        <v>0</v>
      </c>
      <c r="I117" s="12">
        <f>INDEX('MTD OSA | 3GB'!B:D,MATCH(DATA!D117,'MTD OSA | 3GB'!B:B,0),3)</f>
        <v>600000</v>
      </c>
      <c r="J117" s="12">
        <f>INDEX(BIO!A:E,MATCH(DATA!D117,BIO!A:A,0),3)</f>
        <v>1</v>
      </c>
      <c r="K117" s="14">
        <f>INDEX(BIO!A:E,MATCH(DATA!D117,BIO!A:A,0),2)</f>
        <v>1</v>
      </c>
      <c r="L117" s="15">
        <f t="shared" si="1"/>
        <v>0</v>
      </c>
      <c r="M117" s="14">
        <f>INDEX('BIO WAHYU'!B:E,MATCH(DATA!D117,'BIO WAHYU'!B:B,0),4)</f>
        <v>0</v>
      </c>
    </row>
    <row r="118" spans="1:13">
      <c r="A118" s="1" t="s">
        <v>1</v>
      </c>
      <c r="B118" s="1" t="s">
        <v>5</v>
      </c>
      <c r="C118" s="1" t="s">
        <v>132</v>
      </c>
      <c r="D118" s="7">
        <v>342829</v>
      </c>
      <c r="E118" s="1" t="s">
        <v>10</v>
      </c>
      <c r="F118" s="10">
        <f>_xlfn.IFNA(INDEX('LMTD OSA | 3GB'!A:C,MATCH(DATA!D118,'LMTD OSA | 3GB'!A:A,0),2),0)</f>
        <v>4</v>
      </c>
      <c r="G118" s="10">
        <f>INDEX('LMTD OSA | 3GB'!A:C,MATCH(DATA!D118,'LMTD OSA | 3GB'!A:A,0),3)</f>
        <v>2400000</v>
      </c>
      <c r="H118" s="11">
        <f>INDEX('MTD OSA | 3GB'!B:D,MATCH(DATA!D118,'MTD OSA | 3GB'!B:B,0),2)</f>
        <v>3</v>
      </c>
      <c r="I118" s="12">
        <f>INDEX('MTD OSA | 3GB'!B:D,MATCH(DATA!D118,'MTD OSA | 3GB'!B:B,0),3)</f>
        <v>2587000</v>
      </c>
      <c r="J118" s="12">
        <f>INDEX(BIO!A:E,MATCH(DATA!D118,BIO!A:A,0),3)</f>
        <v>2</v>
      </c>
      <c r="K118" s="14">
        <f>INDEX(BIO!A:E,MATCH(DATA!D118,BIO!A:A,0),2)</f>
        <v>0</v>
      </c>
      <c r="L118" s="15">
        <f t="shared" si="1"/>
        <v>0</v>
      </c>
      <c r="M118" s="14">
        <f>INDEX('BIO WAHYU'!B:E,MATCH(DATA!D118,'BIO WAHYU'!B:B,0),4)</f>
        <v>0</v>
      </c>
    </row>
    <row r="119" spans="1:13">
      <c r="A119" s="1" t="s">
        <v>1</v>
      </c>
      <c r="B119" s="1" t="s">
        <v>5</v>
      </c>
      <c r="C119" s="1" t="s">
        <v>133</v>
      </c>
      <c r="D119" s="7">
        <v>345427</v>
      </c>
      <c r="E119" s="1" t="s">
        <v>10</v>
      </c>
      <c r="F119" s="10">
        <f>_xlfn.IFNA(INDEX('LMTD OSA | 3GB'!A:C,MATCH(DATA!D119,'LMTD OSA | 3GB'!A:A,0),2),0)</f>
        <v>8</v>
      </c>
      <c r="G119" s="10">
        <f>INDEX('LMTD OSA | 3GB'!A:C,MATCH(DATA!D119,'LMTD OSA | 3GB'!A:A,0),3)</f>
        <v>1800000</v>
      </c>
      <c r="H119" s="11">
        <f>INDEX('MTD OSA | 3GB'!B:D,MATCH(DATA!D119,'MTD OSA | 3GB'!B:B,0),2)</f>
        <v>4</v>
      </c>
      <c r="I119" s="12">
        <f>INDEX('MTD OSA | 3GB'!B:D,MATCH(DATA!D119,'MTD OSA | 3GB'!B:B,0),3)</f>
        <v>1916000</v>
      </c>
      <c r="J119" s="12">
        <f>INDEX(BIO!A:E,MATCH(DATA!D119,BIO!A:A,0),3)</f>
        <v>1</v>
      </c>
      <c r="K119" s="14">
        <f>INDEX(BIO!A:E,MATCH(DATA!D119,BIO!A:A,0),2)</f>
        <v>0</v>
      </c>
      <c r="L119" s="15">
        <f t="shared" si="1"/>
        <v>0</v>
      </c>
      <c r="M119" s="14">
        <f>INDEX('BIO WAHYU'!B:E,MATCH(DATA!D119,'BIO WAHYU'!B:B,0),4)</f>
        <v>0</v>
      </c>
    </row>
    <row r="120" spans="1:13">
      <c r="A120" s="1" t="s">
        <v>1</v>
      </c>
      <c r="B120" s="1" t="s">
        <v>5</v>
      </c>
      <c r="C120" s="1" t="s">
        <v>134</v>
      </c>
      <c r="D120" s="7">
        <v>352167</v>
      </c>
      <c r="E120" s="1" t="s">
        <v>10</v>
      </c>
      <c r="F120" s="10">
        <f>_xlfn.IFNA(INDEX('LMTD OSA | 3GB'!A:C,MATCH(DATA!D120,'LMTD OSA | 3GB'!A:A,0),2),0)</f>
        <v>0</v>
      </c>
      <c r="G120" s="10">
        <f>INDEX('LMTD OSA | 3GB'!A:C,MATCH(DATA!D120,'LMTD OSA | 3GB'!A:A,0),3)</f>
        <v>998000</v>
      </c>
      <c r="H120" s="11">
        <f>INDEX('MTD OSA | 3GB'!B:D,MATCH(DATA!D120,'MTD OSA | 3GB'!B:B,0),2)</f>
        <v>0</v>
      </c>
      <c r="I120" s="12">
        <f>INDEX('MTD OSA | 3GB'!B:D,MATCH(DATA!D120,'MTD OSA | 3GB'!B:B,0),3)</f>
        <v>600000</v>
      </c>
      <c r="J120" s="12">
        <f>INDEX(BIO!A:E,MATCH(DATA!D120,BIO!A:A,0),3)</f>
        <v>0</v>
      </c>
      <c r="K120" s="14">
        <f>INDEX(BIO!A:E,MATCH(DATA!D120,BIO!A:A,0),2)</f>
        <v>1</v>
      </c>
      <c r="L120" s="15">
        <f t="shared" si="1"/>
        <v>1</v>
      </c>
      <c r="M120" s="14">
        <f>INDEX('BIO WAHYU'!B:E,MATCH(DATA!D120,'BIO WAHYU'!B:B,0),4)</f>
        <v>0</v>
      </c>
    </row>
    <row r="121" spans="1:13">
      <c r="A121" s="1" t="s">
        <v>1</v>
      </c>
      <c r="B121" s="1" t="s">
        <v>5</v>
      </c>
      <c r="C121" s="1" t="s">
        <v>135</v>
      </c>
      <c r="D121" s="7">
        <v>396176</v>
      </c>
      <c r="E121" s="1" t="s">
        <v>10</v>
      </c>
      <c r="F121" s="10">
        <f>_xlfn.IFNA(INDEX('LMTD OSA | 3GB'!A:C,MATCH(DATA!D121,'LMTD OSA | 3GB'!A:A,0),2),0)</f>
        <v>0</v>
      </c>
      <c r="G121" s="10">
        <f>INDEX('LMTD OSA | 3GB'!A:C,MATCH(DATA!D121,'LMTD OSA | 3GB'!A:A,0),3)</f>
        <v>0</v>
      </c>
      <c r="H121" s="11">
        <f>INDEX('MTD OSA | 3GB'!B:D,MATCH(DATA!D121,'MTD OSA | 3GB'!B:B,0),2)</f>
        <v>0</v>
      </c>
      <c r="I121" s="12">
        <f>INDEX('MTD OSA | 3GB'!B:D,MATCH(DATA!D121,'MTD OSA | 3GB'!B:B,0),3)</f>
        <v>100000</v>
      </c>
      <c r="J121" s="12">
        <f>INDEX(BIO!A:E,MATCH(DATA!D121,BIO!A:A,0),3)</f>
        <v>0</v>
      </c>
      <c r="K121" s="14">
        <f>INDEX(BIO!A:E,MATCH(DATA!D121,BIO!A:A,0),2)</f>
        <v>1</v>
      </c>
      <c r="L121" s="15">
        <f t="shared" si="1"/>
        <v>1</v>
      </c>
      <c r="M121" s="14">
        <f>INDEX('BIO WAHYU'!B:E,MATCH(DATA!D121,'BIO WAHYU'!B:B,0),4)</f>
        <v>0</v>
      </c>
    </row>
    <row r="122" spans="1:13">
      <c r="A122" s="1" t="s">
        <v>1</v>
      </c>
      <c r="B122" s="1" t="s">
        <v>5</v>
      </c>
      <c r="C122" s="1" t="s">
        <v>136</v>
      </c>
      <c r="D122" s="7">
        <v>401031</v>
      </c>
      <c r="E122" s="1" t="s">
        <v>10</v>
      </c>
      <c r="F122" s="10">
        <f>_xlfn.IFNA(INDEX('LMTD OSA | 3GB'!A:C,MATCH(DATA!D122,'LMTD OSA | 3GB'!A:A,0),2),0)</f>
        <v>6</v>
      </c>
      <c r="G122" s="10">
        <f>INDEX('LMTD OSA | 3GB'!A:C,MATCH(DATA!D122,'LMTD OSA | 3GB'!A:A,0),3)</f>
        <v>2550000</v>
      </c>
      <c r="H122" s="11">
        <f>INDEX('MTD OSA | 3GB'!B:D,MATCH(DATA!D122,'MTD OSA | 3GB'!B:B,0),2)</f>
        <v>0</v>
      </c>
      <c r="I122" s="12">
        <f>INDEX('MTD OSA | 3GB'!B:D,MATCH(DATA!D122,'MTD OSA | 3GB'!B:B,0),3)</f>
        <v>2000000</v>
      </c>
      <c r="J122" s="12">
        <f>INDEX(BIO!A:E,MATCH(DATA!D122,BIO!A:A,0),3)</f>
        <v>0</v>
      </c>
      <c r="K122" s="14">
        <f>INDEX(BIO!A:E,MATCH(DATA!D122,BIO!A:A,0),2)</f>
        <v>1</v>
      </c>
      <c r="L122" s="15">
        <f t="shared" si="1"/>
        <v>1</v>
      </c>
      <c r="M122" s="14">
        <f>INDEX('BIO WAHYU'!B:E,MATCH(DATA!D122,'BIO WAHYU'!B:B,0),4)</f>
        <v>0</v>
      </c>
    </row>
    <row r="123" spans="1:13">
      <c r="A123" s="1" t="s">
        <v>1</v>
      </c>
      <c r="B123" s="1" t="s">
        <v>5</v>
      </c>
      <c r="C123" s="1" t="s">
        <v>137</v>
      </c>
      <c r="D123" s="7">
        <v>471389</v>
      </c>
      <c r="E123" s="1" t="s">
        <v>10</v>
      </c>
      <c r="F123" s="10">
        <f>_xlfn.IFNA(INDEX('LMTD OSA | 3GB'!A:C,MATCH(DATA!D123,'LMTD OSA | 3GB'!A:A,0),2),0)</f>
        <v>0</v>
      </c>
      <c r="G123" s="10">
        <f>INDEX('LMTD OSA | 3GB'!A:C,MATCH(DATA!D123,'LMTD OSA | 3GB'!A:A,0),3)</f>
        <v>200000</v>
      </c>
      <c r="H123" s="11">
        <f>INDEX('MTD OSA | 3GB'!B:D,MATCH(DATA!D123,'MTD OSA | 3GB'!B:B,0),2)</f>
        <v>0</v>
      </c>
      <c r="I123" s="12">
        <f>INDEX('MTD OSA | 3GB'!B:D,MATCH(DATA!D123,'MTD OSA | 3GB'!B:B,0),3)</f>
        <v>200000</v>
      </c>
      <c r="J123" s="12">
        <f>INDEX(BIO!A:E,MATCH(DATA!D123,BIO!A:A,0),3)</f>
        <v>1</v>
      </c>
      <c r="K123" s="14">
        <f>INDEX(BIO!A:E,MATCH(DATA!D123,BIO!A:A,0),2)</f>
        <v>2</v>
      </c>
      <c r="L123" s="15">
        <f t="shared" si="1"/>
        <v>1</v>
      </c>
      <c r="M123" s="14">
        <f>INDEX('BIO WAHYU'!B:E,MATCH(DATA!D123,'BIO WAHYU'!B:B,0),4)</f>
        <v>0</v>
      </c>
    </row>
    <row r="124" spans="1:13">
      <c r="A124" s="1" t="s">
        <v>1</v>
      </c>
      <c r="B124" s="1" t="s">
        <v>5</v>
      </c>
      <c r="C124" s="1" t="s">
        <v>138</v>
      </c>
      <c r="D124" s="7">
        <v>477625</v>
      </c>
      <c r="E124" s="1" t="s">
        <v>10</v>
      </c>
      <c r="F124" s="10">
        <f>_xlfn.IFNA(INDEX('LMTD OSA | 3GB'!A:C,MATCH(DATA!D124,'LMTD OSA | 3GB'!A:A,0),2),0)</f>
        <v>0</v>
      </c>
      <c r="G124" s="10">
        <f>INDEX('LMTD OSA | 3GB'!A:C,MATCH(DATA!D124,'LMTD OSA | 3GB'!A:A,0),3)</f>
        <v>0</v>
      </c>
      <c r="H124" s="11">
        <f>INDEX('MTD OSA | 3GB'!B:D,MATCH(DATA!D124,'MTD OSA | 3GB'!B:B,0),2)</f>
        <v>0</v>
      </c>
      <c r="I124" s="12">
        <f>INDEX('MTD OSA | 3GB'!B:D,MATCH(DATA!D124,'MTD OSA | 3GB'!B:B,0),3)</f>
        <v>0</v>
      </c>
      <c r="J124" s="12">
        <f>INDEX(BIO!A:E,MATCH(DATA!D124,BIO!A:A,0),3)</f>
        <v>0</v>
      </c>
      <c r="K124" s="14">
        <f>INDEX(BIO!A:E,MATCH(DATA!D124,BIO!A:A,0),2)</f>
        <v>2</v>
      </c>
      <c r="L124" s="15">
        <f t="shared" si="1"/>
        <v>2</v>
      </c>
      <c r="M124" s="14">
        <f>INDEX('BIO WAHYU'!B:E,MATCH(DATA!D124,'BIO WAHYU'!B:B,0),4)</f>
        <v>0</v>
      </c>
    </row>
    <row r="125" spans="1:13">
      <c r="A125" s="1" t="s">
        <v>1</v>
      </c>
      <c r="B125" s="1" t="s">
        <v>5</v>
      </c>
      <c r="C125" s="1" t="s">
        <v>139</v>
      </c>
      <c r="D125" s="7">
        <v>481857</v>
      </c>
      <c r="E125" s="1" t="s">
        <v>10</v>
      </c>
      <c r="F125" s="10">
        <f>_xlfn.IFNA(INDEX('LMTD OSA | 3GB'!A:C,MATCH(DATA!D125,'LMTD OSA | 3GB'!A:A,0),2),0)</f>
        <v>6</v>
      </c>
      <c r="G125" s="10">
        <f>INDEX('LMTD OSA | 3GB'!A:C,MATCH(DATA!D125,'LMTD OSA | 3GB'!A:A,0),3)</f>
        <v>750000</v>
      </c>
      <c r="H125" s="11">
        <f>INDEX('MTD OSA | 3GB'!B:D,MATCH(DATA!D125,'MTD OSA | 3GB'!B:B,0),2)</f>
        <v>0</v>
      </c>
      <c r="I125" s="12">
        <f>INDEX('MTD OSA | 3GB'!B:D,MATCH(DATA!D125,'MTD OSA | 3GB'!B:B,0),3)</f>
        <v>200000</v>
      </c>
      <c r="J125" s="12">
        <f>INDEX(BIO!A:E,MATCH(DATA!D125,BIO!A:A,0),3)</f>
        <v>1</v>
      </c>
      <c r="K125" s="14">
        <f>INDEX(BIO!A:E,MATCH(DATA!D125,BIO!A:A,0),2)</f>
        <v>0</v>
      </c>
      <c r="L125" s="15">
        <f t="shared" si="1"/>
        <v>0</v>
      </c>
      <c r="M125" s="14">
        <f>INDEX('BIO WAHYU'!B:E,MATCH(DATA!D125,'BIO WAHYU'!B:B,0),4)</f>
        <v>0</v>
      </c>
    </row>
    <row r="126" spans="1:13">
      <c r="A126" s="1" t="s">
        <v>1</v>
      </c>
      <c r="B126" s="1" t="s">
        <v>5</v>
      </c>
      <c r="C126" s="1" t="s">
        <v>140</v>
      </c>
      <c r="D126" s="7">
        <v>483240</v>
      </c>
      <c r="E126" s="1" t="s">
        <v>10</v>
      </c>
      <c r="F126" s="10">
        <f>_xlfn.IFNA(INDEX('LMTD OSA | 3GB'!A:C,MATCH(DATA!D126,'LMTD OSA | 3GB'!A:A,0),2),0)</f>
        <v>0</v>
      </c>
      <c r="G126" s="10">
        <f>INDEX('LMTD OSA | 3GB'!A:C,MATCH(DATA!D126,'LMTD OSA | 3GB'!A:A,0),3)</f>
        <v>300000</v>
      </c>
      <c r="H126" s="11">
        <f>INDEX('MTD OSA | 3GB'!B:D,MATCH(DATA!D126,'MTD OSA | 3GB'!B:B,0),2)</f>
        <v>0</v>
      </c>
      <c r="I126" s="12">
        <f>INDEX('MTD OSA | 3GB'!B:D,MATCH(DATA!D126,'MTD OSA | 3GB'!B:B,0),3)</f>
        <v>250000</v>
      </c>
      <c r="J126" s="12">
        <f>INDEX(BIO!A:E,MATCH(DATA!D126,BIO!A:A,0),3)</f>
        <v>0</v>
      </c>
      <c r="K126" s="14">
        <f>INDEX(BIO!A:E,MATCH(DATA!D126,BIO!A:A,0),2)</f>
        <v>2</v>
      </c>
      <c r="L126" s="15">
        <f t="shared" si="1"/>
        <v>2</v>
      </c>
      <c r="M126" s="14">
        <f>INDEX('BIO WAHYU'!B:E,MATCH(DATA!D126,'BIO WAHYU'!B:B,0),4)</f>
        <v>0</v>
      </c>
    </row>
    <row r="127" spans="1:13">
      <c r="A127" s="1" t="s">
        <v>1</v>
      </c>
      <c r="B127" s="1" t="s">
        <v>5</v>
      </c>
      <c r="C127" s="1" t="s">
        <v>141</v>
      </c>
      <c r="D127" s="7">
        <v>499483</v>
      </c>
      <c r="E127" s="1" t="s">
        <v>10</v>
      </c>
      <c r="F127" s="10">
        <f>_xlfn.IFNA(INDEX('LMTD OSA | 3GB'!A:C,MATCH(DATA!D127,'LMTD OSA | 3GB'!A:A,0),2),0)</f>
        <v>0</v>
      </c>
      <c r="G127" s="10">
        <f>INDEX('LMTD OSA | 3GB'!A:C,MATCH(DATA!D127,'LMTD OSA | 3GB'!A:A,0),3)</f>
        <v>5500000</v>
      </c>
      <c r="H127" s="11">
        <f>INDEX('MTD OSA | 3GB'!B:D,MATCH(DATA!D127,'MTD OSA | 3GB'!B:B,0),2)</f>
        <v>0</v>
      </c>
      <c r="I127" s="12">
        <f>INDEX('MTD OSA | 3GB'!B:D,MATCH(DATA!D127,'MTD OSA | 3GB'!B:B,0),3)</f>
        <v>3300000</v>
      </c>
      <c r="J127" s="12">
        <f>INDEX(BIO!A:E,MATCH(DATA!D127,BIO!A:A,0),3)</f>
        <v>1</v>
      </c>
      <c r="K127" s="14">
        <f>INDEX(BIO!A:E,MATCH(DATA!D127,BIO!A:A,0),2)</f>
        <v>2</v>
      </c>
      <c r="L127" s="15">
        <f t="shared" si="1"/>
        <v>1</v>
      </c>
      <c r="M127" s="14">
        <f>INDEX('BIO WAHYU'!B:E,MATCH(DATA!D127,'BIO WAHYU'!B:B,0),4)</f>
        <v>0</v>
      </c>
    </row>
    <row r="128" spans="1:13">
      <c r="A128" s="1" t="s">
        <v>1</v>
      </c>
      <c r="B128" s="1" t="s">
        <v>5</v>
      </c>
      <c r="C128" s="1" t="s">
        <v>142</v>
      </c>
      <c r="D128" s="7">
        <v>501141</v>
      </c>
      <c r="E128" s="1" t="s">
        <v>10</v>
      </c>
      <c r="F128" s="10">
        <f>_xlfn.IFNA(INDEX('LMTD OSA | 3GB'!A:C,MATCH(DATA!D128,'LMTD OSA | 3GB'!A:A,0),2),0)</f>
        <v>0</v>
      </c>
      <c r="G128" s="10">
        <f>INDEX('LMTD OSA | 3GB'!A:C,MATCH(DATA!D128,'LMTD OSA | 3GB'!A:A,0),3)</f>
        <v>100000</v>
      </c>
      <c r="H128" s="11">
        <f>INDEX('MTD OSA | 3GB'!B:D,MATCH(DATA!D128,'MTD OSA | 3GB'!B:B,0),2)</f>
        <v>0</v>
      </c>
      <c r="I128" s="12">
        <f>INDEX('MTD OSA | 3GB'!B:D,MATCH(DATA!D128,'MTD OSA | 3GB'!B:B,0),3)</f>
        <v>100000</v>
      </c>
      <c r="J128" s="12">
        <f>INDEX(BIO!A:E,MATCH(DATA!D128,BIO!A:A,0),3)</f>
        <v>1</v>
      </c>
      <c r="K128" s="14">
        <f>INDEX(BIO!A:E,MATCH(DATA!D128,BIO!A:A,0),2)</f>
        <v>0</v>
      </c>
      <c r="L128" s="15">
        <f t="shared" si="1"/>
        <v>0</v>
      </c>
      <c r="M128" s="14">
        <f>INDEX('BIO WAHYU'!B:E,MATCH(DATA!D128,'BIO WAHYU'!B:B,0),4)</f>
        <v>0</v>
      </c>
    </row>
    <row r="129" spans="1:13">
      <c r="A129" s="1" t="s">
        <v>1</v>
      </c>
      <c r="B129" s="1" t="s">
        <v>5</v>
      </c>
      <c r="C129" s="1" t="s">
        <v>143</v>
      </c>
      <c r="D129" s="7">
        <v>501263</v>
      </c>
      <c r="E129" s="1" t="s">
        <v>10</v>
      </c>
      <c r="F129" s="10">
        <f>_xlfn.IFNA(INDEX('LMTD OSA | 3GB'!A:C,MATCH(DATA!D129,'LMTD OSA | 3GB'!A:A,0),2),0)</f>
        <v>0</v>
      </c>
      <c r="G129" s="10">
        <f>INDEX('LMTD OSA | 3GB'!A:C,MATCH(DATA!D129,'LMTD OSA | 3GB'!A:A,0),3)</f>
        <v>0</v>
      </c>
      <c r="H129" s="11">
        <f>INDEX('MTD OSA | 3GB'!B:D,MATCH(DATA!D129,'MTD OSA | 3GB'!B:B,0),2)</f>
        <v>0</v>
      </c>
      <c r="I129" s="12">
        <f>INDEX('MTD OSA | 3GB'!B:D,MATCH(DATA!D129,'MTD OSA | 3GB'!B:B,0),3)</f>
        <v>200000</v>
      </c>
      <c r="J129" s="12">
        <f>INDEX(BIO!A:E,MATCH(DATA!D129,BIO!A:A,0),3)</f>
        <v>1</v>
      </c>
      <c r="K129" s="14">
        <f>INDEX(BIO!A:E,MATCH(DATA!D129,BIO!A:A,0),2)</f>
        <v>1</v>
      </c>
      <c r="L129" s="15">
        <f t="shared" si="1"/>
        <v>0</v>
      </c>
      <c r="M129" s="14">
        <f>INDEX('BIO WAHYU'!B:E,MATCH(DATA!D129,'BIO WAHYU'!B:B,0),4)</f>
        <v>0</v>
      </c>
    </row>
    <row r="130" spans="1:13">
      <c r="A130" s="1" t="s">
        <v>1</v>
      </c>
      <c r="B130" s="1" t="s">
        <v>5</v>
      </c>
      <c r="C130" s="1" t="s">
        <v>144</v>
      </c>
      <c r="D130" s="7">
        <v>501860</v>
      </c>
      <c r="E130" s="1" t="s">
        <v>10</v>
      </c>
      <c r="F130" s="10">
        <f>_xlfn.IFNA(INDEX('LMTD OSA | 3GB'!A:C,MATCH(DATA!D130,'LMTD OSA | 3GB'!A:A,0),2),0)</f>
        <v>6</v>
      </c>
      <c r="G130" s="10">
        <f>INDEX('LMTD OSA | 3GB'!A:C,MATCH(DATA!D130,'LMTD OSA | 3GB'!A:A,0),3)</f>
        <v>800000</v>
      </c>
      <c r="H130" s="11">
        <f>INDEX('MTD OSA | 3GB'!B:D,MATCH(DATA!D130,'MTD OSA | 3GB'!B:B,0),2)</f>
        <v>4</v>
      </c>
      <c r="I130" s="12">
        <f>INDEX('MTD OSA | 3GB'!B:D,MATCH(DATA!D130,'MTD OSA | 3GB'!B:B,0),3)</f>
        <v>716000</v>
      </c>
      <c r="J130" s="12">
        <f>INDEX(BIO!A:E,MATCH(DATA!D130,BIO!A:A,0),3)</f>
        <v>1</v>
      </c>
      <c r="K130" s="14">
        <f>INDEX(BIO!A:E,MATCH(DATA!D130,BIO!A:A,0),2)</f>
        <v>3</v>
      </c>
      <c r="L130" s="15">
        <f t="shared" si="1"/>
        <v>2</v>
      </c>
      <c r="M130" s="14">
        <f>INDEX('BIO WAHYU'!B:E,MATCH(DATA!D130,'BIO WAHYU'!B:B,0),4)</f>
        <v>1</v>
      </c>
    </row>
    <row r="131" spans="1:13">
      <c r="A131" s="1" t="s">
        <v>1</v>
      </c>
      <c r="B131" s="1" t="s">
        <v>5</v>
      </c>
      <c r="C131" s="1" t="s">
        <v>145</v>
      </c>
      <c r="D131" s="7">
        <v>510295</v>
      </c>
      <c r="E131" s="1" t="s">
        <v>10</v>
      </c>
      <c r="F131" s="10">
        <f>_xlfn.IFNA(INDEX('LMTD OSA | 3GB'!A:C,MATCH(DATA!D131,'LMTD OSA | 3GB'!A:A,0),2),0)</f>
        <v>5</v>
      </c>
      <c r="G131" s="10">
        <f>INDEX('LMTD OSA | 3GB'!A:C,MATCH(DATA!D131,'LMTD OSA | 3GB'!A:A,0),3)</f>
        <v>250000</v>
      </c>
      <c r="H131" s="11">
        <f>INDEX('MTD OSA | 3GB'!B:D,MATCH(DATA!D131,'MTD OSA | 3GB'!B:B,0),2)</f>
        <v>4</v>
      </c>
      <c r="I131" s="12">
        <f>INDEX('MTD OSA | 3GB'!B:D,MATCH(DATA!D131,'MTD OSA | 3GB'!B:B,0),3)</f>
        <v>466000</v>
      </c>
      <c r="J131" s="12">
        <f>INDEX(BIO!A:E,MATCH(DATA!D131,BIO!A:A,0),3)</f>
        <v>1</v>
      </c>
      <c r="K131" s="14">
        <f>INDEX(BIO!A:E,MATCH(DATA!D131,BIO!A:A,0),2)</f>
        <v>0</v>
      </c>
      <c r="L131" s="15">
        <f t="shared" ref="L131:L146" si="2">IF(K131-J131&lt;=0,0,K131-J131)</f>
        <v>0</v>
      </c>
      <c r="M131" s="14">
        <f>INDEX('BIO WAHYU'!B:E,MATCH(DATA!D131,'BIO WAHYU'!B:B,0),4)</f>
        <v>0</v>
      </c>
    </row>
    <row r="132" spans="1:13">
      <c r="A132" s="1" t="s">
        <v>1</v>
      </c>
      <c r="B132" s="1" t="s">
        <v>5</v>
      </c>
      <c r="C132" s="1" t="s">
        <v>146</v>
      </c>
      <c r="D132" s="7">
        <v>510299</v>
      </c>
      <c r="E132" s="1" t="s">
        <v>10</v>
      </c>
      <c r="F132" s="10">
        <f>_xlfn.IFNA(INDEX('LMTD OSA | 3GB'!A:C,MATCH(DATA!D132,'LMTD OSA | 3GB'!A:A,0),2),0)</f>
        <v>0</v>
      </c>
      <c r="G132" s="10">
        <f>INDEX('LMTD OSA | 3GB'!A:C,MATCH(DATA!D132,'LMTD OSA | 3GB'!A:A,0),3)</f>
        <v>1000000</v>
      </c>
      <c r="H132" s="11">
        <f>INDEX('MTD OSA | 3GB'!B:D,MATCH(DATA!D132,'MTD OSA | 3GB'!B:B,0),2)</f>
        <v>0</v>
      </c>
      <c r="I132" s="12">
        <f>INDEX('MTD OSA | 3GB'!B:D,MATCH(DATA!D132,'MTD OSA | 3GB'!B:B,0),3)</f>
        <v>0</v>
      </c>
      <c r="J132" s="12">
        <f>INDEX(BIO!A:E,MATCH(DATA!D132,BIO!A:A,0),3)</f>
        <v>0</v>
      </c>
      <c r="K132" s="14">
        <f>INDEX(BIO!A:E,MATCH(DATA!D132,BIO!A:A,0),2)</f>
        <v>0</v>
      </c>
      <c r="L132" s="15">
        <f t="shared" si="2"/>
        <v>0</v>
      </c>
      <c r="M132" s="14">
        <f>INDEX('BIO WAHYU'!B:E,MATCH(DATA!D132,'BIO WAHYU'!B:B,0),4)</f>
        <v>0</v>
      </c>
    </row>
    <row r="133" spans="1:13">
      <c r="A133" s="1" t="s">
        <v>1</v>
      </c>
      <c r="B133" s="1" t="s">
        <v>5</v>
      </c>
      <c r="C133" s="1" t="s">
        <v>147</v>
      </c>
      <c r="D133" s="7">
        <v>511584</v>
      </c>
      <c r="E133" s="1" t="s">
        <v>10</v>
      </c>
      <c r="F133" s="10">
        <f>_xlfn.IFNA(INDEX('LMTD OSA | 3GB'!A:C,MATCH(DATA!D133,'LMTD OSA | 3GB'!A:A,0),2),0)</f>
        <v>5</v>
      </c>
      <c r="G133" s="10">
        <f>INDEX('LMTD OSA | 3GB'!A:C,MATCH(DATA!D133,'LMTD OSA | 3GB'!A:A,0),3)</f>
        <v>1300000</v>
      </c>
      <c r="H133" s="11">
        <f>INDEX('MTD OSA | 3GB'!B:D,MATCH(DATA!D133,'MTD OSA | 3GB'!B:B,0),2)</f>
        <v>4</v>
      </c>
      <c r="I133" s="12">
        <f>INDEX('MTD OSA | 3GB'!B:D,MATCH(DATA!D133,'MTD OSA | 3GB'!B:B,0),3)</f>
        <v>116000</v>
      </c>
      <c r="J133" s="12">
        <f>INDEX(BIO!A:E,MATCH(DATA!D133,BIO!A:A,0),3)</f>
        <v>1</v>
      </c>
      <c r="K133" s="14">
        <f>INDEX(BIO!A:E,MATCH(DATA!D133,BIO!A:A,0),2)</f>
        <v>3</v>
      </c>
      <c r="L133" s="15">
        <f t="shared" si="2"/>
        <v>2</v>
      </c>
      <c r="M133" s="14">
        <f>INDEX('BIO WAHYU'!B:E,MATCH(DATA!D133,'BIO WAHYU'!B:B,0),4)</f>
        <v>0</v>
      </c>
    </row>
    <row r="134" spans="1:13">
      <c r="A134" s="1" t="s">
        <v>1</v>
      </c>
      <c r="B134" s="1" t="s">
        <v>5</v>
      </c>
      <c r="C134" s="1" t="s">
        <v>148</v>
      </c>
      <c r="D134" s="7">
        <v>514589</v>
      </c>
      <c r="E134" s="1" t="s">
        <v>10</v>
      </c>
      <c r="F134" s="10">
        <f>_xlfn.IFNA(INDEX('LMTD OSA | 3GB'!A:C,MATCH(DATA!D134,'LMTD OSA | 3GB'!A:A,0),2),0)</f>
        <v>5</v>
      </c>
      <c r="G134" s="10">
        <f>INDEX('LMTD OSA | 3GB'!A:C,MATCH(DATA!D134,'LMTD OSA | 3GB'!A:A,0),3)</f>
        <v>39061000</v>
      </c>
      <c r="H134" s="11">
        <f>INDEX('MTD OSA | 3GB'!B:D,MATCH(DATA!D134,'MTD OSA | 3GB'!B:B,0),2)</f>
        <v>11</v>
      </c>
      <c r="I134" s="12">
        <f>INDEX('MTD OSA | 3GB'!B:D,MATCH(DATA!D134,'MTD OSA | 3GB'!B:B,0),3)</f>
        <v>25493000</v>
      </c>
      <c r="J134" s="12">
        <f>INDEX(BIO!A:E,MATCH(DATA!D134,BIO!A:A,0),3)</f>
        <v>1</v>
      </c>
      <c r="K134" s="14">
        <f>INDEX(BIO!A:E,MATCH(DATA!D134,BIO!A:A,0),2)</f>
        <v>2</v>
      </c>
      <c r="L134" s="15">
        <f t="shared" si="2"/>
        <v>1</v>
      </c>
      <c r="M134" s="14">
        <f>INDEX('BIO WAHYU'!B:E,MATCH(DATA!D134,'BIO WAHYU'!B:B,0),4)</f>
        <v>0</v>
      </c>
    </row>
    <row r="135" spans="1:13">
      <c r="A135" s="1" t="s">
        <v>1</v>
      </c>
      <c r="B135" s="1" t="s">
        <v>5</v>
      </c>
      <c r="C135" s="1" t="s">
        <v>149</v>
      </c>
      <c r="D135" s="7">
        <v>523849</v>
      </c>
      <c r="E135" s="1" t="s">
        <v>10</v>
      </c>
      <c r="F135" s="10">
        <f>_xlfn.IFNA(INDEX('LMTD OSA | 3GB'!A:C,MATCH(DATA!D135,'LMTD OSA | 3GB'!A:A,0),2),0)</f>
        <v>0</v>
      </c>
      <c r="G135" s="10">
        <f>INDEX('LMTD OSA | 3GB'!A:C,MATCH(DATA!D135,'LMTD OSA | 3GB'!A:A,0),3)</f>
        <v>100000</v>
      </c>
      <c r="H135" s="11">
        <f>INDEX('MTD OSA | 3GB'!B:D,MATCH(DATA!D135,'MTD OSA | 3GB'!B:B,0),2)</f>
        <v>0</v>
      </c>
      <c r="I135" s="12">
        <f>INDEX('MTD OSA | 3GB'!B:D,MATCH(DATA!D135,'MTD OSA | 3GB'!B:B,0),3)</f>
        <v>0</v>
      </c>
      <c r="J135" s="12">
        <f>INDEX(BIO!A:E,MATCH(DATA!D135,BIO!A:A,0),3)</f>
        <v>1</v>
      </c>
      <c r="K135" s="14">
        <f>INDEX(BIO!A:E,MATCH(DATA!D135,BIO!A:A,0),2)</f>
        <v>0</v>
      </c>
      <c r="L135" s="15">
        <f t="shared" si="2"/>
        <v>0</v>
      </c>
      <c r="M135" s="14">
        <f>INDEX('BIO WAHYU'!B:E,MATCH(DATA!D135,'BIO WAHYU'!B:B,0),4)</f>
        <v>0</v>
      </c>
    </row>
    <row r="136" spans="1:13">
      <c r="A136" s="1" t="s">
        <v>1</v>
      </c>
      <c r="B136" s="1" t="s">
        <v>5</v>
      </c>
      <c r="C136" s="1" t="s">
        <v>150</v>
      </c>
      <c r="D136" s="7">
        <v>526916</v>
      </c>
      <c r="E136" s="1" t="s">
        <v>10</v>
      </c>
      <c r="F136" s="10">
        <f>_xlfn.IFNA(INDEX('LMTD OSA | 3GB'!A:C,MATCH(DATA!D136,'LMTD OSA | 3GB'!A:A,0),2),0)</f>
        <v>4</v>
      </c>
      <c r="G136" s="10">
        <f>INDEX('LMTD OSA | 3GB'!A:C,MATCH(DATA!D136,'LMTD OSA | 3GB'!A:A,0),3)</f>
        <v>500000</v>
      </c>
      <c r="H136" s="11">
        <f>INDEX('MTD OSA | 3GB'!B:D,MATCH(DATA!D136,'MTD OSA | 3GB'!B:B,0),2)</f>
        <v>4</v>
      </c>
      <c r="I136" s="12">
        <f>INDEX('MTD OSA | 3GB'!B:D,MATCH(DATA!D136,'MTD OSA | 3GB'!B:B,0),3)</f>
        <v>316000</v>
      </c>
      <c r="J136" s="12">
        <f>INDEX(BIO!A:E,MATCH(DATA!D136,BIO!A:A,0),3)</f>
        <v>2</v>
      </c>
      <c r="K136" s="14">
        <f>INDEX(BIO!A:E,MATCH(DATA!D136,BIO!A:A,0),2)</f>
        <v>3</v>
      </c>
      <c r="L136" s="15">
        <f t="shared" si="2"/>
        <v>1</v>
      </c>
      <c r="M136" s="14">
        <f>INDEX('BIO WAHYU'!B:E,MATCH(DATA!D136,'BIO WAHYU'!B:B,0),4)</f>
        <v>0</v>
      </c>
    </row>
    <row r="137" spans="1:13">
      <c r="A137" s="1" t="s">
        <v>1</v>
      </c>
      <c r="B137" s="1" t="s">
        <v>5</v>
      </c>
      <c r="C137" s="1" t="s">
        <v>151</v>
      </c>
      <c r="D137" s="7">
        <v>530334</v>
      </c>
      <c r="E137" s="1" t="s">
        <v>10</v>
      </c>
      <c r="F137" s="10">
        <f>_xlfn.IFNA(INDEX('LMTD OSA | 3GB'!A:C,MATCH(DATA!D137,'LMTD OSA | 3GB'!A:A,0),2),0)</f>
        <v>0</v>
      </c>
      <c r="G137" s="10">
        <f>INDEX('LMTD OSA | 3GB'!A:C,MATCH(DATA!D137,'LMTD OSA | 3GB'!A:A,0),3)</f>
        <v>1500000</v>
      </c>
      <c r="H137" s="11">
        <f>INDEX('MTD OSA | 3GB'!B:D,MATCH(DATA!D137,'MTD OSA | 3GB'!B:B,0),2)</f>
        <v>0</v>
      </c>
      <c r="I137" s="12">
        <f>INDEX('MTD OSA | 3GB'!B:D,MATCH(DATA!D137,'MTD OSA | 3GB'!B:B,0),3)</f>
        <v>1000000</v>
      </c>
      <c r="J137" s="12">
        <f>INDEX(BIO!A:E,MATCH(DATA!D137,BIO!A:A,0),3)</f>
        <v>1</v>
      </c>
      <c r="K137" s="14">
        <f>INDEX(BIO!A:E,MATCH(DATA!D137,BIO!A:A,0),2)</f>
        <v>1</v>
      </c>
      <c r="L137" s="15">
        <f t="shared" si="2"/>
        <v>0</v>
      </c>
      <c r="M137" s="14">
        <f>INDEX('BIO WAHYU'!B:E,MATCH(DATA!D137,'BIO WAHYU'!B:B,0),4)</f>
        <v>0</v>
      </c>
    </row>
    <row r="138" spans="1:13">
      <c r="A138" s="1" t="s">
        <v>1</v>
      </c>
      <c r="B138" s="1" t="s">
        <v>5</v>
      </c>
      <c r="C138" s="1" t="s">
        <v>152</v>
      </c>
      <c r="D138" s="7">
        <v>543771</v>
      </c>
      <c r="E138" s="1" t="s">
        <v>10</v>
      </c>
      <c r="F138" s="10">
        <f>_xlfn.IFNA(INDEX('LMTD OSA | 3GB'!A:C,MATCH(DATA!D138,'LMTD OSA | 3GB'!A:A,0),2),0)</f>
        <v>0</v>
      </c>
      <c r="G138" s="10">
        <f>INDEX('LMTD OSA | 3GB'!A:C,MATCH(DATA!D138,'LMTD OSA | 3GB'!A:A,0),3)</f>
        <v>300000</v>
      </c>
      <c r="H138" s="11">
        <f>INDEX('MTD OSA | 3GB'!B:D,MATCH(DATA!D138,'MTD OSA | 3GB'!B:B,0),2)</f>
        <v>0</v>
      </c>
      <c r="I138" s="12">
        <f>INDEX('MTD OSA | 3GB'!B:D,MATCH(DATA!D138,'MTD OSA | 3GB'!B:B,0),3)</f>
        <v>0</v>
      </c>
      <c r="J138" s="12">
        <f>INDEX(BIO!A:E,MATCH(DATA!D138,BIO!A:A,0),3)</f>
        <v>1</v>
      </c>
      <c r="K138" s="14">
        <f>INDEX(BIO!A:E,MATCH(DATA!D138,BIO!A:A,0),2)</f>
        <v>0</v>
      </c>
      <c r="L138" s="15">
        <f t="shared" si="2"/>
        <v>0</v>
      </c>
      <c r="M138" s="14">
        <f>INDEX('BIO WAHYU'!B:E,MATCH(DATA!D138,'BIO WAHYU'!B:B,0),4)</f>
        <v>1</v>
      </c>
    </row>
    <row r="139" spans="1:13">
      <c r="A139" s="1" t="s">
        <v>1</v>
      </c>
      <c r="B139" s="1" t="s">
        <v>5</v>
      </c>
      <c r="C139" s="1" t="s">
        <v>153</v>
      </c>
      <c r="D139" s="7">
        <v>543826</v>
      </c>
      <c r="E139" s="1" t="s">
        <v>10</v>
      </c>
      <c r="F139" s="10">
        <f>_xlfn.IFNA(INDEX('LMTD OSA | 3GB'!A:C,MATCH(DATA!D139,'LMTD OSA | 3GB'!A:A,0),2),0)</f>
        <v>31</v>
      </c>
      <c r="G139" s="10">
        <f>INDEX('LMTD OSA | 3GB'!A:C,MATCH(DATA!D139,'LMTD OSA | 3GB'!A:A,0),3)</f>
        <v>61670000</v>
      </c>
      <c r="H139" s="11">
        <f>INDEX('MTD OSA | 3GB'!B:D,MATCH(DATA!D139,'MTD OSA | 3GB'!B:B,0),2)</f>
        <v>106</v>
      </c>
      <c r="I139" s="12">
        <f>INDEX('MTD OSA | 3GB'!B:D,MATCH(DATA!D139,'MTD OSA | 3GB'!B:B,0),3)</f>
        <v>28174000</v>
      </c>
      <c r="J139" s="12">
        <f>INDEX(BIO!A:E,MATCH(DATA!D139,BIO!A:A,0),3)</f>
        <v>0</v>
      </c>
      <c r="K139" s="14">
        <f>INDEX(BIO!A:E,MATCH(DATA!D139,BIO!A:A,0),2)</f>
        <v>28</v>
      </c>
      <c r="L139" s="15">
        <f t="shared" si="2"/>
        <v>28</v>
      </c>
      <c r="M139" s="14">
        <f>INDEX('BIO WAHYU'!B:E,MATCH(DATA!D139,'BIO WAHYU'!B:B,0),4)</f>
        <v>5</v>
      </c>
    </row>
    <row r="140" spans="1:13">
      <c r="A140" s="1" t="s">
        <v>1</v>
      </c>
      <c r="B140" s="1" t="s">
        <v>5</v>
      </c>
      <c r="C140" s="1" t="s">
        <v>154</v>
      </c>
      <c r="D140" s="7">
        <v>546446</v>
      </c>
      <c r="E140" s="1" t="s">
        <v>10</v>
      </c>
      <c r="F140" s="10">
        <f>_xlfn.IFNA(INDEX('LMTD OSA | 3GB'!A:C,MATCH(DATA!D140,'LMTD OSA | 3GB'!A:A,0),2),0)</f>
        <v>1</v>
      </c>
      <c r="G140" s="10">
        <f>INDEX('LMTD OSA | 3GB'!A:C,MATCH(DATA!D140,'LMTD OSA | 3GB'!A:A,0),3)</f>
        <v>400000</v>
      </c>
      <c r="H140" s="11">
        <f>INDEX('MTD OSA | 3GB'!B:D,MATCH(DATA!D140,'MTD OSA | 3GB'!B:B,0),2)</f>
        <v>0</v>
      </c>
      <c r="I140" s="12">
        <f>INDEX('MTD OSA | 3GB'!B:D,MATCH(DATA!D140,'MTD OSA | 3GB'!B:B,0),3)</f>
        <v>300000</v>
      </c>
      <c r="J140" s="12">
        <f>INDEX(BIO!A:E,MATCH(DATA!D140,BIO!A:A,0),3)</f>
        <v>0</v>
      </c>
      <c r="K140" s="14">
        <f>INDEX(BIO!A:E,MATCH(DATA!D140,BIO!A:A,0),2)</f>
        <v>3</v>
      </c>
      <c r="L140" s="15">
        <f t="shared" si="2"/>
        <v>3</v>
      </c>
      <c r="M140" s="14">
        <f>INDEX('BIO WAHYU'!B:E,MATCH(DATA!D140,'BIO WAHYU'!B:B,0),4)</f>
        <v>0</v>
      </c>
    </row>
    <row r="141" spans="1:13">
      <c r="A141" s="1" t="s">
        <v>1</v>
      </c>
      <c r="B141" s="1" t="s">
        <v>5</v>
      </c>
      <c r="C141" s="1" t="s">
        <v>155</v>
      </c>
      <c r="D141" s="7">
        <v>558955</v>
      </c>
      <c r="E141" s="1" t="s">
        <v>15</v>
      </c>
      <c r="F141" s="10">
        <f>_xlfn.IFNA(INDEX('LMTD OSA | 3GB'!A:C,MATCH(DATA!D141,'LMTD OSA | 3GB'!A:A,0),2),0)</f>
        <v>0</v>
      </c>
      <c r="G141" s="10">
        <f>INDEX('LMTD OSA | 3GB'!A:C,MATCH(DATA!D141,'LMTD OSA | 3GB'!A:A,0),3)</f>
        <v>0</v>
      </c>
      <c r="H141" s="11">
        <f>INDEX('MTD OSA | 3GB'!B:D,MATCH(DATA!D141,'MTD OSA | 3GB'!B:B,0),2)</f>
        <v>2</v>
      </c>
      <c r="I141" s="12">
        <f>INDEX('MTD OSA | 3GB'!B:D,MATCH(DATA!D141,'MTD OSA | 3GB'!B:B,0),3)</f>
        <v>0</v>
      </c>
      <c r="J141" s="12">
        <f>INDEX(BIO!A:E,MATCH(DATA!D141,BIO!A:A,0),3)</f>
        <v>0</v>
      </c>
      <c r="K141" s="14">
        <f>INDEX(BIO!A:E,MATCH(DATA!D141,BIO!A:A,0),2)</f>
        <v>0</v>
      </c>
      <c r="L141" s="15">
        <f t="shared" si="2"/>
        <v>0</v>
      </c>
      <c r="M141" s="14">
        <f>INDEX('BIO WAHYU'!B:E,MATCH(DATA!D141,'BIO WAHYU'!B:B,0),4)</f>
        <v>0</v>
      </c>
    </row>
    <row r="142" spans="1:13">
      <c r="A142" s="1" t="s">
        <v>1</v>
      </c>
      <c r="B142" s="1" t="s">
        <v>5</v>
      </c>
      <c r="C142" s="1" t="s">
        <v>156</v>
      </c>
      <c r="D142" s="7">
        <v>562953</v>
      </c>
      <c r="E142" s="1" t="s">
        <v>15</v>
      </c>
      <c r="F142" s="10">
        <f>_xlfn.IFNA(INDEX('LMTD OSA | 3GB'!A:C,MATCH(DATA!D142,'LMTD OSA | 3GB'!A:A,0),2),0)</f>
        <v>1</v>
      </c>
      <c r="G142" s="10">
        <f>INDEX('LMTD OSA | 3GB'!A:C,MATCH(DATA!D142,'LMTD OSA | 3GB'!A:A,0),3)</f>
        <v>3500000</v>
      </c>
      <c r="H142" s="11">
        <f>INDEX('MTD OSA | 3GB'!B:D,MATCH(DATA!D142,'MTD OSA | 3GB'!B:B,0),2)</f>
        <v>1</v>
      </c>
      <c r="I142" s="12">
        <f>INDEX('MTD OSA | 3GB'!B:D,MATCH(DATA!D142,'MTD OSA | 3GB'!B:B,0),3)</f>
        <v>3000000</v>
      </c>
      <c r="J142" s="12">
        <f>INDEX(BIO!A:E,MATCH(DATA!D142,BIO!A:A,0),3)</f>
        <v>0</v>
      </c>
      <c r="K142" s="14">
        <f>INDEX(BIO!A:E,MATCH(DATA!D142,BIO!A:A,0),2)</f>
        <v>1</v>
      </c>
      <c r="L142" s="15">
        <f t="shared" si="2"/>
        <v>1</v>
      </c>
      <c r="M142" s="14">
        <f>INDEX('BIO WAHYU'!B:E,MATCH(DATA!D142,'BIO WAHYU'!B:B,0),4)</f>
        <v>0</v>
      </c>
    </row>
    <row r="143" spans="1:13">
      <c r="A143" s="1" t="s">
        <v>1</v>
      </c>
      <c r="B143" s="1" t="s">
        <v>5</v>
      </c>
      <c r="C143" s="1" t="s">
        <v>157</v>
      </c>
      <c r="D143" s="7">
        <v>569298</v>
      </c>
      <c r="E143" s="1" t="s">
        <v>10</v>
      </c>
      <c r="F143" s="10">
        <f>_xlfn.IFNA(INDEX('LMTD OSA | 3GB'!A:C,MATCH(DATA!D143,'LMTD OSA | 3GB'!A:A,0),2),0)</f>
        <v>0</v>
      </c>
      <c r="G143" s="10">
        <f>INDEX('LMTD OSA | 3GB'!A:C,MATCH(DATA!D143,'LMTD OSA | 3GB'!A:A,0),3)</f>
        <v>200000</v>
      </c>
      <c r="H143" s="11">
        <f>INDEX('MTD OSA | 3GB'!B:D,MATCH(DATA!D143,'MTD OSA | 3GB'!B:B,0),2)</f>
        <v>4</v>
      </c>
      <c r="I143" s="12">
        <f>INDEX('MTD OSA | 3GB'!B:D,MATCH(DATA!D143,'MTD OSA | 3GB'!B:B,0),3)</f>
        <v>116000</v>
      </c>
      <c r="J143" s="12">
        <f>INDEX(BIO!A:E,MATCH(DATA!D143,BIO!A:A,0),3)</f>
        <v>1</v>
      </c>
      <c r="K143" s="14">
        <f>INDEX(BIO!A:E,MATCH(DATA!D143,BIO!A:A,0),2)</f>
        <v>0</v>
      </c>
      <c r="L143" s="15">
        <f t="shared" si="2"/>
        <v>0</v>
      </c>
      <c r="M143" s="14">
        <f>INDEX('BIO WAHYU'!B:E,MATCH(DATA!D143,'BIO WAHYU'!B:B,0),4)</f>
        <v>0</v>
      </c>
    </row>
    <row r="144" spans="1:13">
      <c r="A144" s="1" t="s">
        <v>1</v>
      </c>
      <c r="B144" s="1" t="s">
        <v>5</v>
      </c>
      <c r="C144" s="1" t="s">
        <v>158</v>
      </c>
      <c r="D144" s="7">
        <v>574633</v>
      </c>
      <c r="E144" s="1" t="s">
        <v>10</v>
      </c>
      <c r="F144" s="10">
        <f>_xlfn.IFNA(INDEX('LMTD OSA | 3GB'!A:C,MATCH(DATA!D144,'LMTD OSA | 3GB'!A:A,0),2),0)</f>
        <v>0</v>
      </c>
      <c r="G144" s="10">
        <f>INDEX('LMTD OSA | 3GB'!A:C,MATCH(DATA!D144,'LMTD OSA | 3GB'!A:A,0),3)</f>
        <v>0</v>
      </c>
      <c r="H144" s="11">
        <f>INDEX('MTD OSA | 3GB'!B:D,MATCH(DATA!D144,'MTD OSA | 3GB'!B:B,0),2)</f>
        <v>3</v>
      </c>
      <c r="I144" s="12">
        <f>INDEX('MTD OSA | 3GB'!B:D,MATCH(DATA!D144,'MTD OSA | 3GB'!B:B,0),3)</f>
        <v>0</v>
      </c>
      <c r="J144" s="12">
        <f>INDEX(BIO!A:E,MATCH(DATA!D144,BIO!A:A,0),3)</f>
        <v>0</v>
      </c>
      <c r="K144" s="14">
        <f>INDEX(BIO!A:E,MATCH(DATA!D144,BIO!A:A,0),2)</f>
        <v>1</v>
      </c>
      <c r="L144" s="15">
        <f t="shared" si="2"/>
        <v>1</v>
      </c>
      <c r="M144" s="14">
        <f>INDEX('BIO WAHYU'!B:E,MATCH(DATA!D144,'BIO WAHYU'!B:B,0),4)</f>
        <v>0</v>
      </c>
    </row>
    <row r="145" spans="1:13">
      <c r="A145" s="1" t="s">
        <v>1</v>
      </c>
      <c r="B145" s="1" t="s">
        <v>5</v>
      </c>
      <c r="C145" s="1" t="s">
        <v>159</v>
      </c>
      <c r="D145" s="7">
        <v>61688</v>
      </c>
      <c r="E145" s="1" t="s">
        <v>10</v>
      </c>
      <c r="F145" s="10">
        <f>_xlfn.IFNA(INDEX('LMTD OSA | 3GB'!A:C,MATCH(DATA!D145,'LMTD OSA | 3GB'!A:A,0),2),0)</f>
        <v>3</v>
      </c>
      <c r="G145" s="10">
        <f>INDEX('LMTD OSA | 3GB'!A:C,MATCH(DATA!D145,'LMTD OSA | 3GB'!A:A,0),3)</f>
        <v>450000</v>
      </c>
      <c r="H145" s="11">
        <f>INDEX('MTD OSA | 3GB'!B:D,MATCH(DATA!D145,'MTD OSA | 3GB'!B:B,0),2)</f>
        <v>0</v>
      </c>
      <c r="I145" s="12">
        <f>INDEX('MTD OSA | 3GB'!B:D,MATCH(DATA!D145,'MTD OSA | 3GB'!B:B,0),3)</f>
        <v>250000</v>
      </c>
      <c r="J145" s="12">
        <f>INDEX(BIO!A:E,MATCH(DATA!D145,BIO!A:A,0),3)</f>
        <v>1</v>
      </c>
      <c r="K145" s="14">
        <f>INDEX(BIO!A:E,MATCH(DATA!D145,BIO!A:A,0),2)</f>
        <v>5</v>
      </c>
      <c r="L145" s="15">
        <f t="shared" si="2"/>
        <v>4</v>
      </c>
      <c r="M145" s="14">
        <f>INDEX('BIO WAHYU'!B:E,MATCH(DATA!D145,'BIO WAHYU'!B:B,0),4)</f>
        <v>0</v>
      </c>
    </row>
    <row r="146" spans="1:13">
      <c r="A146" s="1" t="s">
        <v>1</v>
      </c>
      <c r="B146" s="1" t="s">
        <v>5</v>
      </c>
      <c r="C146" s="1" t="s">
        <v>97</v>
      </c>
      <c r="D146" s="7" t="s">
        <v>160</v>
      </c>
      <c r="E146" s="1" t="s">
        <v>10</v>
      </c>
      <c r="F146" s="10">
        <f>_xlfn.IFNA(INDEX('LMTD OSA | 3GB'!A:C,MATCH(DATA!D146,'LMTD OSA | 3GB'!A:A,0),2),0)</f>
        <v>0</v>
      </c>
      <c r="G146" s="10">
        <f>INDEX('LMTD OSA | 3GB'!A:C,MATCH(DATA!D146,'LMTD OSA | 3GB'!A:A,0),3)</f>
        <v>2600000</v>
      </c>
      <c r="H146" s="11">
        <f>INDEX('MTD OSA | 3GB'!B:D,MATCH(DATA!D146,'MTD OSA | 3GB'!B:B,0),2)</f>
        <v>0</v>
      </c>
      <c r="I146" s="12">
        <f>INDEX('MTD OSA | 3GB'!B:D,MATCH(DATA!D146,'MTD OSA | 3GB'!B:B,0),3)</f>
        <v>1300000</v>
      </c>
      <c r="J146" s="12">
        <f>INDEX(BIO!A:E,MATCH(DATA!D146,BIO!A:A,0),3)</f>
        <v>0</v>
      </c>
      <c r="K146" s="14">
        <f>INDEX(BIO!A:E,MATCH(DATA!D146,BIO!A:A,0),2)</f>
        <v>0</v>
      </c>
      <c r="L146" s="15">
        <f t="shared" si="2"/>
        <v>0</v>
      </c>
      <c r="M146" s="14">
        <f>INDEX('BIO WAHYU'!B:E,MATCH(DATA!D146,'BIO WAHYU'!B:B,0),4)</f>
        <v>0</v>
      </c>
    </row>
  </sheetData>
  <autoFilter ref="B1:M146" xr:uid="{992F0BB8-1CA9-4379-9049-AB6F95C27E3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456D1-6F14-4AB3-B1E2-1E97523234D2}">
  <sheetPr codeName="Sheet2"/>
  <dimension ref="A1:F4"/>
  <sheetViews>
    <sheetView workbookViewId="0">
      <selection activeCell="D20" sqref="D20"/>
    </sheetView>
  </sheetViews>
  <sheetFormatPr defaultRowHeight="15"/>
  <cols>
    <col min="1" max="1" width="21" bestFit="1" customWidth="1"/>
    <col min="2" max="2" width="14.7109375" bestFit="1" customWidth="1"/>
    <col min="3" max="3" width="19.42578125" customWidth="1"/>
    <col min="4" max="4" width="18.7109375" bestFit="1" customWidth="1"/>
    <col min="5" max="5" width="20.42578125" bestFit="1" customWidth="1"/>
    <col min="6" max="6" width="11.42578125" bestFit="1" customWidth="1"/>
  </cols>
  <sheetData>
    <row r="1" spans="1:6">
      <c r="A1" s="17" t="s">
        <v>0</v>
      </c>
      <c r="B1" s="17" t="s">
        <v>2</v>
      </c>
      <c r="C1" s="22" t="s">
        <v>174</v>
      </c>
      <c r="D1" s="22" t="s">
        <v>175</v>
      </c>
      <c r="E1" s="22" t="s">
        <v>185</v>
      </c>
      <c r="F1" s="22" t="s">
        <v>186</v>
      </c>
    </row>
    <row r="2" spans="1:6">
      <c r="A2" s="23" t="s">
        <v>1</v>
      </c>
      <c r="B2" s="23" t="s">
        <v>3</v>
      </c>
      <c r="C2" s="24">
        <v>161453444</v>
      </c>
      <c r="D2" s="25">
        <v>123</v>
      </c>
      <c r="E2">
        <v>40</v>
      </c>
      <c r="F2">
        <v>20</v>
      </c>
    </row>
    <row r="3" spans="1:6">
      <c r="A3" s="23" t="s">
        <v>1</v>
      </c>
      <c r="B3" s="26" t="s">
        <v>4</v>
      </c>
      <c r="C3" s="24">
        <v>226554560</v>
      </c>
      <c r="D3" s="25">
        <v>136</v>
      </c>
      <c r="E3">
        <v>40</v>
      </c>
      <c r="F3">
        <v>20</v>
      </c>
    </row>
    <row r="4" spans="1:6">
      <c r="A4" s="23" t="s">
        <v>1</v>
      </c>
      <c r="B4" s="26" t="s">
        <v>5</v>
      </c>
      <c r="C4" s="24">
        <v>343337958</v>
      </c>
      <c r="D4" s="25">
        <v>570</v>
      </c>
      <c r="E4">
        <v>40</v>
      </c>
      <c r="F4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F7AAF-1FE9-4AA8-8261-C5E7933640AD}">
  <sheetPr codeName="Sheet3"/>
  <dimension ref="A1:F146"/>
  <sheetViews>
    <sheetView topLeftCell="A109" workbookViewId="0">
      <selection activeCell="B136" sqref="B136"/>
    </sheetView>
  </sheetViews>
  <sheetFormatPr defaultRowHeight="15"/>
  <cols>
    <col min="1" max="1" width="12" style="29" customWidth="1"/>
    <col min="2" max="2" width="8" bestFit="1" customWidth="1"/>
    <col min="4" max="4" width="24.85546875" bestFit="1" customWidth="1"/>
    <col min="6" max="6" width="23.85546875" bestFit="1" customWidth="1"/>
  </cols>
  <sheetData>
    <row r="1" spans="1:6">
      <c r="A1" s="29" t="s">
        <v>171</v>
      </c>
      <c r="B1" t="s">
        <v>173</v>
      </c>
      <c r="C1" t="s">
        <v>183</v>
      </c>
      <c r="D1" t="s">
        <v>182</v>
      </c>
    </row>
    <row r="2" spans="1:6">
      <c r="A2" s="9">
        <v>240713</v>
      </c>
      <c r="B2" s="14">
        <f>INDEX('BIO WAHYU'!B:G,MATCH(BIO!A2,'BIO WAHYU'!B:B,0),6)</f>
        <v>5</v>
      </c>
      <c r="C2">
        <f>INDEX('BIO WAHYU'!B:F,MATCH(BIO!A2,'BIO WAHYU'!B:B,0),5)</f>
        <v>1</v>
      </c>
      <c r="D2" t="str">
        <f>INDEX(DATA!C:D,MATCH(BIO!A2,DATA!D:D,0),1)</f>
        <v>Naldy cell</v>
      </c>
    </row>
    <row r="3" spans="1:6">
      <c r="A3" s="9">
        <v>12331450</v>
      </c>
      <c r="B3" s="14">
        <f>INDEX('BIO WAHYU'!B:G,MATCH(BIO!A3,'BIO WAHYU'!B:B,0),6)</f>
        <v>2</v>
      </c>
      <c r="C3">
        <f>INDEX('BIO WAHYU'!B:F,MATCH(BIO!A3,'BIO WAHYU'!B:B,0),5)</f>
        <v>1</v>
      </c>
      <c r="D3" t="str">
        <f>INDEX(DATA!C:D,MATCH(BIO!A3,DATA!D:D,0),1)</f>
        <v>Purple Cell</v>
      </c>
    </row>
    <row r="4" spans="1:6">
      <c r="A4" s="9">
        <v>292836</v>
      </c>
      <c r="B4" s="14">
        <f>INDEX('BIO WAHYU'!B:G,MATCH(BIO!A4,'BIO WAHYU'!B:B,0),6)</f>
        <v>0</v>
      </c>
      <c r="C4">
        <f>INDEX('BIO WAHYU'!B:F,MATCH(BIO!A4,'BIO WAHYU'!B:B,0),5)</f>
        <v>0</v>
      </c>
      <c r="D4" t="str">
        <f>INDEX(DATA!C:D,MATCH(BIO!A4,DATA!D:D,0),1)</f>
        <v>PROMO CELL</v>
      </c>
    </row>
    <row r="5" spans="1:6">
      <c r="A5" s="9">
        <v>12321243</v>
      </c>
      <c r="B5" s="14">
        <f>INDEX('BIO WAHYU'!B:G,MATCH(BIO!A5,'BIO WAHYU'!B:B,0),6)</f>
        <v>93</v>
      </c>
      <c r="C5">
        <f>INDEX('BIO WAHYU'!B:F,MATCH(BIO!A5,'BIO WAHYU'!B:B,0),5)</f>
        <v>2</v>
      </c>
      <c r="D5" t="str">
        <f>INDEX(DATA!C:D,MATCH(BIO!A5,DATA!D:D,0),1)</f>
        <v>Ria Cell</v>
      </c>
      <c r="F5" t="s">
        <v>184</v>
      </c>
    </row>
    <row r="6" spans="1:6">
      <c r="A6" s="9">
        <v>12320853</v>
      </c>
      <c r="B6" s="14">
        <f>INDEX('BIO WAHYU'!B:G,MATCH(BIO!A6,'BIO WAHYU'!B:B,0),6)</f>
        <v>0</v>
      </c>
      <c r="C6">
        <f>INDEX('BIO WAHYU'!B:F,MATCH(BIO!A6,'BIO WAHYU'!B:B,0),5)</f>
        <v>1</v>
      </c>
      <c r="D6" t="str">
        <f>INDEX(DATA!C:D,MATCH(BIO!A6,DATA!D:D,0),1)</f>
        <v>BINTANG CELL</v>
      </c>
    </row>
    <row r="7" spans="1:6">
      <c r="A7" s="9">
        <v>501860</v>
      </c>
      <c r="B7" s="14">
        <f>INDEX('BIO WAHYU'!B:G,MATCH(BIO!A7,'BIO WAHYU'!B:B,0),6)</f>
        <v>3</v>
      </c>
      <c r="C7">
        <f>INDEX('BIO WAHYU'!B:F,MATCH(BIO!A7,'BIO WAHYU'!B:B,0),5)</f>
        <v>1</v>
      </c>
      <c r="D7" t="str">
        <f>INDEX(DATA!C:D,MATCH(BIO!A7,DATA!D:D,0),1)</f>
        <v>ASTER CELL</v>
      </c>
    </row>
    <row r="8" spans="1:6">
      <c r="A8" s="9">
        <v>12322483</v>
      </c>
      <c r="B8" s="14">
        <f>INDEX('BIO WAHYU'!B:G,MATCH(BIO!A8,'BIO WAHYU'!B:B,0),6)</f>
        <v>1</v>
      </c>
      <c r="C8">
        <f>INDEX('BIO WAHYU'!B:F,MATCH(BIO!A8,'BIO WAHYU'!B:B,0),5)</f>
        <v>0</v>
      </c>
      <c r="D8" t="str">
        <f>INDEX(DATA!C:D,MATCH(BIO!A8,DATA!D:D,0),1)</f>
        <v>Mitra A2</v>
      </c>
    </row>
    <row r="9" spans="1:6">
      <c r="A9" s="9">
        <v>503354</v>
      </c>
      <c r="B9" s="14">
        <f>INDEX('BIO WAHYU'!B:G,MATCH(BIO!A9,'BIO WAHYU'!B:B,0),6)</f>
        <v>2</v>
      </c>
      <c r="C9">
        <f>INDEX('BIO WAHYU'!B:F,MATCH(BIO!A9,'BIO WAHYU'!B:B,0),5)</f>
        <v>1</v>
      </c>
      <c r="D9" t="str">
        <f>INDEX(DATA!C:D,MATCH(BIO!A9,DATA!D:D,0),1)</f>
        <v>Mantari Cell</v>
      </c>
      <c r="F9" t="s">
        <v>188</v>
      </c>
    </row>
    <row r="10" spans="1:6">
      <c r="A10" s="9">
        <v>524283</v>
      </c>
      <c r="B10" s="14">
        <f>INDEX('BIO WAHYU'!B:G,MATCH(BIO!A10,'BIO WAHYU'!B:B,0),6)</f>
        <v>0</v>
      </c>
      <c r="C10">
        <f>INDEX('BIO WAHYU'!B:F,MATCH(BIO!A10,'BIO WAHYU'!B:B,0),5)</f>
        <v>1</v>
      </c>
      <c r="D10" t="str">
        <f>INDEX(DATA!C:D,MATCH(BIO!A10,DATA!D:D,0),1)</f>
        <v>FF CELL</v>
      </c>
    </row>
    <row r="11" spans="1:6">
      <c r="A11" s="9">
        <v>569298</v>
      </c>
      <c r="B11" s="14">
        <f>INDEX('BIO WAHYU'!B:G,MATCH(BIO!A11,'BIO WAHYU'!B:B,0),6)</f>
        <v>0</v>
      </c>
      <c r="C11">
        <f>INDEX('BIO WAHYU'!B:F,MATCH(BIO!A11,'BIO WAHYU'!B:B,0),5)</f>
        <v>1</v>
      </c>
      <c r="D11" t="str">
        <f>INDEX(DATA!C:D,MATCH(BIO!A11,DATA!D:D,0),1)</f>
        <v>EL333 cell</v>
      </c>
    </row>
    <row r="12" spans="1:6">
      <c r="A12" s="9">
        <v>481857</v>
      </c>
      <c r="B12" s="14">
        <f>INDEX('BIO WAHYU'!B:G,MATCH(BIO!A12,'BIO WAHYU'!B:B,0),6)</f>
        <v>0</v>
      </c>
      <c r="C12">
        <f>INDEX('BIO WAHYU'!B:F,MATCH(BIO!A12,'BIO WAHYU'!B:B,0),5)</f>
        <v>1</v>
      </c>
      <c r="D12" t="str">
        <f>INDEX(DATA!C:D,MATCH(BIO!A12,DATA!D:D,0),1)</f>
        <v>Eliana Cell</v>
      </c>
    </row>
    <row r="13" spans="1:6">
      <c r="A13" s="9">
        <v>558955</v>
      </c>
      <c r="B13" s="14">
        <f>INDEX('BIO WAHYU'!B:G,MATCH(BIO!A13,'BIO WAHYU'!B:B,0),6)</f>
        <v>0</v>
      </c>
      <c r="C13">
        <f>INDEX('BIO WAHYU'!B:F,MATCH(BIO!A13,'BIO WAHYU'!B:B,0),5)</f>
        <v>0</v>
      </c>
      <c r="D13" t="str">
        <f>INDEX(DATA!C:D,MATCH(BIO!A13,DATA!D:D,0),1)</f>
        <v>KK STORE</v>
      </c>
    </row>
    <row r="14" spans="1:6">
      <c r="A14" s="9">
        <v>12323218</v>
      </c>
      <c r="B14" s="14">
        <f>INDEX('BIO WAHYU'!B:G,MATCH(BIO!A14,'BIO WAHYU'!B:B,0),6)</f>
        <v>1</v>
      </c>
      <c r="C14">
        <f>INDEX('BIO WAHYU'!B:F,MATCH(BIO!A14,'BIO WAHYU'!B:B,0),5)</f>
        <v>1</v>
      </c>
      <c r="D14" t="str">
        <f>INDEX(DATA!C:D,MATCH(BIO!A14,DATA!D:D,0),1)</f>
        <v>michael cell</v>
      </c>
    </row>
    <row r="15" spans="1:6">
      <c r="A15" s="9">
        <v>501643</v>
      </c>
      <c r="B15" s="14">
        <f>INDEX('BIO WAHYU'!B:G,MATCH(BIO!A15,'BIO WAHYU'!B:B,0),6)</f>
        <v>0</v>
      </c>
      <c r="C15">
        <f>INDEX('BIO WAHYU'!B:F,MATCH(BIO!A15,'BIO WAHYU'!B:B,0),5)</f>
        <v>1</v>
      </c>
      <c r="D15" t="str">
        <f>INDEX(DATA!C:D,MATCH(BIO!A15,DATA!D:D,0),1)</f>
        <v>Shield Cell</v>
      </c>
    </row>
    <row r="16" spans="1:6">
      <c r="A16" s="9">
        <v>408290</v>
      </c>
      <c r="B16" s="14">
        <f>INDEX('BIO WAHYU'!B:G,MATCH(BIO!A16,'BIO WAHYU'!B:B,0),6)</f>
        <v>2</v>
      </c>
      <c r="C16">
        <f>INDEX('BIO WAHYU'!B:F,MATCH(BIO!A16,'BIO WAHYU'!B:B,0),5)</f>
        <v>1</v>
      </c>
      <c r="D16" t="str">
        <f>INDEX(DATA!C:D,MATCH(BIO!A16,DATA!D:D,0),1)</f>
        <v>king cell</v>
      </c>
    </row>
    <row r="17" spans="1:4">
      <c r="A17" s="9">
        <v>12326313</v>
      </c>
      <c r="B17" s="14">
        <f>INDEX('BIO WAHYU'!B:G,MATCH(BIO!A17,'BIO WAHYU'!B:B,0),6)</f>
        <v>2</v>
      </c>
      <c r="C17">
        <f>INDEX('BIO WAHYU'!B:F,MATCH(BIO!A17,'BIO WAHYU'!B:B,0),5)</f>
        <v>1</v>
      </c>
      <c r="D17" t="str">
        <f>INDEX(DATA!C:D,MATCH(BIO!A17,DATA!D:D,0),1)</f>
        <v>Doax Cell</v>
      </c>
    </row>
    <row r="18" spans="1:4">
      <c r="A18" s="9">
        <v>228872</v>
      </c>
      <c r="B18" s="14">
        <f>INDEX('BIO WAHYU'!B:G,MATCH(BIO!A18,'BIO WAHYU'!B:B,0),6)</f>
        <v>0</v>
      </c>
      <c r="C18">
        <f>INDEX('BIO WAHYU'!B:F,MATCH(BIO!A18,'BIO WAHYU'!B:B,0),5)</f>
        <v>1</v>
      </c>
      <c r="D18" t="str">
        <f>INDEX(DATA!C:D,MATCH(BIO!A18,DATA!D:D,0),1)</f>
        <v>KLABAT  CELL</v>
      </c>
    </row>
    <row r="19" spans="1:4">
      <c r="A19" s="9">
        <v>12332670</v>
      </c>
      <c r="B19" s="14">
        <f>INDEX('BIO WAHYU'!B:G,MATCH(BIO!A19,'BIO WAHYU'!B:B,0),6)</f>
        <v>5</v>
      </c>
      <c r="C19">
        <f>INDEX('BIO WAHYU'!B:F,MATCH(BIO!A19,'BIO WAHYU'!B:B,0),5)</f>
        <v>1</v>
      </c>
      <c r="D19" t="str">
        <f>INDEX(DATA!C:D,MATCH(BIO!A19,DATA!D:D,0),1)</f>
        <v>Tasya cell</v>
      </c>
    </row>
    <row r="20" spans="1:4">
      <c r="A20" s="9">
        <v>543771</v>
      </c>
      <c r="B20" s="14">
        <f>INDEX('BIO WAHYU'!B:G,MATCH(BIO!A20,'BIO WAHYU'!B:B,0),6)</f>
        <v>0</v>
      </c>
      <c r="C20">
        <f>INDEX('BIO WAHYU'!B:F,MATCH(BIO!A20,'BIO WAHYU'!B:B,0),5)</f>
        <v>1</v>
      </c>
      <c r="D20" t="str">
        <f>INDEX(DATA!C:D,MATCH(BIO!A20,DATA!D:D,0),1)</f>
        <v>carter cell</v>
      </c>
    </row>
    <row r="21" spans="1:4">
      <c r="A21" s="9">
        <v>12322237</v>
      </c>
      <c r="B21" s="14">
        <f>INDEX('BIO WAHYU'!B:G,MATCH(BIO!A21,'BIO WAHYU'!B:B,0),6)</f>
        <v>1</v>
      </c>
      <c r="C21">
        <f>INDEX('BIO WAHYU'!B:F,MATCH(BIO!A21,'BIO WAHYU'!B:B,0),5)</f>
        <v>1</v>
      </c>
      <c r="D21" t="str">
        <f>INDEX(DATA!C:D,MATCH(BIO!A21,DATA!D:D,0),1)</f>
        <v>Hikma ponsel</v>
      </c>
    </row>
    <row r="22" spans="1:4">
      <c r="A22" s="9">
        <v>483240</v>
      </c>
      <c r="B22" s="14">
        <f>INDEX('BIO WAHYU'!B:G,MATCH(BIO!A22,'BIO WAHYU'!B:B,0),6)</f>
        <v>2</v>
      </c>
      <c r="C22">
        <f>INDEX('BIO WAHYU'!B:F,MATCH(BIO!A22,'BIO WAHYU'!B:B,0),5)</f>
        <v>0</v>
      </c>
      <c r="D22" t="str">
        <f>INDEX(DATA!C:D,MATCH(BIO!A22,DATA!D:D,0),1)</f>
        <v>PINK CELL</v>
      </c>
    </row>
    <row r="23" spans="1:4">
      <c r="A23" s="9">
        <v>510295</v>
      </c>
      <c r="B23" s="14">
        <f>INDEX('BIO WAHYU'!B:G,MATCH(BIO!A23,'BIO WAHYU'!B:B,0),6)</f>
        <v>0</v>
      </c>
      <c r="C23">
        <f>INDEX('BIO WAHYU'!B:F,MATCH(BIO!A23,'BIO WAHYU'!B:B,0),5)</f>
        <v>1</v>
      </c>
      <c r="D23" t="str">
        <f>INDEX(DATA!C:D,MATCH(BIO!A23,DATA!D:D,0),1)</f>
        <v>nyox cell</v>
      </c>
    </row>
    <row r="24" spans="1:4">
      <c r="A24" s="9">
        <v>12295717</v>
      </c>
      <c r="B24" s="14">
        <f>INDEX('BIO WAHYU'!B:G,MATCH(BIO!A24,'BIO WAHYU'!B:B,0),6)</f>
        <v>1</v>
      </c>
      <c r="C24">
        <f>INDEX('BIO WAHYU'!B:F,MATCH(BIO!A24,'BIO WAHYU'!B:B,0),5)</f>
        <v>1</v>
      </c>
      <c r="D24" t="str">
        <f>INDEX(DATA!C:D,MATCH(BIO!A24,DATA!D:D,0),1)</f>
        <v>BALERINNA CELL</v>
      </c>
    </row>
    <row r="25" spans="1:4">
      <c r="A25" s="9">
        <v>12317091</v>
      </c>
      <c r="B25" s="14">
        <f>INDEX('BIO WAHYU'!B:G,MATCH(BIO!A25,'BIO WAHYU'!B:B,0),6)</f>
        <v>0</v>
      </c>
      <c r="C25">
        <f>INDEX('BIO WAHYU'!B:F,MATCH(BIO!A25,'BIO WAHYU'!B:B,0),5)</f>
        <v>0</v>
      </c>
      <c r="D25" t="str">
        <f>INDEX(DATA!C:D,MATCH(BIO!A25,DATA!D:D,0),1)</f>
        <v>Pandi cell</v>
      </c>
    </row>
    <row r="26" spans="1:4">
      <c r="A26" s="9">
        <v>195514</v>
      </c>
      <c r="B26" s="14">
        <f>INDEX('BIO WAHYU'!B:G,MATCH(BIO!A26,'BIO WAHYU'!B:B,0),6)</f>
        <v>3</v>
      </c>
      <c r="C26">
        <f>INDEX('BIO WAHYU'!B:F,MATCH(BIO!A26,'BIO WAHYU'!B:B,0),5)</f>
        <v>1</v>
      </c>
      <c r="D26" t="str">
        <f>INDEX(DATA!C:D,MATCH(BIO!A26,DATA!D:D,0),1)</f>
        <v>Bless Cell</v>
      </c>
    </row>
    <row r="27" spans="1:4">
      <c r="A27" s="9">
        <v>560814</v>
      </c>
      <c r="B27" s="14">
        <f>INDEX('BIO WAHYU'!B:G,MATCH(BIO!A27,'BIO WAHYU'!B:B,0),6)</f>
        <v>2</v>
      </c>
      <c r="C27">
        <f>INDEX('BIO WAHYU'!B:F,MATCH(BIO!A27,'BIO WAHYU'!B:B,0),5)</f>
        <v>1</v>
      </c>
      <c r="D27" t="str">
        <f>INDEX(DATA!C:D,MATCH(BIO!A27,DATA!D:D,0),1)</f>
        <v>bellvaido cell</v>
      </c>
    </row>
    <row r="28" spans="1:4">
      <c r="A28" s="9" t="s">
        <v>98</v>
      </c>
      <c r="B28" s="14">
        <f>INDEX('BIO WAHYU'!B:G,MATCH(BIO!A28,'BIO WAHYU'!B:B,0),6)</f>
        <v>36</v>
      </c>
      <c r="C28">
        <f>INDEX('BIO WAHYU'!B:F,MATCH(BIO!A28,'BIO WAHYU'!B:B,0),5)</f>
        <v>0</v>
      </c>
      <c r="D28" t="str">
        <f>INDEX(DATA!C:D,MATCH(BIO!A28,DATA!D:D,0),1)</f>
        <v>PELANGI CELL</v>
      </c>
    </row>
    <row r="29" spans="1:4">
      <c r="A29" s="9">
        <v>12332811</v>
      </c>
      <c r="B29" s="14">
        <f>INDEX('BIO WAHYU'!B:G,MATCH(BIO!A29,'BIO WAHYU'!B:B,0),6)</f>
        <v>0</v>
      </c>
      <c r="C29">
        <f>INDEX('BIO WAHYU'!B:F,MATCH(BIO!A29,'BIO WAHYU'!B:B,0),5)</f>
        <v>0</v>
      </c>
      <c r="D29" t="str">
        <f>INDEX(DATA!C:D,MATCH(BIO!A29,DATA!D:D,0),1)</f>
        <v>Jefone cell</v>
      </c>
    </row>
    <row r="30" spans="1:4">
      <c r="A30" s="9">
        <v>12326533</v>
      </c>
      <c r="B30" s="14">
        <f>INDEX('BIO WAHYU'!B:G,MATCH(BIO!A30,'BIO WAHYU'!B:B,0),6)</f>
        <v>0</v>
      </c>
      <c r="C30">
        <f>INDEX('BIO WAHYU'!B:F,MATCH(BIO!A30,'BIO WAHYU'!B:B,0),5)</f>
        <v>30</v>
      </c>
      <c r="D30" t="str">
        <f>INDEX(DATA!C:D,MATCH(BIO!A30,DATA!D:D,0),1)</f>
        <v>Johanis Cell</v>
      </c>
    </row>
    <row r="31" spans="1:4">
      <c r="A31" s="9" t="s">
        <v>100</v>
      </c>
      <c r="B31" s="14">
        <f>INDEX('BIO WAHYU'!B:G,MATCH(BIO!A31,'BIO WAHYU'!B:B,0),6)</f>
        <v>5</v>
      </c>
      <c r="C31">
        <f>INDEX('BIO WAHYU'!B:F,MATCH(BIO!A31,'BIO WAHYU'!B:B,0),5)</f>
        <v>1</v>
      </c>
      <c r="D31" t="str">
        <f>INDEX(DATA!C:D,MATCH(BIO!A31,DATA!D:D,0),1)</f>
        <v>QALBI 2 CELL</v>
      </c>
    </row>
    <row r="32" spans="1:4">
      <c r="A32" s="9">
        <v>126952</v>
      </c>
      <c r="B32" s="14">
        <f>INDEX('BIO WAHYU'!B:G,MATCH(BIO!A32,'BIO WAHYU'!B:B,0),6)</f>
        <v>5</v>
      </c>
      <c r="C32">
        <f>INDEX('BIO WAHYU'!B:F,MATCH(BIO!A32,'BIO WAHYU'!B:B,0),5)</f>
        <v>0</v>
      </c>
      <c r="D32" t="str">
        <f>INDEX(DATA!C:D,MATCH(BIO!A32,DATA!D:D,0),1)</f>
        <v>ABADI CELL</v>
      </c>
    </row>
    <row r="33" spans="1:4">
      <c r="A33" s="9">
        <v>530345</v>
      </c>
      <c r="B33" s="14">
        <f>INDEX('BIO WAHYU'!B:G,MATCH(BIO!A33,'BIO WAHYU'!B:B,0),6)</f>
        <v>2</v>
      </c>
      <c r="C33">
        <f>INDEX('BIO WAHYU'!B:F,MATCH(BIO!A33,'BIO WAHYU'!B:B,0),5)</f>
        <v>1</v>
      </c>
      <c r="D33" t="str">
        <f>INDEX(DATA!C:D,MATCH(BIO!A33,DATA!D:D,0),1)</f>
        <v>Kios Saudara 03 Cell</v>
      </c>
    </row>
    <row r="34" spans="1:4">
      <c r="A34" s="9">
        <v>523935</v>
      </c>
      <c r="B34" s="14">
        <f>INDEX('BIO WAHYU'!B:G,MATCH(BIO!A34,'BIO WAHYU'!B:B,0),6)</f>
        <v>0</v>
      </c>
      <c r="C34">
        <f>INDEX('BIO WAHYU'!B:F,MATCH(BIO!A34,'BIO WAHYU'!B:B,0),5)</f>
        <v>1</v>
      </c>
      <c r="D34" t="str">
        <f>INDEX(DATA!C:D,MATCH(BIO!A34,DATA!D:D,0),1)</f>
        <v>ANI Cell</v>
      </c>
    </row>
    <row r="35" spans="1:4">
      <c r="A35" s="9">
        <v>501263</v>
      </c>
      <c r="B35" s="14">
        <f>INDEX('BIO WAHYU'!B:G,MATCH(BIO!A35,'BIO WAHYU'!B:B,0),6)</f>
        <v>1</v>
      </c>
      <c r="C35">
        <f>INDEX('BIO WAHYU'!B:F,MATCH(BIO!A35,'BIO WAHYU'!B:B,0),5)</f>
        <v>1</v>
      </c>
      <c r="D35" t="str">
        <f>INDEX(DATA!C:D,MATCH(BIO!A35,DATA!D:D,0),1)</f>
        <v>Bontel Cell</v>
      </c>
    </row>
    <row r="36" spans="1:4">
      <c r="A36" s="9">
        <v>510299</v>
      </c>
      <c r="B36" s="14">
        <f>INDEX('BIO WAHYU'!B:G,MATCH(BIO!A36,'BIO WAHYU'!B:B,0),6)</f>
        <v>0</v>
      </c>
      <c r="C36">
        <f>INDEX('BIO WAHYU'!B:F,MATCH(BIO!A36,'BIO WAHYU'!B:B,0),5)</f>
        <v>0</v>
      </c>
      <c r="D36" t="str">
        <f>INDEX(DATA!C:D,MATCH(BIO!A36,DATA!D:D,0),1)</f>
        <v>hermon cell</v>
      </c>
    </row>
    <row r="37" spans="1:4">
      <c r="A37" s="9">
        <v>10466</v>
      </c>
      <c r="B37" s="14">
        <f>INDEX('BIO WAHYU'!B:G,MATCH(BIO!A37,'BIO WAHYU'!B:B,0),6)</f>
        <v>1</v>
      </c>
      <c r="C37">
        <f>INDEX('BIO WAHYU'!B:F,MATCH(BIO!A37,'BIO WAHYU'!B:B,0),5)</f>
        <v>1</v>
      </c>
      <c r="D37" t="str">
        <f>INDEX(DATA!C:D,MATCH(BIO!A37,DATA!D:D,0),1)</f>
        <v>DIPAN CELL</v>
      </c>
    </row>
    <row r="38" spans="1:4">
      <c r="A38" s="9">
        <v>1661</v>
      </c>
      <c r="B38" s="14">
        <f>INDEX('BIO WAHYU'!B:G,MATCH(BIO!A38,'BIO WAHYU'!B:B,0),6)</f>
        <v>0</v>
      </c>
      <c r="C38">
        <f>INDEX('BIO WAHYU'!B:F,MATCH(BIO!A38,'BIO WAHYU'!B:B,0),5)</f>
        <v>1</v>
      </c>
      <c r="D38" t="str">
        <f>INDEX(DATA!C:D,MATCH(BIO!A38,DATA!D:D,0),1)</f>
        <v>Ike CELL</v>
      </c>
    </row>
    <row r="39" spans="1:4">
      <c r="A39" s="9">
        <v>523430</v>
      </c>
      <c r="B39" s="14">
        <f>INDEX('BIO WAHYU'!B:G,MATCH(BIO!A39,'BIO WAHYU'!B:B,0),6)</f>
        <v>0</v>
      </c>
      <c r="C39">
        <f>INDEX('BIO WAHYU'!B:F,MATCH(BIO!A39,'BIO WAHYU'!B:B,0),5)</f>
        <v>2</v>
      </c>
      <c r="D39" t="str">
        <f>INDEX(DATA!C:D,MATCH(BIO!A39,DATA!D:D,0),1)</f>
        <v>NIZMA CELL</v>
      </c>
    </row>
    <row r="40" spans="1:4">
      <c r="A40" s="9">
        <v>127198</v>
      </c>
      <c r="B40" s="14">
        <f>INDEX('BIO WAHYU'!B:G,MATCH(BIO!A40,'BIO WAHYU'!B:B,0),6)</f>
        <v>18</v>
      </c>
      <c r="C40">
        <f>INDEX('BIO WAHYU'!B:F,MATCH(BIO!A40,'BIO WAHYU'!B:B,0),5)</f>
        <v>2</v>
      </c>
      <c r="D40" t="str">
        <f>INDEX(DATA!C:D,MATCH(BIO!A40,DATA!D:D,0),1)</f>
        <v>gaul cell</v>
      </c>
    </row>
    <row r="41" spans="1:4">
      <c r="A41" s="9">
        <v>571174</v>
      </c>
      <c r="B41" s="14">
        <f>INDEX('BIO WAHYU'!B:G,MATCH(BIO!A41,'BIO WAHYU'!B:B,0),6)</f>
        <v>0</v>
      </c>
      <c r="C41">
        <f>INDEX('BIO WAHYU'!B:F,MATCH(BIO!A41,'BIO WAHYU'!B:B,0),5)</f>
        <v>1</v>
      </c>
      <c r="D41" t="str">
        <f>INDEX(DATA!C:D,MATCH(BIO!A41,DATA!D:D,0),1)</f>
        <v>ALIBABA CELL</v>
      </c>
    </row>
    <row r="42" spans="1:4">
      <c r="A42" s="9">
        <v>416191</v>
      </c>
      <c r="B42" s="14">
        <f>INDEX('BIO WAHYU'!B:G,MATCH(BIO!A42,'BIO WAHYU'!B:B,0),6)</f>
        <v>0</v>
      </c>
      <c r="C42">
        <f>INDEX('BIO WAHYU'!B:F,MATCH(BIO!A42,'BIO WAHYU'!B:B,0),5)</f>
        <v>1</v>
      </c>
      <c r="D42" t="str">
        <f>INDEX(DATA!C:D,MATCH(BIO!A42,DATA!D:D,0),1)</f>
        <v>SIGIT CELL</v>
      </c>
    </row>
    <row r="43" spans="1:4">
      <c r="A43" s="9">
        <v>12295592</v>
      </c>
      <c r="B43" s="14">
        <f>INDEX('BIO WAHYU'!B:G,MATCH(BIO!A43,'BIO WAHYU'!B:B,0),6)</f>
        <v>11</v>
      </c>
      <c r="C43">
        <f>INDEX('BIO WAHYU'!B:F,MATCH(BIO!A43,'BIO WAHYU'!B:B,0),5)</f>
        <v>1</v>
      </c>
      <c r="D43" t="str">
        <f>INDEX(DATA!C:D,MATCH(BIO!A43,DATA!D:D,0),1)</f>
        <v>Juniver cell</v>
      </c>
    </row>
    <row r="44" spans="1:4">
      <c r="A44" s="9">
        <v>510053</v>
      </c>
      <c r="B44" s="14">
        <f>INDEX('BIO WAHYU'!B:G,MATCH(BIO!A44,'BIO WAHYU'!B:B,0),6)</f>
        <v>1</v>
      </c>
      <c r="C44">
        <f>INDEX('BIO WAHYU'!B:F,MATCH(BIO!A44,'BIO WAHYU'!B:B,0),5)</f>
        <v>1</v>
      </c>
      <c r="D44" t="str">
        <f>INDEX(DATA!C:D,MATCH(BIO!A44,DATA!D:D,0),1)</f>
        <v>KEENAN CELL</v>
      </c>
    </row>
    <row r="45" spans="1:4">
      <c r="A45" s="9">
        <v>503866</v>
      </c>
      <c r="B45" s="14">
        <f>INDEX('BIO WAHYU'!B:G,MATCH(BIO!A45,'BIO WAHYU'!B:B,0),6)</f>
        <v>4</v>
      </c>
      <c r="C45">
        <f>INDEX('BIO WAHYU'!B:F,MATCH(BIO!A45,'BIO WAHYU'!B:B,0),5)</f>
        <v>1</v>
      </c>
      <c r="D45" t="str">
        <f>INDEX(DATA!C:D,MATCH(BIO!A45,DATA!D:D,0),1)</f>
        <v>Ayang Cell</v>
      </c>
    </row>
    <row r="46" spans="1:4">
      <c r="A46" s="9">
        <v>524281</v>
      </c>
      <c r="B46" s="14">
        <f>INDEX('BIO WAHYU'!B:G,MATCH(BIO!A46,'BIO WAHYU'!B:B,0),6)</f>
        <v>0</v>
      </c>
      <c r="C46">
        <f>INDEX('BIO WAHYU'!B:F,MATCH(BIO!A46,'BIO WAHYU'!B:B,0),5)</f>
        <v>1</v>
      </c>
      <c r="D46" t="str">
        <f>INDEX(DATA!C:D,MATCH(BIO!A46,DATA!D:D,0),1)</f>
        <v>Blesing cell</v>
      </c>
    </row>
    <row r="47" spans="1:4">
      <c r="A47" s="9">
        <v>12295833</v>
      </c>
      <c r="B47" s="14">
        <f>INDEX('BIO WAHYU'!B:G,MATCH(BIO!A47,'BIO WAHYU'!B:B,0),6)</f>
        <v>0</v>
      </c>
      <c r="C47">
        <f>INDEX('BIO WAHYU'!B:F,MATCH(BIO!A47,'BIO WAHYU'!B:B,0),5)</f>
        <v>0</v>
      </c>
      <c r="D47" t="str">
        <f>INDEX(DATA!C:D,MATCH(BIO!A47,DATA!D:D,0),1)</f>
        <v>intan cell</v>
      </c>
    </row>
    <row r="48" spans="1:4">
      <c r="A48" s="9">
        <v>240048</v>
      </c>
      <c r="B48" s="14">
        <f>INDEX('BIO WAHYU'!B:G,MATCH(BIO!A48,'BIO WAHYU'!B:B,0),6)</f>
        <v>1</v>
      </c>
      <c r="C48">
        <f>INDEX('BIO WAHYU'!B:F,MATCH(BIO!A48,'BIO WAHYU'!B:B,0),5)</f>
        <v>1</v>
      </c>
      <c r="D48" t="str">
        <f>INDEX(DATA!C:D,MATCH(BIO!A48,DATA!D:D,0),1)</f>
        <v>KJ CELL</v>
      </c>
    </row>
    <row r="49" spans="1:4">
      <c r="A49" s="9">
        <v>246732</v>
      </c>
      <c r="B49" s="14">
        <f>INDEX('BIO WAHYU'!B:G,MATCH(BIO!A49,'BIO WAHYU'!B:B,0),6)</f>
        <v>1</v>
      </c>
      <c r="C49">
        <f>INDEX('BIO WAHYU'!B:F,MATCH(BIO!A49,'BIO WAHYU'!B:B,0),5)</f>
        <v>1</v>
      </c>
      <c r="D49" t="str">
        <f>INDEX(DATA!C:D,MATCH(BIO!A49,DATA!D:D,0),1)</f>
        <v>ONE CELL</v>
      </c>
    </row>
    <row r="50" spans="1:4">
      <c r="A50" s="9">
        <v>530334</v>
      </c>
      <c r="B50" s="14">
        <f>INDEX('BIO WAHYU'!B:G,MATCH(BIO!A50,'BIO WAHYU'!B:B,0),6)</f>
        <v>1</v>
      </c>
      <c r="C50">
        <f>INDEX('BIO WAHYU'!B:F,MATCH(BIO!A50,'BIO WAHYU'!B:B,0),5)</f>
        <v>1</v>
      </c>
      <c r="D50" t="str">
        <f>INDEX(DATA!C:D,MATCH(BIO!A50,DATA!D:D,0),1)</f>
        <v>2 putra</v>
      </c>
    </row>
    <row r="51" spans="1:4">
      <c r="A51" s="9">
        <v>211794</v>
      </c>
      <c r="B51" s="14">
        <f>INDEX('BIO WAHYU'!B:G,MATCH(BIO!A51,'BIO WAHYU'!B:B,0),6)</f>
        <v>3</v>
      </c>
      <c r="C51">
        <f>INDEX('BIO WAHYU'!B:F,MATCH(BIO!A51,'BIO WAHYU'!B:B,0),5)</f>
        <v>1</v>
      </c>
      <c r="D51" t="str">
        <f>INDEX(DATA!C:D,MATCH(BIO!A51,DATA!D:D,0),1)</f>
        <v>DENTHA CELL</v>
      </c>
    </row>
    <row r="52" spans="1:4">
      <c r="A52" s="9">
        <v>535790</v>
      </c>
      <c r="B52" s="14">
        <f>INDEX('BIO WAHYU'!B:G,MATCH(BIO!A52,'BIO WAHYU'!B:B,0),6)</f>
        <v>4</v>
      </c>
      <c r="C52">
        <f>INDEX('BIO WAHYU'!B:F,MATCH(BIO!A52,'BIO WAHYU'!B:B,0),5)</f>
        <v>1</v>
      </c>
      <c r="D52" t="str">
        <f>INDEX(DATA!C:D,MATCH(BIO!A52,DATA!D:D,0),1)</f>
        <v>CHA CHA CELL MATUNGKAS</v>
      </c>
    </row>
    <row r="53" spans="1:4">
      <c r="A53" s="9">
        <v>62086</v>
      </c>
      <c r="B53" s="14">
        <f>INDEX('BIO WAHYU'!B:G,MATCH(BIO!A53,'BIO WAHYU'!B:B,0),6)</f>
        <v>0</v>
      </c>
      <c r="C53">
        <f>INDEX('BIO WAHYU'!B:F,MATCH(BIO!A53,'BIO WAHYU'!B:B,0),5)</f>
        <v>0</v>
      </c>
      <c r="D53" t="str">
        <f>INDEX(DATA!C:D,MATCH(BIO!A53,DATA!D:D,0),1)</f>
        <v>DR CELL</v>
      </c>
    </row>
    <row r="54" spans="1:4">
      <c r="A54" s="9">
        <v>116871</v>
      </c>
      <c r="B54" s="14">
        <f>INDEX('BIO WAHYU'!B:G,MATCH(BIO!A54,'BIO WAHYU'!B:B,0),6)</f>
        <v>9</v>
      </c>
      <c r="C54">
        <f>INDEX('BIO WAHYU'!B:F,MATCH(BIO!A54,'BIO WAHYU'!B:B,0),5)</f>
        <v>2</v>
      </c>
      <c r="D54" t="str">
        <f>INDEX(DATA!C:D,MATCH(BIO!A54,DATA!D:D,0),1)</f>
        <v>QALBI  CELL</v>
      </c>
    </row>
    <row r="55" spans="1:4">
      <c r="A55" s="9">
        <v>304264</v>
      </c>
      <c r="B55" s="14">
        <f>INDEX('BIO WAHYU'!B:G,MATCH(BIO!A55,'BIO WAHYU'!B:B,0),6)</f>
        <v>1</v>
      </c>
      <c r="C55">
        <f>INDEX('BIO WAHYU'!B:F,MATCH(BIO!A55,'BIO WAHYU'!B:B,0),5)</f>
        <v>1</v>
      </c>
      <c r="D55" t="str">
        <f>INDEX(DATA!C:D,MATCH(BIO!A55,DATA!D:D,0),1)</f>
        <v>COCO CELL</v>
      </c>
    </row>
    <row r="56" spans="1:4">
      <c r="A56" s="9">
        <v>549259</v>
      </c>
      <c r="B56" s="14">
        <f>INDEX('BIO WAHYU'!B:G,MATCH(BIO!A56,'BIO WAHYU'!B:B,0),6)</f>
        <v>0</v>
      </c>
      <c r="C56">
        <f>INDEX('BIO WAHYU'!B:F,MATCH(BIO!A56,'BIO WAHYU'!B:B,0),5)</f>
        <v>0</v>
      </c>
      <c r="D56" t="str">
        <f>INDEX(DATA!C:D,MATCH(BIO!A56,DATA!D:D,0),1)</f>
        <v>Fai cell 2</v>
      </c>
    </row>
    <row r="57" spans="1:4">
      <c r="A57" s="9">
        <v>523938</v>
      </c>
      <c r="B57" s="14">
        <f>INDEX('BIO WAHYU'!B:G,MATCH(BIO!A57,'BIO WAHYU'!B:B,0),6)</f>
        <v>0</v>
      </c>
      <c r="C57">
        <f>INDEX('BIO WAHYU'!B:F,MATCH(BIO!A57,'BIO WAHYU'!B:B,0),5)</f>
        <v>1</v>
      </c>
      <c r="D57" t="str">
        <f>INDEX(DATA!C:D,MATCH(BIO!A57,DATA!D:D,0),1)</f>
        <v>Nab cell 1</v>
      </c>
    </row>
    <row r="58" spans="1:4">
      <c r="A58" s="9">
        <v>523849</v>
      </c>
      <c r="B58" s="14">
        <f>INDEX('BIO WAHYU'!B:G,MATCH(BIO!A58,'BIO WAHYU'!B:B,0),6)</f>
        <v>0</v>
      </c>
      <c r="C58">
        <f>INDEX('BIO WAHYU'!B:F,MATCH(BIO!A58,'BIO WAHYU'!B:B,0),5)</f>
        <v>1</v>
      </c>
      <c r="D58" t="str">
        <f>INDEX(DATA!C:D,MATCH(BIO!A58,DATA!D:D,0),1)</f>
        <v>MilanQueen</v>
      </c>
    </row>
    <row r="59" spans="1:4">
      <c r="A59" s="9">
        <v>12295826</v>
      </c>
      <c r="B59" s="14">
        <f>INDEX('BIO WAHYU'!B:G,MATCH(BIO!A59,'BIO WAHYU'!B:B,0),6)</f>
        <v>0</v>
      </c>
      <c r="C59">
        <f>INDEX('BIO WAHYU'!B:F,MATCH(BIO!A59,'BIO WAHYU'!B:B,0),5)</f>
        <v>0</v>
      </c>
      <c r="D59" t="str">
        <f>INDEX(DATA!C:D,MATCH(BIO!A59,DATA!D:D,0),1)</f>
        <v>KLABAT JAYA CELL</v>
      </c>
    </row>
    <row r="60" spans="1:4">
      <c r="A60" s="9">
        <v>385575</v>
      </c>
      <c r="B60" s="14">
        <f>INDEX('BIO WAHYU'!B:G,MATCH(BIO!A60,'BIO WAHYU'!B:B,0),6)</f>
        <v>0</v>
      </c>
      <c r="C60">
        <f>INDEX('BIO WAHYU'!B:F,MATCH(BIO!A60,'BIO WAHYU'!B:B,0),5)</f>
        <v>0</v>
      </c>
      <c r="D60" t="str">
        <f>INDEX(DATA!C:D,MATCH(BIO!A60,DATA!D:D,0),1)</f>
        <v>joy cell</v>
      </c>
    </row>
    <row r="61" spans="1:4">
      <c r="A61" s="9">
        <v>12326920</v>
      </c>
      <c r="B61" s="14">
        <f>INDEX('BIO WAHYU'!B:G,MATCH(BIO!A61,'BIO WAHYU'!B:B,0),6)</f>
        <v>0</v>
      </c>
      <c r="C61">
        <f>INDEX('BIO WAHYU'!B:F,MATCH(BIO!A61,'BIO WAHYU'!B:B,0),5)</f>
        <v>1</v>
      </c>
      <c r="D61" t="str">
        <f>INDEX(DATA!C:D,MATCH(BIO!A61,DATA!D:D,0),1)</f>
        <v>RAINBOW CELL</v>
      </c>
    </row>
    <row r="62" spans="1:4">
      <c r="A62" s="9">
        <v>484741</v>
      </c>
      <c r="B62" s="14">
        <f>INDEX('BIO WAHYU'!B:G,MATCH(BIO!A62,'BIO WAHYU'!B:B,0),6)</f>
        <v>0</v>
      </c>
      <c r="C62">
        <f>INDEX('BIO WAHYU'!B:F,MATCH(BIO!A62,'BIO WAHYU'!B:B,0),5)</f>
        <v>1</v>
      </c>
      <c r="D62" t="str">
        <f>INDEX(DATA!C:D,MATCH(BIO!A62,DATA!D:D,0),1)</f>
        <v>cici cell</v>
      </c>
    </row>
    <row r="63" spans="1:4">
      <c r="A63" s="9">
        <v>12327316</v>
      </c>
      <c r="B63" s="14">
        <f>INDEX('BIO WAHYU'!B:G,MATCH(BIO!A63,'BIO WAHYU'!B:B,0),6)</f>
        <v>1</v>
      </c>
      <c r="C63">
        <f>INDEX('BIO WAHYU'!B:F,MATCH(BIO!A63,'BIO WAHYU'!B:B,0),5)</f>
        <v>1</v>
      </c>
      <c r="D63" t="str">
        <f>INDEX(DATA!C:D,MATCH(BIO!A63,DATA!D:D,0),1)</f>
        <v>ALhafiz cell</v>
      </c>
    </row>
    <row r="64" spans="1:4">
      <c r="A64" s="9">
        <v>12334635</v>
      </c>
      <c r="B64" s="14">
        <f>INDEX('BIO WAHYU'!B:G,MATCH(BIO!A64,'BIO WAHYU'!B:B,0),6)</f>
        <v>3</v>
      </c>
      <c r="C64">
        <f>INDEX('BIO WAHYU'!B:F,MATCH(BIO!A64,'BIO WAHYU'!B:B,0),5)</f>
        <v>1</v>
      </c>
      <c r="D64" t="str">
        <f>INDEX(DATA!C:D,MATCH(BIO!A64,DATA!D:D,0),1)</f>
        <v>Atan cell</v>
      </c>
    </row>
    <row r="65" spans="1:4">
      <c r="A65" s="9">
        <v>12326118</v>
      </c>
      <c r="B65" s="14">
        <f>INDEX('BIO WAHYU'!B:G,MATCH(BIO!A65,'BIO WAHYU'!B:B,0),6)</f>
        <v>1</v>
      </c>
      <c r="C65">
        <f>INDEX('BIO WAHYU'!B:F,MATCH(BIO!A65,'BIO WAHYU'!B:B,0),5)</f>
        <v>1</v>
      </c>
      <c r="D65" t="str">
        <f>INDEX(DATA!C:D,MATCH(BIO!A65,DATA!D:D,0),1)</f>
        <v>TRIPLE M CELL</v>
      </c>
    </row>
    <row r="66" spans="1:4">
      <c r="A66" s="9">
        <v>345427</v>
      </c>
      <c r="B66" s="14">
        <f>INDEX('BIO WAHYU'!B:G,MATCH(BIO!A66,'BIO WAHYU'!B:B,0),6)</f>
        <v>0</v>
      </c>
      <c r="C66">
        <f>INDEX('BIO WAHYU'!B:F,MATCH(BIO!A66,'BIO WAHYU'!B:B,0),5)</f>
        <v>1</v>
      </c>
      <c r="D66" t="str">
        <f>INDEX(DATA!C:D,MATCH(BIO!A66,DATA!D:D,0),1)</f>
        <v>Rey Cell</v>
      </c>
    </row>
    <row r="67" spans="1:4">
      <c r="A67" s="9">
        <v>499483</v>
      </c>
      <c r="B67" s="14">
        <f>INDEX('BIO WAHYU'!B:G,MATCH(BIO!A67,'BIO WAHYU'!B:B,0),6)</f>
        <v>2</v>
      </c>
      <c r="C67">
        <f>INDEX('BIO WAHYU'!B:F,MATCH(BIO!A67,'BIO WAHYU'!B:B,0),5)</f>
        <v>1</v>
      </c>
      <c r="D67" t="str">
        <f>INDEX(DATA!C:D,MATCH(BIO!A67,DATA!D:D,0),1)</f>
        <v>INDRA CELL</v>
      </c>
    </row>
    <row r="68" spans="1:4">
      <c r="A68" s="9">
        <v>195918</v>
      </c>
      <c r="B68" s="14">
        <f>INDEX('BIO WAHYU'!B:G,MATCH(BIO!A68,'BIO WAHYU'!B:B,0),6)</f>
        <v>5</v>
      </c>
      <c r="C68">
        <f>INDEX('BIO WAHYU'!B:F,MATCH(BIO!A68,'BIO WAHYU'!B:B,0),5)</f>
        <v>0</v>
      </c>
      <c r="D68" t="str">
        <f>INDEX(DATA!C:D,MATCH(BIO!A68,DATA!D:D,0),1)</f>
        <v>3 V</v>
      </c>
    </row>
    <row r="69" spans="1:4">
      <c r="A69" s="9">
        <v>126951</v>
      </c>
      <c r="B69" s="14">
        <f>INDEX('BIO WAHYU'!B:G,MATCH(BIO!A69,'BIO WAHYU'!B:B,0),6)</f>
        <v>3</v>
      </c>
      <c r="C69">
        <f>INDEX('BIO WAHYU'!B:F,MATCH(BIO!A69,'BIO WAHYU'!B:B,0),5)</f>
        <v>2</v>
      </c>
      <c r="D69" t="str">
        <f>INDEX(DATA!C:D,MATCH(BIO!A69,DATA!D:D,0),1)</f>
        <v>tuti cell</v>
      </c>
    </row>
    <row r="70" spans="1:4">
      <c r="A70" s="9">
        <v>63887</v>
      </c>
      <c r="B70" s="14">
        <f>INDEX('BIO WAHYU'!B:G,MATCH(BIO!A70,'BIO WAHYU'!B:B,0),6)</f>
        <v>1</v>
      </c>
      <c r="C70">
        <f>INDEX('BIO WAHYU'!B:F,MATCH(BIO!A70,'BIO WAHYU'!B:B,0),5)</f>
        <v>0</v>
      </c>
      <c r="D70" t="str">
        <f>INDEX(DATA!C:D,MATCH(BIO!A70,DATA!D:D,0),1)</f>
        <v>BERKAT INDAH CELL</v>
      </c>
    </row>
    <row r="71" spans="1:4">
      <c r="A71" s="9">
        <v>229765</v>
      </c>
      <c r="B71" s="14">
        <f>INDEX('BIO WAHYU'!B:G,MATCH(BIO!A71,'BIO WAHYU'!B:B,0),6)</f>
        <v>27</v>
      </c>
      <c r="C71">
        <f>INDEX('BIO WAHYU'!B:F,MATCH(BIO!A71,'BIO WAHYU'!B:B,0),5)</f>
        <v>4</v>
      </c>
      <c r="D71" t="str">
        <f>INDEX(DATA!C:D,MATCH(BIO!A71,DATA!D:D,0),1)</f>
        <v>Blessed cell</v>
      </c>
    </row>
    <row r="72" spans="1:4">
      <c r="A72" s="9">
        <v>574633</v>
      </c>
      <c r="B72" s="14">
        <f>INDEX('BIO WAHYU'!B:G,MATCH(BIO!A72,'BIO WAHYU'!B:B,0),6)</f>
        <v>1</v>
      </c>
      <c r="C72">
        <f>INDEX('BIO WAHYU'!B:F,MATCH(BIO!A72,'BIO WAHYU'!B:B,0),5)</f>
        <v>0</v>
      </c>
      <c r="D72" t="str">
        <f>INDEX(DATA!C:D,MATCH(BIO!A72,DATA!D:D,0),1)</f>
        <v>nia cell</v>
      </c>
    </row>
    <row r="73" spans="1:4">
      <c r="A73" s="9">
        <v>61688</v>
      </c>
      <c r="B73" s="14">
        <f>INDEX('BIO WAHYU'!B:G,MATCH(BIO!A73,'BIO WAHYU'!B:B,0),6)</f>
        <v>5</v>
      </c>
      <c r="C73">
        <f>INDEX('BIO WAHYU'!B:F,MATCH(BIO!A73,'BIO WAHYU'!B:B,0),5)</f>
        <v>1</v>
      </c>
      <c r="D73" t="str">
        <f>INDEX(DATA!C:D,MATCH(BIO!A73,DATA!D:D,0),1)</f>
        <v>Asia Jaya Cell</v>
      </c>
    </row>
    <row r="74" spans="1:4">
      <c r="A74" s="9" t="s">
        <v>104</v>
      </c>
      <c r="B74" s="14">
        <f>INDEX('BIO WAHYU'!B:G,MATCH(BIO!A74,'BIO WAHYU'!B:B,0),6)</f>
        <v>0</v>
      </c>
      <c r="C74">
        <f>INDEX('BIO WAHYU'!B:F,MATCH(BIO!A74,'BIO WAHYU'!B:B,0),5)</f>
        <v>1</v>
      </c>
      <c r="D74" t="str">
        <f>INDEX(DATA!C:D,MATCH(BIO!A74,DATA!D:D,0),1)</f>
        <v>DZIKRA CELL KAUDITAN</v>
      </c>
    </row>
    <row r="75" spans="1:4">
      <c r="A75" s="9">
        <v>12295724</v>
      </c>
      <c r="B75" s="14">
        <f>INDEX('BIO WAHYU'!B:G,MATCH(BIO!A75,'BIO WAHYU'!B:B,0),6)</f>
        <v>1</v>
      </c>
      <c r="C75">
        <f>INDEX('BIO WAHYU'!B:F,MATCH(BIO!A75,'BIO WAHYU'!B:B,0),5)</f>
        <v>1</v>
      </c>
      <c r="D75" t="str">
        <f>INDEX(DATA!C:D,MATCH(BIO!A75,DATA!D:D,0),1)</f>
        <v>Qian Qian Cell</v>
      </c>
    </row>
    <row r="76" spans="1:4">
      <c r="A76" s="9">
        <v>12325263</v>
      </c>
      <c r="B76" s="14">
        <f>INDEX('BIO WAHYU'!B:G,MATCH(BIO!A76,'BIO WAHYU'!B:B,0),6)</f>
        <v>0</v>
      </c>
      <c r="C76">
        <f>INDEX('BIO WAHYU'!B:F,MATCH(BIO!A76,'BIO WAHYU'!B:B,0),5)</f>
        <v>0</v>
      </c>
      <c r="D76" t="str">
        <f>INDEX(DATA!C:D,MATCH(BIO!A76,DATA!D:D,0),1)</f>
        <v>KIOS TASYA</v>
      </c>
    </row>
    <row r="77" spans="1:4">
      <c r="A77" s="9">
        <v>12324194</v>
      </c>
      <c r="B77" s="14">
        <f>INDEX('BIO WAHYU'!B:G,MATCH(BIO!A77,'BIO WAHYU'!B:B,0),6)</f>
        <v>0</v>
      </c>
      <c r="C77">
        <f>INDEX('BIO WAHYU'!B:F,MATCH(BIO!A77,'BIO WAHYU'!B:B,0),5)</f>
        <v>0</v>
      </c>
      <c r="D77" t="str">
        <f>INDEX(DATA!C:D,MATCH(BIO!A77,DATA!D:D,0),1)</f>
        <v>ARJUNA CELL</v>
      </c>
    </row>
    <row r="78" spans="1:4">
      <c r="A78" s="9">
        <v>486638</v>
      </c>
      <c r="B78" s="14">
        <f>INDEX('BIO WAHYU'!B:G,MATCH(BIO!A78,'BIO WAHYU'!B:B,0),6)</f>
        <v>1</v>
      </c>
      <c r="C78">
        <f>INDEX('BIO WAHYU'!B:F,MATCH(BIO!A78,'BIO WAHYU'!B:B,0),5)</f>
        <v>1</v>
      </c>
      <c r="D78" t="str">
        <f>INDEX(DATA!C:D,MATCH(BIO!A78,DATA!D:D,0),1)</f>
        <v>TIARA CELL</v>
      </c>
    </row>
    <row r="79" spans="1:4">
      <c r="A79" s="9">
        <v>530058</v>
      </c>
      <c r="B79" s="14">
        <f>INDEX('BIO WAHYU'!B:G,MATCH(BIO!A79,'BIO WAHYU'!B:B,0),6)</f>
        <v>1</v>
      </c>
      <c r="C79">
        <f>INDEX('BIO WAHYU'!B:F,MATCH(BIO!A79,'BIO WAHYU'!B:B,0),5)</f>
        <v>1</v>
      </c>
      <c r="D79" t="str">
        <f>INDEX(DATA!C:D,MATCH(BIO!A79,DATA!D:D,0),1)</f>
        <v>Dipan Cell Matungkas</v>
      </c>
    </row>
    <row r="80" spans="1:4">
      <c r="A80" s="9">
        <v>231278</v>
      </c>
      <c r="B80" s="14">
        <f>INDEX('BIO WAHYU'!B:G,MATCH(BIO!A80,'BIO WAHYU'!B:B,0),6)</f>
        <v>0</v>
      </c>
      <c r="C80">
        <f>INDEX('BIO WAHYU'!B:F,MATCH(BIO!A80,'BIO WAHYU'!B:B,0),5)</f>
        <v>1</v>
      </c>
      <c r="D80" t="str">
        <f>INDEX(DATA!C:D,MATCH(BIO!A80,DATA!D:D,0),1)</f>
        <v>KENZIE CELL</v>
      </c>
    </row>
    <row r="81" spans="1:4">
      <c r="A81" s="9">
        <v>199217</v>
      </c>
      <c r="B81" s="14">
        <f>INDEX('BIO WAHYU'!B:G,MATCH(BIO!A81,'BIO WAHYU'!B:B,0),6)</f>
        <v>2</v>
      </c>
      <c r="C81">
        <f>INDEX('BIO WAHYU'!B:F,MATCH(BIO!A81,'BIO WAHYU'!B:B,0),5)</f>
        <v>1</v>
      </c>
      <c r="D81" t="str">
        <f>INDEX(DATA!C:D,MATCH(BIO!A81,DATA!D:D,0),1)</f>
        <v>PRIMA PONSEL</v>
      </c>
    </row>
    <row r="82" spans="1:4">
      <c r="A82" s="9">
        <v>222816</v>
      </c>
      <c r="B82" s="14">
        <f>INDEX('BIO WAHYU'!B:G,MATCH(BIO!A82,'BIO WAHYU'!B:B,0),6)</f>
        <v>1</v>
      </c>
      <c r="C82">
        <f>INDEX('BIO WAHYU'!B:F,MATCH(BIO!A82,'BIO WAHYU'!B:B,0),5)</f>
        <v>1</v>
      </c>
      <c r="D82" t="str">
        <f>INDEX(DATA!C:D,MATCH(BIO!A82,DATA!D:D,0),1)</f>
        <v>keren moren cell</v>
      </c>
    </row>
    <row r="83" spans="1:4">
      <c r="A83" s="9">
        <v>342829</v>
      </c>
      <c r="B83" s="14">
        <f>INDEX('BIO WAHYU'!B:G,MATCH(BIO!A83,'BIO WAHYU'!B:B,0),6)</f>
        <v>0</v>
      </c>
      <c r="C83">
        <f>INDEX('BIO WAHYU'!B:F,MATCH(BIO!A83,'BIO WAHYU'!B:B,0),5)</f>
        <v>2</v>
      </c>
      <c r="D83" t="str">
        <f>INDEX(DATA!C:D,MATCH(BIO!A83,DATA!D:D,0),1)</f>
        <v>denny cell</v>
      </c>
    </row>
    <row r="84" spans="1:4">
      <c r="A84" s="9">
        <v>543826</v>
      </c>
      <c r="B84" s="14">
        <f>INDEX('BIO WAHYU'!B:G,MATCH(BIO!A84,'BIO WAHYU'!B:B,0),6)</f>
        <v>28</v>
      </c>
      <c r="C84">
        <f>INDEX('BIO WAHYU'!B:F,MATCH(BIO!A84,'BIO WAHYU'!B:B,0),5)</f>
        <v>0</v>
      </c>
      <c r="D84" t="str">
        <f>INDEX(DATA!C:D,MATCH(BIO!A84,DATA!D:D,0),1)</f>
        <v>Floria cell</v>
      </c>
    </row>
    <row r="85" spans="1:4">
      <c r="A85" s="9" t="s">
        <v>160</v>
      </c>
      <c r="B85" s="14">
        <f>INDEX('BIO WAHYU'!B:G,MATCH(BIO!A85,'BIO WAHYU'!B:B,0),6)</f>
        <v>0</v>
      </c>
      <c r="C85">
        <f>INDEX('BIO WAHYU'!B:F,MATCH(BIO!A85,'BIO WAHYU'!B:B,0),5)</f>
        <v>0</v>
      </c>
      <c r="D85" t="str">
        <f>INDEX(DATA!C:D,MATCH(BIO!A85,DATA!D:D,0),1)</f>
        <v>PELANGI CELL</v>
      </c>
    </row>
    <row r="86" spans="1:4">
      <c r="A86" s="9">
        <v>287622</v>
      </c>
      <c r="B86" s="14">
        <f>INDEX('BIO WAHYU'!B:G,MATCH(BIO!A86,'BIO WAHYU'!B:B,0),6)</f>
        <v>1</v>
      </c>
      <c r="C86">
        <f>INDEX('BIO WAHYU'!B:F,MATCH(BIO!A86,'BIO WAHYU'!B:B,0),5)</f>
        <v>1</v>
      </c>
      <c r="D86" t="str">
        <f>INDEX(DATA!C:D,MATCH(BIO!A86,DATA!D:D,0),1)</f>
        <v>Acox Pulsa</v>
      </c>
    </row>
    <row r="87" spans="1:4">
      <c r="A87" s="9">
        <v>542823</v>
      </c>
      <c r="B87" s="14">
        <f>INDEX('BIO WAHYU'!B:G,MATCH(BIO!A87,'BIO WAHYU'!B:B,0),6)</f>
        <v>2</v>
      </c>
      <c r="C87">
        <f>INDEX('BIO WAHYU'!B:F,MATCH(BIO!A87,'BIO WAHYU'!B:B,0),5)</f>
        <v>1</v>
      </c>
      <c r="D87" t="str">
        <f>INDEX(DATA!C:D,MATCH(BIO!A87,DATA!D:D,0),1)</f>
        <v>JMW CELL</v>
      </c>
    </row>
    <row r="88" spans="1:4">
      <c r="A88" s="9">
        <v>12295887</v>
      </c>
      <c r="B88" s="14">
        <f>INDEX('BIO WAHYU'!B:G,MATCH(BIO!A88,'BIO WAHYU'!B:B,0),6)</f>
        <v>1</v>
      </c>
      <c r="C88">
        <f>INDEX('BIO WAHYU'!B:F,MATCH(BIO!A88,'BIO WAHYU'!B:B,0),5)</f>
        <v>0</v>
      </c>
      <c r="D88" t="str">
        <f>INDEX(DATA!C:D,MATCH(BIO!A88,DATA!D:D,0),1)</f>
        <v>KIOS NADYA</v>
      </c>
    </row>
    <row r="89" spans="1:4">
      <c r="A89" s="9">
        <v>12333237</v>
      </c>
      <c r="B89" s="14">
        <f>INDEX('BIO WAHYU'!B:G,MATCH(BIO!A89,'BIO WAHYU'!B:B,0),6)</f>
        <v>13</v>
      </c>
      <c r="C89">
        <f>INDEX('BIO WAHYU'!B:F,MATCH(BIO!A89,'BIO WAHYU'!B:B,0),5)</f>
        <v>1</v>
      </c>
      <c r="D89" t="str">
        <f>INDEX(DATA!C:D,MATCH(BIO!A89,DATA!D:D,0),1)</f>
        <v>anugerah cell</v>
      </c>
    </row>
    <row r="90" spans="1:4">
      <c r="A90" s="9">
        <v>477625</v>
      </c>
      <c r="B90" s="14">
        <f>INDEX('BIO WAHYU'!B:G,MATCH(BIO!A90,'BIO WAHYU'!B:B,0),6)</f>
        <v>2</v>
      </c>
      <c r="C90">
        <f>INDEX('BIO WAHYU'!B:F,MATCH(BIO!A90,'BIO WAHYU'!B:B,0),5)</f>
        <v>0</v>
      </c>
      <c r="D90" t="str">
        <f>INDEX(DATA!C:D,MATCH(BIO!A90,DATA!D:D,0),1)</f>
        <v>Yunita Cell</v>
      </c>
    </row>
    <row r="91" spans="1:4">
      <c r="A91" s="9">
        <v>12295980</v>
      </c>
      <c r="B91" s="14">
        <f>INDEX('BIO WAHYU'!B:G,MATCH(BIO!A91,'BIO WAHYU'!B:B,0),6)</f>
        <v>0</v>
      </c>
      <c r="C91">
        <f>INDEX('BIO WAHYU'!B:F,MATCH(BIO!A91,'BIO WAHYU'!B:B,0),5)</f>
        <v>0</v>
      </c>
      <c r="D91" t="str">
        <f>INDEX(DATA!C:D,MATCH(BIO!A91,DATA!D:D,0),1)</f>
        <v>Zall Cell</v>
      </c>
    </row>
    <row r="92" spans="1:4">
      <c r="A92" s="9">
        <v>12295626</v>
      </c>
      <c r="B92" s="14">
        <f>INDEX('BIO WAHYU'!B:G,MATCH(BIO!A92,'BIO WAHYU'!B:B,0),6)</f>
        <v>0</v>
      </c>
      <c r="C92">
        <f>INDEX('BIO WAHYU'!B:F,MATCH(BIO!A92,'BIO WAHYU'!B:B,0),5)</f>
        <v>0</v>
      </c>
      <c r="D92" t="str">
        <f>INDEX(DATA!C:D,MATCH(BIO!A92,DATA!D:D,0),1)</f>
        <v>Ansi cell</v>
      </c>
    </row>
    <row r="93" spans="1:4">
      <c r="A93" s="9">
        <v>126963</v>
      </c>
      <c r="B93" s="14">
        <f>INDEX('BIO WAHYU'!B:G,MATCH(BIO!A93,'BIO WAHYU'!B:B,0),6)</f>
        <v>1</v>
      </c>
      <c r="C93">
        <f>INDEX('BIO WAHYU'!B:F,MATCH(BIO!A93,'BIO WAHYU'!B:B,0),5)</f>
        <v>1</v>
      </c>
      <c r="D93" t="str">
        <f>INDEX(DATA!C:D,MATCH(BIO!A93,DATA!D:D,0),1)</f>
        <v>NYOMAN CELL</v>
      </c>
    </row>
    <row r="94" spans="1:4">
      <c r="A94" s="9">
        <v>199007</v>
      </c>
      <c r="B94" s="14">
        <f>INDEX('BIO WAHYU'!B:G,MATCH(BIO!A94,'BIO WAHYU'!B:B,0),6)</f>
        <v>0</v>
      </c>
      <c r="C94">
        <f>INDEX('BIO WAHYU'!B:F,MATCH(BIO!A94,'BIO WAHYU'!B:B,0),5)</f>
        <v>0</v>
      </c>
      <c r="D94" t="str">
        <f>INDEX(DATA!C:D,MATCH(BIO!A94,DATA!D:D,0),1)</f>
        <v>Ribby Cell</v>
      </c>
    </row>
    <row r="95" spans="1:4">
      <c r="A95" s="9">
        <v>12295536</v>
      </c>
      <c r="B95" s="14">
        <f>INDEX('BIO WAHYU'!B:G,MATCH(BIO!A95,'BIO WAHYU'!B:B,0),6)</f>
        <v>1</v>
      </c>
      <c r="C95">
        <f>INDEX('BIO WAHYU'!B:F,MATCH(BIO!A95,'BIO WAHYU'!B:B,0),5)</f>
        <v>0</v>
      </c>
      <c r="D95" t="str">
        <f>INDEX(DATA!C:D,MATCH(BIO!A95,DATA!D:D,0),1)</f>
        <v>Club cell</v>
      </c>
    </row>
    <row r="96" spans="1:4">
      <c r="A96" s="9">
        <v>213944</v>
      </c>
      <c r="B96" s="14">
        <f>INDEX('BIO WAHYU'!B:G,MATCH(BIO!A96,'BIO WAHYU'!B:B,0),6)</f>
        <v>7</v>
      </c>
      <c r="C96">
        <f>INDEX('BIO WAHYU'!B:F,MATCH(BIO!A96,'BIO WAHYU'!B:B,0),5)</f>
        <v>1</v>
      </c>
      <c r="D96" t="str">
        <f>INDEX(DATA!C:D,MATCH(BIO!A96,DATA!D:D,0),1)</f>
        <v>KIRAN CELL</v>
      </c>
    </row>
    <row r="97" spans="1:4">
      <c r="A97" s="9">
        <v>278608</v>
      </c>
      <c r="B97" s="14">
        <f>INDEX('BIO WAHYU'!B:G,MATCH(BIO!A97,'BIO WAHYU'!B:B,0),6)</f>
        <v>4</v>
      </c>
      <c r="C97">
        <f>INDEX('BIO WAHYU'!B:F,MATCH(BIO!A97,'BIO WAHYU'!B:B,0),5)</f>
        <v>2</v>
      </c>
      <c r="D97" t="str">
        <f>INDEX(DATA!C:D,MATCH(BIO!A97,DATA!D:D,0),1)</f>
        <v>aurel cell</v>
      </c>
    </row>
    <row r="98" spans="1:4">
      <c r="A98" s="9">
        <v>12323463</v>
      </c>
      <c r="B98" s="14">
        <f>INDEX('BIO WAHYU'!B:G,MATCH(BIO!A98,'BIO WAHYU'!B:B,0),6)</f>
        <v>89</v>
      </c>
      <c r="C98">
        <f>INDEX('BIO WAHYU'!B:F,MATCH(BIO!A98,'BIO WAHYU'!B:B,0),5)</f>
        <v>18</v>
      </c>
      <c r="D98" t="str">
        <f>INDEX(DATA!C:D,MATCH(BIO!A98,DATA!D:D,0),1)</f>
        <v>ALEYA CELL</v>
      </c>
    </row>
    <row r="99" spans="1:4">
      <c r="A99" s="9">
        <v>12321241</v>
      </c>
      <c r="B99" s="14">
        <f>INDEX('BIO WAHYU'!B:G,MATCH(BIO!A99,'BIO WAHYU'!B:B,0),6)</f>
        <v>31</v>
      </c>
      <c r="C99">
        <f>INDEX('BIO WAHYU'!B:F,MATCH(BIO!A99,'BIO WAHYU'!B:B,0),5)</f>
        <v>3</v>
      </c>
      <c r="D99" t="str">
        <f>INDEX(DATA!C:D,MATCH(BIO!A99,DATA!D:D,0),1)</f>
        <v>Dhivaa cell</v>
      </c>
    </row>
    <row r="100" spans="1:4">
      <c r="A100" s="9">
        <v>287403</v>
      </c>
      <c r="B100" s="14">
        <f>INDEX('BIO WAHYU'!B:G,MATCH(BIO!A100,'BIO WAHYU'!B:B,0),6)</f>
        <v>0</v>
      </c>
      <c r="C100">
        <f>INDEX('BIO WAHYU'!B:F,MATCH(BIO!A100,'BIO WAHYU'!B:B,0),5)</f>
        <v>1</v>
      </c>
      <c r="D100" t="str">
        <f>INDEX(DATA!C:D,MATCH(BIO!A100,DATA!D:D,0),1)</f>
        <v>AUDREY CELL</v>
      </c>
    </row>
    <row r="101" spans="1:4">
      <c r="A101" s="9" t="s">
        <v>102</v>
      </c>
      <c r="B101" s="14">
        <f>INDEX('BIO WAHYU'!B:G,MATCH(BIO!A101,'BIO WAHYU'!B:B,0),6)</f>
        <v>0</v>
      </c>
      <c r="C101">
        <f>INDEX('BIO WAHYU'!B:F,MATCH(BIO!A101,'BIO WAHYU'!B:B,0),5)</f>
        <v>3</v>
      </c>
      <c r="D101" t="str">
        <f>INDEX(DATA!C:D,MATCH(BIO!A101,DATA!D:D,0),1)</f>
        <v>Yuke Cell</v>
      </c>
    </row>
    <row r="102" spans="1:4">
      <c r="A102" s="9">
        <v>511584</v>
      </c>
      <c r="B102" s="14">
        <f>INDEX('BIO WAHYU'!B:G,MATCH(BIO!A102,'BIO WAHYU'!B:B,0),6)</f>
        <v>3</v>
      </c>
      <c r="C102">
        <f>INDEX('BIO WAHYU'!B:F,MATCH(BIO!A102,'BIO WAHYU'!B:B,0),5)</f>
        <v>1</v>
      </c>
      <c r="D102" t="str">
        <f>INDEX(DATA!C:D,MATCH(BIO!A102,DATA!D:D,0),1)</f>
        <v>46 Cell</v>
      </c>
    </row>
    <row r="103" spans="1:4">
      <c r="A103" s="9">
        <v>12295542</v>
      </c>
      <c r="B103" s="14">
        <f>INDEX('BIO WAHYU'!B:G,MATCH(BIO!A103,'BIO WAHYU'!B:B,0),6)</f>
        <v>2</v>
      </c>
      <c r="C103">
        <f>INDEX('BIO WAHYU'!B:F,MATCH(BIO!A103,'BIO WAHYU'!B:B,0),5)</f>
        <v>1</v>
      </c>
      <c r="D103" t="str">
        <f>INDEX(DATA!C:D,MATCH(BIO!A103,DATA!D:D,0),1)</f>
        <v>Loni cell</v>
      </c>
    </row>
    <row r="104" spans="1:4">
      <c r="A104" s="9">
        <v>546446</v>
      </c>
      <c r="B104" s="14">
        <f>INDEX('BIO WAHYU'!B:G,MATCH(BIO!A104,'BIO WAHYU'!B:B,0),6)</f>
        <v>3</v>
      </c>
      <c r="C104">
        <f>INDEX('BIO WAHYU'!B:F,MATCH(BIO!A104,'BIO WAHYU'!B:B,0),5)</f>
        <v>0</v>
      </c>
      <c r="D104" t="str">
        <f>INDEX(DATA!C:D,MATCH(BIO!A104,DATA!D:D,0),1)</f>
        <v>CRP Cell</v>
      </c>
    </row>
    <row r="105" spans="1:4">
      <c r="A105" s="9">
        <v>199020</v>
      </c>
      <c r="B105" s="14">
        <f>INDEX('BIO WAHYU'!B:G,MATCH(BIO!A105,'BIO WAHYU'!B:B,0),6)</f>
        <v>0</v>
      </c>
      <c r="C105">
        <f>INDEX('BIO WAHYU'!B:F,MATCH(BIO!A105,'BIO WAHYU'!B:B,0),5)</f>
        <v>1</v>
      </c>
      <c r="D105" t="str">
        <f>INDEX(DATA!C:D,MATCH(BIO!A105,DATA!D:D,0),1)</f>
        <v>PRIMA CELL</v>
      </c>
    </row>
    <row r="106" spans="1:4">
      <c r="A106" s="9">
        <v>522623</v>
      </c>
      <c r="B106" s="14">
        <f>INDEX('BIO WAHYU'!B:G,MATCH(BIO!A106,'BIO WAHYU'!B:B,0),6)</f>
        <v>10</v>
      </c>
      <c r="C106">
        <f>INDEX('BIO WAHYU'!B:F,MATCH(BIO!A106,'BIO WAHYU'!B:B,0),5)</f>
        <v>1</v>
      </c>
      <c r="D106" t="str">
        <f>INDEX(DATA!C:D,MATCH(BIO!A106,DATA!D:D,0),1)</f>
        <v>PUTRI CELL 1</v>
      </c>
    </row>
    <row r="107" spans="1:4">
      <c r="A107" s="9">
        <v>12303072</v>
      </c>
      <c r="B107" s="14">
        <f>INDEX('BIO WAHYU'!B:G,MATCH(BIO!A107,'BIO WAHYU'!B:B,0),6)</f>
        <v>2</v>
      </c>
      <c r="C107">
        <f>INDEX('BIO WAHYU'!B:F,MATCH(BIO!A107,'BIO WAHYU'!B:B,0),5)</f>
        <v>2</v>
      </c>
      <c r="D107" t="str">
        <f>INDEX(DATA!C:D,MATCH(BIO!A107,DATA!D:D,0),1)</f>
        <v>YANI CELL</v>
      </c>
    </row>
    <row r="108" spans="1:4">
      <c r="A108" s="9">
        <v>12295820</v>
      </c>
      <c r="B108" s="14">
        <f>INDEX('BIO WAHYU'!B:G,MATCH(BIO!A108,'BIO WAHYU'!B:B,0),6)</f>
        <v>0</v>
      </c>
      <c r="C108">
        <f>INDEX('BIO WAHYU'!B:F,MATCH(BIO!A108,'BIO WAHYU'!B:B,0),5)</f>
        <v>0</v>
      </c>
      <c r="D108" t="str">
        <f>INDEX(DATA!C:D,MATCH(BIO!A108,DATA!D:D,0),1)</f>
        <v>CGS CELL</v>
      </c>
    </row>
    <row r="109" spans="1:4">
      <c r="A109" s="9">
        <v>358231</v>
      </c>
      <c r="B109" s="14">
        <f>INDEX('BIO WAHYU'!B:G,MATCH(BIO!A109,'BIO WAHYU'!B:B,0),6)</f>
        <v>0</v>
      </c>
      <c r="C109">
        <f>INDEX('BIO WAHYU'!B:F,MATCH(BIO!A109,'BIO WAHYU'!B:B,0),5)</f>
        <v>1</v>
      </c>
      <c r="D109" t="str">
        <f>INDEX(DATA!C:D,MATCH(BIO!A109,DATA!D:D,0),1)</f>
        <v>Acox Link</v>
      </c>
    </row>
    <row r="110" spans="1:4">
      <c r="A110" s="9">
        <v>396176</v>
      </c>
      <c r="B110" s="14">
        <f>INDEX('BIO WAHYU'!B:G,MATCH(BIO!A110,'BIO WAHYU'!B:B,0),6)</f>
        <v>1</v>
      </c>
      <c r="C110">
        <f>INDEX('BIO WAHYU'!B:F,MATCH(BIO!A110,'BIO WAHYU'!B:B,0),5)</f>
        <v>0</v>
      </c>
      <c r="D110" t="str">
        <f>INDEX(DATA!C:D,MATCH(BIO!A110,DATA!D:D,0),1)</f>
        <v>zidan cell</v>
      </c>
    </row>
    <row r="111" spans="1:4">
      <c r="A111" s="9">
        <v>539088</v>
      </c>
      <c r="B111" s="14">
        <f>INDEX('BIO WAHYU'!B:G,MATCH(BIO!A111,'BIO WAHYU'!B:B,0),6)</f>
        <v>3</v>
      </c>
      <c r="C111">
        <f>INDEX('BIO WAHYU'!B:F,MATCH(BIO!A111,'BIO WAHYU'!B:B,0),5)</f>
        <v>0</v>
      </c>
      <c r="D111" t="str">
        <f>INDEX(DATA!C:D,MATCH(BIO!A111,DATA!D:D,0),1)</f>
        <v>Hikmah cell</v>
      </c>
    </row>
    <row r="112" spans="1:4">
      <c r="A112" s="9">
        <v>525590</v>
      </c>
      <c r="B112" s="14">
        <f>INDEX('BIO WAHYU'!B:G,MATCH(BIO!A112,'BIO WAHYU'!B:B,0),6)</f>
        <v>1</v>
      </c>
      <c r="C112">
        <f>INDEX('BIO WAHYU'!B:F,MATCH(BIO!A112,'BIO WAHYU'!B:B,0),5)</f>
        <v>2</v>
      </c>
      <c r="D112" t="str">
        <f>INDEX(DATA!C:D,MATCH(BIO!A112,DATA!D:D,0),1)</f>
        <v>mj cell</v>
      </c>
    </row>
    <row r="113" spans="1:4">
      <c r="A113" s="9">
        <v>368809</v>
      </c>
      <c r="B113" s="14">
        <f>INDEX('BIO WAHYU'!B:G,MATCH(BIO!A113,'BIO WAHYU'!B:B,0),6)</f>
        <v>1</v>
      </c>
      <c r="C113">
        <f>INDEX('BIO WAHYU'!B:F,MATCH(BIO!A113,'BIO WAHYU'!B:B,0),5)</f>
        <v>1</v>
      </c>
      <c r="D113" t="str">
        <f>INDEX(DATA!C:D,MATCH(BIO!A113,DATA!D:D,0),1)</f>
        <v>def cell</v>
      </c>
    </row>
    <row r="114" spans="1:4">
      <c r="A114" s="9">
        <v>199010</v>
      </c>
      <c r="B114" s="14">
        <f>INDEX('BIO WAHYU'!B:G,MATCH(BIO!A114,'BIO WAHYU'!B:B,0),6)</f>
        <v>1</v>
      </c>
      <c r="C114">
        <f>INDEX('BIO WAHYU'!B:F,MATCH(BIO!A114,'BIO WAHYU'!B:B,0),5)</f>
        <v>1</v>
      </c>
      <c r="D114" t="str">
        <f>INDEX(DATA!C:D,MATCH(BIO!A114,DATA!D:D,0),1)</f>
        <v>ayu cell</v>
      </c>
    </row>
    <row r="115" spans="1:4">
      <c r="A115" s="9">
        <v>519286</v>
      </c>
      <c r="B115" s="14">
        <f>INDEX('BIO WAHYU'!B:G,MATCH(BIO!A115,'BIO WAHYU'!B:B,0),6)</f>
        <v>1</v>
      </c>
      <c r="C115">
        <f>INDEX('BIO WAHYU'!B:F,MATCH(BIO!A115,'BIO WAHYU'!B:B,0),5)</f>
        <v>1</v>
      </c>
      <c r="D115" t="str">
        <f>INDEX(DATA!C:D,MATCH(BIO!A115,DATA!D:D,0),1)</f>
        <v>ja cell</v>
      </c>
    </row>
    <row r="116" spans="1:4">
      <c r="A116" s="9">
        <v>523194</v>
      </c>
      <c r="B116" s="14">
        <f>INDEX('BIO WAHYU'!B:G,MATCH(BIO!A116,'BIO WAHYU'!B:B,0),6)</f>
        <v>1</v>
      </c>
      <c r="C116">
        <f>INDEX('BIO WAHYU'!B:F,MATCH(BIO!A116,'BIO WAHYU'!B:B,0),5)</f>
        <v>2</v>
      </c>
      <c r="D116" t="str">
        <f>INDEX(DATA!C:D,MATCH(BIO!A116,DATA!D:D,0),1)</f>
        <v>jefik cell</v>
      </c>
    </row>
    <row r="117" spans="1:4">
      <c r="A117" s="9">
        <v>61690</v>
      </c>
      <c r="B117" s="14">
        <f>INDEX('BIO WAHYU'!B:G,MATCH(BIO!A117,'BIO WAHYU'!B:B,0),6)</f>
        <v>0</v>
      </c>
      <c r="C117">
        <f>INDEX('BIO WAHYU'!B:F,MATCH(BIO!A117,'BIO WAHYU'!B:B,0),5)</f>
        <v>1</v>
      </c>
      <c r="D117" t="str">
        <f>INDEX(DATA!C:D,MATCH(BIO!A117,DATA!D:D,0),1)</f>
        <v>ARYA CELL</v>
      </c>
    </row>
    <row r="118" spans="1:4">
      <c r="A118" s="9">
        <v>12312295</v>
      </c>
      <c r="B118" s="14">
        <f>INDEX('BIO WAHYU'!B:G,MATCH(BIO!A118,'BIO WAHYU'!B:B,0),6)</f>
        <v>1</v>
      </c>
      <c r="C118">
        <f>INDEX('BIO WAHYU'!B:F,MATCH(BIO!A118,'BIO WAHYU'!B:B,0),5)</f>
        <v>2</v>
      </c>
      <c r="D118" t="str">
        <f>INDEX(DATA!C:D,MATCH(BIO!A118,DATA!D:D,0),1)</f>
        <v>Dinda Celll</v>
      </c>
    </row>
    <row r="119" spans="1:4">
      <c r="A119" s="9">
        <v>12318079</v>
      </c>
      <c r="B119" s="14">
        <f>INDEX('BIO WAHYU'!B:G,MATCH(BIO!A119,'BIO WAHYU'!B:B,0),6)</f>
        <v>4</v>
      </c>
      <c r="C119">
        <f>INDEX('BIO WAHYU'!B:F,MATCH(BIO!A119,'BIO WAHYU'!B:B,0),5)</f>
        <v>1</v>
      </c>
      <c r="D119" t="str">
        <f>INDEX(DATA!C:D,MATCH(BIO!A119,DATA!D:D,0),1)</f>
        <v>BERRY CELL</v>
      </c>
    </row>
    <row r="120" spans="1:4">
      <c r="A120" s="9">
        <v>12321230</v>
      </c>
      <c r="B120" s="14">
        <f>INDEX('BIO WAHYU'!B:G,MATCH(BIO!A120,'BIO WAHYU'!B:B,0),6)</f>
        <v>3</v>
      </c>
      <c r="C120">
        <f>INDEX('BIO WAHYU'!B:F,MATCH(BIO!A120,'BIO WAHYU'!B:B,0),5)</f>
        <v>0</v>
      </c>
      <c r="D120" t="str">
        <f>INDEX(DATA!C:D,MATCH(BIO!A120,DATA!D:D,0),1)</f>
        <v>DAP CELL</v>
      </c>
    </row>
    <row r="121" spans="1:4">
      <c r="A121" s="9">
        <v>12301356</v>
      </c>
      <c r="B121" s="14">
        <f>INDEX('BIO WAHYU'!B:G,MATCH(BIO!A121,'BIO WAHYU'!B:B,0),6)</f>
        <v>5</v>
      </c>
      <c r="C121">
        <f>INDEX('BIO WAHYU'!B:F,MATCH(BIO!A121,'BIO WAHYU'!B:B,0),5)</f>
        <v>1</v>
      </c>
      <c r="D121" t="str">
        <f>INDEX(DATA!C:D,MATCH(BIO!A121,DATA!D:D,0),1)</f>
        <v>JESIKA CELL</v>
      </c>
    </row>
    <row r="122" spans="1:4">
      <c r="A122" s="9">
        <v>12295752</v>
      </c>
      <c r="B122" s="14">
        <f>INDEX('BIO WAHYU'!B:G,MATCH(BIO!A122,'BIO WAHYU'!B:B,0),6)</f>
        <v>1</v>
      </c>
      <c r="C122">
        <f>INDEX('BIO WAHYU'!B:F,MATCH(BIO!A122,'BIO WAHYU'!B:B,0),5)</f>
        <v>2</v>
      </c>
      <c r="D122" t="str">
        <f>INDEX(DATA!C:D,MATCH(BIO!A122,DATA!D:D,0),1)</f>
        <v>C2w cell</v>
      </c>
    </row>
    <row r="123" spans="1:4">
      <c r="A123" s="9">
        <v>12313881</v>
      </c>
      <c r="B123" s="14">
        <f>INDEX('BIO WAHYU'!B:G,MATCH(BIO!A123,'BIO WAHYU'!B:B,0),6)</f>
        <v>31</v>
      </c>
      <c r="C123">
        <f>INDEX('BIO WAHYU'!B:F,MATCH(BIO!A123,'BIO WAHYU'!B:B,0),5)</f>
        <v>1</v>
      </c>
      <c r="D123" t="str">
        <f>INDEX(DATA!C:D,MATCH(BIO!A123,DATA!D:D,0),1)</f>
        <v>Niks cell</v>
      </c>
    </row>
    <row r="124" spans="1:4">
      <c r="A124" s="9">
        <v>12302808</v>
      </c>
      <c r="B124" s="14">
        <f>INDEX('BIO WAHYU'!B:G,MATCH(BIO!A124,'BIO WAHYU'!B:B,0),6)</f>
        <v>0</v>
      </c>
      <c r="C124">
        <f>INDEX('BIO WAHYU'!B:F,MATCH(BIO!A124,'BIO WAHYU'!B:B,0),5)</f>
        <v>0</v>
      </c>
      <c r="D124" t="str">
        <f>INDEX(DATA!C:D,MATCH(BIO!A124,DATA!D:D,0),1)</f>
        <v>RIO CELL</v>
      </c>
    </row>
    <row r="125" spans="1:4">
      <c r="A125" s="9">
        <v>12334637</v>
      </c>
      <c r="B125" s="14">
        <f>INDEX('BIO WAHYU'!B:G,MATCH(BIO!A125,'BIO WAHYU'!B:B,0),6)</f>
        <v>3</v>
      </c>
      <c r="C125">
        <f>INDEX('BIO WAHYU'!B:F,MATCH(BIO!A125,'BIO WAHYU'!B:B,0),5)</f>
        <v>1</v>
      </c>
      <c r="D125" t="str">
        <f>INDEX(DATA!C:D,MATCH(BIO!A125,DATA!D:D,0),1)</f>
        <v>Fred cell</v>
      </c>
    </row>
    <row r="126" spans="1:4">
      <c r="A126" s="9">
        <v>471389</v>
      </c>
      <c r="B126" s="14">
        <f>INDEX('BIO WAHYU'!B:G,MATCH(BIO!A126,'BIO WAHYU'!B:B,0),6)</f>
        <v>2</v>
      </c>
      <c r="C126">
        <f>INDEX('BIO WAHYU'!B:F,MATCH(BIO!A126,'BIO WAHYU'!B:B,0),5)</f>
        <v>1</v>
      </c>
      <c r="D126" t="str">
        <f>INDEX(DATA!C:D,MATCH(BIO!A126,DATA!D:D,0),1)</f>
        <v>Jihan Cell</v>
      </c>
    </row>
    <row r="127" spans="1:4">
      <c r="A127" s="9">
        <v>529249</v>
      </c>
      <c r="B127" s="14">
        <f>INDEX('BIO WAHYU'!B:G,MATCH(BIO!A127,'BIO WAHYU'!B:B,0),6)</f>
        <v>1</v>
      </c>
      <c r="C127">
        <f>INDEX('BIO WAHYU'!B:F,MATCH(BIO!A127,'BIO WAHYU'!B:B,0),5)</f>
        <v>1</v>
      </c>
      <c r="D127" t="str">
        <f>INDEX(DATA!C:D,MATCH(BIO!A127,DATA!D:D,0),1)</f>
        <v>Alchris Cell</v>
      </c>
    </row>
    <row r="128" spans="1:4">
      <c r="A128" s="9">
        <v>366702</v>
      </c>
      <c r="B128" s="14">
        <f>INDEX('BIO WAHYU'!B:G,MATCH(BIO!A128,'BIO WAHYU'!B:B,0),6)</f>
        <v>1</v>
      </c>
      <c r="C128">
        <f>INDEX('BIO WAHYU'!B:F,MATCH(BIO!A128,'BIO WAHYU'!B:B,0),5)</f>
        <v>1</v>
      </c>
      <c r="D128" t="str">
        <f>INDEX(DATA!C:D,MATCH(BIO!A128,DATA!D:D,0),1)</f>
        <v>DZIKRA CELL</v>
      </c>
    </row>
    <row r="129" spans="1:4">
      <c r="A129" s="9">
        <v>514589</v>
      </c>
      <c r="B129" s="14">
        <f>INDEX('BIO WAHYU'!B:G,MATCH(BIO!A129,'BIO WAHYU'!B:B,0),6)</f>
        <v>2</v>
      </c>
      <c r="C129">
        <f>INDEX('BIO WAHYU'!B:F,MATCH(BIO!A129,'BIO WAHYU'!B:B,0),5)</f>
        <v>1</v>
      </c>
      <c r="D129" t="str">
        <f>INDEX(DATA!C:D,MATCH(BIO!A129,DATA!D:D,0),1)</f>
        <v>kios honey cell</v>
      </c>
    </row>
    <row r="130" spans="1:4">
      <c r="A130" s="9">
        <v>401031</v>
      </c>
      <c r="B130" s="14">
        <f>INDEX('BIO WAHYU'!B:G,MATCH(BIO!A130,'BIO WAHYU'!B:B,0),6)</f>
        <v>1</v>
      </c>
      <c r="C130">
        <f>INDEX('BIO WAHYU'!B:F,MATCH(BIO!A130,'BIO WAHYU'!B:B,0),5)</f>
        <v>0</v>
      </c>
      <c r="D130" t="str">
        <f>INDEX(DATA!C:D,MATCH(BIO!A130,DATA!D:D,0),1)</f>
        <v>HAWE Cell</v>
      </c>
    </row>
    <row r="131" spans="1:4">
      <c r="A131" s="9">
        <v>562953</v>
      </c>
      <c r="B131" s="14">
        <f>INDEX('BIO WAHYU'!B:G,MATCH(BIO!A131,'BIO WAHYU'!B:B,0),6)</f>
        <v>1</v>
      </c>
      <c r="C131">
        <f>INDEX('BIO WAHYU'!B:F,MATCH(BIO!A131,'BIO WAHYU'!B:B,0),5)</f>
        <v>0</v>
      </c>
      <c r="D131" t="str">
        <f>INDEX(DATA!C:D,MATCH(BIO!A131,DATA!D:D,0),1)</f>
        <v>Prisilia Cell</v>
      </c>
    </row>
    <row r="132" spans="1:4">
      <c r="A132" s="9">
        <v>529090</v>
      </c>
      <c r="B132" s="14">
        <f>INDEX('BIO WAHYU'!B:G,MATCH(BIO!A132,'BIO WAHYU'!B:B,0),6)</f>
        <v>1</v>
      </c>
      <c r="C132">
        <f>INDEX('BIO WAHYU'!B:F,MATCH(BIO!A132,'BIO WAHYU'!B:B,0),5)</f>
        <v>0</v>
      </c>
      <c r="D132" t="str">
        <f>INDEX(DATA!C:D,MATCH(BIO!A132,DATA!D:D,0),1)</f>
        <v>ZANNA CELL</v>
      </c>
    </row>
    <row r="133" spans="1:4">
      <c r="A133" s="9">
        <v>345691</v>
      </c>
      <c r="B133" s="14">
        <f>INDEX('BIO WAHYU'!B:G,MATCH(BIO!A133,'BIO WAHYU'!B:B,0),6)</f>
        <v>1</v>
      </c>
      <c r="C133">
        <f>INDEX('BIO WAHYU'!B:F,MATCH(BIO!A133,'BIO WAHYU'!B:B,0),5)</f>
        <v>2</v>
      </c>
      <c r="D133" t="str">
        <f>INDEX(DATA!C:D,MATCH(BIO!A133,DATA!D:D,0),1)</f>
        <v>DINA CELL</v>
      </c>
    </row>
    <row r="134" spans="1:4">
      <c r="A134" s="9">
        <v>347538</v>
      </c>
      <c r="B134" s="14">
        <f>INDEX('BIO WAHYU'!B:G,MATCH(BIO!A134,'BIO WAHYU'!B:B,0),6)</f>
        <v>2</v>
      </c>
      <c r="C134">
        <f>INDEX('BIO WAHYU'!B:F,MATCH(BIO!A134,'BIO WAHYU'!B:B,0),5)</f>
        <v>1</v>
      </c>
      <c r="D134" t="str">
        <f>INDEX(DATA!C:D,MATCH(BIO!A134,DATA!D:D,0),1)</f>
        <v>Kios Mba Rati</v>
      </c>
    </row>
    <row r="135" spans="1:4">
      <c r="A135" s="9">
        <v>301600</v>
      </c>
      <c r="B135" s="14">
        <f>INDEX('BIO WAHYU'!B:G,MATCH(BIO!A135,'BIO WAHYU'!B:B,0),6)</f>
        <v>2</v>
      </c>
      <c r="C135">
        <f>INDEX('BIO WAHYU'!B:F,MATCH(BIO!A135,'BIO WAHYU'!B:B,0),5)</f>
        <v>1</v>
      </c>
      <c r="D135" t="str">
        <f>INDEX(DATA!C:D,MATCH(BIO!A135,DATA!D:D,0),1)</f>
        <v>Queen CELL</v>
      </c>
    </row>
    <row r="136" spans="1:4">
      <c r="A136" s="9">
        <v>563095</v>
      </c>
      <c r="B136" s="14">
        <f>INDEX('BIO WAHYU'!B:G,MATCH(BIO!A136,'BIO WAHYU'!B:B,0),6)</f>
        <v>0</v>
      </c>
      <c r="C136">
        <f>INDEX('BIO WAHYU'!B:F,MATCH(BIO!A136,'BIO WAHYU'!B:B,0),5)</f>
        <v>2</v>
      </c>
      <c r="D136" t="str">
        <f>INDEX(DATA!C:D,MATCH(BIO!A136,DATA!D:D,0),1)</f>
        <v>Crisilia Cell</v>
      </c>
    </row>
    <row r="137" spans="1:4">
      <c r="A137" s="9">
        <v>480658</v>
      </c>
      <c r="B137" s="14">
        <f>INDEX('BIO WAHYU'!B:G,MATCH(BIO!A137,'BIO WAHYU'!B:B,0),6)</f>
        <v>5</v>
      </c>
      <c r="C137">
        <f>INDEX('BIO WAHYU'!B:F,MATCH(BIO!A137,'BIO WAHYU'!B:B,0),5)</f>
        <v>1</v>
      </c>
      <c r="D137" t="str">
        <f>INDEX(DATA!C:D,MATCH(BIO!A137,DATA!D:D,0),1)</f>
        <v>marques cell</v>
      </c>
    </row>
    <row r="138" spans="1:4">
      <c r="A138" s="9">
        <v>543720</v>
      </c>
      <c r="B138" s="14">
        <f>INDEX('BIO WAHYU'!B:G,MATCH(BIO!A138,'BIO WAHYU'!B:B,0),6)</f>
        <v>3</v>
      </c>
      <c r="C138">
        <f>INDEX('BIO WAHYU'!B:F,MATCH(BIO!A138,'BIO WAHYU'!B:B,0),5)</f>
        <v>1</v>
      </c>
      <c r="D138" t="str">
        <f>INDEX(DATA!C:D,MATCH(BIO!A138,DATA!D:D,0),1)</f>
        <v>Sweet Cell</v>
      </c>
    </row>
    <row r="139" spans="1:4">
      <c r="A139" s="9">
        <v>352167</v>
      </c>
      <c r="B139" s="14">
        <f>INDEX('BIO WAHYU'!B:G,MATCH(BIO!A139,'BIO WAHYU'!B:B,0),6)</f>
        <v>1</v>
      </c>
      <c r="C139">
        <f>INDEX('BIO WAHYU'!B:F,MATCH(BIO!A139,'BIO WAHYU'!B:B,0),5)</f>
        <v>0</v>
      </c>
      <c r="D139" t="str">
        <f>INDEX(DATA!C:D,MATCH(BIO!A139,DATA!D:D,0),1)</f>
        <v>w3 cell</v>
      </c>
    </row>
    <row r="140" spans="1:4">
      <c r="A140" s="9">
        <v>526916</v>
      </c>
      <c r="B140" s="14">
        <f>INDEX('BIO WAHYU'!B:G,MATCH(BIO!A140,'BIO WAHYU'!B:B,0),6)</f>
        <v>3</v>
      </c>
      <c r="C140">
        <f>INDEX('BIO WAHYU'!B:F,MATCH(BIO!A140,'BIO WAHYU'!B:B,0),5)</f>
        <v>2</v>
      </c>
      <c r="D140" t="str">
        <f>INDEX(DATA!C:D,MATCH(BIO!A140,DATA!D:D,0),1)</f>
        <v>FR3S Cell</v>
      </c>
    </row>
    <row r="141" spans="1:4">
      <c r="A141" s="9">
        <v>491288</v>
      </c>
      <c r="B141" s="14">
        <f>INDEX('BIO WAHYU'!B:G,MATCH(BIO!A141,'BIO WAHYU'!B:B,0),6)</f>
        <v>0</v>
      </c>
      <c r="C141">
        <f>INDEX('BIO WAHYU'!B:F,MATCH(BIO!A141,'BIO WAHYU'!B:B,0),5)</f>
        <v>1</v>
      </c>
      <c r="D141" t="str">
        <f>INDEX(DATA!C:D,MATCH(BIO!A141,DATA!D:D,0),1)</f>
        <v>The The Cell</v>
      </c>
    </row>
    <row r="142" spans="1:4">
      <c r="A142" s="9">
        <v>501141</v>
      </c>
      <c r="B142" s="14">
        <f>INDEX('BIO WAHYU'!B:G,MATCH(BIO!A142,'BIO WAHYU'!B:B,0),6)</f>
        <v>0</v>
      </c>
      <c r="C142">
        <f>INDEX('BIO WAHYU'!B:F,MATCH(BIO!A142,'BIO WAHYU'!B:B,0),5)</f>
        <v>1</v>
      </c>
      <c r="D142" t="str">
        <f>INDEX(DATA!C:D,MATCH(BIO!A142,DATA!D:D,0),1)</f>
        <v>Djeiske cell</v>
      </c>
    </row>
    <row r="143" spans="1:4">
      <c r="A143" s="9">
        <v>240084</v>
      </c>
      <c r="B143" s="14">
        <f>INDEX('BIO WAHYU'!B:G,MATCH(BIO!A143,'BIO WAHYU'!B:B,0),6)</f>
        <v>3</v>
      </c>
      <c r="C143">
        <f>INDEX('BIO WAHYU'!B:F,MATCH(BIO!A143,'BIO WAHYU'!B:B,0),5)</f>
        <v>0</v>
      </c>
      <c r="D143" t="str">
        <f>INDEX(DATA!C:D,MATCH(BIO!A143,DATA!D:D,0),1)</f>
        <v>Monalisa Cell</v>
      </c>
    </row>
    <row r="144" spans="1:4">
      <c r="A144" s="9">
        <v>12324647</v>
      </c>
      <c r="B144" s="14">
        <f>INDEX('BIO WAHYU'!B:G,MATCH(BIO!A144,'BIO WAHYU'!B:B,0),6)</f>
        <v>0</v>
      </c>
      <c r="C144">
        <f>INDEX('BIO WAHYU'!B:F,MATCH(BIO!A144,'BIO WAHYU'!B:B,0),5)</f>
        <v>0</v>
      </c>
      <c r="D144" t="str">
        <f>INDEX(DATA!C:D,MATCH(BIO!A144,DATA!D:D,0),1)</f>
        <v>Zaini Cell</v>
      </c>
    </row>
    <row r="145" spans="1:4">
      <c r="A145" s="9">
        <v>503633</v>
      </c>
      <c r="B145" s="14">
        <f>INDEX('BIO WAHYU'!B:G,MATCH(BIO!A145,'BIO WAHYU'!B:B,0),6)</f>
        <v>0</v>
      </c>
      <c r="C145">
        <f>INDEX('BIO WAHYU'!B:F,MATCH(BIO!A145,'BIO WAHYU'!B:B,0),5)</f>
        <v>1</v>
      </c>
      <c r="D145" t="str">
        <f>INDEX(DATA!C:D,MATCH(BIO!A145,DATA!D:D,0),1)</f>
        <v>Kuffy Cell</v>
      </c>
    </row>
    <row r="146" spans="1:4">
      <c r="A146" s="9">
        <v>12322430</v>
      </c>
      <c r="B146" s="14">
        <f>INDEX('BIO WAHYU'!B:G,MATCH(BIO!A146,'BIO WAHYU'!B:B,0),6)</f>
        <v>0</v>
      </c>
      <c r="C146">
        <f>INDEX('BIO WAHYU'!B:F,MATCH(BIO!A146,'BIO WAHYU'!B:B,0),5)</f>
        <v>0</v>
      </c>
      <c r="D146" t="str">
        <f>INDEX(DATA!C:D,MATCH(BIO!A146,DATA!D:D,0),1)</f>
        <v>Mandiri jaya cell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E5235-A8E0-42AF-8D8D-5D5BD306AC0F}">
  <sheetPr codeName="Sheet4"/>
  <dimension ref="A1:D147"/>
  <sheetViews>
    <sheetView workbookViewId="0">
      <selection activeCell="C1" sqref="C1"/>
    </sheetView>
  </sheetViews>
  <sheetFormatPr defaultRowHeight="15"/>
  <cols>
    <col min="1" max="1" width="27.28515625" bestFit="1" customWidth="1"/>
    <col min="2" max="2" width="19.28515625" bestFit="1" customWidth="1"/>
    <col min="3" max="3" width="12.85546875" bestFit="1" customWidth="1"/>
    <col min="4" max="4" width="11.140625" bestFit="1" customWidth="1"/>
  </cols>
  <sheetData>
    <row r="1" spans="1:4">
      <c r="A1" s="30" t="s">
        <v>6</v>
      </c>
      <c r="B1" s="31" t="s">
        <v>7</v>
      </c>
      <c r="C1" s="5" t="s">
        <v>161</v>
      </c>
      <c r="D1" s="6" t="s">
        <v>162</v>
      </c>
    </row>
    <row r="2" spans="1:4">
      <c r="A2" s="1" t="s">
        <v>9</v>
      </c>
      <c r="B2" s="23">
        <v>10466</v>
      </c>
      <c r="C2" s="2">
        <v>5</v>
      </c>
      <c r="D2" s="3">
        <v>2265000</v>
      </c>
    </row>
    <row r="3" spans="1:4">
      <c r="A3" s="1" t="s">
        <v>11</v>
      </c>
      <c r="B3" s="23">
        <v>12295592</v>
      </c>
      <c r="C3" s="2">
        <v>11</v>
      </c>
      <c r="D3" s="3">
        <v>3106000</v>
      </c>
    </row>
    <row r="4" spans="1:4">
      <c r="A4" s="1" t="s">
        <v>12</v>
      </c>
      <c r="B4" s="23">
        <v>12295626</v>
      </c>
      <c r="C4" s="2">
        <v>0</v>
      </c>
      <c r="D4" s="4">
        <v>1000</v>
      </c>
    </row>
    <row r="5" spans="1:4">
      <c r="A5" s="1" t="s">
        <v>13</v>
      </c>
      <c r="B5" s="23">
        <v>12295724</v>
      </c>
      <c r="C5" s="2">
        <v>3</v>
      </c>
      <c r="D5" s="4">
        <v>50000</v>
      </c>
    </row>
    <row r="6" spans="1:4">
      <c r="A6" s="1" t="s">
        <v>14</v>
      </c>
      <c r="B6" s="23">
        <v>12295752</v>
      </c>
      <c r="C6" s="2">
        <v>3</v>
      </c>
      <c r="D6" s="3">
        <v>369000</v>
      </c>
    </row>
    <row r="7" spans="1:4">
      <c r="A7" s="1" t="s">
        <v>16</v>
      </c>
      <c r="B7" s="23">
        <v>12295820</v>
      </c>
      <c r="C7" s="2">
        <v>0</v>
      </c>
      <c r="D7" s="3">
        <v>4000000</v>
      </c>
    </row>
    <row r="8" spans="1:4">
      <c r="A8" s="1" t="s">
        <v>17</v>
      </c>
      <c r="B8" s="23">
        <v>12295826</v>
      </c>
      <c r="C8" s="2">
        <v>3</v>
      </c>
      <c r="D8" s="4">
        <v>1000</v>
      </c>
    </row>
    <row r="9" spans="1:4">
      <c r="A9" s="1" t="s">
        <v>18</v>
      </c>
      <c r="B9" s="23">
        <v>12295833</v>
      </c>
      <c r="C9" s="2">
        <v>3</v>
      </c>
      <c r="D9" s="4">
        <v>1000</v>
      </c>
    </row>
    <row r="10" spans="1:4">
      <c r="A10" s="1" t="s">
        <v>19</v>
      </c>
      <c r="B10" s="23">
        <v>12301356</v>
      </c>
      <c r="C10" s="2">
        <v>11</v>
      </c>
      <c r="D10" s="3">
        <v>2113700</v>
      </c>
    </row>
    <row r="11" spans="1:4">
      <c r="A11" s="1" t="s">
        <v>20</v>
      </c>
      <c r="B11" s="23">
        <v>12323218</v>
      </c>
      <c r="C11" s="2">
        <v>14</v>
      </c>
      <c r="D11" s="3">
        <v>1979000</v>
      </c>
    </row>
    <row r="12" spans="1:4">
      <c r="A12" s="1" t="s">
        <v>21</v>
      </c>
      <c r="B12" s="23">
        <v>12324647</v>
      </c>
      <c r="C12" s="2">
        <v>3</v>
      </c>
      <c r="D12" s="4">
        <v>1000</v>
      </c>
    </row>
    <row r="13" spans="1:4">
      <c r="A13" s="1" t="s">
        <v>22</v>
      </c>
      <c r="B13" s="23">
        <v>12326118</v>
      </c>
      <c r="C13" s="2">
        <v>16</v>
      </c>
      <c r="D13" s="3">
        <v>8143300</v>
      </c>
    </row>
    <row r="14" spans="1:4">
      <c r="A14" s="1" t="s">
        <v>23</v>
      </c>
      <c r="B14" s="23">
        <v>12326313</v>
      </c>
      <c r="C14" s="2">
        <v>32</v>
      </c>
      <c r="D14" s="3">
        <v>8481200</v>
      </c>
    </row>
    <row r="15" spans="1:4">
      <c r="A15" s="1" t="s">
        <v>24</v>
      </c>
      <c r="B15" s="23">
        <v>12326533</v>
      </c>
      <c r="C15" s="2">
        <v>4</v>
      </c>
      <c r="D15" s="4">
        <v>200000</v>
      </c>
    </row>
    <row r="16" spans="1:4">
      <c r="A16" s="1" t="s">
        <v>25</v>
      </c>
      <c r="B16" s="23">
        <v>12326920</v>
      </c>
      <c r="C16" s="2">
        <v>5</v>
      </c>
      <c r="D16" s="3">
        <v>22123000</v>
      </c>
    </row>
    <row r="17" spans="1:4">
      <c r="A17" s="1" t="s">
        <v>26</v>
      </c>
      <c r="B17" s="23">
        <v>1661</v>
      </c>
      <c r="C17" s="2">
        <v>6</v>
      </c>
      <c r="D17" s="4">
        <v>1000</v>
      </c>
    </row>
    <row r="18" spans="1:4">
      <c r="A18" s="1" t="s">
        <v>27</v>
      </c>
      <c r="B18" s="23">
        <v>213944</v>
      </c>
      <c r="C18" s="2">
        <v>3</v>
      </c>
      <c r="D18" s="3">
        <v>2200000</v>
      </c>
    </row>
    <row r="19" spans="1:4">
      <c r="A19" s="1" t="s">
        <v>28</v>
      </c>
      <c r="B19" s="23">
        <v>240048</v>
      </c>
      <c r="C19" s="2">
        <v>15</v>
      </c>
      <c r="D19" s="3">
        <v>400000</v>
      </c>
    </row>
    <row r="20" spans="1:4">
      <c r="A20" s="1" t="s">
        <v>30</v>
      </c>
      <c r="B20" s="23">
        <v>287403</v>
      </c>
      <c r="C20" s="2">
        <v>4</v>
      </c>
      <c r="D20" s="3">
        <v>2616600</v>
      </c>
    </row>
    <row r="21" spans="1:4">
      <c r="A21" s="1" t="s">
        <v>31</v>
      </c>
      <c r="B21" s="23">
        <v>287622</v>
      </c>
      <c r="C21" s="2">
        <v>5</v>
      </c>
      <c r="D21" s="3">
        <v>2117000</v>
      </c>
    </row>
    <row r="22" spans="1:4">
      <c r="A22" s="1" t="s">
        <v>32</v>
      </c>
      <c r="B22" s="23">
        <v>301600</v>
      </c>
      <c r="C22" s="2">
        <v>0</v>
      </c>
      <c r="D22" s="3">
        <v>3762500</v>
      </c>
    </row>
    <row r="23" spans="1:4">
      <c r="A23" s="1" t="s">
        <v>33</v>
      </c>
      <c r="B23" s="23">
        <v>347538</v>
      </c>
      <c r="C23" s="2">
        <v>0</v>
      </c>
      <c r="D23" s="3">
        <v>966000</v>
      </c>
    </row>
    <row r="24" spans="1:4">
      <c r="A24" s="1" t="s">
        <v>34</v>
      </c>
      <c r="B24" s="23">
        <v>358231</v>
      </c>
      <c r="C24" s="2">
        <v>3</v>
      </c>
      <c r="D24" s="3">
        <v>3500000</v>
      </c>
    </row>
    <row r="25" spans="1:4">
      <c r="A25" s="1" t="s">
        <v>35</v>
      </c>
      <c r="B25" s="23">
        <v>368809</v>
      </c>
      <c r="C25" s="2">
        <v>0</v>
      </c>
      <c r="D25" s="3">
        <v>1615000</v>
      </c>
    </row>
    <row r="26" spans="1:4">
      <c r="A26" s="1" t="s">
        <v>36</v>
      </c>
      <c r="B26" s="23">
        <v>385575</v>
      </c>
      <c r="C26" s="2">
        <v>0</v>
      </c>
      <c r="D26" s="4">
        <v>1000</v>
      </c>
    </row>
    <row r="27" spans="1:4">
      <c r="A27" s="1" t="s">
        <v>37</v>
      </c>
      <c r="B27" s="23">
        <v>408290</v>
      </c>
      <c r="C27" s="2">
        <v>3</v>
      </c>
      <c r="D27" s="3">
        <v>7000000</v>
      </c>
    </row>
    <row r="28" spans="1:4">
      <c r="A28" s="1" t="s">
        <v>38</v>
      </c>
      <c r="B28" s="23">
        <v>416191</v>
      </c>
      <c r="C28" s="2">
        <v>3</v>
      </c>
      <c r="D28" s="3">
        <v>513200</v>
      </c>
    </row>
    <row r="29" spans="1:4">
      <c r="A29" s="1" t="s">
        <v>39</v>
      </c>
      <c r="B29" s="23">
        <v>484741</v>
      </c>
      <c r="C29" s="2">
        <v>0</v>
      </c>
      <c r="D29" s="3">
        <v>2000000</v>
      </c>
    </row>
    <row r="30" spans="1:4">
      <c r="A30" s="1" t="s">
        <v>40</v>
      </c>
      <c r="B30" s="23">
        <v>486638</v>
      </c>
      <c r="C30" s="2">
        <v>0</v>
      </c>
      <c r="D30" s="3">
        <v>3400000</v>
      </c>
    </row>
    <row r="31" spans="1:4">
      <c r="A31" s="1" t="s">
        <v>41</v>
      </c>
      <c r="B31" s="23">
        <v>491288</v>
      </c>
      <c r="C31" s="2">
        <v>2</v>
      </c>
      <c r="D31" s="3">
        <v>470500</v>
      </c>
    </row>
    <row r="32" spans="1:4">
      <c r="A32" s="1" t="s">
        <v>42</v>
      </c>
      <c r="B32" s="23">
        <v>501643</v>
      </c>
      <c r="C32" s="2">
        <v>3</v>
      </c>
      <c r="D32" s="3">
        <v>9600000</v>
      </c>
    </row>
    <row r="33" spans="1:4">
      <c r="A33" s="1" t="s">
        <v>43</v>
      </c>
      <c r="B33" s="23">
        <v>519286</v>
      </c>
      <c r="C33" s="2">
        <v>3</v>
      </c>
      <c r="D33" s="3">
        <v>1009000</v>
      </c>
    </row>
    <row r="34" spans="1:4">
      <c r="A34" s="1" t="s">
        <v>44</v>
      </c>
      <c r="B34" s="23">
        <v>522623</v>
      </c>
      <c r="C34" s="2">
        <v>13</v>
      </c>
      <c r="D34" s="3">
        <v>1414000</v>
      </c>
    </row>
    <row r="35" spans="1:4">
      <c r="A35" s="1" t="s">
        <v>45</v>
      </c>
      <c r="B35" s="23">
        <v>523194</v>
      </c>
      <c r="C35" s="2">
        <v>1</v>
      </c>
      <c r="D35" s="4">
        <v>200000</v>
      </c>
    </row>
    <row r="36" spans="1:4">
      <c r="A36" s="1" t="s">
        <v>46</v>
      </c>
      <c r="B36" s="23">
        <v>523935</v>
      </c>
      <c r="C36" s="2">
        <v>0</v>
      </c>
      <c r="D36" s="3">
        <v>4250000</v>
      </c>
    </row>
    <row r="37" spans="1:4">
      <c r="A37" s="1" t="s">
        <v>47</v>
      </c>
      <c r="B37" s="23">
        <v>523938</v>
      </c>
      <c r="C37" s="2">
        <v>0</v>
      </c>
      <c r="D37" s="4">
        <v>220500</v>
      </c>
    </row>
    <row r="38" spans="1:4">
      <c r="A38" s="1" t="s">
        <v>48</v>
      </c>
      <c r="B38" s="23">
        <v>524281</v>
      </c>
      <c r="C38" s="2">
        <v>0</v>
      </c>
      <c r="D38" s="3">
        <v>300000</v>
      </c>
    </row>
    <row r="39" spans="1:4">
      <c r="A39" s="1" t="s">
        <v>49</v>
      </c>
      <c r="B39" s="23">
        <v>524283</v>
      </c>
      <c r="C39" s="2">
        <v>0</v>
      </c>
      <c r="D39" s="4">
        <v>141000</v>
      </c>
    </row>
    <row r="40" spans="1:4">
      <c r="A40" s="1" t="s">
        <v>50</v>
      </c>
      <c r="B40" s="23">
        <v>525590</v>
      </c>
      <c r="C40" s="2">
        <v>4</v>
      </c>
      <c r="D40" s="3">
        <v>9369000</v>
      </c>
    </row>
    <row r="41" spans="1:4">
      <c r="A41" s="1" t="s">
        <v>51</v>
      </c>
      <c r="B41" s="23">
        <v>530058</v>
      </c>
      <c r="C41" s="2">
        <v>0</v>
      </c>
      <c r="D41" s="3">
        <v>2300000</v>
      </c>
    </row>
    <row r="42" spans="1:4">
      <c r="A42" s="1" t="s">
        <v>52</v>
      </c>
      <c r="B42" s="23">
        <v>535790</v>
      </c>
      <c r="C42" s="2">
        <v>3</v>
      </c>
      <c r="D42" s="3">
        <v>2300000</v>
      </c>
    </row>
    <row r="43" spans="1:4">
      <c r="A43" s="1" t="s">
        <v>53</v>
      </c>
      <c r="B43" s="23">
        <v>542823</v>
      </c>
      <c r="C43" s="2">
        <v>6</v>
      </c>
      <c r="D43" s="3">
        <v>700000</v>
      </c>
    </row>
    <row r="44" spans="1:4">
      <c r="A44" s="1" t="s">
        <v>54</v>
      </c>
      <c r="B44" s="23">
        <v>549259</v>
      </c>
      <c r="C44" s="2">
        <v>0</v>
      </c>
      <c r="D44" s="4">
        <v>1000</v>
      </c>
    </row>
    <row r="45" spans="1:4">
      <c r="A45" s="1" t="s">
        <v>55</v>
      </c>
      <c r="B45" s="23">
        <v>571174</v>
      </c>
      <c r="C45" s="2">
        <v>3</v>
      </c>
      <c r="D45" s="3">
        <v>610500</v>
      </c>
    </row>
    <row r="46" spans="1:4">
      <c r="A46" s="1" t="s">
        <v>56</v>
      </c>
      <c r="B46" s="23">
        <v>62086</v>
      </c>
      <c r="C46" s="2">
        <v>3</v>
      </c>
      <c r="D46" s="4">
        <v>100000</v>
      </c>
    </row>
    <row r="47" spans="1:4">
      <c r="A47" s="1" t="s">
        <v>57</v>
      </c>
      <c r="B47" s="23">
        <v>63887</v>
      </c>
      <c r="C47" s="2">
        <v>0</v>
      </c>
      <c r="D47" s="3">
        <v>500000</v>
      </c>
    </row>
    <row r="48" spans="1:4">
      <c r="A48" s="1" t="s">
        <v>58</v>
      </c>
      <c r="B48" s="23">
        <v>116871</v>
      </c>
      <c r="C48" s="2">
        <v>57</v>
      </c>
      <c r="D48" s="3">
        <v>30058000</v>
      </c>
    </row>
    <row r="49" spans="1:4">
      <c r="A49" s="1" t="s">
        <v>59</v>
      </c>
      <c r="B49" s="23">
        <v>12295542</v>
      </c>
      <c r="C49" s="2">
        <v>12</v>
      </c>
      <c r="D49" s="3">
        <v>7860000</v>
      </c>
    </row>
    <row r="50" spans="1:4">
      <c r="A50" s="1" t="s">
        <v>60</v>
      </c>
      <c r="B50" s="23">
        <v>12295717</v>
      </c>
      <c r="C50" s="2">
        <v>3</v>
      </c>
      <c r="D50" s="4">
        <v>50000</v>
      </c>
    </row>
    <row r="51" spans="1:4">
      <c r="A51" s="1" t="s">
        <v>61</v>
      </c>
      <c r="B51" s="23">
        <v>12295887</v>
      </c>
      <c r="C51" s="2">
        <v>4</v>
      </c>
      <c r="D51" s="3">
        <v>2122000</v>
      </c>
    </row>
    <row r="52" spans="1:4">
      <c r="A52" s="1" t="s">
        <v>62</v>
      </c>
      <c r="B52" s="23">
        <v>12312295</v>
      </c>
      <c r="C52" s="2">
        <v>4</v>
      </c>
      <c r="D52" s="2">
        <v>0</v>
      </c>
    </row>
    <row r="53" spans="1:4">
      <c r="A53" s="1" t="s">
        <v>63</v>
      </c>
      <c r="B53" s="23">
        <v>12322237</v>
      </c>
      <c r="C53" s="2">
        <v>0</v>
      </c>
      <c r="D53" s="2">
        <v>0</v>
      </c>
    </row>
    <row r="54" spans="1:4">
      <c r="A54" s="1" t="s">
        <v>64</v>
      </c>
      <c r="B54" s="23">
        <v>12322483</v>
      </c>
      <c r="C54" s="2">
        <v>5</v>
      </c>
      <c r="D54" s="4">
        <v>1000</v>
      </c>
    </row>
    <row r="55" spans="1:4">
      <c r="A55" s="1" t="s">
        <v>65</v>
      </c>
      <c r="B55" s="23">
        <v>12323463</v>
      </c>
      <c r="C55" s="2">
        <v>39</v>
      </c>
      <c r="D55" s="3">
        <v>4340000</v>
      </c>
    </row>
    <row r="56" spans="1:4">
      <c r="A56" s="1" t="s">
        <v>66</v>
      </c>
      <c r="B56" s="23">
        <v>12325263</v>
      </c>
      <c r="C56" s="2">
        <v>6</v>
      </c>
      <c r="D56" s="4">
        <v>7000</v>
      </c>
    </row>
    <row r="57" spans="1:4">
      <c r="A57" s="1" t="s">
        <v>67</v>
      </c>
      <c r="B57" s="23">
        <v>126951</v>
      </c>
      <c r="C57" s="2">
        <v>0</v>
      </c>
      <c r="D57" s="3">
        <v>3000000</v>
      </c>
    </row>
    <row r="58" spans="1:4">
      <c r="A58" s="1" t="s">
        <v>68</v>
      </c>
      <c r="B58" s="23">
        <v>126952</v>
      </c>
      <c r="C58" s="2">
        <v>6</v>
      </c>
      <c r="D58" s="4">
        <v>86000</v>
      </c>
    </row>
    <row r="59" spans="1:4">
      <c r="A59" s="1" t="s">
        <v>69</v>
      </c>
      <c r="B59" s="23">
        <v>195514</v>
      </c>
      <c r="C59" s="2">
        <v>3</v>
      </c>
      <c r="D59" s="4">
        <v>50000</v>
      </c>
    </row>
    <row r="60" spans="1:4">
      <c r="A60" s="1" t="s">
        <v>70</v>
      </c>
      <c r="B60" s="23">
        <v>199007</v>
      </c>
      <c r="C60" s="2">
        <v>6</v>
      </c>
      <c r="D60" s="2">
        <v>0</v>
      </c>
    </row>
    <row r="61" spans="1:4">
      <c r="A61" s="1" t="s">
        <v>71</v>
      </c>
      <c r="B61" s="23">
        <v>199010</v>
      </c>
      <c r="C61" s="2">
        <v>0</v>
      </c>
      <c r="D61" s="3">
        <v>1750000</v>
      </c>
    </row>
    <row r="62" spans="1:4">
      <c r="A62" s="1" t="s">
        <v>72</v>
      </c>
      <c r="B62" s="23">
        <v>199217</v>
      </c>
      <c r="C62" s="2">
        <v>8</v>
      </c>
      <c r="D62" s="3">
        <v>3342000</v>
      </c>
    </row>
    <row r="63" spans="1:4">
      <c r="A63" s="1" t="s">
        <v>73</v>
      </c>
      <c r="B63" s="23">
        <v>211794</v>
      </c>
      <c r="C63" s="2">
        <v>0</v>
      </c>
      <c r="D63" s="3">
        <v>950000</v>
      </c>
    </row>
    <row r="64" spans="1:4">
      <c r="A64" s="1" t="s">
        <v>74</v>
      </c>
      <c r="B64" s="23">
        <v>222816</v>
      </c>
      <c r="C64" s="2">
        <v>0</v>
      </c>
      <c r="D64" s="3">
        <v>8800000</v>
      </c>
    </row>
    <row r="65" spans="1:4">
      <c r="A65" s="1" t="s">
        <v>75</v>
      </c>
      <c r="B65" s="23">
        <v>228872</v>
      </c>
      <c r="C65" s="2">
        <v>3</v>
      </c>
      <c r="D65" s="3">
        <v>4500000</v>
      </c>
    </row>
    <row r="66" spans="1:4">
      <c r="A66" s="1" t="s">
        <v>76</v>
      </c>
      <c r="B66" s="23">
        <v>229765</v>
      </c>
      <c r="C66" s="2">
        <v>12</v>
      </c>
      <c r="D66" s="3">
        <v>22000000</v>
      </c>
    </row>
    <row r="67" spans="1:4">
      <c r="A67" s="1" t="s">
        <v>77</v>
      </c>
      <c r="B67" s="23">
        <v>231278</v>
      </c>
      <c r="C67" s="2">
        <v>1</v>
      </c>
      <c r="D67" s="3">
        <v>500000</v>
      </c>
    </row>
    <row r="68" spans="1:4">
      <c r="A68" s="1" t="s">
        <v>78</v>
      </c>
      <c r="B68" s="23">
        <v>246732</v>
      </c>
      <c r="C68" s="2">
        <v>0</v>
      </c>
      <c r="D68" s="4">
        <v>200000</v>
      </c>
    </row>
    <row r="69" spans="1:4">
      <c r="A69" s="1" t="s">
        <v>79</v>
      </c>
      <c r="B69" s="23">
        <v>278608</v>
      </c>
      <c r="C69" s="2">
        <v>3</v>
      </c>
      <c r="D69" s="3">
        <v>3850000</v>
      </c>
    </row>
    <row r="70" spans="1:4">
      <c r="A70" s="1" t="s">
        <v>80</v>
      </c>
      <c r="B70" s="23">
        <v>292836</v>
      </c>
      <c r="C70" s="2">
        <v>0</v>
      </c>
      <c r="D70" s="3">
        <v>700000</v>
      </c>
    </row>
    <row r="71" spans="1:4">
      <c r="A71" s="1" t="s">
        <v>81</v>
      </c>
      <c r="B71" s="23">
        <v>345691</v>
      </c>
      <c r="C71" s="2">
        <v>3</v>
      </c>
      <c r="D71" s="3">
        <v>2455000</v>
      </c>
    </row>
    <row r="72" spans="1:4">
      <c r="A72" s="1" t="s">
        <v>82</v>
      </c>
      <c r="B72" s="23">
        <v>366702</v>
      </c>
      <c r="C72" s="2">
        <v>2</v>
      </c>
      <c r="D72" s="3">
        <v>7050000</v>
      </c>
    </row>
    <row r="73" spans="1:4">
      <c r="A73" s="1" t="s">
        <v>83</v>
      </c>
      <c r="B73" s="23">
        <v>480658</v>
      </c>
      <c r="C73" s="2">
        <v>3</v>
      </c>
      <c r="D73" s="3">
        <v>700000</v>
      </c>
    </row>
    <row r="74" spans="1:4">
      <c r="A74" s="1" t="s">
        <v>84</v>
      </c>
      <c r="B74" s="23">
        <v>503354</v>
      </c>
      <c r="C74" s="2">
        <v>5</v>
      </c>
      <c r="D74" s="3">
        <v>1950000</v>
      </c>
    </row>
    <row r="75" spans="1:4">
      <c r="A75" s="1" t="s">
        <v>85</v>
      </c>
      <c r="B75" s="23">
        <v>503633</v>
      </c>
      <c r="C75" s="2">
        <v>0</v>
      </c>
      <c r="D75" s="4">
        <v>200000</v>
      </c>
    </row>
    <row r="76" spans="1:4">
      <c r="A76" s="1" t="s">
        <v>86</v>
      </c>
      <c r="B76" s="23">
        <v>503866</v>
      </c>
      <c r="C76" s="2">
        <v>6</v>
      </c>
      <c r="D76" s="3">
        <v>3600000</v>
      </c>
    </row>
    <row r="77" spans="1:4">
      <c r="A77" s="1" t="s">
        <v>87</v>
      </c>
      <c r="B77" s="23">
        <v>510053</v>
      </c>
      <c r="C77" s="2">
        <v>1</v>
      </c>
      <c r="D77" s="3">
        <v>658000</v>
      </c>
    </row>
    <row r="78" spans="1:4">
      <c r="A78" s="1" t="s">
        <v>88</v>
      </c>
      <c r="B78" s="23">
        <v>523430</v>
      </c>
      <c r="C78" s="2">
        <v>0</v>
      </c>
      <c r="D78" s="3">
        <v>9970000</v>
      </c>
    </row>
    <row r="79" spans="1:4">
      <c r="A79" s="1" t="s">
        <v>89</v>
      </c>
      <c r="B79" s="23">
        <v>529090</v>
      </c>
      <c r="C79" s="2">
        <v>5</v>
      </c>
      <c r="D79" s="4">
        <v>100000</v>
      </c>
    </row>
    <row r="80" spans="1:4">
      <c r="A80" s="1" t="s">
        <v>90</v>
      </c>
      <c r="B80" s="23">
        <v>529249</v>
      </c>
      <c r="C80" s="2">
        <v>6</v>
      </c>
      <c r="D80" s="2">
        <v>0</v>
      </c>
    </row>
    <row r="81" spans="1:4">
      <c r="A81" s="1" t="s">
        <v>91</v>
      </c>
      <c r="B81" s="23">
        <v>530345</v>
      </c>
      <c r="C81" s="2">
        <v>3</v>
      </c>
      <c r="D81" s="3">
        <v>8000000</v>
      </c>
    </row>
    <row r="82" spans="1:4">
      <c r="A82" s="1" t="s">
        <v>92</v>
      </c>
      <c r="B82" s="23">
        <v>539088</v>
      </c>
      <c r="C82" s="2">
        <v>6</v>
      </c>
      <c r="D82" s="3">
        <v>8144000</v>
      </c>
    </row>
    <row r="83" spans="1:4">
      <c r="A83" s="1" t="s">
        <v>93</v>
      </c>
      <c r="B83" s="23">
        <v>543720</v>
      </c>
      <c r="C83" s="2">
        <v>7</v>
      </c>
      <c r="D83" s="2">
        <v>0</v>
      </c>
    </row>
    <row r="84" spans="1:4">
      <c r="A84" s="1" t="s">
        <v>94</v>
      </c>
      <c r="B84" s="23">
        <v>560814</v>
      </c>
      <c r="C84" s="2">
        <v>5</v>
      </c>
      <c r="D84" s="2">
        <v>0</v>
      </c>
    </row>
    <row r="85" spans="1:4">
      <c r="A85" s="1" t="s">
        <v>95</v>
      </c>
      <c r="B85" s="23">
        <v>563095</v>
      </c>
      <c r="C85" s="2">
        <v>1</v>
      </c>
      <c r="D85" s="3">
        <v>5150000</v>
      </c>
    </row>
    <row r="86" spans="1:4">
      <c r="A86" s="1" t="s">
        <v>96</v>
      </c>
      <c r="B86" s="23">
        <v>61690</v>
      </c>
      <c r="C86" s="2">
        <v>4</v>
      </c>
      <c r="D86" s="3">
        <v>15000000</v>
      </c>
    </row>
    <row r="87" spans="1:4">
      <c r="A87" s="1" t="s">
        <v>97</v>
      </c>
      <c r="B87" s="23" t="s">
        <v>98</v>
      </c>
      <c r="C87" s="2">
        <v>32</v>
      </c>
      <c r="D87" s="3">
        <v>15116000</v>
      </c>
    </row>
    <row r="88" spans="1:4">
      <c r="A88" s="1" t="s">
        <v>99</v>
      </c>
      <c r="B88" s="23" t="s">
        <v>100</v>
      </c>
      <c r="C88" s="2">
        <v>6</v>
      </c>
      <c r="D88" s="3">
        <v>18752000</v>
      </c>
    </row>
    <row r="89" spans="1:4">
      <c r="A89" s="1" t="s">
        <v>101</v>
      </c>
      <c r="B89" s="23" t="s">
        <v>102</v>
      </c>
      <c r="C89" s="2">
        <v>0</v>
      </c>
      <c r="D89" s="2">
        <v>0</v>
      </c>
    </row>
    <row r="90" spans="1:4">
      <c r="A90" s="1" t="s">
        <v>103</v>
      </c>
      <c r="B90" s="23" t="s">
        <v>104</v>
      </c>
      <c r="C90" s="2">
        <v>0</v>
      </c>
      <c r="D90" s="3">
        <v>2200000</v>
      </c>
    </row>
    <row r="91" spans="1:4">
      <c r="A91" s="1" t="s">
        <v>105</v>
      </c>
      <c r="B91" s="23">
        <v>12295536</v>
      </c>
      <c r="C91" s="2">
        <v>0</v>
      </c>
      <c r="D91" s="2">
        <v>0</v>
      </c>
    </row>
    <row r="92" spans="1:4">
      <c r="A92" s="1" t="s">
        <v>106</v>
      </c>
      <c r="B92" s="23">
        <v>12295980</v>
      </c>
      <c r="C92" s="2">
        <v>4</v>
      </c>
      <c r="D92" s="2">
        <v>0</v>
      </c>
    </row>
    <row r="93" spans="1:4">
      <c r="A93" s="1" t="s">
        <v>107</v>
      </c>
      <c r="B93" s="23">
        <v>12302808</v>
      </c>
      <c r="C93" s="2">
        <v>0</v>
      </c>
      <c r="D93" s="2">
        <v>0</v>
      </c>
    </row>
    <row r="94" spans="1:4">
      <c r="A94" s="1" t="s">
        <v>108</v>
      </c>
      <c r="B94" s="23">
        <v>12303072</v>
      </c>
      <c r="C94" s="2">
        <v>0</v>
      </c>
      <c r="D94" s="2">
        <v>0</v>
      </c>
    </row>
    <row r="95" spans="1:4">
      <c r="A95" s="1" t="s">
        <v>109</v>
      </c>
      <c r="B95" s="23">
        <v>12313881</v>
      </c>
      <c r="C95" s="2">
        <v>21</v>
      </c>
      <c r="D95" s="3">
        <v>15609000</v>
      </c>
    </row>
    <row r="96" spans="1:4">
      <c r="A96" s="1" t="s">
        <v>110</v>
      </c>
      <c r="B96" s="23">
        <v>12317091</v>
      </c>
      <c r="C96" s="2">
        <v>3</v>
      </c>
      <c r="D96" s="2">
        <v>0</v>
      </c>
    </row>
    <row r="97" spans="1:4">
      <c r="A97" s="1" t="s">
        <v>111</v>
      </c>
      <c r="B97" s="23">
        <v>12318079</v>
      </c>
      <c r="C97" s="2">
        <v>4</v>
      </c>
      <c r="D97" s="3">
        <v>666000</v>
      </c>
    </row>
    <row r="98" spans="1:4">
      <c r="A98" s="1" t="s">
        <v>112</v>
      </c>
      <c r="B98" s="23">
        <v>12320853</v>
      </c>
      <c r="C98" s="2">
        <v>0</v>
      </c>
      <c r="D98" s="2">
        <v>0</v>
      </c>
    </row>
    <row r="99" spans="1:4">
      <c r="A99" s="1" t="s">
        <v>113</v>
      </c>
      <c r="B99" s="23">
        <v>12321230</v>
      </c>
      <c r="C99" s="2">
        <v>3</v>
      </c>
      <c r="D99" s="2">
        <v>0</v>
      </c>
    </row>
    <row r="100" spans="1:4">
      <c r="A100" s="1" t="s">
        <v>114</v>
      </c>
      <c r="B100" s="23">
        <v>12321241</v>
      </c>
      <c r="C100" s="2">
        <v>8</v>
      </c>
      <c r="D100" s="3">
        <v>27232000</v>
      </c>
    </row>
    <row r="101" spans="1:4">
      <c r="A101" s="1" t="s">
        <v>115</v>
      </c>
      <c r="B101" s="23">
        <v>12321243</v>
      </c>
      <c r="C101" s="2">
        <v>407</v>
      </c>
      <c r="D101" s="3">
        <v>27203000</v>
      </c>
    </row>
    <row r="102" spans="1:4">
      <c r="A102" s="1" t="s">
        <v>116</v>
      </c>
      <c r="B102" s="23">
        <v>12322430</v>
      </c>
      <c r="C102" s="2">
        <v>0</v>
      </c>
      <c r="D102" s="3">
        <v>450000</v>
      </c>
    </row>
    <row r="103" spans="1:4">
      <c r="A103" s="1" t="s">
        <v>117</v>
      </c>
      <c r="B103" s="23">
        <v>12324194</v>
      </c>
      <c r="C103" s="2">
        <v>2</v>
      </c>
      <c r="D103" s="2">
        <v>0</v>
      </c>
    </row>
    <row r="104" spans="1:4">
      <c r="A104" s="1" t="s">
        <v>118</v>
      </c>
      <c r="B104" s="23">
        <v>12327316</v>
      </c>
      <c r="C104" s="2">
        <v>0</v>
      </c>
      <c r="D104" s="2">
        <v>0</v>
      </c>
    </row>
    <row r="105" spans="1:4">
      <c r="A105" s="1" t="s">
        <v>119</v>
      </c>
      <c r="B105" s="23">
        <v>12331450</v>
      </c>
      <c r="C105" s="2">
        <v>0</v>
      </c>
      <c r="D105" s="4">
        <v>200000</v>
      </c>
    </row>
    <row r="106" spans="1:4">
      <c r="A106" s="1" t="s">
        <v>120</v>
      </c>
      <c r="B106" s="23">
        <v>12332670</v>
      </c>
      <c r="C106" s="2">
        <v>0</v>
      </c>
      <c r="D106" s="3">
        <v>1280000</v>
      </c>
    </row>
    <row r="107" spans="1:4">
      <c r="A107" s="1" t="s">
        <v>121</v>
      </c>
      <c r="B107" s="23">
        <v>12332811</v>
      </c>
      <c r="C107" s="2">
        <v>0</v>
      </c>
      <c r="D107" s="2">
        <v>0</v>
      </c>
    </row>
    <row r="108" spans="1:4">
      <c r="A108" s="1" t="s">
        <v>122</v>
      </c>
      <c r="B108" s="23">
        <v>12333237</v>
      </c>
      <c r="C108" s="2">
        <v>4</v>
      </c>
      <c r="D108" s="3">
        <v>316000</v>
      </c>
    </row>
    <row r="109" spans="1:4">
      <c r="A109" s="1" t="s">
        <v>123</v>
      </c>
      <c r="B109" s="23">
        <v>12334635</v>
      </c>
      <c r="C109" s="2">
        <v>5</v>
      </c>
      <c r="D109" s="3">
        <v>51377000</v>
      </c>
    </row>
    <row r="110" spans="1:4">
      <c r="A110" s="1" t="s">
        <v>124</v>
      </c>
      <c r="B110" s="23">
        <v>12334637</v>
      </c>
      <c r="C110" s="2">
        <v>14</v>
      </c>
      <c r="D110" s="3">
        <v>17595290</v>
      </c>
    </row>
    <row r="111" spans="1:4">
      <c r="A111" s="1" t="s">
        <v>125</v>
      </c>
      <c r="B111" s="23">
        <v>126963</v>
      </c>
      <c r="C111" s="2">
        <v>4</v>
      </c>
      <c r="D111" s="3">
        <v>716000</v>
      </c>
    </row>
    <row r="112" spans="1:4">
      <c r="A112" s="1" t="s">
        <v>126</v>
      </c>
      <c r="B112" s="23">
        <v>127198</v>
      </c>
      <c r="C112" s="2">
        <v>4</v>
      </c>
      <c r="D112" s="3">
        <v>4406000</v>
      </c>
    </row>
    <row r="113" spans="1:4">
      <c r="A113" s="1" t="s">
        <v>127</v>
      </c>
      <c r="B113" s="23">
        <v>195918</v>
      </c>
      <c r="C113" s="2">
        <v>0</v>
      </c>
      <c r="D113" s="3">
        <v>14394999</v>
      </c>
    </row>
    <row r="114" spans="1:4">
      <c r="A114" s="1" t="s">
        <v>128</v>
      </c>
      <c r="B114" s="23">
        <v>199020</v>
      </c>
      <c r="C114" s="2">
        <v>0</v>
      </c>
      <c r="D114" s="3">
        <v>700000</v>
      </c>
    </row>
    <row r="115" spans="1:4">
      <c r="A115" s="1" t="s">
        <v>129</v>
      </c>
      <c r="B115" s="23">
        <v>240084</v>
      </c>
      <c r="C115" s="2">
        <v>0</v>
      </c>
      <c r="D115" s="3">
        <v>11000000</v>
      </c>
    </row>
    <row r="116" spans="1:4">
      <c r="A116" s="1" t="s">
        <v>130</v>
      </c>
      <c r="B116" s="23">
        <v>240713</v>
      </c>
      <c r="C116" s="2">
        <v>4</v>
      </c>
      <c r="D116" s="3">
        <v>11282000</v>
      </c>
    </row>
    <row r="117" spans="1:4">
      <c r="A117" s="1" t="s">
        <v>131</v>
      </c>
      <c r="B117" s="23">
        <v>304264</v>
      </c>
      <c r="C117" s="2">
        <v>0</v>
      </c>
      <c r="D117" s="3">
        <v>600000</v>
      </c>
    </row>
    <row r="118" spans="1:4">
      <c r="A118" s="1" t="s">
        <v>132</v>
      </c>
      <c r="B118" s="23">
        <v>342829</v>
      </c>
      <c r="C118" s="2">
        <v>3</v>
      </c>
      <c r="D118" s="3">
        <v>2587000</v>
      </c>
    </row>
    <row r="119" spans="1:4">
      <c r="A119" s="1" t="s">
        <v>133</v>
      </c>
      <c r="B119" s="23">
        <v>345427</v>
      </c>
      <c r="C119" s="2">
        <v>4</v>
      </c>
      <c r="D119" s="3">
        <v>1916000</v>
      </c>
    </row>
    <row r="120" spans="1:4">
      <c r="A120" s="1" t="s">
        <v>134</v>
      </c>
      <c r="B120" s="23">
        <v>352167</v>
      </c>
      <c r="C120" s="2">
        <v>0</v>
      </c>
      <c r="D120" s="3">
        <v>600000</v>
      </c>
    </row>
    <row r="121" spans="1:4">
      <c r="A121" s="1" t="s">
        <v>135</v>
      </c>
      <c r="B121" s="23">
        <v>396176</v>
      </c>
      <c r="C121" s="2">
        <v>0</v>
      </c>
      <c r="D121" s="4">
        <v>100000</v>
      </c>
    </row>
    <row r="122" spans="1:4">
      <c r="A122" s="1" t="s">
        <v>136</v>
      </c>
      <c r="B122" s="23">
        <v>401031</v>
      </c>
      <c r="C122" s="2">
        <v>0</v>
      </c>
      <c r="D122" s="3">
        <v>2000000</v>
      </c>
    </row>
    <row r="123" spans="1:4">
      <c r="A123" s="1" t="s">
        <v>137</v>
      </c>
      <c r="B123" s="23">
        <v>471389</v>
      </c>
      <c r="C123" s="2">
        <v>0</v>
      </c>
      <c r="D123" s="4">
        <v>200000</v>
      </c>
    </row>
    <row r="124" spans="1:4">
      <c r="A124" s="1" t="s">
        <v>138</v>
      </c>
      <c r="B124" s="23">
        <v>477625</v>
      </c>
      <c r="C124" s="2">
        <v>0</v>
      </c>
      <c r="D124" s="2">
        <v>0</v>
      </c>
    </row>
    <row r="125" spans="1:4">
      <c r="A125" s="1" t="s">
        <v>139</v>
      </c>
      <c r="B125" s="23">
        <v>481857</v>
      </c>
      <c r="C125" s="2">
        <v>0</v>
      </c>
      <c r="D125" s="4">
        <v>200000</v>
      </c>
    </row>
    <row r="126" spans="1:4">
      <c r="A126" s="1" t="s">
        <v>140</v>
      </c>
      <c r="B126" s="23">
        <v>483240</v>
      </c>
      <c r="C126" s="2">
        <v>0</v>
      </c>
      <c r="D126" s="4">
        <v>250000</v>
      </c>
    </row>
    <row r="127" spans="1:4">
      <c r="A127" s="1" t="s">
        <v>141</v>
      </c>
      <c r="B127" s="23">
        <v>499483</v>
      </c>
      <c r="C127" s="2">
        <v>0</v>
      </c>
      <c r="D127" s="3">
        <v>3300000</v>
      </c>
    </row>
    <row r="128" spans="1:4">
      <c r="A128" s="1" t="s">
        <v>142</v>
      </c>
      <c r="B128" s="23">
        <v>501141</v>
      </c>
      <c r="C128" s="2">
        <v>0</v>
      </c>
      <c r="D128" s="4">
        <v>100000</v>
      </c>
    </row>
    <row r="129" spans="1:4">
      <c r="A129" s="1" t="s">
        <v>143</v>
      </c>
      <c r="B129" s="23">
        <v>501263</v>
      </c>
      <c r="C129" s="2">
        <v>0</v>
      </c>
      <c r="D129" s="4">
        <v>200000</v>
      </c>
    </row>
    <row r="130" spans="1:4">
      <c r="A130" s="1" t="s">
        <v>144</v>
      </c>
      <c r="B130" s="23">
        <v>501860</v>
      </c>
      <c r="C130" s="2">
        <v>4</v>
      </c>
      <c r="D130" s="3">
        <v>716000</v>
      </c>
    </row>
    <row r="131" spans="1:4">
      <c r="A131" s="1" t="s">
        <v>145</v>
      </c>
      <c r="B131" s="23">
        <v>510295</v>
      </c>
      <c r="C131" s="2">
        <v>4</v>
      </c>
      <c r="D131" s="3">
        <v>466000</v>
      </c>
    </row>
    <row r="132" spans="1:4">
      <c r="A132" s="1" t="s">
        <v>146</v>
      </c>
      <c r="B132" s="23">
        <v>510299</v>
      </c>
      <c r="C132" s="2">
        <v>0</v>
      </c>
      <c r="D132" s="2">
        <v>0</v>
      </c>
    </row>
    <row r="133" spans="1:4">
      <c r="A133" s="1" t="s">
        <v>147</v>
      </c>
      <c r="B133" s="23">
        <v>511584</v>
      </c>
      <c r="C133" s="2">
        <v>4</v>
      </c>
      <c r="D133" s="4">
        <v>116000</v>
      </c>
    </row>
    <row r="134" spans="1:4">
      <c r="A134" s="1" t="s">
        <v>148</v>
      </c>
      <c r="B134" s="23">
        <v>514589</v>
      </c>
      <c r="C134" s="2">
        <v>11</v>
      </c>
      <c r="D134" s="3">
        <v>25493000</v>
      </c>
    </row>
    <row r="135" spans="1:4">
      <c r="A135" s="1" t="s">
        <v>149</v>
      </c>
      <c r="B135" s="23">
        <v>523849</v>
      </c>
      <c r="C135" s="2">
        <v>0</v>
      </c>
      <c r="D135" s="2">
        <v>0</v>
      </c>
    </row>
    <row r="136" spans="1:4">
      <c r="A136" s="1" t="s">
        <v>150</v>
      </c>
      <c r="B136" s="23">
        <v>526916</v>
      </c>
      <c r="C136" s="2">
        <v>4</v>
      </c>
      <c r="D136" s="3">
        <v>316000</v>
      </c>
    </row>
    <row r="137" spans="1:4">
      <c r="A137" s="1" t="s">
        <v>151</v>
      </c>
      <c r="B137" s="23">
        <v>530334</v>
      </c>
      <c r="C137" s="2">
        <v>0</v>
      </c>
      <c r="D137" s="3">
        <v>1000000</v>
      </c>
    </row>
    <row r="138" spans="1:4">
      <c r="A138" s="1" t="s">
        <v>152</v>
      </c>
      <c r="B138" s="23">
        <v>543771</v>
      </c>
      <c r="C138" s="2">
        <v>0</v>
      </c>
      <c r="D138" s="2">
        <v>0</v>
      </c>
    </row>
    <row r="139" spans="1:4">
      <c r="A139" s="1" t="s">
        <v>153</v>
      </c>
      <c r="B139" s="23">
        <v>543826</v>
      </c>
      <c r="C139" s="2">
        <v>106</v>
      </c>
      <c r="D139" s="3">
        <v>28174000</v>
      </c>
    </row>
    <row r="140" spans="1:4">
      <c r="A140" s="1" t="s">
        <v>154</v>
      </c>
      <c r="B140" s="23">
        <v>546446</v>
      </c>
      <c r="C140" s="2">
        <v>0</v>
      </c>
      <c r="D140" s="3">
        <v>300000</v>
      </c>
    </row>
    <row r="141" spans="1:4">
      <c r="A141" s="1" t="s">
        <v>155</v>
      </c>
      <c r="B141" s="23">
        <v>558955</v>
      </c>
      <c r="C141" s="2">
        <v>2</v>
      </c>
      <c r="D141" s="2">
        <v>0</v>
      </c>
    </row>
    <row r="142" spans="1:4">
      <c r="A142" s="1" t="s">
        <v>156</v>
      </c>
      <c r="B142" s="23">
        <v>562953</v>
      </c>
      <c r="C142" s="2">
        <v>1</v>
      </c>
      <c r="D142" s="3">
        <v>3000000</v>
      </c>
    </row>
    <row r="143" spans="1:4">
      <c r="A143" s="1" t="s">
        <v>157</v>
      </c>
      <c r="B143" s="23">
        <v>569298</v>
      </c>
      <c r="C143" s="2">
        <v>4</v>
      </c>
      <c r="D143" s="4">
        <v>116000</v>
      </c>
    </row>
    <row r="144" spans="1:4">
      <c r="A144" s="1" t="s">
        <v>158</v>
      </c>
      <c r="B144" s="23">
        <v>574633</v>
      </c>
      <c r="C144" s="2">
        <v>3</v>
      </c>
      <c r="D144" s="2">
        <v>0</v>
      </c>
    </row>
    <row r="145" spans="1:4">
      <c r="A145" s="1" t="s">
        <v>159</v>
      </c>
      <c r="B145" s="23">
        <v>61688</v>
      </c>
      <c r="C145" s="2">
        <v>0</v>
      </c>
      <c r="D145" s="4">
        <v>250000</v>
      </c>
    </row>
    <row r="146" spans="1:4">
      <c r="A146" s="1" t="s">
        <v>97</v>
      </c>
      <c r="B146" s="23" t="s">
        <v>160</v>
      </c>
      <c r="C146" s="2">
        <v>0</v>
      </c>
      <c r="D146" s="3">
        <v>1300000</v>
      </c>
    </row>
    <row r="147" spans="1:4">
      <c r="D147" s="4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CFB2D-1CEE-48C0-A9E8-35B42FA19955}">
  <sheetPr codeName="Sheet5"/>
  <dimension ref="A1:C149"/>
  <sheetViews>
    <sheetView workbookViewId="0">
      <selection activeCell="G10" sqref="G10"/>
    </sheetView>
  </sheetViews>
  <sheetFormatPr defaultRowHeight="15"/>
  <cols>
    <col min="1" max="1" width="19.28515625" style="9" bestFit="1" customWidth="1"/>
    <col min="2" max="2" width="12.85546875" bestFit="1" customWidth="1"/>
    <col min="3" max="3" width="10.140625" bestFit="1" customWidth="1"/>
  </cols>
  <sheetData>
    <row r="1" spans="1:3">
      <c r="A1" s="8" t="s">
        <v>7</v>
      </c>
      <c r="B1" s="5" t="s">
        <v>161</v>
      </c>
      <c r="C1" s="6" t="s">
        <v>162</v>
      </c>
    </row>
    <row r="2" spans="1:3">
      <c r="A2" s="7">
        <v>116871</v>
      </c>
      <c r="B2" s="2">
        <v>3</v>
      </c>
      <c r="C2" s="3">
        <v>26116000</v>
      </c>
    </row>
    <row r="3" spans="1:3">
      <c r="A3" s="7">
        <v>228872</v>
      </c>
      <c r="B3" s="2">
        <v>8</v>
      </c>
      <c r="C3" s="3">
        <v>4000000</v>
      </c>
    </row>
    <row r="4" spans="1:3">
      <c r="A4" s="7">
        <v>12320853</v>
      </c>
      <c r="B4" s="2">
        <v>5</v>
      </c>
      <c r="C4" s="2">
        <v>0</v>
      </c>
    </row>
    <row r="5" spans="1:3">
      <c r="A5" s="7">
        <v>12326118</v>
      </c>
      <c r="B5" s="2">
        <v>3</v>
      </c>
      <c r="C5" s="3">
        <v>8770000</v>
      </c>
    </row>
    <row r="6" spans="1:3">
      <c r="A6" s="7">
        <v>12295826</v>
      </c>
      <c r="B6" s="2">
        <v>0</v>
      </c>
      <c r="C6" s="2">
        <v>0</v>
      </c>
    </row>
    <row r="7" spans="1:3">
      <c r="A7" s="7">
        <v>12295752</v>
      </c>
      <c r="B7" s="2">
        <v>0</v>
      </c>
      <c r="C7" s="3">
        <v>3000000</v>
      </c>
    </row>
    <row r="8" spans="1:3">
      <c r="A8" s="7">
        <v>526916</v>
      </c>
      <c r="B8" s="2">
        <v>4</v>
      </c>
      <c r="C8" s="3">
        <v>500000</v>
      </c>
    </row>
    <row r="9" spans="1:3">
      <c r="A9" s="7">
        <v>12326920</v>
      </c>
      <c r="B9" s="2">
        <v>3</v>
      </c>
      <c r="C9" s="3">
        <v>5433500</v>
      </c>
    </row>
    <row r="10" spans="1:3">
      <c r="A10" s="7">
        <v>292836</v>
      </c>
      <c r="B10" s="2">
        <v>0</v>
      </c>
      <c r="C10" s="3">
        <v>2000000</v>
      </c>
    </row>
    <row r="11" spans="1:3">
      <c r="A11" s="7">
        <v>63887</v>
      </c>
      <c r="B11" s="2">
        <v>0</v>
      </c>
      <c r="C11" s="3">
        <v>1800000</v>
      </c>
    </row>
    <row r="12" spans="1:3">
      <c r="A12" s="7">
        <v>12312295</v>
      </c>
      <c r="B12" s="2">
        <v>0</v>
      </c>
      <c r="C12" s="3">
        <v>10523500</v>
      </c>
    </row>
    <row r="13" spans="1:3">
      <c r="A13" s="7">
        <v>523849</v>
      </c>
      <c r="B13" s="2">
        <v>0</v>
      </c>
      <c r="C13" s="4">
        <v>100000</v>
      </c>
    </row>
    <row r="14" spans="1:3">
      <c r="A14" s="7">
        <v>530341</v>
      </c>
      <c r="B14" s="2">
        <v>0</v>
      </c>
      <c r="C14" s="2">
        <v>0</v>
      </c>
    </row>
    <row r="15" spans="1:3">
      <c r="A15" s="7">
        <v>480658</v>
      </c>
      <c r="B15" s="2">
        <v>6</v>
      </c>
      <c r="C15" s="3">
        <v>1000000</v>
      </c>
    </row>
    <row r="16" spans="1:3">
      <c r="A16" s="7">
        <v>366702</v>
      </c>
      <c r="B16" s="2">
        <v>3</v>
      </c>
      <c r="C16" s="3">
        <v>8175000</v>
      </c>
    </row>
    <row r="17" spans="1:3">
      <c r="A17" s="7">
        <v>501141</v>
      </c>
      <c r="B17" s="2">
        <v>0</v>
      </c>
      <c r="C17" s="4">
        <v>100000</v>
      </c>
    </row>
    <row r="18" spans="1:3">
      <c r="A18" s="7">
        <v>12303072</v>
      </c>
      <c r="B18" s="2">
        <v>3</v>
      </c>
      <c r="C18" s="2">
        <v>0</v>
      </c>
    </row>
    <row r="19" spans="1:3">
      <c r="A19" s="7">
        <v>501860</v>
      </c>
      <c r="B19" s="2">
        <v>6</v>
      </c>
      <c r="C19" s="3">
        <v>800000</v>
      </c>
    </row>
    <row r="20" spans="1:3">
      <c r="A20" s="7">
        <v>543771</v>
      </c>
      <c r="B20" s="2">
        <v>0</v>
      </c>
      <c r="C20" s="3">
        <v>300000</v>
      </c>
    </row>
    <row r="21" spans="1:3">
      <c r="A21" s="7">
        <v>222816</v>
      </c>
      <c r="B21" s="2">
        <v>3</v>
      </c>
      <c r="C21" s="3">
        <v>8800000</v>
      </c>
    </row>
    <row r="22" spans="1:3">
      <c r="A22" s="7">
        <v>522623</v>
      </c>
      <c r="B22" s="2">
        <v>3</v>
      </c>
      <c r="C22" s="3">
        <v>6930000</v>
      </c>
    </row>
    <row r="23" spans="1:3">
      <c r="A23" s="7">
        <v>12301356</v>
      </c>
      <c r="B23" s="2">
        <v>3</v>
      </c>
      <c r="C23" s="3">
        <v>8681000</v>
      </c>
    </row>
    <row r="24" spans="1:3">
      <c r="A24" s="7">
        <v>12295724</v>
      </c>
      <c r="B24" s="2">
        <v>4</v>
      </c>
      <c r="C24" s="3">
        <v>2700000</v>
      </c>
    </row>
    <row r="25" spans="1:3">
      <c r="A25" s="7">
        <v>539088</v>
      </c>
      <c r="B25" s="2">
        <v>0</v>
      </c>
      <c r="C25" s="2">
        <v>0</v>
      </c>
    </row>
    <row r="26" spans="1:3">
      <c r="A26" s="7">
        <v>61688</v>
      </c>
      <c r="B26" s="2">
        <v>3</v>
      </c>
      <c r="C26" s="3">
        <v>450000</v>
      </c>
    </row>
    <row r="27" spans="1:3">
      <c r="A27" s="7">
        <v>304264</v>
      </c>
      <c r="B27" s="2">
        <v>0</v>
      </c>
      <c r="C27" s="3">
        <v>529000</v>
      </c>
    </row>
    <row r="28" spans="1:3">
      <c r="A28" s="7">
        <v>126951</v>
      </c>
      <c r="B28" s="2">
        <v>3</v>
      </c>
      <c r="C28" s="3">
        <v>6000000</v>
      </c>
    </row>
    <row r="29" spans="1:3">
      <c r="A29" s="7">
        <v>301600</v>
      </c>
      <c r="B29" s="2">
        <v>3</v>
      </c>
      <c r="C29" s="3">
        <v>6604000</v>
      </c>
    </row>
    <row r="30" spans="1:3">
      <c r="A30" s="7">
        <v>523194</v>
      </c>
      <c r="B30" s="2">
        <v>3</v>
      </c>
      <c r="C30" s="3">
        <v>308000</v>
      </c>
    </row>
    <row r="31" spans="1:3">
      <c r="A31" s="7">
        <v>211794</v>
      </c>
      <c r="B31" s="2">
        <v>3</v>
      </c>
      <c r="C31" s="3">
        <v>1500000</v>
      </c>
    </row>
    <row r="32" spans="1:3">
      <c r="A32" s="7">
        <v>574633</v>
      </c>
      <c r="B32" s="2">
        <v>0</v>
      </c>
      <c r="C32" s="2">
        <v>0</v>
      </c>
    </row>
    <row r="33" spans="1:3">
      <c r="A33" s="7">
        <v>558955</v>
      </c>
      <c r="B33" s="2">
        <v>0</v>
      </c>
      <c r="C33" s="2">
        <v>0</v>
      </c>
    </row>
    <row r="34" spans="1:3">
      <c r="A34" s="7">
        <v>12295820</v>
      </c>
      <c r="B34" s="2">
        <v>0</v>
      </c>
      <c r="C34" s="3">
        <v>2500000</v>
      </c>
    </row>
    <row r="35" spans="1:3">
      <c r="A35" s="7">
        <v>571174</v>
      </c>
      <c r="B35" s="2">
        <v>1</v>
      </c>
      <c r="C35" s="3">
        <v>3475500</v>
      </c>
    </row>
    <row r="36" spans="1:3">
      <c r="A36" s="7">
        <v>199010</v>
      </c>
      <c r="B36" s="2">
        <v>3</v>
      </c>
      <c r="C36" s="3">
        <v>5050000</v>
      </c>
    </row>
    <row r="37" spans="1:3">
      <c r="A37" s="7">
        <v>12295833</v>
      </c>
      <c r="B37" s="2">
        <v>0</v>
      </c>
      <c r="C37" s="2">
        <v>0</v>
      </c>
    </row>
    <row r="38" spans="1:3">
      <c r="A38" s="7">
        <v>352167</v>
      </c>
      <c r="B38" s="2">
        <v>0</v>
      </c>
      <c r="C38" s="3">
        <v>998000</v>
      </c>
    </row>
    <row r="39" spans="1:3">
      <c r="A39" s="7">
        <v>510299</v>
      </c>
      <c r="B39" s="2">
        <v>0</v>
      </c>
      <c r="C39" s="3">
        <v>1000000</v>
      </c>
    </row>
    <row r="40" spans="1:3">
      <c r="A40" s="7">
        <v>484741</v>
      </c>
      <c r="B40" s="2">
        <v>3</v>
      </c>
      <c r="C40" s="3">
        <v>3000000</v>
      </c>
    </row>
    <row r="41" spans="1:3">
      <c r="A41" s="7">
        <v>12324194</v>
      </c>
      <c r="B41" s="2">
        <v>0</v>
      </c>
      <c r="C41" s="2">
        <v>0</v>
      </c>
    </row>
    <row r="42" spans="1:3">
      <c r="A42" s="7">
        <v>523938</v>
      </c>
      <c r="B42" s="2">
        <v>3</v>
      </c>
      <c r="C42" s="3">
        <v>1631000</v>
      </c>
    </row>
    <row r="43" spans="1:3">
      <c r="A43" s="7">
        <v>543720</v>
      </c>
      <c r="B43" s="2">
        <v>0</v>
      </c>
      <c r="C43" s="2">
        <v>0</v>
      </c>
    </row>
    <row r="44" spans="1:3">
      <c r="A44" s="7">
        <v>12326533</v>
      </c>
      <c r="B44" s="2">
        <v>11</v>
      </c>
      <c r="C44" s="3">
        <v>8702500</v>
      </c>
    </row>
    <row r="45" spans="1:3">
      <c r="A45" s="7">
        <v>477625</v>
      </c>
      <c r="B45" s="2">
        <v>0</v>
      </c>
      <c r="C45" s="2">
        <v>0</v>
      </c>
    </row>
    <row r="46" spans="1:3">
      <c r="A46" s="7">
        <v>126963</v>
      </c>
      <c r="B46" s="2">
        <v>6</v>
      </c>
      <c r="C46" s="3">
        <v>800000</v>
      </c>
    </row>
    <row r="47" spans="1:3">
      <c r="A47" s="7">
        <v>12318079</v>
      </c>
      <c r="B47" s="2">
        <v>6</v>
      </c>
      <c r="C47" s="3">
        <v>950000</v>
      </c>
    </row>
    <row r="48" spans="1:3">
      <c r="A48" s="7">
        <v>347538</v>
      </c>
      <c r="B48" s="2">
        <v>3</v>
      </c>
      <c r="C48" s="3">
        <v>1050200</v>
      </c>
    </row>
    <row r="49" spans="1:3">
      <c r="A49" s="7">
        <v>12326313</v>
      </c>
      <c r="B49" s="2">
        <v>3</v>
      </c>
      <c r="C49" s="3">
        <v>11704000</v>
      </c>
    </row>
    <row r="50" spans="1:3">
      <c r="A50" s="7">
        <v>195918</v>
      </c>
      <c r="B50" s="2">
        <v>3</v>
      </c>
      <c r="C50" s="3">
        <v>13580000</v>
      </c>
    </row>
    <row r="51" spans="1:3">
      <c r="A51" s="7">
        <v>535790</v>
      </c>
      <c r="B51" s="2">
        <v>3</v>
      </c>
      <c r="C51" s="3">
        <v>4100000</v>
      </c>
    </row>
    <row r="52" spans="1:3">
      <c r="A52" s="7">
        <v>287622</v>
      </c>
      <c r="B52" s="2">
        <v>19</v>
      </c>
      <c r="C52" s="3">
        <v>1800000</v>
      </c>
    </row>
    <row r="53" spans="1:3">
      <c r="A53" s="7">
        <v>529090</v>
      </c>
      <c r="B53" s="2">
        <v>0</v>
      </c>
      <c r="C53" s="2">
        <v>0</v>
      </c>
    </row>
    <row r="54" spans="1:3">
      <c r="A54" s="7">
        <v>10466</v>
      </c>
      <c r="B54" s="2">
        <v>3</v>
      </c>
      <c r="C54" s="3">
        <v>2058000</v>
      </c>
    </row>
    <row r="55" spans="1:3">
      <c r="A55" s="7">
        <v>511584</v>
      </c>
      <c r="B55" s="2">
        <v>5</v>
      </c>
      <c r="C55" s="3">
        <v>1300000</v>
      </c>
    </row>
    <row r="56" spans="1:3">
      <c r="A56" s="7">
        <v>12323218</v>
      </c>
      <c r="B56" s="2">
        <v>2</v>
      </c>
      <c r="C56" s="3">
        <v>6750900</v>
      </c>
    </row>
    <row r="57" spans="1:3">
      <c r="A57" s="7">
        <v>12322430</v>
      </c>
      <c r="B57" s="2">
        <v>0</v>
      </c>
      <c r="C57" s="2">
        <v>0</v>
      </c>
    </row>
    <row r="58" spans="1:3">
      <c r="A58" s="7">
        <v>127198</v>
      </c>
      <c r="B58" s="2">
        <v>29</v>
      </c>
      <c r="C58" s="3">
        <v>4986000</v>
      </c>
    </row>
    <row r="59" spans="1:3">
      <c r="A59" s="7">
        <v>499483</v>
      </c>
      <c r="B59" s="2">
        <v>0</v>
      </c>
      <c r="C59" s="3">
        <v>5500000</v>
      </c>
    </row>
    <row r="60" spans="1:3">
      <c r="A60" s="7">
        <v>231278</v>
      </c>
      <c r="B60" s="2">
        <v>0</v>
      </c>
      <c r="C60" s="2">
        <v>0</v>
      </c>
    </row>
    <row r="61" spans="1:3">
      <c r="A61" s="7">
        <v>12313881</v>
      </c>
      <c r="B61" s="2">
        <v>6</v>
      </c>
      <c r="C61" s="3">
        <v>58067000</v>
      </c>
    </row>
    <row r="62" spans="1:3">
      <c r="A62" s="7">
        <v>510295</v>
      </c>
      <c r="B62" s="2">
        <v>5</v>
      </c>
      <c r="C62" s="4">
        <v>250000</v>
      </c>
    </row>
    <row r="63" spans="1:3">
      <c r="A63" s="7">
        <v>199007</v>
      </c>
      <c r="B63" s="2">
        <v>0</v>
      </c>
      <c r="C63" s="2">
        <v>0</v>
      </c>
    </row>
    <row r="64" spans="1:3">
      <c r="A64" s="7">
        <v>396176</v>
      </c>
      <c r="B64" s="2">
        <v>0</v>
      </c>
      <c r="C64" s="2">
        <v>0</v>
      </c>
    </row>
    <row r="65" spans="1:3">
      <c r="A65" s="7">
        <v>62086</v>
      </c>
      <c r="B65" s="2">
        <v>0</v>
      </c>
      <c r="C65" s="2">
        <v>0</v>
      </c>
    </row>
    <row r="66" spans="1:3">
      <c r="A66" s="7">
        <v>408290</v>
      </c>
      <c r="B66" s="2">
        <v>3</v>
      </c>
      <c r="C66" s="3">
        <v>9058000</v>
      </c>
    </row>
    <row r="67" spans="1:3">
      <c r="A67" s="7">
        <v>240713</v>
      </c>
      <c r="B67" s="2">
        <v>6</v>
      </c>
      <c r="C67" s="3">
        <v>8700000</v>
      </c>
    </row>
    <row r="68" spans="1:3">
      <c r="A68" s="7">
        <v>503633</v>
      </c>
      <c r="B68" s="2">
        <v>3</v>
      </c>
      <c r="C68" s="3">
        <v>350000</v>
      </c>
    </row>
    <row r="69" spans="1:3">
      <c r="A69" s="7">
        <v>345427</v>
      </c>
      <c r="B69" s="2">
        <v>8</v>
      </c>
      <c r="C69" s="3">
        <v>1800000</v>
      </c>
    </row>
    <row r="70" spans="1:3">
      <c r="A70" s="7">
        <v>12317091</v>
      </c>
      <c r="B70" s="2">
        <v>0</v>
      </c>
      <c r="C70" s="2">
        <v>0</v>
      </c>
    </row>
    <row r="71" spans="1:3">
      <c r="A71" s="7">
        <v>471389</v>
      </c>
      <c r="B71" s="2">
        <v>0</v>
      </c>
      <c r="C71" s="4">
        <v>200000</v>
      </c>
    </row>
    <row r="72" spans="1:3">
      <c r="A72" s="7">
        <v>501263</v>
      </c>
      <c r="B72" s="2">
        <v>0</v>
      </c>
      <c r="C72" s="2">
        <v>0</v>
      </c>
    </row>
    <row r="73" spans="1:3">
      <c r="A73" s="7">
        <v>229765</v>
      </c>
      <c r="B73" s="2">
        <v>3</v>
      </c>
      <c r="C73" s="3">
        <v>22000000</v>
      </c>
    </row>
    <row r="74" spans="1:3">
      <c r="A74" s="7">
        <v>358231</v>
      </c>
      <c r="B74" s="2">
        <v>2</v>
      </c>
      <c r="C74" s="3">
        <v>4800000</v>
      </c>
    </row>
    <row r="75" spans="1:3">
      <c r="A75" s="7">
        <v>483240</v>
      </c>
      <c r="B75" s="2">
        <v>0</v>
      </c>
      <c r="C75" s="3">
        <v>300000</v>
      </c>
    </row>
    <row r="76" spans="1:3">
      <c r="A76" s="7">
        <v>510053</v>
      </c>
      <c r="B76" s="2">
        <v>3</v>
      </c>
      <c r="C76" s="3">
        <v>500000</v>
      </c>
    </row>
    <row r="77" spans="1:3">
      <c r="A77" s="7">
        <v>12295717</v>
      </c>
      <c r="B77" s="2">
        <v>5</v>
      </c>
      <c r="C77" s="4">
        <v>100000</v>
      </c>
    </row>
    <row r="78" spans="1:3">
      <c r="A78" s="7">
        <v>12323463</v>
      </c>
      <c r="B78" s="2">
        <v>102</v>
      </c>
      <c r="C78" s="3">
        <v>17855500</v>
      </c>
    </row>
    <row r="79" spans="1:3">
      <c r="A79" s="7">
        <v>524281</v>
      </c>
      <c r="B79" s="2">
        <v>3</v>
      </c>
      <c r="C79" s="4">
        <v>29000</v>
      </c>
    </row>
    <row r="80" spans="1:3">
      <c r="A80" s="7">
        <v>530345</v>
      </c>
      <c r="B80" s="2">
        <v>0</v>
      </c>
      <c r="C80" s="3">
        <v>7000000</v>
      </c>
    </row>
    <row r="81" spans="1:3">
      <c r="A81" s="7">
        <v>12321241</v>
      </c>
      <c r="B81" s="2">
        <v>520</v>
      </c>
      <c r="C81" s="3">
        <v>58323000</v>
      </c>
    </row>
    <row r="82" spans="1:3">
      <c r="A82" s="7">
        <v>12325263</v>
      </c>
      <c r="B82" s="2">
        <v>0</v>
      </c>
      <c r="C82" s="2">
        <v>0</v>
      </c>
    </row>
    <row r="83" spans="1:3">
      <c r="A83" s="7">
        <v>278608</v>
      </c>
      <c r="B83" s="2">
        <v>11</v>
      </c>
      <c r="C83" s="3">
        <v>3600000</v>
      </c>
    </row>
    <row r="84" spans="1:3">
      <c r="A84" s="7">
        <v>12295626</v>
      </c>
      <c r="B84" s="2">
        <v>0</v>
      </c>
      <c r="C84" s="2">
        <v>0</v>
      </c>
    </row>
    <row r="85" spans="1:3">
      <c r="A85" s="7">
        <v>525590</v>
      </c>
      <c r="B85" s="2">
        <v>11</v>
      </c>
      <c r="C85" s="3">
        <v>6983500</v>
      </c>
    </row>
    <row r="86" spans="1:3">
      <c r="A86" s="7">
        <v>523935</v>
      </c>
      <c r="B86" s="2">
        <v>3</v>
      </c>
      <c r="C86" s="3">
        <v>5100000</v>
      </c>
    </row>
    <row r="87" spans="1:3">
      <c r="A87" s="7">
        <v>342829</v>
      </c>
      <c r="B87" s="2">
        <v>4</v>
      </c>
      <c r="C87" s="3">
        <v>2400000</v>
      </c>
    </row>
    <row r="88" spans="1:3">
      <c r="A88" s="7">
        <v>12322483</v>
      </c>
      <c r="B88" s="2">
        <v>0</v>
      </c>
      <c r="C88" s="2">
        <v>0</v>
      </c>
    </row>
    <row r="89" spans="1:3">
      <c r="A89" s="7">
        <v>12295887</v>
      </c>
      <c r="B89" s="2">
        <v>0</v>
      </c>
      <c r="C89" s="2">
        <v>0</v>
      </c>
    </row>
    <row r="90" spans="1:3">
      <c r="A90" s="7">
        <v>12295542</v>
      </c>
      <c r="B90" s="2">
        <v>0</v>
      </c>
      <c r="C90" s="3">
        <v>34616800</v>
      </c>
    </row>
    <row r="91" spans="1:3">
      <c r="A91" s="7">
        <v>514589</v>
      </c>
      <c r="B91" s="2">
        <v>5</v>
      </c>
      <c r="C91" s="3">
        <v>39061000</v>
      </c>
    </row>
    <row r="92" spans="1:3">
      <c r="A92" s="7">
        <v>481857</v>
      </c>
      <c r="B92" s="2">
        <v>6</v>
      </c>
      <c r="C92" s="3">
        <v>750000</v>
      </c>
    </row>
    <row r="93" spans="1:3">
      <c r="A93" s="7">
        <v>562953</v>
      </c>
      <c r="B93" s="2">
        <v>1</v>
      </c>
      <c r="C93" s="3">
        <v>3500000</v>
      </c>
    </row>
    <row r="94" spans="1:3">
      <c r="A94" s="7">
        <v>523430</v>
      </c>
      <c r="B94" s="2">
        <v>3</v>
      </c>
      <c r="C94" s="3">
        <v>9670000</v>
      </c>
    </row>
    <row r="95" spans="1:3">
      <c r="A95" s="7">
        <v>549259</v>
      </c>
      <c r="B95" s="2">
        <v>0</v>
      </c>
      <c r="C95" s="2">
        <v>0</v>
      </c>
    </row>
    <row r="96" spans="1:3">
      <c r="A96" s="7">
        <v>12324647</v>
      </c>
      <c r="B96" s="2">
        <v>0</v>
      </c>
      <c r="C96" s="2">
        <v>0</v>
      </c>
    </row>
    <row r="97" spans="1:3">
      <c r="A97" s="7">
        <v>12302808</v>
      </c>
      <c r="B97" s="2">
        <v>1</v>
      </c>
      <c r="C97" s="4">
        <v>50000</v>
      </c>
    </row>
    <row r="98" spans="1:3">
      <c r="A98" s="7">
        <v>542823</v>
      </c>
      <c r="B98" s="2">
        <v>3</v>
      </c>
      <c r="C98" s="3">
        <v>766000</v>
      </c>
    </row>
    <row r="99" spans="1:3">
      <c r="A99" s="7">
        <v>345691</v>
      </c>
      <c r="B99" s="2">
        <v>3</v>
      </c>
      <c r="C99" s="3">
        <v>2667000</v>
      </c>
    </row>
    <row r="100" spans="1:3">
      <c r="A100" s="7">
        <v>529249</v>
      </c>
      <c r="B100" s="2">
        <v>0</v>
      </c>
      <c r="C100" s="3">
        <v>4735000</v>
      </c>
    </row>
    <row r="101" spans="1:3">
      <c r="A101" s="7">
        <v>246732</v>
      </c>
      <c r="B101" s="2">
        <v>3</v>
      </c>
      <c r="C101" s="4">
        <v>150000</v>
      </c>
    </row>
    <row r="102" spans="1:3">
      <c r="A102" s="7">
        <v>491288</v>
      </c>
      <c r="B102" s="2">
        <v>3</v>
      </c>
      <c r="C102" s="3">
        <v>700000</v>
      </c>
    </row>
    <row r="103" spans="1:3">
      <c r="A103" s="7">
        <v>530334</v>
      </c>
      <c r="B103" s="2">
        <v>0</v>
      </c>
      <c r="C103" s="3">
        <v>1500000</v>
      </c>
    </row>
    <row r="104" spans="1:3">
      <c r="A104" s="7">
        <v>199020</v>
      </c>
      <c r="B104" s="2">
        <v>0</v>
      </c>
      <c r="C104" s="3">
        <v>700000</v>
      </c>
    </row>
    <row r="105" spans="1:3">
      <c r="A105" s="7">
        <v>240048</v>
      </c>
      <c r="B105" s="2">
        <v>3</v>
      </c>
      <c r="C105" s="3">
        <v>1029000</v>
      </c>
    </row>
    <row r="106" spans="1:3">
      <c r="A106" s="7">
        <v>560814</v>
      </c>
      <c r="B106" s="2">
        <v>0</v>
      </c>
      <c r="C106" s="3">
        <v>4950000</v>
      </c>
    </row>
    <row r="107" spans="1:3">
      <c r="A107" s="7">
        <v>1661</v>
      </c>
      <c r="B107" s="2">
        <v>1</v>
      </c>
      <c r="C107" s="4">
        <v>58000</v>
      </c>
    </row>
    <row r="108" spans="1:3">
      <c r="A108" s="7">
        <v>519286</v>
      </c>
      <c r="B108" s="2">
        <v>32</v>
      </c>
      <c r="C108" s="3">
        <v>7684000</v>
      </c>
    </row>
    <row r="109" spans="1:3">
      <c r="A109" s="7">
        <v>385575</v>
      </c>
      <c r="B109" s="2">
        <v>0</v>
      </c>
      <c r="C109" s="2">
        <v>0</v>
      </c>
    </row>
    <row r="110" spans="1:3">
      <c r="A110" s="7">
        <v>569298</v>
      </c>
      <c r="B110" s="2">
        <v>0</v>
      </c>
      <c r="C110" s="4">
        <v>200000</v>
      </c>
    </row>
    <row r="111" spans="1:3">
      <c r="A111" s="7">
        <v>199217</v>
      </c>
      <c r="B111" s="2">
        <v>3</v>
      </c>
      <c r="C111" s="4">
        <v>58000</v>
      </c>
    </row>
    <row r="112" spans="1:3">
      <c r="A112" s="7">
        <v>12321230</v>
      </c>
      <c r="B112" s="2">
        <v>0</v>
      </c>
      <c r="C112" s="4">
        <v>203000</v>
      </c>
    </row>
    <row r="113" spans="1:3">
      <c r="A113" s="7">
        <v>12295592</v>
      </c>
      <c r="B113" s="2">
        <v>60</v>
      </c>
      <c r="C113" s="3">
        <v>8236800</v>
      </c>
    </row>
    <row r="114" spans="1:3">
      <c r="A114" s="7">
        <v>287403</v>
      </c>
      <c r="B114" s="2">
        <v>11</v>
      </c>
      <c r="C114" s="3">
        <v>3478900</v>
      </c>
    </row>
    <row r="115" spans="1:3">
      <c r="A115" s="7">
        <v>486638</v>
      </c>
      <c r="B115" s="2">
        <v>3</v>
      </c>
      <c r="C115" s="3">
        <v>1100000</v>
      </c>
    </row>
    <row r="116" spans="1:3">
      <c r="A116" s="7">
        <v>195514</v>
      </c>
      <c r="B116" s="2">
        <v>3</v>
      </c>
      <c r="C116" s="4">
        <v>200000</v>
      </c>
    </row>
    <row r="117" spans="1:3">
      <c r="A117" s="7">
        <v>240084</v>
      </c>
      <c r="B117" s="2">
        <v>0</v>
      </c>
      <c r="C117" s="3">
        <v>11500000</v>
      </c>
    </row>
    <row r="118" spans="1:3">
      <c r="A118" s="7">
        <v>530349</v>
      </c>
      <c r="B118" s="2">
        <v>3</v>
      </c>
      <c r="C118" s="2">
        <v>0</v>
      </c>
    </row>
    <row r="119" spans="1:3">
      <c r="A119" s="7">
        <v>530058</v>
      </c>
      <c r="B119" s="2">
        <v>3</v>
      </c>
      <c r="C119" s="3">
        <v>3058000</v>
      </c>
    </row>
    <row r="120" spans="1:3">
      <c r="A120" s="7">
        <v>546446</v>
      </c>
      <c r="B120" s="2">
        <v>1</v>
      </c>
      <c r="C120" s="3">
        <v>400000</v>
      </c>
    </row>
    <row r="121" spans="1:3">
      <c r="A121" s="7">
        <v>524283</v>
      </c>
      <c r="B121" s="2">
        <v>1</v>
      </c>
      <c r="C121" s="3">
        <v>427000</v>
      </c>
    </row>
    <row r="122" spans="1:3">
      <c r="A122" s="7">
        <v>416191</v>
      </c>
      <c r="B122" s="2">
        <v>3</v>
      </c>
      <c r="C122" s="3">
        <v>1021900</v>
      </c>
    </row>
    <row r="123" spans="1:3">
      <c r="A123" s="7">
        <v>12322237</v>
      </c>
      <c r="B123" s="2">
        <v>1</v>
      </c>
      <c r="C123" s="2">
        <v>0</v>
      </c>
    </row>
    <row r="124" spans="1:3">
      <c r="A124" s="7">
        <v>563095</v>
      </c>
      <c r="B124" s="2">
        <v>3</v>
      </c>
      <c r="C124" s="3">
        <v>6000000</v>
      </c>
    </row>
    <row r="125" spans="1:3">
      <c r="A125" s="7">
        <v>501643</v>
      </c>
      <c r="B125" s="2">
        <v>1</v>
      </c>
      <c r="C125" s="3">
        <v>9458000</v>
      </c>
    </row>
    <row r="126" spans="1:3">
      <c r="A126" s="7">
        <v>503866</v>
      </c>
      <c r="B126" s="2">
        <v>3</v>
      </c>
      <c r="C126" s="3">
        <v>4508000</v>
      </c>
    </row>
    <row r="127" spans="1:3">
      <c r="A127" s="7">
        <v>503354</v>
      </c>
      <c r="B127" s="2">
        <v>2</v>
      </c>
      <c r="C127" s="3">
        <v>2300000</v>
      </c>
    </row>
    <row r="128" spans="1:3">
      <c r="A128" s="7">
        <v>12327316</v>
      </c>
      <c r="B128" s="2">
        <v>5</v>
      </c>
      <c r="C128" s="3">
        <v>500000</v>
      </c>
    </row>
    <row r="129" spans="1:3">
      <c r="A129" s="7">
        <v>368809</v>
      </c>
      <c r="B129" s="2">
        <v>3</v>
      </c>
      <c r="C129" s="3">
        <v>3895000</v>
      </c>
    </row>
    <row r="130" spans="1:3">
      <c r="A130" s="7">
        <v>12295536</v>
      </c>
      <c r="B130" s="2">
        <v>6</v>
      </c>
      <c r="C130" s="3">
        <v>1029000</v>
      </c>
    </row>
    <row r="131" spans="1:3">
      <c r="A131" s="7">
        <v>12321243</v>
      </c>
      <c r="B131" s="2">
        <v>38</v>
      </c>
      <c r="C131" s="3">
        <v>53322000</v>
      </c>
    </row>
    <row r="132" spans="1:3">
      <c r="A132" s="7">
        <v>543826</v>
      </c>
      <c r="B132" s="2">
        <v>31</v>
      </c>
      <c r="C132" s="3">
        <v>61670000</v>
      </c>
    </row>
    <row r="133" spans="1:3">
      <c r="A133" s="7">
        <v>401031</v>
      </c>
      <c r="B133" s="2">
        <v>6</v>
      </c>
      <c r="C133" s="3">
        <v>2550000</v>
      </c>
    </row>
    <row r="134" spans="1:3">
      <c r="A134" s="7">
        <v>12332811</v>
      </c>
      <c r="B134" s="2">
        <v>0</v>
      </c>
      <c r="C134" s="2">
        <v>0</v>
      </c>
    </row>
    <row r="135" spans="1:3">
      <c r="A135" s="7">
        <v>12332670</v>
      </c>
      <c r="B135" s="2">
        <v>0</v>
      </c>
      <c r="C135" s="3">
        <v>1915000</v>
      </c>
    </row>
    <row r="136" spans="1:3">
      <c r="A136" s="7">
        <v>12333237</v>
      </c>
      <c r="B136" s="2">
        <v>5</v>
      </c>
      <c r="C136" s="4">
        <v>100000</v>
      </c>
    </row>
    <row r="137" spans="1:3">
      <c r="A137" s="7">
        <v>12331450</v>
      </c>
      <c r="B137" s="2">
        <v>0</v>
      </c>
      <c r="C137" s="4">
        <v>200000</v>
      </c>
    </row>
    <row r="138" spans="1:3">
      <c r="A138" s="7">
        <v>61690</v>
      </c>
      <c r="B138" s="2">
        <v>3</v>
      </c>
      <c r="C138" s="3">
        <v>18058000</v>
      </c>
    </row>
    <row r="139" spans="1:3">
      <c r="A139" s="7">
        <v>12295980</v>
      </c>
      <c r="B139" s="2">
        <v>0</v>
      </c>
      <c r="C139" s="2">
        <v>0</v>
      </c>
    </row>
    <row r="140" spans="1:3">
      <c r="A140" s="7">
        <v>213944</v>
      </c>
      <c r="B140" s="2">
        <v>3</v>
      </c>
      <c r="C140" s="3">
        <v>4529000</v>
      </c>
    </row>
    <row r="141" spans="1:3">
      <c r="A141" s="7" t="s">
        <v>102</v>
      </c>
      <c r="B141" s="2">
        <v>0</v>
      </c>
      <c r="C141" s="3">
        <v>300000</v>
      </c>
    </row>
    <row r="142" spans="1:3">
      <c r="A142" s="7" t="s">
        <v>100</v>
      </c>
      <c r="B142" s="2">
        <v>4</v>
      </c>
      <c r="C142" s="3">
        <v>3000000</v>
      </c>
    </row>
    <row r="143" spans="1:3">
      <c r="A143" s="7" t="s">
        <v>160</v>
      </c>
      <c r="B143" s="2">
        <v>0</v>
      </c>
      <c r="C143" s="3">
        <v>2600000</v>
      </c>
    </row>
    <row r="144" spans="1:3">
      <c r="A144" s="7" t="s">
        <v>98</v>
      </c>
      <c r="B144" s="2">
        <v>55</v>
      </c>
      <c r="C144" s="3">
        <v>11815000</v>
      </c>
    </row>
    <row r="145" spans="1:3">
      <c r="A145" s="7">
        <v>12334749</v>
      </c>
      <c r="B145" s="2">
        <v>0</v>
      </c>
      <c r="C145" s="2">
        <v>0</v>
      </c>
    </row>
    <row r="146" spans="1:3">
      <c r="A146" s="7">
        <v>12334635</v>
      </c>
      <c r="B146" s="2">
        <v>4</v>
      </c>
      <c r="C146" s="3">
        <v>58616000</v>
      </c>
    </row>
    <row r="147" spans="1:3">
      <c r="A147" s="7">
        <v>12334637</v>
      </c>
      <c r="B147" s="2">
        <v>4</v>
      </c>
      <c r="C147" s="3">
        <v>46616000</v>
      </c>
    </row>
    <row r="148" spans="1:3">
      <c r="A148" s="7">
        <v>12334667</v>
      </c>
      <c r="B148" s="2">
        <v>18</v>
      </c>
      <c r="C148" s="3">
        <v>1419000</v>
      </c>
    </row>
    <row r="149" spans="1:3">
      <c r="A149" s="7" t="s">
        <v>104</v>
      </c>
      <c r="B149" s="2">
        <v>3</v>
      </c>
      <c r="C149" s="3">
        <v>300000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E2FEA-7579-4105-BB5C-707DD11104C2}">
  <sheetPr codeName="Sheet6"/>
  <dimension ref="A1:T1096"/>
  <sheetViews>
    <sheetView tabSelected="1" workbookViewId="0">
      <pane ySplit="1" topLeftCell="A2" activePane="bottomLeft" state="frozen"/>
      <selection pane="bottomLeft" activeCell="V17" sqref="V17"/>
    </sheetView>
  </sheetViews>
  <sheetFormatPr defaultRowHeight="15"/>
  <cols>
    <col min="1" max="1" width="15.28515625" bestFit="1" customWidth="1"/>
    <col min="2" max="2" width="9.7109375" bestFit="1" customWidth="1"/>
    <col min="3" max="3" width="27.28515625" bestFit="1" customWidth="1"/>
    <col min="4" max="4" width="12.42578125" customWidth="1"/>
    <col min="5" max="6" width="8.85546875" bestFit="1" customWidth="1"/>
    <col min="7" max="7" width="4.7109375" bestFit="1" customWidth="1"/>
    <col min="8" max="8" width="8.42578125" bestFit="1" customWidth="1"/>
    <col min="10" max="10" width="10.85546875" bestFit="1" customWidth="1"/>
    <col min="11" max="11" width="18.5703125" style="39" customWidth="1"/>
    <col min="12" max="12" width="12.5703125" style="39" customWidth="1"/>
    <col min="13" max="13" width="11.5703125" style="9" bestFit="1" customWidth="1"/>
  </cols>
  <sheetData>
    <row r="1" spans="1:20" ht="63.75">
      <c r="A1" s="32" t="s">
        <v>170</v>
      </c>
      <c r="B1" s="32" t="s">
        <v>163</v>
      </c>
      <c r="C1" s="33" t="s">
        <v>164</v>
      </c>
      <c r="D1" s="34" t="s">
        <v>165</v>
      </c>
      <c r="E1" s="35" t="s">
        <v>166</v>
      </c>
      <c r="F1" s="35" t="s">
        <v>167</v>
      </c>
      <c r="G1" s="35" t="s">
        <v>168</v>
      </c>
      <c r="H1" s="35" t="s">
        <v>169</v>
      </c>
      <c r="I1" s="37" t="s">
        <v>187</v>
      </c>
      <c r="J1" s="45">
        <v>46225</v>
      </c>
      <c r="K1" s="38" t="s">
        <v>189</v>
      </c>
      <c r="L1" s="38"/>
      <c r="R1" t="s">
        <v>190</v>
      </c>
      <c r="S1" t="s">
        <v>190</v>
      </c>
      <c r="T1" s="44">
        <v>46229</v>
      </c>
    </row>
    <row r="2" spans="1:20">
      <c r="A2" s="27" t="s">
        <v>3</v>
      </c>
      <c r="B2" s="27">
        <v>10466</v>
      </c>
      <c r="C2" s="27" t="s">
        <v>9</v>
      </c>
      <c r="D2" s="27">
        <f t="shared" ref="D2:D65" si="0">IF(G2&gt;0,1,0)</f>
        <v>1</v>
      </c>
      <c r="E2" s="28">
        <v>1</v>
      </c>
      <c r="F2" s="36">
        <v>1</v>
      </c>
      <c r="G2" s="36">
        <f>_xlfn.IFNA(INDEX(M:N,MATCH(B2,M:M,0),2),0)</f>
        <v>1</v>
      </c>
      <c r="H2" s="28">
        <f t="shared" ref="H2:H65" si="1">MAX(G2-F2,0)</f>
        <v>0</v>
      </c>
      <c r="I2">
        <f>IF(G2&gt;=3,1,0)</f>
        <v>0</v>
      </c>
      <c r="J2">
        <f>IF(G2&gt;=3,1,0)</f>
        <v>0</v>
      </c>
      <c r="K2" s="38">
        <f>G2-J2</f>
        <v>1</v>
      </c>
      <c r="L2" s="38"/>
      <c r="M2">
        <v>12323326</v>
      </c>
      <c r="N2">
        <v>71</v>
      </c>
      <c r="R2" s="27">
        <v>10466</v>
      </c>
      <c r="S2" s="36">
        <v>0</v>
      </c>
      <c r="T2" s="36">
        <v>0</v>
      </c>
    </row>
    <row r="3" spans="1:20">
      <c r="A3" s="27" t="s">
        <v>3</v>
      </c>
      <c r="B3" s="27">
        <v>12295592</v>
      </c>
      <c r="C3" s="27" t="s">
        <v>11</v>
      </c>
      <c r="D3" s="27">
        <f t="shared" si="0"/>
        <v>1</v>
      </c>
      <c r="E3" s="28">
        <v>1</v>
      </c>
      <c r="F3" s="36">
        <v>1</v>
      </c>
      <c r="G3" s="36">
        <f t="shared" ref="G3:G66" si="2">_xlfn.IFNA(INDEX(M:N,MATCH(B3,M:M,0),2),0)</f>
        <v>11</v>
      </c>
      <c r="H3" s="28">
        <f t="shared" si="1"/>
        <v>10</v>
      </c>
      <c r="I3">
        <f t="shared" ref="I3:I66" si="3">IF(G3&gt;=3,1,0)</f>
        <v>1</v>
      </c>
      <c r="J3">
        <f t="shared" ref="J3:J66" si="4">IF(G3&gt;=3,1,0)</f>
        <v>1</v>
      </c>
      <c r="K3" s="38">
        <f t="shared" ref="K3:K66" si="5">G3-J3</f>
        <v>10</v>
      </c>
      <c r="L3" s="38"/>
      <c r="M3">
        <v>12318489</v>
      </c>
      <c r="N3">
        <v>52</v>
      </c>
      <c r="R3" s="27">
        <v>12295592</v>
      </c>
      <c r="S3" s="36">
        <v>5</v>
      </c>
      <c r="T3" s="36">
        <v>7</v>
      </c>
    </row>
    <row r="4" spans="1:20">
      <c r="A4" s="27" t="s">
        <v>3</v>
      </c>
      <c r="B4" s="27">
        <v>12295626</v>
      </c>
      <c r="C4" s="27" t="s">
        <v>12</v>
      </c>
      <c r="D4" s="27">
        <f t="shared" si="0"/>
        <v>0</v>
      </c>
      <c r="E4" s="28">
        <v>0</v>
      </c>
      <c r="F4" s="36">
        <v>0</v>
      </c>
      <c r="G4" s="36">
        <f t="shared" si="2"/>
        <v>0</v>
      </c>
      <c r="H4" s="28">
        <f t="shared" si="1"/>
        <v>0</v>
      </c>
      <c r="I4">
        <f t="shared" si="3"/>
        <v>0</v>
      </c>
      <c r="J4">
        <f t="shared" si="4"/>
        <v>0</v>
      </c>
      <c r="K4" s="38">
        <f t="shared" si="5"/>
        <v>0</v>
      </c>
      <c r="L4" s="38"/>
      <c r="M4">
        <v>240562</v>
      </c>
      <c r="N4">
        <v>33</v>
      </c>
      <c r="R4" s="27">
        <v>12295626</v>
      </c>
      <c r="S4" s="36">
        <v>0</v>
      </c>
      <c r="T4" s="36">
        <v>0</v>
      </c>
    </row>
    <row r="5" spans="1:20">
      <c r="A5" s="27" t="s">
        <v>3</v>
      </c>
      <c r="B5" s="27">
        <v>12295724</v>
      </c>
      <c r="C5" s="27" t="s">
        <v>13</v>
      </c>
      <c r="D5" s="27">
        <f t="shared" si="0"/>
        <v>1</v>
      </c>
      <c r="E5" s="28">
        <v>2</v>
      </c>
      <c r="F5" s="36">
        <v>1</v>
      </c>
      <c r="G5" s="36">
        <f t="shared" si="2"/>
        <v>1</v>
      </c>
      <c r="H5" s="28">
        <f t="shared" si="1"/>
        <v>0</v>
      </c>
      <c r="I5">
        <f t="shared" si="3"/>
        <v>0</v>
      </c>
      <c r="J5">
        <f t="shared" si="4"/>
        <v>0</v>
      </c>
      <c r="K5" s="38">
        <f t="shared" si="5"/>
        <v>1</v>
      </c>
      <c r="L5" s="38"/>
      <c r="M5" t="s">
        <v>191</v>
      </c>
      <c r="N5">
        <v>33</v>
      </c>
      <c r="R5" s="27">
        <v>12295724</v>
      </c>
      <c r="S5" s="36">
        <v>0</v>
      </c>
      <c r="T5" s="36">
        <v>0</v>
      </c>
    </row>
    <row r="6" spans="1:20">
      <c r="A6" s="27" t="s">
        <v>3</v>
      </c>
      <c r="B6" s="27">
        <v>12295752</v>
      </c>
      <c r="C6" s="27" t="s">
        <v>14</v>
      </c>
      <c r="D6" s="27">
        <f t="shared" si="0"/>
        <v>1</v>
      </c>
      <c r="E6" s="28">
        <v>2</v>
      </c>
      <c r="F6" s="36">
        <v>2</v>
      </c>
      <c r="G6" s="36">
        <f t="shared" si="2"/>
        <v>1</v>
      </c>
      <c r="H6" s="28">
        <f t="shared" si="1"/>
        <v>0</v>
      </c>
      <c r="I6">
        <f t="shared" si="3"/>
        <v>0</v>
      </c>
      <c r="J6">
        <f t="shared" si="4"/>
        <v>0</v>
      </c>
      <c r="K6" s="38">
        <f t="shared" si="5"/>
        <v>1</v>
      </c>
      <c r="L6" s="38"/>
      <c r="M6">
        <v>12327540</v>
      </c>
      <c r="N6">
        <v>33</v>
      </c>
      <c r="R6" s="27">
        <v>12295752</v>
      </c>
      <c r="S6" s="36">
        <v>1</v>
      </c>
      <c r="T6" s="36">
        <v>1</v>
      </c>
    </row>
    <row r="7" spans="1:20">
      <c r="A7" s="27" t="s">
        <v>3</v>
      </c>
      <c r="B7" s="27">
        <v>12295820</v>
      </c>
      <c r="C7" s="27" t="s">
        <v>16</v>
      </c>
      <c r="D7" s="27">
        <f t="shared" si="0"/>
        <v>0</v>
      </c>
      <c r="E7" s="28">
        <v>0</v>
      </c>
      <c r="F7" s="36">
        <v>0</v>
      </c>
      <c r="G7" s="36">
        <f t="shared" si="2"/>
        <v>0</v>
      </c>
      <c r="H7" s="28">
        <f t="shared" si="1"/>
        <v>0</v>
      </c>
      <c r="I7">
        <f t="shared" si="3"/>
        <v>0</v>
      </c>
      <c r="J7">
        <f t="shared" si="4"/>
        <v>0</v>
      </c>
      <c r="K7" s="38">
        <f t="shared" si="5"/>
        <v>0</v>
      </c>
      <c r="L7" s="38"/>
      <c r="M7">
        <v>560999</v>
      </c>
      <c r="N7">
        <v>33</v>
      </c>
      <c r="R7" s="27">
        <v>12295820</v>
      </c>
      <c r="S7" s="36">
        <v>0</v>
      </c>
      <c r="T7" s="36">
        <v>0</v>
      </c>
    </row>
    <row r="8" spans="1:20">
      <c r="A8" s="27" t="s">
        <v>3</v>
      </c>
      <c r="B8" s="27">
        <v>12295826</v>
      </c>
      <c r="C8" s="27" t="s">
        <v>17</v>
      </c>
      <c r="D8" s="27">
        <f t="shared" si="0"/>
        <v>0</v>
      </c>
      <c r="E8" s="28">
        <v>0</v>
      </c>
      <c r="F8" s="36">
        <v>0</v>
      </c>
      <c r="G8" s="36">
        <f t="shared" si="2"/>
        <v>0</v>
      </c>
      <c r="H8" s="28">
        <f t="shared" si="1"/>
        <v>0</v>
      </c>
      <c r="I8">
        <f t="shared" si="3"/>
        <v>0</v>
      </c>
      <c r="J8">
        <f t="shared" si="4"/>
        <v>0</v>
      </c>
      <c r="K8" s="38">
        <f t="shared" si="5"/>
        <v>0</v>
      </c>
      <c r="L8" s="38"/>
      <c r="M8">
        <v>199290</v>
      </c>
      <c r="N8">
        <v>14</v>
      </c>
      <c r="R8" s="27">
        <v>12295826</v>
      </c>
      <c r="S8" s="36">
        <v>0</v>
      </c>
      <c r="T8" s="36">
        <v>0</v>
      </c>
    </row>
    <row r="9" spans="1:20">
      <c r="A9" s="27" t="s">
        <v>3</v>
      </c>
      <c r="B9" s="27">
        <v>12295833</v>
      </c>
      <c r="C9" s="27" t="s">
        <v>18</v>
      </c>
      <c r="D9" s="27">
        <f t="shared" si="0"/>
        <v>0</v>
      </c>
      <c r="E9" s="28">
        <v>0</v>
      </c>
      <c r="F9" s="36">
        <v>0</v>
      </c>
      <c r="G9" s="36">
        <f t="shared" si="2"/>
        <v>0</v>
      </c>
      <c r="H9" s="28">
        <f t="shared" si="1"/>
        <v>0</v>
      </c>
      <c r="I9">
        <f t="shared" si="3"/>
        <v>0</v>
      </c>
      <c r="J9">
        <f t="shared" si="4"/>
        <v>0</v>
      </c>
      <c r="K9" s="38">
        <f t="shared" si="5"/>
        <v>0</v>
      </c>
      <c r="L9" s="38"/>
      <c r="M9">
        <v>12303922</v>
      </c>
      <c r="N9">
        <v>14</v>
      </c>
      <c r="R9" s="27">
        <v>12295833</v>
      </c>
      <c r="S9" s="36">
        <v>0</v>
      </c>
      <c r="T9" s="36">
        <v>0</v>
      </c>
    </row>
    <row r="10" spans="1:20">
      <c r="A10" s="27" t="s">
        <v>3</v>
      </c>
      <c r="B10" s="27">
        <v>12301356</v>
      </c>
      <c r="C10" s="27" t="s">
        <v>19</v>
      </c>
      <c r="D10" s="27">
        <f t="shared" si="0"/>
        <v>1</v>
      </c>
      <c r="E10" s="28">
        <v>0</v>
      </c>
      <c r="F10" s="36">
        <v>1</v>
      </c>
      <c r="G10" s="36">
        <f t="shared" si="2"/>
        <v>5</v>
      </c>
      <c r="H10" s="28">
        <f t="shared" si="1"/>
        <v>4</v>
      </c>
      <c r="I10">
        <f t="shared" si="3"/>
        <v>1</v>
      </c>
      <c r="J10">
        <f t="shared" si="4"/>
        <v>1</v>
      </c>
      <c r="K10" s="38">
        <f t="shared" si="5"/>
        <v>4</v>
      </c>
      <c r="L10" s="38"/>
      <c r="M10">
        <v>211781</v>
      </c>
      <c r="N10">
        <v>14</v>
      </c>
      <c r="R10" s="27">
        <v>12301356</v>
      </c>
      <c r="S10" s="36">
        <v>3</v>
      </c>
      <c r="T10" s="36">
        <v>3</v>
      </c>
    </row>
    <row r="11" spans="1:20">
      <c r="A11" s="27" t="s">
        <v>3</v>
      </c>
      <c r="B11" s="27">
        <v>12323218</v>
      </c>
      <c r="C11" s="27" t="s">
        <v>20</v>
      </c>
      <c r="D11" s="27">
        <f t="shared" si="0"/>
        <v>1</v>
      </c>
      <c r="E11" s="28">
        <v>0</v>
      </c>
      <c r="F11" s="36">
        <v>1</v>
      </c>
      <c r="G11" s="36">
        <f t="shared" si="2"/>
        <v>1</v>
      </c>
      <c r="H11" s="28">
        <f t="shared" si="1"/>
        <v>0</v>
      </c>
      <c r="I11">
        <f t="shared" si="3"/>
        <v>0</v>
      </c>
      <c r="J11">
        <f t="shared" si="4"/>
        <v>0</v>
      </c>
      <c r="K11" s="38">
        <f t="shared" si="5"/>
        <v>1</v>
      </c>
      <c r="L11" s="38"/>
      <c r="M11">
        <v>458989</v>
      </c>
      <c r="N11">
        <v>14</v>
      </c>
      <c r="R11" s="27">
        <v>12323218</v>
      </c>
      <c r="S11" s="36">
        <v>1</v>
      </c>
      <c r="T11" s="36">
        <v>1</v>
      </c>
    </row>
    <row r="12" spans="1:20">
      <c r="A12" s="27" t="s">
        <v>3</v>
      </c>
      <c r="B12" s="27">
        <v>12324647</v>
      </c>
      <c r="C12" s="27" t="s">
        <v>21</v>
      </c>
      <c r="D12" s="27">
        <f t="shared" si="0"/>
        <v>0</v>
      </c>
      <c r="E12" s="28">
        <v>0</v>
      </c>
      <c r="F12" s="36">
        <v>0</v>
      </c>
      <c r="G12" s="36">
        <f t="shared" si="2"/>
        <v>0</v>
      </c>
      <c r="H12" s="28">
        <f t="shared" si="1"/>
        <v>0</v>
      </c>
      <c r="I12">
        <f t="shared" si="3"/>
        <v>0</v>
      </c>
      <c r="J12">
        <f t="shared" si="4"/>
        <v>0</v>
      </c>
      <c r="K12" s="38">
        <f t="shared" si="5"/>
        <v>0</v>
      </c>
      <c r="L12" s="38"/>
      <c r="M12">
        <v>239978</v>
      </c>
      <c r="N12">
        <v>14</v>
      </c>
      <c r="R12" s="27">
        <v>12324647</v>
      </c>
      <c r="S12" s="36">
        <v>0</v>
      </c>
      <c r="T12" s="36">
        <v>0</v>
      </c>
    </row>
    <row r="13" spans="1:20">
      <c r="A13" s="27" t="s">
        <v>3</v>
      </c>
      <c r="B13" s="27">
        <v>12326118</v>
      </c>
      <c r="C13" s="27" t="s">
        <v>22</v>
      </c>
      <c r="D13" s="27">
        <f t="shared" si="0"/>
        <v>1</v>
      </c>
      <c r="E13" s="28">
        <v>4</v>
      </c>
      <c r="F13" s="36">
        <v>1</v>
      </c>
      <c r="G13" s="36">
        <f t="shared" si="2"/>
        <v>1</v>
      </c>
      <c r="H13" s="28">
        <f t="shared" si="1"/>
        <v>0</v>
      </c>
      <c r="I13">
        <f t="shared" si="3"/>
        <v>0</v>
      </c>
      <c r="J13">
        <f t="shared" si="4"/>
        <v>0</v>
      </c>
      <c r="K13" s="38">
        <f t="shared" si="5"/>
        <v>1</v>
      </c>
      <c r="L13" s="38"/>
      <c r="M13">
        <v>545500</v>
      </c>
      <c r="N13">
        <v>14</v>
      </c>
      <c r="R13" s="27">
        <v>12326118</v>
      </c>
      <c r="S13" s="36">
        <v>1</v>
      </c>
      <c r="T13" s="36">
        <v>1</v>
      </c>
    </row>
    <row r="14" spans="1:20">
      <c r="A14" s="27" t="s">
        <v>3</v>
      </c>
      <c r="B14" s="27">
        <v>12326313</v>
      </c>
      <c r="C14" s="27" t="s">
        <v>23</v>
      </c>
      <c r="D14" s="27">
        <f t="shared" si="0"/>
        <v>1</v>
      </c>
      <c r="E14" s="28">
        <v>0</v>
      </c>
      <c r="F14" s="36">
        <v>1</v>
      </c>
      <c r="G14" s="36">
        <f t="shared" si="2"/>
        <v>2</v>
      </c>
      <c r="H14" s="28">
        <f t="shared" si="1"/>
        <v>1</v>
      </c>
      <c r="I14">
        <f t="shared" si="3"/>
        <v>0</v>
      </c>
      <c r="J14">
        <f t="shared" si="4"/>
        <v>0</v>
      </c>
      <c r="K14" s="38">
        <f t="shared" si="5"/>
        <v>2</v>
      </c>
      <c r="L14" s="38"/>
      <c r="M14">
        <v>12332492</v>
      </c>
      <c r="N14">
        <v>66</v>
      </c>
      <c r="R14" s="27">
        <v>12326313</v>
      </c>
      <c r="S14" s="36">
        <v>1</v>
      </c>
      <c r="T14" s="36">
        <v>4</v>
      </c>
    </row>
    <row r="15" spans="1:20">
      <c r="A15" s="27" t="s">
        <v>3</v>
      </c>
      <c r="B15" s="27">
        <v>12326533</v>
      </c>
      <c r="C15" s="27" t="s">
        <v>24</v>
      </c>
      <c r="D15" s="27">
        <f t="shared" si="0"/>
        <v>0</v>
      </c>
      <c r="E15" s="28">
        <v>0</v>
      </c>
      <c r="F15" s="36">
        <v>30</v>
      </c>
      <c r="G15" s="36">
        <f t="shared" si="2"/>
        <v>0</v>
      </c>
      <c r="H15" s="28">
        <f t="shared" si="1"/>
        <v>0</v>
      </c>
      <c r="I15">
        <f t="shared" si="3"/>
        <v>0</v>
      </c>
      <c r="J15">
        <f t="shared" si="4"/>
        <v>0</v>
      </c>
      <c r="K15" s="38">
        <f t="shared" si="5"/>
        <v>0</v>
      </c>
      <c r="L15" s="38"/>
      <c r="M15">
        <v>127104</v>
      </c>
      <c r="N15">
        <v>47</v>
      </c>
      <c r="R15" s="27">
        <v>12326533</v>
      </c>
      <c r="S15" s="36">
        <v>0</v>
      </c>
      <c r="T15" s="36">
        <v>0</v>
      </c>
    </row>
    <row r="16" spans="1:20">
      <c r="A16" s="27" t="s">
        <v>3</v>
      </c>
      <c r="B16" s="27">
        <v>12326920</v>
      </c>
      <c r="C16" s="27" t="s">
        <v>25</v>
      </c>
      <c r="D16" s="27">
        <f t="shared" si="0"/>
        <v>0</v>
      </c>
      <c r="E16" s="28">
        <v>2</v>
      </c>
      <c r="F16" s="36">
        <v>1</v>
      </c>
      <c r="G16" s="36">
        <f t="shared" si="2"/>
        <v>0</v>
      </c>
      <c r="H16" s="28">
        <f t="shared" si="1"/>
        <v>0</v>
      </c>
      <c r="I16">
        <f t="shared" si="3"/>
        <v>0</v>
      </c>
      <c r="J16">
        <f t="shared" si="4"/>
        <v>0</v>
      </c>
      <c r="K16" s="38">
        <f t="shared" si="5"/>
        <v>0</v>
      </c>
      <c r="L16" s="38"/>
      <c r="M16">
        <v>12301184</v>
      </c>
      <c r="N16">
        <v>28</v>
      </c>
      <c r="R16" s="27">
        <v>12326920</v>
      </c>
      <c r="S16" s="36">
        <v>0</v>
      </c>
      <c r="T16" s="36">
        <v>0</v>
      </c>
    </row>
    <row r="17" spans="1:20">
      <c r="A17" s="27" t="s">
        <v>3</v>
      </c>
      <c r="B17" s="27">
        <v>1661</v>
      </c>
      <c r="C17" s="27" t="s">
        <v>26</v>
      </c>
      <c r="D17" s="27">
        <f t="shared" si="0"/>
        <v>0</v>
      </c>
      <c r="E17" s="28">
        <v>0</v>
      </c>
      <c r="F17" s="36">
        <v>1</v>
      </c>
      <c r="G17" s="36">
        <f t="shared" si="2"/>
        <v>0</v>
      </c>
      <c r="H17" s="28">
        <f t="shared" si="1"/>
        <v>0</v>
      </c>
      <c r="I17">
        <f t="shared" si="3"/>
        <v>0</v>
      </c>
      <c r="J17">
        <f t="shared" si="4"/>
        <v>0</v>
      </c>
      <c r="K17" s="38">
        <f t="shared" si="5"/>
        <v>0</v>
      </c>
      <c r="L17" s="38"/>
      <c r="M17">
        <v>543826</v>
      </c>
      <c r="N17">
        <v>28</v>
      </c>
      <c r="R17" s="27">
        <v>1661</v>
      </c>
      <c r="S17" s="36">
        <v>0</v>
      </c>
      <c r="T17" s="36">
        <v>0</v>
      </c>
    </row>
    <row r="18" spans="1:20">
      <c r="A18" s="27" t="s">
        <v>3</v>
      </c>
      <c r="B18" s="27">
        <v>213944</v>
      </c>
      <c r="C18" s="27" t="s">
        <v>27</v>
      </c>
      <c r="D18" s="27">
        <f t="shared" si="0"/>
        <v>1</v>
      </c>
      <c r="E18" s="28">
        <v>1</v>
      </c>
      <c r="F18" s="36">
        <v>1</v>
      </c>
      <c r="G18" s="36">
        <f t="shared" si="2"/>
        <v>7</v>
      </c>
      <c r="H18" s="28">
        <f t="shared" si="1"/>
        <v>6</v>
      </c>
      <c r="I18">
        <f t="shared" si="3"/>
        <v>1</v>
      </c>
      <c r="J18">
        <f t="shared" si="4"/>
        <v>1</v>
      </c>
      <c r="K18" s="38">
        <f t="shared" si="5"/>
        <v>6</v>
      </c>
      <c r="L18" s="38"/>
      <c r="M18">
        <v>510981</v>
      </c>
      <c r="N18">
        <v>9</v>
      </c>
      <c r="R18" s="27">
        <v>213944</v>
      </c>
      <c r="S18" s="36">
        <v>5</v>
      </c>
      <c r="T18" s="36">
        <v>7</v>
      </c>
    </row>
    <row r="19" spans="1:20">
      <c r="A19" s="27" t="s">
        <v>3</v>
      </c>
      <c r="B19" s="27">
        <v>240048</v>
      </c>
      <c r="C19" s="27" t="s">
        <v>28</v>
      </c>
      <c r="D19" s="27">
        <f t="shared" si="0"/>
        <v>1</v>
      </c>
      <c r="E19" s="28">
        <v>2</v>
      </c>
      <c r="F19" s="36">
        <v>1</v>
      </c>
      <c r="G19" s="36">
        <f t="shared" si="2"/>
        <v>1</v>
      </c>
      <c r="H19" s="28">
        <f t="shared" si="1"/>
        <v>0</v>
      </c>
      <c r="I19">
        <f t="shared" si="3"/>
        <v>0</v>
      </c>
      <c r="J19">
        <f t="shared" si="4"/>
        <v>0</v>
      </c>
      <c r="K19" s="38">
        <f t="shared" si="5"/>
        <v>1</v>
      </c>
      <c r="L19" s="38"/>
      <c r="M19">
        <v>211570</v>
      </c>
      <c r="N19">
        <v>9</v>
      </c>
      <c r="R19" s="27">
        <v>240048</v>
      </c>
      <c r="S19" s="36">
        <v>1</v>
      </c>
      <c r="T19" s="36">
        <v>1</v>
      </c>
    </row>
    <row r="20" spans="1:20">
      <c r="A20" s="27" t="s">
        <v>3</v>
      </c>
      <c r="B20" s="27">
        <v>287403</v>
      </c>
      <c r="C20" s="27" t="s">
        <v>30</v>
      </c>
      <c r="D20" s="27">
        <f t="shared" si="0"/>
        <v>0</v>
      </c>
      <c r="E20" s="28">
        <v>3</v>
      </c>
      <c r="F20" s="36">
        <v>1</v>
      </c>
      <c r="G20" s="36">
        <f t="shared" si="2"/>
        <v>0</v>
      </c>
      <c r="H20" s="28">
        <f t="shared" si="1"/>
        <v>0</v>
      </c>
      <c r="I20">
        <f t="shared" si="3"/>
        <v>0</v>
      </c>
      <c r="J20">
        <f t="shared" si="4"/>
        <v>0</v>
      </c>
      <c r="K20" s="38">
        <f t="shared" si="5"/>
        <v>0</v>
      </c>
      <c r="L20" s="38"/>
      <c r="M20">
        <v>116871</v>
      </c>
      <c r="N20">
        <v>9</v>
      </c>
      <c r="R20" s="27">
        <v>287403</v>
      </c>
      <c r="S20" s="36">
        <v>0</v>
      </c>
      <c r="T20" s="36">
        <v>0</v>
      </c>
    </row>
    <row r="21" spans="1:20">
      <c r="A21" s="27" t="s">
        <v>3</v>
      </c>
      <c r="B21" s="27">
        <v>287622</v>
      </c>
      <c r="C21" s="27" t="s">
        <v>31</v>
      </c>
      <c r="D21" s="27">
        <f t="shared" si="0"/>
        <v>1</v>
      </c>
      <c r="E21" s="28">
        <v>1</v>
      </c>
      <c r="F21" s="36">
        <v>1</v>
      </c>
      <c r="G21" s="36">
        <f t="shared" si="2"/>
        <v>1</v>
      </c>
      <c r="H21" s="28">
        <f t="shared" si="1"/>
        <v>0</v>
      </c>
      <c r="I21">
        <f t="shared" si="3"/>
        <v>0</v>
      </c>
      <c r="J21">
        <f t="shared" si="4"/>
        <v>0</v>
      </c>
      <c r="K21" s="38">
        <f t="shared" si="5"/>
        <v>1</v>
      </c>
      <c r="L21" s="38"/>
      <c r="M21">
        <v>61917</v>
      </c>
      <c r="N21">
        <v>9</v>
      </c>
      <c r="R21" s="27">
        <v>287622</v>
      </c>
      <c r="S21" s="36">
        <v>0</v>
      </c>
      <c r="T21" s="36">
        <v>0</v>
      </c>
    </row>
    <row r="22" spans="1:20">
      <c r="A22" s="27" t="s">
        <v>3</v>
      </c>
      <c r="B22" s="27">
        <v>301600</v>
      </c>
      <c r="C22" s="27" t="s">
        <v>32</v>
      </c>
      <c r="D22" s="27">
        <f t="shared" si="0"/>
        <v>1</v>
      </c>
      <c r="E22" s="28">
        <v>1</v>
      </c>
      <c r="F22" s="36">
        <v>1</v>
      </c>
      <c r="G22" s="36">
        <f t="shared" si="2"/>
        <v>2</v>
      </c>
      <c r="H22" s="28">
        <f t="shared" si="1"/>
        <v>1</v>
      </c>
      <c r="I22">
        <f t="shared" si="3"/>
        <v>0</v>
      </c>
      <c r="J22">
        <f t="shared" si="4"/>
        <v>0</v>
      </c>
      <c r="K22" s="38">
        <f t="shared" si="5"/>
        <v>2</v>
      </c>
      <c r="L22" s="38"/>
      <c r="M22">
        <v>12296068</v>
      </c>
      <c r="N22">
        <v>9</v>
      </c>
      <c r="R22" s="27">
        <v>301600</v>
      </c>
      <c r="S22" s="36">
        <v>0</v>
      </c>
      <c r="T22" s="36">
        <v>0</v>
      </c>
    </row>
    <row r="23" spans="1:20">
      <c r="A23" s="27" t="s">
        <v>3</v>
      </c>
      <c r="B23" s="27">
        <v>347538</v>
      </c>
      <c r="C23" s="27" t="s">
        <v>33</v>
      </c>
      <c r="D23" s="27">
        <f t="shared" si="0"/>
        <v>1</v>
      </c>
      <c r="E23" s="28">
        <v>1</v>
      </c>
      <c r="F23" s="36">
        <v>1</v>
      </c>
      <c r="G23" s="36">
        <f t="shared" si="2"/>
        <v>2</v>
      </c>
      <c r="H23" s="28">
        <f t="shared" si="1"/>
        <v>1</v>
      </c>
      <c r="I23">
        <f t="shared" si="3"/>
        <v>0</v>
      </c>
      <c r="J23">
        <f t="shared" si="4"/>
        <v>0</v>
      </c>
      <c r="K23" s="38">
        <f t="shared" si="5"/>
        <v>2</v>
      </c>
      <c r="L23" s="38"/>
      <c r="M23">
        <v>366731</v>
      </c>
      <c r="N23">
        <v>9</v>
      </c>
      <c r="R23" s="27">
        <v>347538</v>
      </c>
      <c r="S23" s="36">
        <v>0</v>
      </c>
      <c r="T23" s="36">
        <v>0</v>
      </c>
    </row>
    <row r="24" spans="1:20">
      <c r="A24" s="27" t="s">
        <v>3</v>
      </c>
      <c r="B24" s="27">
        <v>358231</v>
      </c>
      <c r="C24" s="27" t="s">
        <v>34</v>
      </c>
      <c r="D24" s="27">
        <f t="shared" si="0"/>
        <v>0</v>
      </c>
      <c r="E24" s="28">
        <v>0</v>
      </c>
      <c r="F24" s="36">
        <v>1</v>
      </c>
      <c r="G24" s="36">
        <f t="shared" si="2"/>
        <v>0</v>
      </c>
      <c r="H24" s="28">
        <f t="shared" si="1"/>
        <v>0</v>
      </c>
      <c r="I24">
        <f t="shared" si="3"/>
        <v>0</v>
      </c>
      <c r="J24">
        <f t="shared" si="4"/>
        <v>0</v>
      </c>
      <c r="K24" s="38">
        <f t="shared" si="5"/>
        <v>0</v>
      </c>
      <c r="L24" s="38"/>
      <c r="M24">
        <v>407275</v>
      </c>
      <c r="N24">
        <v>9</v>
      </c>
      <c r="R24" s="27">
        <v>358231</v>
      </c>
      <c r="S24" s="36">
        <v>0</v>
      </c>
      <c r="T24" s="36">
        <v>0</v>
      </c>
    </row>
    <row r="25" spans="1:20">
      <c r="A25" s="27" t="s">
        <v>3</v>
      </c>
      <c r="B25" s="27">
        <v>368809</v>
      </c>
      <c r="C25" s="27" t="s">
        <v>35</v>
      </c>
      <c r="D25" s="27">
        <f t="shared" si="0"/>
        <v>1</v>
      </c>
      <c r="E25" s="28">
        <v>0</v>
      </c>
      <c r="F25" s="36">
        <v>1</v>
      </c>
      <c r="G25" s="36">
        <f t="shared" si="2"/>
        <v>1</v>
      </c>
      <c r="H25" s="28">
        <f t="shared" si="1"/>
        <v>0</v>
      </c>
      <c r="I25">
        <f t="shared" si="3"/>
        <v>0</v>
      </c>
      <c r="J25">
        <f t="shared" si="4"/>
        <v>0</v>
      </c>
      <c r="K25" s="38">
        <f t="shared" si="5"/>
        <v>1</v>
      </c>
      <c r="L25" s="38"/>
      <c r="M25">
        <v>445499</v>
      </c>
      <c r="N25">
        <v>9</v>
      </c>
      <c r="R25" s="27">
        <v>368809</v>
      </c>
      <c r="S25" s="36">
        <v>1</v>
      </c>
      <c r="T25" s="36">
        <v>1</v>
      </c>
    </row>
    <row r="26" spans="1:20">
      <c r="A26" s="27" t="s">
        <v>3</v>
      </c>
      <c r="B26" s="27">
        <v>385575</v>
      </c>
      <c r="C26" s="27" t="s">
        <v>36</v>
      </c>
      <c r="D26" s="27">
        <f t="shared" si="0"/>
        <v>0</v>
      </c>
      <c r="E26" s="28">
        <v>0</v>
      </c>
      <c r="F26" s="36">
        <v>0</v>
      </c>
      <c r="G26" s="36">
        <f t="shared" si="2"/>
        <v>0</v>
      </c>
      <c r="H26" s="28">
        <f t="shared" si="1"/>
        <v>0</v>
      </c>
      <c r="I26">
        <f t="shared" si="3"/>
        <v>0</v>
      </c>
      <c r="J26">
        <f t="shared" si="4"/>
        <v>0</v>
      </c>
      <c r="K26" s="38">
        <f t="shared" si="5"/>
        <v>0</v>
      </c>
      <c r="L26" s="38"/>
      <c r="M26">
        <v>342246</v>
      </c>
      <c r="N26">
        <v>9</v>
      </c>
      <c r="R26" s="27">
        <v>385575</v>
      </c>
      <c r="S26" s="36">
        <v>0</v>
      </c>
      <c r="T26" s="36">
        <v>0</v>
      </c>
    </row>
    <row r="27" spans="1:20">
      <c r="A27" s="27" t="s">
        <v>3</v>
      </c>
      <c r="B27" s="27">
        <v>408290</v>
      </c>
      <c r="C27" s="27" t="s">
        <v>37</v>
      </c>
      <c r="D27" s="27">
        <f t="shared" si="0"/>
        <v>1</v>
      </c>
      <c r="E27" s="28">
        <v>1</v>
      </c>
      <c r="F27" s="36">
        <v>1</v>
      </c>
      <c r="G27" s="36">
        <f t="shared" si="2"/>
        <v>2</v>
      </c>
      <c r="H27" s="28">
        <f t="shared" si="1"/>
        <v>1</v>
      </c>
      <c r="I27">
        <f t="shared" si="3"/>
        <v>0</v>
      </c>
      <c r="J27">
        <f t="shared" si="4"/>
        <v>0</v>
      </c>
      <c r="K27" s="38">
        <f t="shared" si="5"/>
        <v>2</v>
      </c>
      <c r="L27" s="38"/>
      <c r="M27">
        <v>357286</v>
      </c>
      <c r="N27">
        <v>9</v>
      </c>
      <c r="R27" s="27">
        <v>408290</v>
      </c>
      <c r="S27" s="36">
        <v>1</v>
      </c>
      <c r="T27" s="36">
        <v>1</v>
      </c>
    </row>
    <row r="28" spans="1:20">
      <c r="A28" s="27" t="s">
        <v>3</v>
      </c>
      <c r="B28" s="27">
        <v>416191</v>
      </c>
      <c r="C28" s="27" t="s">
        <v>38</v>
      </c>
      <c r="D28" s="27">
        <f t="shared" si="0"/>
        <v>0</v>
      </c>
      <c r="E28" s="28">
        <v>1</v>
      </c>
      <c r="F28" s="36">
        <v>1</v>
      </c>
      <c r="G28" s="36">
        <f t="shared" si="2"/>
        <v>0</v>
      </c>
      <c r="H28" s="28">
        <f t="shared" si="1"/>
        <v>0</v>
      </c>
      <c r="I28">
        <f t="shared" si="3"/>
        <v>0</v>
      </c>
      <c r="J28">
        <f t="shared" si="4"/>
        <v>0</v>
      </c>
      <c r="K28" s="38">
        <f t="shared" si="5"/>
        <v>0</v>
      </c>
      <c r="L28" s="38"/>
      <c r="M28">
        <v>546124</v>
      </c>
      <c r="N28">
        <v>9</v>
      </c>
      <c r="R28" s="27">
        <v>416191</v>
      </c>
      <c r="S28" s="36">
        <v>0</v>
      </c>
      <c r="T28" s="36">
        <v>0</v>
      </c>
    </row>
    <row r="29" spans="1:20">
      <c r="A29" s="27" t="s">
        <v>3</v>
      </c>
      <c r="B29" s="27">
        <v>484741</v>
      </c>
      <c r="C29" s="27" t="s">
        <v>39</v>
      </c>
      <c r="D29" s="27">
        <f t="shared" si="0"/>
        <v>0</v>
      </c>
      <c r="E29" s="28">
        <v>1</v>
      </c>
      <c r="F29" s="36">
        <v>1</v>
      </c>
      <c r="G29" s="36">
        <f t="shared" si="2"/>
        <v>0</v>
      </c>
      <c r="H29" s="28">
        <f t="shared" si="1"/>
        <v>0</v>
      </c>
      <c r="I29">
        <f t="shared" si="3"/>
        <v>0</v>
      </c>
      <c r="J29">
        <f t="shared" si="4"/>
        <v>0</v>
      </c>
      <c r="K29" s="38">
        <f t="shared" si="5"/>
        <v>0</v>
      </c>
      <c r="L29" s="38"/>
      <c r="M29">
        <v>277793</v>
      </c>
      <c r="N29">
        <v>9</v>
      </c>
      <c r="R29" s="27">
        <v>484741</v>
      </c>
      <c r="S29" s="36">
        <v>0</v>
      </c>
      <c r="T29" s="36">
        <v>0</v>
      </c>
    </row>
    <row r="30" spans="1:20">
      <c r="A30" s="27" t="s">
        <v>3</v>
      </c>
      <c r="B30" s="27">
        <v>486638</v>
      </c>
      <c r="C30" s="27" t="s">
        <v>40</v>
      </c>
      <c r="D30" s="27">
        <f t="shared" si="0"/>
        <v>1</v>
      </c>
      <c r="E30" s="28">
        <v>2</v>
      </c>
      <c r="F30" s="36">
        <v>1</v>
      </c>
      <c r="G30" s="36">
        <f t="shared" si="2"/>
        <v>1</v>
      </c>
      <c r="H30" s="28">
        <f t="shared" si="1"/>
        <v>0</v>
      </c>
      <c r="I30">
        <f t="shared" si="3"/>
        <v>0</v>
      </c>
      <c r="J30">
        <f t="shared" si="4"/>
        <v>0</v>
      </c>
      <c r="K30" s="38">
        <f t="shared" si="5"/>
        <v>1</v>
      </c>
      <c r="L30" s="38"/>
      <c r="M30">
        <v>494962</v>
      </c>
      <c r="N30">
        <v>9</v>
      </c>
      <c r="R30" s="27">
        <v>486638</v>
      </c>
      <c r="S30" s="36">
        <v>1</v>
      </c>
      <c r="T30" s="36">
        <v>1</v>
      </c>
    </row>
    <row r="31" spans="1:20">
      <c r="A31" s="27" t="s">
        <v>3</v>
      </c>
      <c r="B31" s="27">
        <v>491288</v>
      </c>
      <c r="C31" s="27" t="s">
        <v>41</v>
      </c>
      <c r="D31" s="27">
        <f t="shared" si="0"/>
        <v>0</v>
      </c>
      <c r="E31" s="28">
        <v>0</v>
      </c>
      <c r="F31" s="36">
        <v>1</v>
      </c>
      <c r="G31" s="36">
        <f t="shared" si="2"/>
        <v>0</v>
      </c>
      <c r="H31" s="28">
        <f t="shared" si="1"/>
        <v>0</v>
      </c>
      <c r="I31">
        <f t="shared" si="3"/>
        <v>0</v>
      </c>
      <c r="J31">
        <f t="shared" si="4"/>
        <v>0</v>
      </c>
      <c r="K31" s="38">
        <f t="shared" si="5"/>
        <v>0</v>
      </c>
      <c r="L31" s="38"/>
      <c r="M31">
        <v>347320</v>
      </c>
      <c r="N31">
        <v>9</v>
      </c>
      <c r="R31" s="27">
        <v>491288</v>
      </c>
      <c r="S31" s="36">
        <v>0</v>
      </c>
      <c r="T31" s="36">
        <v>0</v>
      </c>
    </row>
    <row r="32" spans="1:20">
      <c r="A32" s="27" t="s">
        <v>3</v>
      </c>
      <c r="B32" s="27">
        <v>501643</v>
      </c>
      <c r="C32" s="27" t="s">
        <v>42</v>
      </c>
      <c r="D32" s="27">
        <f t="shared" si="0"/>
        <v>0</v>
      </c>
      <c r="E32" s="28">
        <v>0</v>
      </c>
      <c r="F32" s="36">
        <v>1</v>
      </c>
      <c r="G32" s="36">
        <f t="shared" si="2"/>
        <v>0</v>
      </c>
      <c r="H32" s="28">
        <f t="shared" si="1"/>
        <v>0</v>
      </c>
      <c r="I32">
        <f t="shared" si="3"/>
        <v>0</v>
      </c>
      <c r="J32">
        <f t="shared" si="4"/>
        <v>0</v>
      </c>
      <c r="K32" s="38">
        <f t="shared" si="5"/>
        <v>0</v>
      </c>
      <c r="L32" s="38"/>
      <c r="M32">
        <v>415949</v>
      </c>
      <c r="N32">
        <v>137</v>
      </c>
      <c r="R32" s="27">
        <v>501643</v>
      </c>
      <c r="S32" s="36">
        <v>0</v>
      </c>
      <c r="T32" s="36">
        <v>0</v>
      </c>
    </row>
    <row r="33" spans="1:20">
      <c r="A33" s="27" t="s">
        <v>3</v>
      </c>
      <c r="B33" s="27">
        <v>519286</v>
      </c>
      <c r="C33" s="27" t="s">
        <v>43</v>
      </c>
      <c r="D33" s="27">
        <f t="shared" si="0"/>
        <v>1</v>
      </c>
      <c r="E33" s="28">
        <v>0</v>
      </c>
      <c r="F33" s="36">
        <v>1</v>
      </c>
      <c r="G33" s="36">
        <f t="shared" si="2"/>
        <v>1</v>
      </c>
      <c r="H33" s="28">
        <f t="shared" si="1"/>
        <v>0</v>
      </c>
      <c r="I33">
        <f t="shared" si="3"/>
        <v>0</v>
      </c>
      <c r="J33">
        <f t="shared" si="4"/>
        <v>0</v>
      </c>
      <c r="K33" s="38">
        <f t="shared" si="5"/>
        <v>1</v>
      </c>
      <c r="L33" s="38"/>
      <c r="M33">
        <v>575012</v>
      </c>
      <c r="N33">
        <v>23</v>
      </c>
      <c r="R33" s="27">
        <v>519286</v>
      </c>
      <c r="S33" s="36">
        <v>0</v>
      </c>
      <c r="T33" s="36">
        <v>0</v>
      </c>
    </row>
    <row r="34" spans="1:20">
      <c r="A34" s="27" t="s">
        <v>3</v>
      </c>
      <c r="B34" s="27">
        <v>522623</v>
      </c>
      <c r="C34" s="27" t="s">
        <v>44</v>
      </c>
      <c r="D34" s="27">
        <f t="shared" si="0"/>
        <v>1</v>
      </c>
      <c r="E34" s="28">
        <v>1</v>
      </c>
      <c r="F34" s="36">
        <v>1</v>
      </c>
      <c r="G34" s="36">
        <f t="shared" si="2"/>
        <v>10</v>
      </c>
      <c r="H34" s="28">
        <f t="shared" si="1"/>
        <v>9</v>
      </c>
      <c r="I34">
        <f t="shared" si="3"/>
        <v>1</v>
      </c>
      <c r="J34">
        <f t="shared" si="4"/>
        <v>1</v>
      </c>
      <c r="K34" s="38">
        <f t="shared" si="5"/>
        <v>9</v>
      </c>
      <c r="L34" s="38"/>
      <c r="M34">
        <v>62277</v>
      </c>
      <c r="N34">
        <v>23</v>
      </c>
      <c r="R34" s="27">
        <v>522623</v>
      </c>
      <c r="S34" s="36">
        <v>5</v>
      </c>
      <c r="T34" s="36">
        <v>5</v>
      </c>
    </row>
    <row r="35" spans="1:20">
      <c r="A35" s="27" t="s">
        <v>3</v>
      </c>
      <c r="B35" s="27">
        <v>523194</v>
      </c>
      <c r="C35" s="27" t="s">
        <v>45</v>
      </c>
      <c r="D35" s="27">
        <f t="shared" si="0"/>
        <v>1</v>
      </c>
      <c r="E35" s="28">
        <v>0</v>
      </c>
      <c r="F35" s="36">
        <v>2</v>
      </c>
      <c r="G35" s="36">
        <f t="shared" si="2"/>
        <v>1</v>
      </c>
      <c r="H35" s="28">
        <f t="shared" si="1"/>
        <v>0</v>
      </c>
      <c r="I35">
        <f t="shared" si="3"/>
        <v>0</v>
      </c>
      <c r="J35">
        <f t="shared" si="4"/>
        <v>0</v>
      </c>
      <c r="K35" s="38">
        <f t="shared" si="5"/>
        <v>1</v>
      </c>
      <c r="L35" s="38"/>
      <c r="M35">
        <v>12322963</v>
      </c>
      <c r="N35">
        <v>23</v>
      </c>
      <c r="R35" s="27">
        <v>523194</v>
      </c>
      <c r="S35" s="36">
        <v>1</v>
      </c>
      <c r="T35" s="36">
        <v>1</v>
      </c>
    </row>
    <row r="36" spans="1:20">
      <c r="A36" s="27" t="s">
        <v>3</v>
      </c>
      <c r="B36" s="27">
        <v>523935</v>
      </c>
      <c r="C36" s="27" t="s">
        <v>46</v>
      </c>
      <c r="D36" s="27">
        <f t="shared" si="0"/>
        <v>0</v>
      </c>
      <c r="E36" s="28">
        <v>0</v>
      </c>
      <c r="F36" s="36">
        <v>1</v>
      </c>
      <c r="G36" s="36">
        <f t="shared" si="2"/>
        <v>0</v>
      </c>
      <c r="H36" s="28">
        <f t="shared" si="1"/>
        <v>0</v>
      </c>
      <c r="I36">
        <f t="shared" si="3"/>
        <v>0</v>
      </c>
      <c r="J36">
        <f t="shared" si="4"/>
        <v>0</v>
      </c>
      <c r="K36" s="38">
        <f t="shared" si="5"/>
        <v>0</v>
      </c>
      <c r="L36" s="38"/>
      <c r="M36">
        <v>127206</v>
      </c>
      <c r="N36">
        <v>4</v>
      </c>
      <c r="R36" s="27">
        <v>523935</v>
      </c>
      <c r="S36" s="36">
        <v>0</v>
      </c>
      <c r="T36" s="36">
        <v>0</v>
      </c>
    </row>
    <row r="37" spans="1:20">
      <c r="A37" s="27" t="s">
        <v>3</v>
      </c>
      <c r="B37" s="27">
        <v>523938</v>
      </c>
      <c r="C37" s="27" t="s">
        <v>47</v>
      </c>
      <c r="D37" s="27">
        <f t="shared" si="0"/>
        <v>0</v>
      </c>
      <c r="E37" s="28">
        <v>0</v>
      </c>
      <c r="F37" s="36">
        <v>1</v>
      </c>
      <c r="G37" s="36">
        <f t="shared" si="2"/>
        <v>0</v>
      </c>
      <c r="H37" s="28">
        <f t="shared" si="1"/>
        <v>0</v>
      </c>
      <c r="I37">
        <f t="shared" si="3"/>
        <v>0</v>
      </c>
      <c r="J37">
        <f t="shared" si="4"/>
        <v>0</v>
      </c>
      <c r="K37" s="38">
        <f t="shared" si="5"/>
        <v>0</v>
      </c>
      <c r="L37" s="38"/>
      <c r="M37">
        <v>511938</v>
      </c>
      <c r="N37">
        <v>4</v>
      </c>
      <c r="R37" s="27">
        <v>523938</v>
      </c>
      <c r="S37" s="36">
        <v>0</v>
      </c>
      <c r="T37" s="36">
        <v>0</v>
      </c>
    </row>
    <row r="38" spans="1:20">
      <c r="A38" s="27" t="s">
        <v>3</v>
      </c>
      <c r="B38" s="27">
        <v>524281</v>
      </c>
      <c r="C38" s="27" t="s">
        <v>48</v>
      </c>
      <c r="D38" s="27">
        <f t="shared" si="0"/>
        <v>0</v>
      </c>
      <c r="E38" s="28">
        <v>0</v>
      </c>
      <c r="F38" s="36">
        <v>1</v>
      </c>
      <c r="G38" s="36">
        <f t="shared" si="2"/>
        <v>0</v>
      </c>
      <c r="H38" s="28">
        <f t="shared" si="1"/>
        <v>0</v>
      </c>
      <c r="I38">
        <f t="shared" si="3"/>
        <v>0</v>
      </c>
      <c r="J38">
        <f t="shared" si="4"/>
        <v>0</v>
      </c>
      <c r="K38" s="38">
        <f t="shared" si="5"/>
        <v>0</v>
      </c>
      <c r="L38" s="38"/>
      <c r="M38">
        <v>489716</v>
      </c>
      <c r="N38">
        <v>4</v>
      </c>
      <c r="R38" s="27">
        <v>524281</v>
      </c>
      <c r="S38" s="36">
        <v>0</v>
      </c>
      <c r="T38" s="36">
        <v>0</v>
      </c>
    </row>
    <row r="39" spans="1:20">
      <c r="A39" s="27" t="s">
        <v>3</v>
      </c>
      <c r="B39" s="27">
        <v>524283</v>
      </c>
      <c r="C39" s="27" t="s">
        <v>49</v>
      </c>
      <c r="D39" s="27">
        <f t="shared" si="0"/>
        <v>0</v>
      </c>
      <c r="E39" s="28">
        <v>0</v>
      </c>
      <c r="F39" s="36">
        <v>1</v>
      </c>
      <c r="G39" s="36">
        <f t="shared" si="2"/>
        <v>0</v>
      </c>
      <c r="H39" s="28">
        <f t="shared" si="1"/>
        <v>0</v>
      </c>
      <c r="I39">
        <f t="shared" si="3"/>
        <v>0</v>
      </c>
      <c r="J39">
        <f t="shared" si="4"/>
        <v>0</v>
      </c>
      <c r="K39" s="38">
        <f t="shared" si="5"/>
        <v>0</v>
      </c>
      <c r="L39" s="38"/>
      <c r="M39">
        <v>402496</v>
      </c>
      <c r="N39">
        <v>4</v>
      </c>
      <c r="R39" s="27">
        <v>524283</v>
      </c>
      <c r="S39" s="36">
        <v>0</v>
      </c>
      <c r="T39" s="36">
        <v>0</v>
      </c>
    </row>
    <row r="40" spans="1:20">
      <c r="A40" s="27" t="s">
        <v>3</v>
      </c>
      <c r="B40" s="27">
        <v>525590</v>
      </c>
      <c r="C40" s="27" t="s">
        <v>50</v>
      </c>
      <c r="D40" s="27">
        <f t="shared" si="0"/>
        <v>1</v>
      </c>
      <c r="E40" s="28">
        <v>0</v>
      </c>
      <c r="F40" s="36">
        <v>2</v>
      </c>
      <c r="G40" s="36">
        <f t="shared" si="2"/>
        <v>1</v>
      </c>
      <c r="H40" s="28">
        <f t="shared" si="1"/>
        <v>0</v>
      </c>
      <c r="I40">
        <f t="shared" si="3"/>
        <v>0</v>
      </c>
      <c r="J40">
        <f t="shared" si="4"/>
        <v>0</v>
      </c>
      <c r="K40" s="38">
        <f t="shared" si="5"/>
        <v>1</v>
      </c>
      <c r="L40" s="38"/>
      <c r="M40">
        <v>416899</v>
      </c>
      <c r="N40">
        <v>4</v>
      </c>
      <c r="R40" s="27">
        <v>525590</v>
      </c>
      <c r="S40" s="36">
        <v>0</v>
      </c>
      <c r="T40" s="36">
        <v>0</v>
      </c>
    </row>
    <row r="41" spans="1:20">
      <c r="A41" s="27" t="s">
        <v>3</v>
      </c>
      <c r="B41" s="27">
        <v>530058</v>
      </c>
      <c r="C41" s="27" t="s">
        <v>51</v>
      </c>
      <c r="D41" s="27">
        <f t="shared" si="0"/>
        <v>1</v>
      </c>
      <c r="E41" s="28">
        <v>4</v>
      </c>
      <c r="F41" s="36">
        <v>1</v>
      </c>
      <c r="G41" s="36">
        <f t="shared" si="2"/>
        <v>1</v>
      </c>
      <c r="H41" s="28">
        <f t="shared" si="1"/>
        <v>0</v>
      </c>
      <c r="I41">
        <f t="shared" si="3"/>
        <v>0</v>
      </c>
      <c r="J41">
        <f t="shared" si="4"/>
        <v>0</v>
      </c>
      <c r="K41" s="38">
        <f t="shared" si="5"/>
        <v>1</v>
      </c>
      <c r="L41" s="38"/>
      <c r="M41">
        <v>277093</v>
      </c>
      <c r="N41">
        <v>4</v>
      </c>
      <c r="R41" s="27">
        <v>530058</v>
      </c>
      <c r="S41" s="36">
        <v>0</v>
      </c>
      <c r="T41" s="36">
        <v>0</v>
      </c>
    </row>
    <row r="42" spans="1:20">
      <c r="A42" s="27" t="s">
        <v>3</v>
      </c>
      <c r="B42" s="27">
        <v>535790</v>
      </c>
      <c r="C42" s="27" t="s">
        <v>52</v>
      </c>
      <c r="D42" s="27">
        <f t="shared" si="0"/>
        <v>1</v>
      </c>
      <c r="E42" s="28">
        <v>2</v>
      </c>
      <c r="F42" s="36">
        <v>1</v>
      </c>
      <c r="G42" s="36">
        <f t="shared" si="2"/>
        <v>4</v>
      </c>
      <c r="H42" s="28">
        <f t="shared" si="1"/>
        <v>3</v>
      </c>
      <c r="I42">
        <f t="shared" si="3"/>
        <v>1</v>
      </c>
      <c r="J42">
        <f t="shared" si="4"/>
        <v>1</v>
      </c>
      <c r="K42" s="38">
        <f t="shared" si="5"/>
        <v>3</v>
      </c>
      <c r="L42" s="38"/>
      <c r="M42">
        <v>211662</v>
      </c>
      <c r="N42">
        <v>4</v>
      </c>
      <c r="R42" s="27">
        <v>535790</v>
      </c>
      <c r="S42" s="36">
        <v>3</v>
      </c>
      <c r="T42" s="36">
        <v>4</v>
      </c>
    </row>
    <row r="43" spans="1:20">
      <c r="A43" s="27" t="s">
        <v>3</v>
      </c>
      <c r="B43" s="27">
        <v>542823</v>
      </c>
      <c r="C43" s="27" t="s">
        <v>53</v>
      </c>
      <c r="D43" s="27">
        <f t="shared" si="0"/>
        <v>1</v>
      </c>
      <c r="E43" s="28">
        <v>2</v>
      </c>
      <c r="F43" s="36">
        <v>1</v>
      </c>
      <c r="G43" s="36">
        <f t="shared" si="2"/>
        <v>2</v>
      </c>
      <c r="H43" s="28">
        <f t="shared" si="1"/>
        <v>1</v>
      </c>
      <c r="I43">
        <f t="shared" si="3"/>
        <v>0</v>
      </c>
      <c r="J43">
        <f t="shared" si="4"/>
        <v>0</v>
      </c>
      <c r="K43" s="38">
        <f t="shared" si="5"/>
        <v>2</v>
      </c>
      <c r="L43" s="38"/>
      <c r="M43">
        <v>12296252</v>
      </c>
      <c r="N43">
        <v>4</v>
      </c>
      <c r="R43" s="27">
        <v>542823</v>
      </c>
      <c r="S43" s="36">
        <v>0</v>
      </c>
      <c r="T43" s="36">
        <v>0</v>
      </c>
    </row>
    <row r="44" spans="1:20">
      <c r="A44" s="27" t="s">
        <v>3</v>
      </c>
      <c r="B44" s="27">
        <v>549259</v>
      </c>
      <c r="C44" s="27" t="s">
        <v>54</v>
      </c>
      <c r="D44" s="27">
        <f t="shared" si="0"/>
        <v>0</v>
      </c>
      <c r="E44" s="28">
        <v>0</v>
      </c>
      <c r="F44" s="36">
        <v>0</v>
      </c>
      <c r="G44" s="36">
        <f t="shared" si="2"/>
        <v>0</v>
      </c>
      <c r="H44" s="28">
        <f t="shared" si="1"/>
        <v>0</v>
      </c>
      <c r="I44">
        <f t="shared" si="3"/>
        <v>0</v>
      </c>
      <c r="J44">
        <f t="shared" si="4"/>
        <v>0</v>
      </c>
      <c r="K44" s="38">
        <f t="shared" si="5"/>
        <v>0</v>
      </c>
      <c r="L44" s="38"/>
      <c r="M44">
        <v>12296256</v>
      </c>
      <c r="N44">
        <v>4</v>
      </c>
      <c r="R44" s="27">
        <v>549259</v>
      </c>
      <c r="S44" s="36">
        <v>0</v>
      </c>
      <c r="T44" s="36">
        <v>0</v>
      </c>
    </row>
    <row r="45" spans="1:20">
      <c r="A45" s="27" t="s">
        <v>3</v>
      </c>
      <c r="B45" s="27">
        <v>571174</v>
      </c>
      <c r="C45" s="27" t="s">
        <v>55</v>
      </c>
      <c r="D45" s="27">
        <f t="shared" si="0"/>
        <v>0</v>
      </c>
      <c r="E45" s="28">
        <v>0</v>
      </c>
      <c r="F45" s="36">
        <v>1</v>
      </c>
      <c r="G45" s="36">
        <f t="shared" si="2"/>
        <v>0</v>
      </c>
      <c r="H45" s="28">
        <f t="shared" si="1"/>
        <v>0</v>
      </c>
      <c r="I45">
        <f t="shared" si="3"/>
        <v>0</v>
      </c>
      <c r="J45">
        <f t="shared" si="4"/>
        <v>0</v>
      </c>
      <c r="K45" s="38">
        <f t="shared" si="5"/>
        <v>0</v>
      </c>
      <c r="L45" s="38"/>
      <c r="M45">
        <v>512441</v>
      </c>
      <c r="N45">
        <v>4</v>
      </c>
      <c r="R45" s="27">
        <v>571174</v>
      </c>
      <c r="S45" s="36">
        <v>0</v>
      </c>
      <c r="T45" s="36">
        <v>0</v>
      </c>
    </row>
    <row r="46" spans="1:20">
      <c r="A46" s="27" t="s">
        <v>3</v>
      </c>
      <c r="B46" s="27">
        <v>62086</v>
      </c>
      <c r="C46" s="27" t="s">
        <v>56</v>
      </c>
      <c r="D46" s="27">
        <f t="shared" si="0"/>
        <v>0</v>
      </c>
      <c r="E46" s="28">
        <v>0</v>
      </c>
      <c r="F46" s="36">
        <v>0</v>
      </c>
      <c r="G46" s="36">
        <f t="shared" si="2"/>
        <v>0</v>
      </c>
      <c r="H46" s="28">
        <f t="shared" si="1"/>
        <v>0</v>
      </c>
      <c r="I46">
        <f t="shared" si="3"/>
        <v>0</v>
      </c>
      <c r="J46">
        <f t="shared" si="4"/>
        <v>0</v>
      </c>
      <c r="K46" s="38">
        <f t="shared" si="5"/>
        <v>0</v>
      </c>
      <c r="L46" s="38"/>
      <c r="M46">
        <v>528795</v>
      </c>
      <c r="N46">
        <v>4</v>
      </c>
      <c r="R46" s="27">
        <v>62086</v>
      </c>
      <c r="S46" s="36">
        <v>0</v>
      </c>
      <c r="T46" s="36">
        <v>0</v>
      </c>
    </row>
    <row r="47" spans="1:20">
      <c r="A47" s="27" t="s">
        <v>3</v>
      </c>
      <c r="B47" s="27">
        <v>63887</v>
      </c>
      <c r="C47" s="27" t="s">
        <v>57</v>
      </c>
      <c r="D47" s="27">
        <f t="shared" si="0"/>
        <v>1</v>
      </c>
      <c r="E47" s="28">
        <v>0</v>
      </c>
      <c r="F47" s="36">
        <v>0</v>
      </c>
      <c r="G47" s="36">
        <f t="shared" si="2"/>
        <v>1</v>
      </c>
      <c r="H47" s="28">
        <f t="shared" si="1"/>
        <v>1</v>
      </c>
      <c r="I47">
        <f t="shared" si="3"/>
        <v>0</v>
      </c>
      <c r="J47">
        <f t="shared" si="4"/>
        <v>0</v>
      </c>
      <c r="K47" s="38">
        <f t="shared" si="5"/>
        <v>1</v>
      </c>
      <c r="L47" s="38"/>
      <c r="M47">
        <v>62165</v>
      </c>
      <c r="N47">
        <v>4</v>
      </c>
      <c r="R47" s="27">
        <v>63887</v>
      </c>
      <c r="S47" s="36">
        <v>1</v>
      </c>
      <c r="T47" s="36">
        <v>1</v>
      </c>
    </row>
    <row r="48" spans="1:20">
      <c r="A48" s="27" t="s">
        <v>4</v>
      </c>
      <c r="B48" s="27">
        <v>116871</v>
      </c>
      <c r="C48" s="27" t="s">
        <v>58</v>
      </c>
      <c r="D48" s="27">
        <f t="shared" si="0"/>
        <v>1</v>
      </c>
      <c r="E48" s="28">
        <v>6</v>
      </c>
      <c r="F48" s="36">
        <v>2</v>
      </c>
      <c r="G48" s="36">
        <f t="shared" si="2"/>
        <v>9</v>
      </c>
      <c r="H48" s="28">
        <f t="shared" si="1"/>
        <v>7</v>
      </c>
      <c r="I48">
        <f t="shared" si="3"/>
        <v>1</v>
      </c>
      <c r="J48">
        <f t="shared" si="4"/>
        <v>1</v>
      </c>
      <c r="K48" s="38">
        <f t="shared" si="5"/>
        <v>8</v>
      </c>
      <c r="L48" s="38"/>
      <c r="M48">
        <v>570313</v>
      </c>
      <c r="N48">
        <v>4</v>
      </c>
      <c r="R48" s="27">
        <v>116871</v>
      </c>
      <c r="S48" s="36">
        <v>5</v>
      </c>
      <c r="T48" s="36">
        <v>7</v>
      </c>
    </row>
    <row r="49" spans="1:20">
      <c r="A49" s="27" t="s">
        <v>4</v>
      </c>
      <c r="B49" s="27">
        <v>12295542</v>
      </c>
      <c r="C49" s="27" t="s">
        <v>59</v>
      </c>
      <c r="D49" s="27">
        <f t="shared" si="0"/>
        <v>1</v>
      </c>
      <c r="E49" s="28">
        <v>3</v>
      </c>
      <c r="F49" s="36">
        <v>1</v>
      </c>
      <c r="G49" s="36">
        <f t="shared" si="2"/>
        <v>2</v>
      </c>
      <c r="H49" s="28">
        <f t="shared" si="1"/>
        <v>1</v>
      </c>
      <c r="I49">
        <f t="shared" si="3"/>
        <v>0</v>
      </c>
      <c r="J49">
        <f t="shared" si="4"/>
        <v>0</v>
      </c>
      <c r="K49" s="38">
        <f t="shared" si="5"/>
        <v>2</v>
      </c>
      <c r="L49" s="38"/>
      <c r="M49">
        <v>366720</v>
      </c>
      <c r="N49">
        <v>4</v>
      </c>
      <c r="R49" s="27">
        <v>12295542</v>
      </c>
      <c r="S49" s="36">
        <v>1</v>
      </c>
      <c r="T49" s="36">
        <v>2</v>
      </c>
    </row>
    <row r="50" spans="1:20">
      <c r="A50" s="27" t="s">
        <v>4</v>
      </c>
      <c r="B50" s="27">
        <v>12295717</v>
      </c>
      <c r="C50" s="27" t="s">
        <v>60</v>
      </c>
      <c r="D50" s="27">
        <f t="shared" si="0"/>
        <v>1</v>
      </c>
      <c r="E50" s="28">
        <v>0</v>
      </c>
      <c r="F50" s="36">
        <v>1</v>
      </c>
      <c r="G50" s="36">
        <f t="shared" si="2"/>
        <v>1</v>
      </c>
      <c r="H50" s="28">
        <f t="shared" si="1"/>
        <v>0</v>
      </c>
      <c r="I50">
        <f t="shared" si="3"/>
        <v>0</v>
      </c>
      <c r="J50">
        <f t="shared" si="4"/>
        <v>0</v>
      </c>
      <c r="K50" s="38">
        <f t="shared" si="5"/>
        <v>1</v>
      </c>
      <c r="L50" s="38"/>
      <c r="M50">
        <v>278608</v>
      </c>
      <c r="N50">
        <v>4</v>
      </c>
      <c r="R50" s="27">
        <v>12295717</v>
      </c>
      <c r="S50" s="36">
        <v>0</v>
      </c>
      <c r="T50" s="36">
        <v>0</v>
      </c>
    </row>
    <row r="51" spans="1:20">
      <c r="A51" s="27" t="s">
        <v>4</v>
      </c>
      <c r="B51" s="27">
        <v>12295887</v>
      </c>
      <c r="C51" s="27" t="s">
        <v>61</v>
      </c>
      <c r="D51" s="27">
        <f t="shared" si="0"/>
        <v>1</v>
      </c>
      <c r="E51" s="28">
        <v>0</v>
      </c>
      <c r="F51" s="36">
        <v>0</v>
      </c>
      <c r="G51" s="36">
        <f t="shared" si="2"/>
        <v>1</v>
      </c>
      <c r="H51" s="28">
        <f t="shared" si="1"/>
        <v>1</v>
      </c>
      <c r="I51">
        <f t="shared" si="3"/>
        <v>0</v>
      </c>
      <c r="J51">
        <f t="shared" si="4"/>
        <v>0</v>
      </c>
      <c r="K51" s="38">
        <f t="shared" si="5"/>
        <v>1</v>
      </c>
      <c r="L51" s="38"/>
      <c r="M51">
        <v>292486</v>
      </c>
      <c r="N51">
        <v>4</v>
      </c>
      <c r="R51" s="27">
        <v>12295887</v>
      </c>
      <c r="S51" s="36">
        <v>0</v>
      </c>
      <c r="T51" s="36">
        <v>1</v>
      </c>
    </row>
    <row r="52" spans="1:20">
      <c r="A52" s="27" t="s">
        <v>4</v>
      </c>
      <c r="B52" s="27">
        <v>12312295</v>
      </c>
      <c r="C52" s="27" t="s">
        <v>62</v>
      </c>
      <c r="D52" s="27">
        <f t="shared" si="0"/>
        <v>1</v>
      </c>
      <c r="E52" s="28">
        <v>0</v>
      </c>
      <c r="F52" s="36">
        <v>2</v>
      </c>
      <c r="G52" s="36">
        <f t="shared" si="2"/>
        <v>1</v>
      </c>
      <c r="H52" s="28">
        <f t="shared" si="1"/>
        <v>0</v>
      </c>
      <c r="I52">
        <f t="shared" si="3"/>
        <v>0</v>
      </c>
      <c r="J52">
        <f t="shared" si="4"/>
        <v>0</v>
      </c>
      <c r="K52" s="38">
        <f t="shared" si="5"/>
        <v>1</v>
      </c>
      <c r="L52" s="38"/>
      <c r="M52">
        <v>12322493</v>
      </c>
      <c r="N52">
        <v>4</v>
      </c>
      <c r="R52" s="27">
        <v>12312295</v>
      </c>
      <c r="S52" s="36">
        <v>1</v>
      </c>
      <c r="T52" s="36">
        <v>1</v>
      </c>
    </row>
    <row r="53" spans="1:20">
      <c r="A53" s="27" t="s">
        <v>4</v>
      </c>
      <c r="B53" s="27">
        <v>12322237</v>
      </c>
      <c r="C53" s="27" t="s">
        <v>63</v>
      </c>
      <c r="D53" s="27">
        <f t="shared" si="0"/>
        <v>1</v>
      </c>
      <c r="E53" s="28">
        <v>1</v>
      </c>
      <c r="F53" s="36">
        <v>1</v>
      </c>
      <c r="G53" s="36">
        <f t="shared" si="2"/>
        <v>1</v>
      </c>
      <c r="H53" s="28">
        <f t="shared" si="1"/>
        <v>0</v>
      </c>
      <c r="I53">
        <f t="shared" si="3"/>
        <v>0</v>
      </c>
      <c r="J53">
        <f t="shared" si="4"/>
        <v>0</v>
      </c>
      <c r="K53" s="38">
        <f t="shared" si="5"/>
        <v>1</v>
      </c>
      <c r="L53" s="38"/>
      <c r="M53">
        <v>531733</v>
      </c>
      <c r="N53">
        <v>4</v>
      </c>
      <c r="R53" s="27">
        <v>12322237</v>
      </c>
      <c r="S53" s="36">
        <v>1</v>
      </c>
      <c r="T53" s="36">
        <v>1</v>
      </c>
    </row>
    <row r="54" spans="1:20">
      <c r="A54" s="27" t="s">
        <v>4</v>
      </c>
      <c r="B54" s="27">
        <v>12322483</v>
      </c>
      <c r="C54" s="27" t="s">
        <v>64</v>
      </c>
      <c r="D54" s="27">
        <f t="shared" si="0"/>
        <v>1</v>
      </c>
      <c r="E54" s="28">
        <v>0</v>
      </c>
      <c r="F54" s="36">
        <v>0</v>
      </c>
      <c r="G54" s="36">
        <f t="shared" si="2"/>
        <v>1</v>
      </c>
      <c r="H54" s="28">
        <f t="shared" si="1"/>
        <v>1</v>
      </c>
      <c r="I54">
        <f t="shared" si="3"/>
        <v>0</v>
      </c>
      <c r="J54">
        <f t="shared" si="4"/>
        <v>0</v>
      </c>
      <c r="K54" s="38">
        <f t="shared" si="5"/>
        <v>1</v>
      </c>
      <c r="L54" s="38"/>
      <c r="M54">
        <v>126742</v>
      </c>
      <c r="N54">
        <v>4</v>
      </c>
      <c r="R54" s="27">
        <v>12322483</v>
      </c>
      <c r="S54" s="36">
        <v>1</v>
      </c>
      <c r="T54" s="36">
        <v>1</v>
      </c>
    </row>
    <row r="55" spans="1:20">
      <c r="A55" s="27" t="s">
        <v>4</v>
      </c>
      <c r="B55" s="27">
        <v>12323463</v>
      </c>
      <c r="C55" s="27" t="s">
        <v>65</v>
      </c>
      <c r="D55" s="27">
        <f t="shared" si="0"/>
        <v>1</v>
      </c>
      <c r="E55" s="28">
        <v>3</v>
      </c>
      <c r="F55" s="36">
        <v>18</v>
      </c>
      <c r="G55" s="36">
        <f t="shared" si="2"/>
        <v>89</v>
      </c>
      <c r="H55" s="28">
        <f t="shared" si="1"/>
        <v>71</v>
      </c>
      <c r="I55">
        <f t="shared" si="3"/>
        <v>1</v>
      </c>
      <c r="J55">
        <f t="shared" si="4"/>
        <v>1</v>
      </c>
      <c r="K55" s="38">
        <f t="shared" si="5"/>
        <v>88</v>
      </c>
      <c r="L55" s="38"/>
      <c r="M55">
        <v>439681</v>
      </c>
      <c r="N55">
        <v>4</v>
      </c>
      <c r="R55" s="27">
        <v>12323463</v>
      </c>
      <c r="S55" s="36">
        <v>75</v>
      </c>
      <c r="T55" s="36">
        <v>75</v>
      </c>
    </row>
    <row r="56" spans="1:20">
      <c r="A56" s="27" t="s">
        <v>4</v>
      </c>
      <c r="B56" s="27">
        <v>12325263</v>
      </c>
      <c r="C56" s="27" t="s">
        <v>66</v>
      </c>
      <c r="D56" s="27">
        <f t="shared" si="0"/>
        <v>0</v>
      </c>
      <c r="E56" s="28">
        <v>0</v>
      </c>
      <c r="F56" s="36">
        <v>0</v>
      </c>
      <c r="G56" s="36">
        <f t="shared" si="2"/>
        <v>0</v>
      </c>
      <c r="H56" s="28">
        <f t="shared" si="1"/>
        <v>0</v>
      </c>
      <c r="I56">
        <f t="shared" si="3"/>
        <v>0</v>
      </c>
      <c r="J56">
        <f t="shared" si="4"/>
        <v>0</v>
      </c>
      <c r="K56" s="38">
        <f t="shared" si="5"/>
        <v>0</v>
      </c>
      <c r="L56" s="38"/>
      <c r="M56">
        <v>404684</v>
      </c>
      <c r="N56">
        <v>4</v>
      </c>
      <c r="R56" s="27">
        <v>12325263</v>
      </c>
      <c r="S56" s="36">
        <v>0</v>
      </c>
      <c r="T56" s="36">
        <v>0</v>
      </c>
    </row>
    <row r="57" spans="1:20">
      <c r="A57" s="27" t="s">
        <v>4</v>
      </c>
      <c r="B57" s="27">
        <v>126951</v>
      </c>
      <c r="C57" s="27" t="s">
        <v>67</v>
      </c>
      <c r="D57" s="27">
        <f t="shared" si="0"/>
        <v>1</v>
      </c>
      <c r="E57" s="28">
        <v>2</v>
      </c>
      <c r="F57" s="36">
        <v>2</v>
      </c>
      <c r="G57" s="36">
        <f t="shared" si="2"/>
        <v>3</v>
      </c>
      <c r="H57" s="28">
        <f t="shared" si="1"/>
        <v>1</v>
      </c>
      <c r="I57">
        <f t="shared" si="3"/>
        <v>1</v>
      </c>
      <c r="J57">
        <f t="shared" si="4"/>
        <v>1</v>
      </c>
      <c r="K57" s="38">
        <f t="shared" si="5"/>
        <v>2</v>
      </c>
      <c r="L57" s="38"/>
      <c r="M57">
        <v>286665</v>
      </c>
      <c r="N57">
        <v>4</v>
      </c>
      <c r="R57" s="27">
        <v>126951</v>
      </c>
      <c r="S57" s="36">
        <v>3</v>
      </c>
      <c r="T57" s="36">
        <v>3</v>
      </c>
    </row>
    <row r="58" spans="1:20">
      <c r="A58" s="27" t="s">
        <v>4</v>
      </c>
      <c r="B58" s="27">
        <v>126952</v>
      </c>
      <c r="C58" s="27" t="s">
        <v>68</v>
      </c>
      <c r="D58" s="27">
        <f t="shared" si="0"/>
        <v>1</v>
      </c>
      <c r="E58" s="28">
        <v>0</v>
      </c>
      <c r="F58" s="36">
        <v>0</v>
      </c>
      <c r="G58" s="36">
        <f t="shared" si="2"/>
        <v>5</v>
      </c>
      <c r="H58" s="28">
        <f t="shared" si="1"/>
        <v>5</v>
      </c>
      <c r="I58">
        <f t="shared" si="3"/>
        <v>1</v>
      </c>
      <c r="J58">
        <f t="shared" si="4"/>
        <v>1</v>
      </c>
      <c r="K58" s="38">
        <f t="shared" si="5"/>
        <v>4</v>
      </c>
      <c r="L58" s="38"/>
      <c r="M58">
        <v>236975</v>
      </c>
      <c r="N58">
        <v>4</v>
      </c>
      <c r="R58" s="27">
        <v>126952</v>
      </c>
      <c r="S58" s="36">
        <v>0</v>
      </c>
      <c r="T58" s="36">
        <v>2</v>
      </c>
    </row>
    <row r="59" spans="1:20">
      <c r="A59" s="27" t="s">
        <v>4</v>
      </c>
      <c r="B59" s="27">
        <v>195514</v>
      </c>
      <c r="C59" s="27" t="s">
        <v>69</v>
      </c>
      <c r="D59" s="27">
        <f t="shared" si="0"/>
        <v>1</v>
      </c>
      <c r="E59" s="28">
        <v>0</v>
      </c>
      <c r="F59" s="36">
        <v>1</v>
      </c>
      <c r="G59" s="36">
        <f t="shared" si="2"/>
        <v>3</v>
      </c>
      <c r="H59" s="28">
        <f t="shared" si="1"/>
        <v>2</v>
      </c>
      <c r="I59">
        <f t="shared" si="3"/>
        <v>1</v>
      </c>
      <c r="J59">
        <f t="shared" si="4"/>
        <v>1</v>
      </c>
      <c r="K59" s="38">
        <f t="shared" si="5"/>
        <v>2</v>
      </c>
      <c r="L59" s="38"/>
      <c r="M59">
        <v>211622</v>
      </c>
      <c r="N59">
        <v>4</v>
      </c>
      <c r="R59" s="27">
        <v>195514</v>
      </c>
      <c r="S59" s="36">
        <v>0</v>
      </c>
      <c r="T59" s="36">
        <v>3</v>
      </c>
    </row>
    <row r="60" spans="1:20">
      <c r="A60" s="27" t="s">
        <v>4</v>
      </c>
      <c r="B60" s="27">
        <v>199007</v>
      </c>
      <c r="C60" s="27" t="s">
        <v>70</v>
      </c>
      <c r="D60" s="27">
        <f t="shared" si="0"/>
        <v>0</v>
      </c>
      <c r="E60" s="28">
        <v>0</v>
      </c>
      <c r="F60" s="36">
        <v>0</v>
      </c>
      <c r="G60" s="36">
        <f t="shared" si="2"/>
        <v>0</v>
      </c>
      <c r="H60" s="28">
        <f t="shared" si="1"/>
        <v>0</v>
      </c>
      <c r="I60">
        <f t="shared" si="3"/>
        <v>0</v>
      </c>
      <c r="J60">
        <f t="shared" si="4"/>
        <v>0</v>
      </c>
      <c r="K60" s="38">
        <f t="shared" si="5"/>
        <v>0</v>
      </c>
      <c r="L60" s="38"/>
      <c r="M60">
        <v>12300796</v>
      </c>
      <c r="N60">
        <v>4</v>
      </c>
      <c r="R60" s="27">
        <v>199007</v>
      </c>
      <c r="S60" s="36">
        <v>0</v>
      </c>
      <c r="T60" s="36">
        <v>0</v>
      </c>
    </row>
    <row r="61" spans="1:20">
      <c r="A61" s="27" t="s">
        <v>4</v>
      </c>
      <c r="B61" s="27">
        <v>199010</v>
      </c>
      <c r="C61" s="27" t="s">
        <v>71</v>
      </c>
      <c r="D61" s="27">
        <f t="shared" si="0"/>
        <v>1</v>
      </c>
      <c r="E61" s="28">
        <v>0</v>
      </c>
      <c r="F61" s="36">
        <v>1</v>
      </c>
      <c r="G61" s="36">
        <f t="shared" si="2"/>
        <v>1</v>
      </c>
      <c r="H61" s="28">
        <f t="shared" si="1"/>
        <v>0</v>
      </c>
      <c r="I61">
        <f t="shared" si="3"/>
        <v>0</v>
      </c>
      <c r="J61">
        <f t="shared" si="4"/>
        <v>0</v>
      </c>
      <c r="K61" s="38">
        <f t="shared" si="5"/>
        <v>1</v>
      </c>
      <c r="L61" s="38"/>
      <c r="M61">
        <v>61593</v>
      </c>
      <c r="N61">
        <v>4</v>
      </c>
      <c r="R61" s="27">
        <v>199010</v>
      </c>
      <c r="S61" s="36">
        <v>0</v>
      </c>
      <c r="T61" s="36">
        <v>0</v>
      </c>
    </row>
    <row r="62" spans="1:20">
      <c r="A62" s="27" t="s">
        <v>4</v>
      </c>
      <c r="B62" s="27">
        <v>199217</v>
      </c>
      <c r="C62" s="27" t="s">
        <v>72</v>
      </c>
      <c r="D62" s="27">
        <f t="shared" si="0"/>
        <v>1</v>
      </c>
      <c r="E62" s="28">
        <v>3</v>
      </c>
      <c r="F62" s="36">
        <v>1</v>
      </c>
      <c r="G62" s="36">
        <f t="shared" si="2"/>
        <v>2</v>
      </c>
      <c r="H62" s="28">
        <f t="shared" si="1"/>
        <v>1</v>
      </c>
      <c r="I62">
        <f t="shared" si="3"/>
        <v>0</v>
      </c>
      <c r="J62">
        <f t="shared" si="4"/>
        <v>0</v>
      </c>
      <c r="K62" s="38">
        <f t="shared" si="5"/>
        <v>2</v>
      </c>
      <c r="L62" s="38"/>
      <c r="M62">
        <v>548043</v>
      </c>
      <c r="N62">
        <v>4</v>
      </c>
      <c r="R62" s="27">
        <v>199217</v>
      </c>
      <c r="S62" s="36">
        <v>2</v>
      </c>
      <c r="T62" s="36">
        <v>5</v>
      </c>
    </row>
    <row r="63" spans="1:20">
      <c r="A63" s="27" t="s">
        <v>4</v>
      </c>
      <c r="B63" s="27">
        <v>211794</v>
      </c>
      <c r="C63" s="27" t="s">
        <v>73</v>
      </c>
      <c r="D63" s="27">
        <f t="shared" si="0"/>
        <v>1</v>
      </c>
      <c r="E63" s="28">
        <v>1</v>
      </c>
      <c r="F63" s="36">
        <v>1</v>
      </c>
      <c r="G63" s="36">
        <f t="shared" si="2"/>
        <v>3</v>
      </c>
      <c r="H63" s="28">
        <f t="shared" si="1"/>
        <v>2</v>
      </c>
      <c r="I63">
        <f t="shared" si="3"/>
        <v>1</v>
      </c>
      <c r="J63">
        <f t="shared" si="4"/>
        <v>1</v>
      </c>
      <c r="K63" s="38">
        <f t="shared" si="5"/>
        <v>2</v>
      </c>
      <c r="L63" s="38"/>
      <c r="M63">
        <v>436841</v>
      </c>
      <c r="N63">
        <v>4</v>
      </c>
      <c r="R63" s="27">
        <v>211794</v>
      </c>
      <c r="S63" s="36">
        <v>2</v>
      </c>
      <c r="T63" s="36">
        <v>3</v>
      </c>
    </row>
    <row r="64" spans="1:20">
      <c r="A64" s="27" t="s">
        <v>4</v>
      </c>
      <c r="B64" s="27">
        <v>222816</v>
      </c>
      <c r="C64" s="27" t="s">
        <v>74</v>
      </c>
      <c r="D64" s="27">
        <f t="shared" si="0"/>
        <v>1</v>
      </c>
      <c r="E64" s="28">
        <v>3</v>
      </c>
      <c r="F64" s="36">
        <v>1</v>
      </c>
      <c r="G64" s="36">
        <f t="shared" si="2"/>
        <v>1</v>
      </c>
      <c r="H64" s="28">
        <f t="shared" si="1"/>
        <v>0</v>
      </c>
      <c r="I64">
        <f t="shared" si="3"/>
        <v>0</v>
      </c>
      <c r="J64">
        <f t="shared" si="4"/>
        <v>0</v>
      </c>
      <c r="K64" s="38">
        <f t="shared" si="5"/>
        <v>1</v>
      </c>
      <c r="L64" s="38"/>
      <c r="M64">
        <v>12318079</v>
      </c>
      <c r="N64">
        <v>4</v>
      </c>
      <c r="R64" s="27">
        <v>222816</v>
      </c>
      <c r="S64" s="36">
        <v>1</v>
      </c>
      <c r="T64" s="36">
        <v>1</v>
      </c>
    </row>
    <row r="65" spans="1:20">
      <c r="A65" s="27" t="s">
        <v>4</v>
      </c>
      <c r="B65" s="27">
        <v>228872</v>
      </c>
      <c r="C65" s="27" t="s">
        <v>75</v>
      </c>
      <c r="D65" s="27">
        <f t="shared" si="0"/>
        <v>0</v>
      </c>
      <c r="E65" s="28">
        <v>0</v>
      </c>
      <c r="F65" s="36">
        <v>1</v>
      </c>
      <c r="G65" s="36">
        <f t="shared" si="2"/>
        <v>0</v>
      </c>
      <c r="H65" s="28">
        <f t="shared" si="1"/>
        <v>0</v>
      </c>
      <c r="I65">
        <f t="shared" si="3"/>
        <v>0</v>
      </c>
      <c r="J65">
        <f t="shared" si="4"/>
        <v>0</v>
      </c>
      <c r="K65" s="38">
        <f t="shared" si="5"/>
        <v>0</v>
      </c>
      <c r="L65" s="38"/>
      <c r="M65">
        <v>396064</v>
      </c>
      <c r="N65">
        <v>4</v>
      </c>
      <c r="R65" s="27">
        <v>228872</v>
      </c>
      <c r="S65" s="36">
        <v>0</v>
      </c>
      <c r="T65" s="36">
        <v>0</v>
      </c>
    </row>
    <row r="66" spans="1:20">
      <c r="A66" s="27" t="s">
        <v>4</v>
      </c>
      <c r="B66" s="27">
        <v>229765</v>
      </c>
      <c r="C66" s="27" t="s">
        <v>76</v>
      </c>
      <c r="D66" s="27">
        <f t="shared" ref="D66:D129" si="6">IF(G66&gt;0,1,0)</f>
        <v>1</v>
      </c>
      <c r="E66" s="28">
        <v>3</v>
      </c>
      <c r="F66" s="36">
        <v>4</v>
      </c>
      <c r="G66" s="36">
        <f t="shared" si="2"/>
        <v>27</v>
      </c>
      <c r="H66" s="28">
        <f t="shared" ref="H66:H129" si="7">MAX(G66-F66,0)</f>
        <v>23</v>
      </c>
      <c r="I66">
        <f t="shared" si="3"/>
        <v>1</v>
      </c>
      <c r="J66">
        <f t="shared" si="4"/>
        <v>1</v>
      </c>
      <c r="K66" s="38">
        <f t="shared" si="5"/>
        <v>26</v>
      </c>
      <c r="L66" s="38"/>
      <c r="M66">
        <v>61603</v>
      </c>
      <c r="N66">
        <v>4</v>
      </c>
      <c r="R66" s="27">
        <v>229765</v>
      </c>
      <c r="S66" s="36">
        <v>22</v>
      </c>
      <c r="T66" s="36">
        <v>28</v>
      </c>
    </row>
    <row r="67" spans="1:20">
      <c r="A67" s="27" t="s">
        <v>4</v>
      </c>
      <c r="B67" s="27">
        <v>231278</v>
      </c>
      <c r="C67" s="27" t="s">
        <v>77</v>
      </c>
      <c r="D67" s="27">
        <f t="shared" si="6"/>
        <v>0</v>
      </c>
      <c r="E67" s="28">
        <v>0</v>
      </c>
      <c r="F67" s="36">
        <v>1</v>
      </c>
      <c r="G67" s="36">
        <f t="shared" ref="G67:G130" si="8">_xlfn.IFNA(INDEX(M:N,MATCH(B67,M:M,0),2),0)</f>
        <v>0</v>
      </c>
      <c r="H67" s="28">
        <f t="shared" si="7"/>
        <v>0</v>
      </c>
      <c r="I67">
        <f t="shared" ref="I67:I130" si="9">IF(G67&gt;=3,1,0)</f>
        <v>0</v>
      </c>
      <c r="J67">
        <f t="shared" ref="J67:J130" si="10">IF(G67&gt;=3,1,0)</f>
        <v>0</v>
      </c>
      <c r="K67" s="38">
        <f t="shared" ref="K67:K130" si="11">G67-J67</f>
        <v>0</v>
      </c>
      <c r="L67" s="38"/>
      <c r="M67">
        <v>61937</v>
      </c>
      <c r="N67">
        <v>4</v>
      </c>
      <c r="R67" s="27">
        <v>231278</v>
      </c>
      <c r="S67" s="36">
        <v>0</v>
      </c>
      <c r="T67" s="36">
        <v>0</v>
      </c>
    </row>
    <row r="68" spans="1:20">
      <c r="A68" s="27" t="s">
        <v>4</v>
      </c>
      <c r="B68" s="27">
        <v>246732</v>
      </c>
      <c r="C68" s="27" t="s">
        <v>78</v>
      </c>
      <c r="D68" s="27">
        <f t="shared" si="6"/>
        <v>1</v>
      </c>
      <c r="E68" s="28">
        <v>0</v>
      </c>
      <c r="F68" s="36">
        <v>1</v>
      </c>
      <c r="G68" s="36">
        <f t="shared" si="8"/>
        <v>1</v>
      </c>
      <c r="H68" s="28">
        <f t="shared" si="7"/>
        <v>0</v>
      </c>
      <c r="I68">
        <f t="shared" si="9"/>
        <v>0</v>
      </c>
      <c r="J68">
        <f t="shared" si="10"/>
        <v>0</v>
      </c>
      <c r="K68" s="38">
        <f t="shared" si="11"/>
        <v>1</v>
      </c>
      <c r="L68" s="38"/>
      <c r="M68">
        <v>402411</v>
      </c>
      <c r="N68">
        <v>4</v>
      </c>
      <c r="R68" s="27">
        <v>246732</v>
      </c>
      <c r="S68" s="36">
        <v>0</v>
      </c>
      <c r="T68" s="36">
        <v>0</v>
      </c>
    </row>
    <row r="69" spans="1:20">
      <c r="A69" s="27" t="s">
        <v>4</v>
      </c>
      <c r="B69" s="27">
        <v>278608</v>
      </c>
      <c r="C69" s="27" t="s">
        <v>79</v>
      </c>
      <c r="D69" s="27">
        <f t="shared" si="6"/>
        <v>1</v>
      </c>
      <c r="E69" s="28">
        <v>6</v>
      </c>
      <c r="F69" s="36">
        <v>2</v>
      </c>
      <c r="G69" s="36">
        <f t="shared" si="8"/>
        <v>4</v>
      </c>
      <c r="H69" s="28">
        <f t="shared" si="7"/>
        <v>2</v>
      </c>
      <c r="I69">
        <f t="shared" si="9"/>
        <v>1</v>
      </c>
      <c r="J69">
        <f t="shared" si="10"/>
        <v>1</v>
      </c>
      <c r="K69" s="38">
        <f t="shared" si="11"/>
        <v>3</v>
      </c>
      <c r="L69" s="38"/>
      <c r="M69">
        <v>513155</v>
      </c>
      <c r="N69">
        <v>4</v>
      </c>
      <c r="R69" s="27">
        <v>278608</v>
      </c>
      <c r="S69" s="36">
        <v>3</v>
      </c>
      <c r="T69" s="36">
        <v>3</v>
      </c>
    </row>
    <row r="70" spans="1:20">
      <c r="A70" s="27" t="s">
        <v>4</v>
      </c>
      <c r="B70" s="27">
        <v>292836</v>
      </c>
      <c r="C70" s="27" t="s">
        <v>80</v>
      </c>
      <c r="D70" s="27">
        <f t="shared" si="6"/>
        <v>0</v>
      </c>
      <c r="E70" s="28">
        <v>0</v>
      </c>
      <c r="F70" s="36">
        <v>0</v>
      </c>
      <c r="G70" s="36">
        <f t="shared" si="8"/>
        <v>0</v>
      </c>
      <c r="H70" s="28">
        <f t="shared" si="7"/>
        <v>0</v>
      </c>
      <c r="I70">
        <f t="shared" si="9"/>
        <v>0</v>
      </c>
      <c r="J70">
        <f t="shared" si="10"/>
        <v>0</v>
      </c>
      <c r="K70" s="38">
        <f t="shared" si="11"/>
        <v>0</v>
      </c>
      <c r="L70" s="38"/>
      <c r="M70">
        <v>407415</v>
      </c>
      <c r="N70">
        <v>4</v>
      </c>
      <c r="R70" s="27">
        <v>292836</v>
      </c>
      <c r="S70" s="36">
        <v>0</v>
      </c>
      <c r="T70" s="36">
        <v>0</v>
      </c>
    </row>
    <row r="71" spans="1:20">
      <c r="A71" s="27" t="s">
        <v>4</v>
      </c>
      <c r="B71" s="27">
        <v>345691</v>
      </c>
      <c r="C71" s="27" t="s">
        <v>81</v>
      </c>
      <c r="D71" s="27">
        <f t="shared" si="6"/>
        <v>1</v>
      </c>
      <c r="E71" s="28">
        <v>0</v>
      </c>
      <c r="F71" s="36">
        <v>2</v>
      </c>
      <c r="G71" s="36">
        <f t="shared" si="8"/>
        <v>1</v>
      </c>
      <c r="H71" s="28">
        <f t="shared" si="7"/>
        <v>0</v>
      </c>
      <c r="I71">
        <f t="shared" si="9"/>
        <v>0</v>
      </c>
      <c r="J71">
        <f t="shared" si="10"/>
        <v>0</v>
      </c>
      <c r="K71" s="38">
        <f t="shared" si="11"/>
        <v>1</v>
      </c>
      <c r="L71" s="38"/>
      <c r="M71">
        <v>373926</v>
      </c>
      <c r="N71">
        <v>4</v>
      </c>
      <c r="R71" s="27">
        <v>345691</v>
      </c>
      <c r="S71" s="36">
        <v>1</v>
      </c>
      <c r="T71" s="36">
        <v>1</v>
      </c>
    </row>
    <row r="72" spans="1:20">
      <c r="A72" s="27" t="s">
        <v>4</v>
      </c>
      <c r="B72" s="27">
        <v>366702</v>
      </c>
      <c r="C72" s="27" t="s">
        <v>82</v>
      </c>
      <c r="D72" s="27">
        <f t="shared" si="6"/>
        <v>1</v>
      </c>
      <c r="E72" s="28">
        <v>0</v>
      </c>
      <c r="F72" s="36">
        <v>1</v>
      </c>
      <c r="G72" s="36">
        <f t="shared" si="8"/>
        <v>1</v>
      </c>
      <c r="H72" s="28">
        <f t="shared" si="7"/>
        <v>0</v>
      </c>
      <c r="I72">
        <f t="shared" si="9"/>
        <v>0</v>
      </c>
      <c r="J72">
        <f t="shared" si="10"/>
        <v>0</v>
      </c>
      <c r="K72" s="38">
        <f t="shared" si="11"/>
        <v>1</v>
      </c>
      <c r="L72" s="38"/>
      <c r="M72">
        <v>186913</v>
      </c>
      <c r="N72">
        <v>4</v>
      </c>
      <c r="R72" s="27">
        <v>366702</v>
      </c>
      <c r="S72" s="36">
        <v>0</v>
      </c>
      <c r="T72" s="36">
        <v>0</v>
      </c>
    </row>
    <row r="73" spans="1:20">
      <c r="A73" s="27" t="s">
        <v>4</v>
      </c>
      <c r="B73" s="27">
        <v>480658</v>
      </c>
      <c r="C73" s="27" t="s">
        <v>83</v>
      </c>
      <c r="D73" s="27">
        <f t="shared" si="6"/>
        <v>1</v>
      </c>
      <c r="E73" s="28">
        <v>0</v>
      </c>
      <c r="F73" s="36">
        <v>1</v>
      </c>
      <c r="G73" s="36">
        <f t="shared" si="8"/>
        <v>5</v>
      </c>
      <c r="H73" s="28">
        <f t="shared" si="7"/>
        <v>4</v>
      </c>
      <c r="I73">
        <f t="shared" si="9"/>
        <v>1</v>
      </c>
      <c r="J73">
        <f t="shared" si="10"/>
        <v>1</v>
      </c>
      <c r="K73" s="38">
        <f t="shared" si="11"/>
        <v>4</v>
      </c>
      <c r="L73" s="38"/>
      <c r="M73">
        <v>458896</v>
      </c>
      <c r="N73">
        <v>4</v>
      </c>
      <c r="R73" s="27">
        <v>480658</v>
      </c>
      <c r="S73" s="36">
        <v>3</v>
      </c>
      <c r="T73" s="36">
        <v>5</v>
      </c>
    </row>
    <row r="74" spans="1:20">
      <c r="A74" s="27" t="s">
        <v>4</v>
      </c>
      <c r="B74" s="27">
        <v>503354</v>
      </c>
      <c r="C74" s="27" t="s">
        <v>84</v>
      </c>
      <c r="D74" s="27">
        <f t="shared" si="6"/>
        <v>1</v>
      </c>
      <c r="E74" s="28">
        <v>0</v>
      </c>
      <c r="F74" s="36">
        <v>1</v>
      </c>
      <c r="G74" s="36">
        <f t="shared" si="8"/>
        <v>2</v>
      </c>
      <c r="H74" s="28">
        <f t="shared" si="7"/>
        <v>1</v>
      </c>
      <c r="I74">
        <f t="shared" si="9"/>
        <v>0</v>
      </c>
      <c r="J74">
        <f t="shared" si="10"/>
        <v>0</v>
      </c>
      <c r="K74" s="38">
        <f t="shared" si="11"/>
        <v>2</v>
      </c>
      <c r="L74" s="38"/>
      <c r="M74">
        <v>397893</v>
      </c>
      <c r="N74">
        <v>4</v>
      </c>
      <c r="R74" s="27">
        <v>503354</v>
      </c>
      <c r="S74" s="36">
        <v>0</v>
      </c>
      <c r="T74" s="36">
        <v>2</v>
      </c>
    </row>
    <row r="75" spans="1:20">
      <c r="A75" s="27" t="s">
        <v>4</v>
      </c>
      <c r="B75" s="27">
        <v>503633</v>
      </c>
      <c r="C75" s="27" t="s">
        <v>85</v>
      </c>
      <c r="D75" s="27">
        <f t="shared" si="6"/>
        <v>0</v>
      </c>
      <c r="E75" s="28">
        <v>0</v>
      </c>
      <c r="F75" s="36">
        <v>1</v>
      </c>
      <c r="G75" s="36">
        <f t="shared" si="8"/>
        <v>0</v>
      </c>
      <c r="H75" s="28">
        <f t="shared" si="7"/>
        <v>0</v>
      </c>
      <c r="I75">
        <f t="shared" si="9"/>
        <v>0</v>
      </c>
      <c r="J75">
        <f t="shared" si="10"/>
        <v>0</v>
      </c>
      <c r="K75" s="38">
        <f t="shared" si="11"/>
        <v>0</v>
      </c>
      <c r="L75" s="38"/>
      <c r="M75">
        <v>127542</v>
      </c>
      <c r="N75">
        <v>4</v>
      </c>
      <c r="R75" s="27">
        <v>503633</v>
      </c>
      <c r="S75" s="36">
        <v>0</v>
      </c>
      <c r="T75" s="36">
        <v>0</v>
      </c>
    </row>
    <row r="76" spans="1:20">
      <c r="A76" s="27" t="s">
        <v>4</v>
      </c>
      <c r="B76" s="27">
        <v>503866</v>
      </c>
      <c r="C76" s="27" t="s">
        <v>86</v>
      </c>
      <c r="D76" s="27">
        <f t="shared" si="6"/>
        <v>1</v>
      </c>
      <c r="E76" s="28">
        <v>0</v>
      </c>
      <c r="F76" s="36">
        <v>1</v>
      </c>
      <c r="G76" s="36">
        <f t="shared" si="8"/>
        <v>4</v>
      </c>
      <c r="H76" s="28">
        <f t="shared" si="7"/>
        <v>3</v>
      </c>
      <c r="I76">
        <f t="shared" si="9"/>
        <v>1</v>
      </c>
      <c r="J76">
        <f t="shared" si="10"/>
        <v>1</v>
      </c>
      <c r="K76" s="38">
        <f t="shared" si="11"/>
        <v>3</v>
      </c>
      <c r="L76" s="38"/>
      <c r="M76">
        <v>503866</v>
      </c>
      <c r="N76">
        <v>4</v>
      </c>
      <c r="R76" s="27">
        <v>503866</v>
      </c>
      <c r="S76" s="36">
        <v>2</v>
      </c>
      <c r="T76" s="36">
        <v>4</v>
      </c>
    </row>
    <row r="77" spans="1:20">
      <c r="A77" s="27" t="s">
        <v>4</v>
      </c>
      <c r="B77" s="27">
        <v>510053</v>
      </c>
      <c r="C77" s="27" t="s">
        <v>87</v>
      </c>
      <c r="D77" s="27">
        <f t="shared" si="6"/>
        <v>1</v>
      </c>
      <c r="E77" s="28">
        <v>1</v>
      </c>
      <c r="F77" s="36">
        <v>1</v>
      </c>
      <c r="G77" s="36">
        <f t="shared" si="8"/>
        <v>1</v>
      </c>
      <c r="H77" s="28">
        <f t="shared" si="7"/>
        <v>0</v>
      </c>
      <c r="I77">
        <f t="shared" si="9"/>
        <v>0</v>
      </c>
      <c r="J77">
        <f t="shared" si="10"/>
        <v>0</v>
      </c>
      <c r="K77" s="38">
        <f t="shared" si="11"/>
        <v>1</v>
      </c>
      <c r="L77" s="38"/>
      <c r="M77">
        <v>390838</v>
      </c>
      <c r="N77">
        <v>4</v>
      </c>
      <c r="R77" s="27">
        <v>510053</v>
      </c>
      <c r="S77" s="36">
        <v>0</v>
      </c>
      <c r="T77" s="36">
        <v>0</v>
      </c>
    </row>
    <row r="78" spans="1:20">
      <c r="A78" s="27" t="s">
        <v>4</v>
      </c>
      <c r="B78" s="27">
        <v>523430</v>
      </c>
      <c r="C78" s="27" t="s">
        <v>88</v>
      </c>
      <c r="D78" s="27">
        <f t="shared" si="6"/>
        <v>0</v>
      </c>
      <c r="E78" s="28">
        <v>2</v>
      </c>
      <c r="F78" s="36">
        <v>2</v>
      </c>
      <c r="G78" s="36">
        <f t="shared" si="8"/>
        <v>0</v>
      </c>
      <c r="H78" s="28">
        <f t="shared" si="7"/>
        <v>0</v>
      </c>
      <c r="I78">
        <f t="shared" si="9"/>
        <v>0</v>
      </c>
      <c r="J78">
        <f t="shared" si="10"/>
        <v>0</v>
      </c>
      <c r="K78" s="38">
        <f t="shared" si="11"/>
        <v>0</v>
      </c>
      <c r="L78" s="38"/>
      <c r="M78">
        <v>2513</v>
      </c>
      <c r="N78">
        <v>4</v>
      </c>
      <c r="R78" s="27">
        <v>523430</v>
      </c>
      <c r="S78" s="36">
        <v>0</v>
      </c>
      <c r="T78" s="36">
        <v>0</v>
      </c>
    </row>
    <row r="79" spans="1:20">
      <c r="A79" s="27" t="s">
        <v>4</v>
      </c>
      <c r="B79" s="27">
        <v>529090</v>
      </c>
      <c r="C79" s="27" t="s">
        <v>89</v>
      </c>
      <c r="D79" s="27">
        <f t="shared" si="6"/>
        <v>1</v>
      </c>
      <c r="E79" s="28">
        <v>2</v>
      </c>
      <c r="F79" s="36">
        <v>0</v>
      </c>
      <c r="G79" s="36">
        <f t="shared" si="8"/>
        <v>1</v>
      </c>
      <c r="H79" s="28">
        <f t="shared" si="7"/>
        <v>1</v>
      </c>
      <c r="I79">
        <f t="shared" si="9"/>
        <v>0</v>
      </c>
      <c r="J79">
        <f t="shared" si="10"/>
        <v>0</v>
      </c>
      <c r="K79" s="38">
        <f t="shared" si="11"/>
        <v>1</v>
      </c>
      <c r="L79" s="38"/>
      <c r="M79">
        <v>544108</v>
      </c>
      <c r="N79">
        <v>4</v>
      </c>
      <c r="R79" s="27">
        <v>529090</v>
      </c>
      <c r="S79" s="36">
        <v>1</v>
      </c>
      <c r="T79" s="36">
        <v>1</v>
      </c>
    </row>
    <row r="80" spans="1:20">
      <c r="A80" s="27" t="s">
        <v>4</v>
      </c>
      <c r="B80" s="27">
        <v>529249</v>
      </c>
      <c r="C80" s="27" t="s">
        <v>90</v>
      </c>
      <c r="D80" s="27">
        <f t="shared" si="6"/>
        <v>1</v>
      </c>
      <c r="E80" s="28">
        <v>0</v>
      </c>
      <c r="F80" s="36">
        <v>1</v>
      </c>
      <c r="G80" s="36">
        <f t="shared" si="8"/>
        <v>1</v>
      </c>
      <c r="H80" s="28">
        <f t="shared" si="7"/>
        <v>0</v>
      </c>
      <c r="I80">
        <f t="shared" si="9"/>
        <v>0</v>
      </c>
      <c r="J80">
        <f t="shared" si="10"/>
        <v>0</v>
      </c>
      <c r="K80" s="38">
        <f t="shared" si="11"/>
        <v>1</v>
      </c>
      <c r="L80" s="38"/>
      <c r="M80">
        <v>12319847</v>
      </c>
      <c r="N80">
        <v>4</v>
      </c>
      <c r="R80" s="27">
        <v>529249</v>
      </c>
      <c r="S80" s="36">
        <v>0</v>
      </c>
      <c r="T80" s="36">
        <v>1</v>
      </c>
    </row>
    <row r="81" spans="1:20">
      <c r="A81" s="27" t="s">
        <v>4</v>
      </c>
      <c r="B81" s="27">
        <v>530345</v>
      </c>
      <c r="C81" s="27" t="s">
        <v>91</v>
      </c>
      <c r="D81" s="27">
        <f t="shared" si="6"/>
        <v>1</v>
      </c>
      <c r="E81" s="28">
        <v>1</v>
      </c>
      <c r="F81" s="36">
        <v>1</v>
      </c>
      <c r="G81" s="36">
        <f t="shared" si="8"/>
        <v>2</v>
      </c>
      <c r="H81" s="28">
        <f t="shared" si="7"/>
        <v>1</v>
      </c>
      <c r="I81">
        <f t="shared" si="9"/>
        <v>0</v>
      </c>
      <c r="J81">
        <f t="shared" si="10"/>
        <v>0</v>
      </c>
      <c r="K81" s="38">
        <f t="shared" si="11"/>
        <v>2</v>
      </c>
      <c r="L81" s="40"/>
      <c r="M81">
        <v>12295864</v>
      </c>
      <c r="N81">
        <v>4</v>
      </c>
      <c r="R81" s="27">
        <v>530345</v>
      </c>
      <c r="S81" s="36">
        <v>0</v>
      </c>
      <c r="T81" s="36">
        <v>1</v>
      </c>
    </row>
    <row r="82" spans="1:20">
      <c r="A82" s="27" t="s">
        <v>4</v>
      </c>
      <c r="B82" s="27">
        <v>539088</v>
      </c>
      <c r="C82" s="27" t="s">
        <v>92</v>
      </c>
      <c r="D82" s="27">
        <f t="shared" si="6"/>
        <v>1</v>
      </c>
      <c r="E82" s="28">
        <v>5</v>
      </c>
      <c r="F82" s="36">
        <v>0</v>
      </c>
      <c r="G82" s="36">
        <f t="shared" si="8"/>
        <v>3</v>
      </c>
      <c r="H82" s="28">
        <f t="shared" si="7"/>
        <v>3</v>
      </c>
      <c r="I82">
        <f t="shared" si="9"/>
        <v>1</v>
      </c>
      <c r="J82">
        <f t="shared" si="10"/>
        <v>1</v>
      </c>
      <c r="K82" s="38">
        <f t="shared" si="11"/>
        <v>2</v>
      </c>
      <c r="L82" s="41"/>
      <c r="M82">
        <v>406768</v>
      </c>
      <c r="N82">
        <v>4</v>
      </c>
      <c r="R82" s="27">
        <v>539088</v>
      </c>
      <c r="S82" s="36">
        <v>2</v>
      </c>
      <c r="T82" s="36">
        <v>2</v>
      </c>
    </row>
    <row r="83" spans="1:20">
      <c r="A83" s="27" t="s">
        <v>4</v>
      </c>
      <c r="B83" s="27">
        <v>543720</v>
      </c>
      <c r="C83" s="27" t="s">
        <v>93</v>
      </c>
      <c r="D83" s="27">
        <f t="shared" si="6"/>
        <v>1</v>
      </c>
      <c r="E83" s="28">
        <v>0</v>
      </c>
      <c r="F83" s="36">
        <v>1</v>
      </c>
      <c r="G83" s="36">
        <f t="shared" si="8"/>
        <v>3</v>
      </c>
      <c r="H83" s="28">
        <f t="shared" si="7"/>
        <v>2</v>
      </c>
      <c r="I83">
        <f t="shared" si="9"/>
        <v>1</v>
      </c>
      <c r="J83">
        <f t="shared" si="10"/>
        <v>1</v>
      </c>
      <c r="K83" s="38">
        <f t="shared" si="11"/>
        <v>2</v>
      </c>
      <c r="L83" s="41"/>
      <c r="M83">
        <v>12321533</v>
      </c>
      <c r="N83">
        <v>4</v>
      </c>
      <c r="R83" s="27">
        <v>543720</v>
      </c>
      <c r="S83" s="36">
        <v>1</v>
      </c>
      <c r="T83" s="36">
        <v>2</v>
      </c>
    </row>
    <row r="84" spans="1:20">
      <c r="A84" s="27" t="s">
        <v>4</v>
      </c>
      <c r="B84" s="27">
        <v>560814</v>
      </c>
      <c r="C84" s="27" t="s">
        <v>94</v>
      </c>
      <c r="D84" s="27">
        <f t="shared" si="6"/>
        <v>1</v>
      </c>
      <c r="E84" s="28">
        <v>0</v>
      </c>
      <c r="F84" s="36">
        <v>1</v>
      </c>
      <c r="G84" s="36">
        <f t="shared" si="8"/>
        <v>2</v>
      </c>
      <c r="H84" s="28">
        <f t="shared" si="7"/>
        <v>1</v>
      </c>
      <c r="I84">
        <f t="shared" si="9"/>
        <v>0</v>
      </c>
      <c r="J84">
        <f t="shared" si="10"/>
        <v>0</v>
      </c>
      <c r="K84" s="38">
        <f t="shared" si="11"/>
        <v>2</v>
      </c>
      <c r="L84" s="42"/>
      <c r="M84">
        <v>62012</v>
      </c>
      <c r="N84">
        <v>4</v>
      </c>
      <c r="R84" s="27">
        <v>560814</v>
      </c>
      <c r="S84" s="36">
        <v>2</v>
      </c>
      <c r="T84" s="36">
        <v>2</v>
      </c>
    </row>
    <row r="85" spans="1:20">
      <c r="A85" s="27" t="s">
        <v>4</v>
      </c>
      <c r="B85" s="27">
        <v>563095</v>
      </c>
      <c r="C85" s="27" t="s">
        <v>95</v>
      </c>
      <c r="D85" s="27">
        <f t="shared" si="6"/>
        <v>0</v>
      </c>
      <c r="E85" s="28">
        <v>0</v>
      </c>
      <c r="F85" s="36">
        <v>2</v>
      </c>
      <c r="G85" s="36">
        <f t="shared" si="8"/>
        <v>0</v>
      </c>
      <c r="H85" s="28">
        <f t="shared" si="7"/>
        <v>0</v>
      </c>
      <c r="I85">
        <f t="shared" si="9"/>
        <v>0</v>
      </c>
      <c r="J85">
        <f t="shared" si="10"/>
        <v>0</v>
      </c>
      <c r="K85" s="38">
        <f t="shared" si="11"/>
        <v>0</v>
      </c>
      <c r="L85" s="41"/>
      <c r="M85">
        <v>293932</v>
      </c>
      <c r="N85">
        <v>4</v>
      </c>
      <c r="R85" s="27">
        <v>563095</v>
      </c>
      <c r="S85" s="36">
        <v>0</v>
      </c>
      <c r="T85" s="36">
        <v>0</v>
      </c>
    </row>
    <row r="86" spans="1:20">
      <c r="A86" s="27" t="s">
        <v>4</v>
      </c>
      <c r="B86" s="27">
        <v>61690</v>
      </c>
      <c r="C86" s="27" t="s">
        <v>96</v>
      </c>
      <c r="D86" s="27">
        <f t="shared" si="6"/>
        <v>0</v>
      </c>
      <c r="E86" s="28">
        <v>4</v>
      </c>
      <c r="F86" s="36">
        <v>1</v>
      </c>
      <c r="G86" s="36">
        <f t="shared" si="8"/>
        <v>0</v>
      </c>
      <c r="H86" s="28">
        <f t="shared" si="7"/>
        <v>0</v>
      </c>
      <c r="I86">
        <f t="shared" si="9"/>
        <v>0</v>
      </c>
      <c r="J86">
        <f t="shared" si="10"/>
        <v>0</v>
      </c>
      <c r="K86" s="38">
        <f t="shared" si="11"/>
        <v>0</v>
      </c>
      <c r="M86">
        <v>199061</v>
      </c>
      <c r="N86">
        <v>4</v>
      </c>
      <c r="R86" s="27">
        <v>61690</v>
      </c>
      <c r="S86" s="36">
        <v>0</v>
      </c>
      <c r="T86" s="36">
        <v>0</v>
      </c>
    </row>
    <row r="87" spans="1:20">
      <c r="A87" s="27" t="s">
        <v>4</v>
      </c>
      <c r="B87" s="27" t="s">
        <v>98</v>
      </c>
      <c r="C87" s="27" t="s">
        <v>97</v>
      </c>
      <c r="D87" s="27">
        <f t="shared" si="6"/>
        <v>1</v>
      </c>
      <c r="E87" s="28">
        <v>1</v>
      </c>
      <c r="F87" s="36">
        <v>0</v>
      </c>
      <c r="G87" s="36">
        <f t="shared" si="8"/>
        <v>36</v>
      </c>
      <c r="H87" s="28">
        <f t="shared" si="7"/>
        <v>36</v>
      </c>
      <c r="I87">
        <f t="shared" si="9"/>
        <v>1</v>
      </c>
      <c r="J87">
        <f t="shared" si="10"/>
        <v>1</v>
      </c>
      <c r="K87" s="38">
        <f t="shared" si="11"/>
        <v>35</v>
      </c>
      <c r="M87">
        <v>480222</v>
      </c>
      <c r="N87">
        <v>4</v>
      </c>
      <c r="R87" s="27" t="s">
        <v>98</v>
      </c>
      <c r="S87" s="36">
        <v>4</v>
      </c>
      <c r="T87" s="36">
        <v>5</v>
      </c>
    </row>
    <row r="88" spans="1:20">
      <c r="A88" s="27" t="s">
        <v>4</v>
      </c>
      <c r="B88" s="27" t="s">
        <v>100</v>
      </c>
      <c r="C88" s="27" t="s">
        <v>99</v>
      </c>
      <c r="D88" s="27">
        <f t="shared" si="6"/>
        <v>1</v>
      </c>
      <c r="E88" s="28">
        <v>0</v>
      </c>
      <c r="F88" s="36">
        <v>1</v>
      </c>
      <c r="G88" s="36">
        <f t="shared" si="8"/>
        <v>5</v>
      </c>
      <c r="H88" s="28">
        <f t="shared" si="7"/>
        <v>4</v>
      </c>
      <c r="I88">
        <f t="shared" si="9"/>
        <v>1</v>
      </c>
      <c r="J88">
        <f t="shared" si="10"/>
        <v>1</v>
      </c>
      <c r="K88" s="38">
        <f t="shared" si="11"/>
        <v>4</v>
      </c>
      <c r="M88">
        <v>490023</v>
      </c>
      <c r="N88">
        <v>4</v>
      </c>
      <c r="R88" s="27" t="s">
        <v>100</v>
      </c>
      <c r="S88" s="36">
        <v>2</v>
      </c>
      <c r="T88" s="36">
        <v>2</v>
      </c>
    </row>
    <row r="89" spans="1:20">
      <c r="A89" s="27" t="s">
        <v>4</v>
      </c>
      <c r="B89" s="27" t="s">
        <v>102</v>
      </c>
      <c r="C89" s="27" t="s">
        <v>101</v>
      </c>
      <c r="D89" s="27">
        <f t="shared" si="6"/>
        <v>0</v>
      </c>
      <c r="E89" s="28">
        <v>0</v>
      </c>
      <c r="F89" s="36">
        <v>3</v>
      </c>
      <c r="G89" s="36">
        <f t="shared" si="8"/>
        <v>0</v>
      </c>
      <c r="H89" s="28">
        <f t="shared" si="7"/>
        <v>0</v>
      </c>
      <c r="I89">
        <f t="shared" si="9"/>
        <v>0</v>
      </c>
      <c r="J89">
        <f t="shared" si="10"/>
        <v>0</v>
      </c>
      <c r="K89" s="38">
        <f t="shared" si="11"/>
        <v>0</v>
      </c>
      <c r="M89">
        <v>571604</v>
      </c>
      <c r="N89">
        <v>4</v>
      </c>
      <c r="R89" s="27" t="s">
        <v>102</v>
      </c>
      <c r="S89" s="36">
        <v>0</v>
      </c>
      <c r="T89" s="36">
        <v>0</v>
      </c>
    </row>
    <row r="90" spans="1:20">
      <c r="A90" s="27" t="s">
        <v>4</v>
      </c>
      <c r="B90" s="27" t="s">
        <v>104</v>
      </c>
      <c r="C90" s="27" t="s">
        <v>103</v>
      </c>
      <c r="D90" s="27">
        <f t="shared" si="6"/>
        <v>0</v>
      </c>
      <c r="E90" s="28">
        <v>0</v>
      </c>
      <c r="F90" s="36">
        <v>1</v>
      </c>
      <c r="G90" s="36">
        <f t="shared" si="8"/>
        <v>0</v>
      </c>
      <c r="H90" s="28">
        <f t="shared" si="7"/>
        <v>0</v>
      </c>
      <c r="I90">
        <f t="shared" si="9"/>
        <v>0</v>
      </c>
      <c r="J90">
        <f t="shared" si="10"/>
        <v>0</v>
      </c>
      <c r="K90" s="38">
        <f t="shared" si="11"/>
        <v>0</v>
      </c>
      <c r="M90">
        <v>62339</v>
      </c>
      <c r="N90">
        <v>4</v>
      </c>
      <c r="R90" s="27" t="s">
        <v>104</v>
      </c>
      <c r="S90" s="36">
        <v>0</v>
      </c>
      <c r="T90" s="36">
        <v>0</v>
      </c>
    </row>
    <row r="91" spans="1:20">
      <c r="A91" s="27" t="s">
        <v>5</v>
      </c>
      <c r="B91" s="27">
        <v>12295536</v>
      </c>
      <c r="C91" s="27" t="s">
        <v>105</v>
      </c>
      <c r="D91" s="27">
        <f t="shared" si="6"/>
        <v>1</v>
      </c>
      <c r="E91" s="28">
        <v>2</v>
      </c>
      <c r="F91" s="36">
        <v>0</v>
      </c>
      <c r="G91" s="36">
        <f t="shared" si="8"/>
        <v>1</v>
      </c>
      <c r="H91" s="28">
        <f t="shared" si="7"/>
        <v>1</v>
      </c>
      <c r="I91">
        <f t="shared" si="9"/>
        <v>0</v>
      </c>
      <c r="J91">
        <f t="shared" si="10"/>
        <v>0</v>
      </c>
      <c r="K91" s="38">
        <f t="shared" si="11"/>
        <v>1</v>
      </c>
      <c r="M91">
        <v>357600</v>
      </c>
      <c r="N91">
        <v>4</v>
      </c>
      <c r="R91" s="27">
        <v>12295536</v>
      </c>
      <c r="S91" s="36">
        <v>1</v>
      </c>
      <c r="T91" s="36">
        <v>1</v>
      </c>
    </row>
    <row r="92" spans="1:20">
      <c r="A92" s="27" t="s">
        <v>5</v>
      </c>
      <c r="B92" s="27">
        <v>12295980</v>
      </c>
      <c r="C92" s="27" t="s">
        <v>106</v>
      </c>
      <c r="D92" s="27">
        <f t="shared" si="6"/>
        <v>0</v>
      </c>
      <c r="E92" s="28">
        <v>0</v>
      </c>
      <c r="F92" s="36">
        <v>0</v>
      </c>
      <c r="G92" s="36">
        <f t="shared" si="8"/>
        <v>0</v>
      </c>
      <c r="H92" s="28">
        <f t="shared" si="7"/>
        <v>0</v>
      </c>
      <c r="I92">
        <f t="shared" si="9"/>
        <v>0</v>
      </c>
      <c r="J92">
        <f t="shared" si="10"/>
        <v>0</v>
      </c>
      <c r="K92" s="38">
        <f t="shared" si="11"/>
        <v>0</v>
      </c>
      <c r="M92">
        <v>211577</v>
      </c>
      <c r="N92">
        <v>4</v>
      </c>
      <c r="R92" s="27">
        <v>12295980</v>
      </c>
      <c r="S92" s="36">
        <v>0</v>
      </c>
      <c r="T92" s="36">
        <v>0</v>
      </c>
    </row>
    <row r="93" spans="1:20">
      <c r="A93" s="27" t="s">
        <v>5</v>
      </c>
      <c r="B93" s="27">
        <v>12302808</v>
      </c>
      <c r="C93" s="27" t="s">
        <v>107</v>
      </c>
      <c r="D93" s="27">
        <f t="shared" si="6"/>
        <v>0</v>
      </c>
      <c r="E93" s="28">
        <v>0</v>
      </c>
      <c r="F93" s="36">
        <v>0</v>
      </c>
      <c r="G93" s="36">
        <f t="shared" si="8"/>
        <v>0</v>
      </c>
      <c r="H93" s="28">
        <f t="shared" si="7"/>
        <v>0</v>
      </c>
      <c r="I93">
        <f t="shared" si="9"/>
        <v>0</v>
      </c>
      <c r="J93">
        <f t="shared" si="10"/>
        <v>0</v>
      </c>
      <c r="K93" s="38">
        <f t="shared" si="11"/>
        <v>0</v>
      </c>
      <c r="M93">
        <v>7988</v>
      </c>
      <c r="N93">
        <v>4</v>
      </c>
      <c r="R93" s="27">
        <v>12302808</v>
      </c>
      <c r="S93" s="36">
        <v>0</v>
      </c>
      <c r="T93" s="36">
        <v>0</v>
      </c>
    </row>
    <row r="94" spans="1:20">
      <c r="A94" s="27" t="s">
        <v>5</v>
      </c>
      <c r="B94" s="27">
        <v>12303072</v>
      </c>
      <c r="C94" s="27" t="s">
        <v>108</v>
      </c>
      <c r="D94" s="27">
        <f t="shared" si="6"/>
        <v>1</v>
      </c>
      <c r="E94" s="28">
        <v>0</v>
      </c>
      <c r="F94" s="36">
        <v>2</v>
      </c>
      <c r="G94" s="36">
        <f t="shared" si="8"/>
        <v>2</v>
      </c>
      <c r="H94" s="28">
        <f t="shared" si="7"/>
        <v>0</v>
      </c>
      <c r="I94">
        <f t="shared" si="9"/>
        <v>0</v>
      </c>
      <c r="J94">
        <f t="shared" si="10"/>
        <v>0</v>
      </c>
      <c r="K94" s="38">
        <f t="shared" si="11"/>
        <v>2</v>
      </c>
      <c r="M94">
        <v>535790</v>
      </c>
      <c r="N94">
        <v>4</v>
      </c>
      <c r="R94" s="27">
        <v>12303072</v>
      </c>
      <c r="S94" s="36">
        <v>2</v>
      </c>
      <c r="T94" s="36">
        <v>2</v>
      </c>
    </row>
    <row r="95" spans="1:20">
      <c r="A95" s="27" t="s">
        <v>5</v>
      </c>
      <c r="B95" s="27">
        <v>12313881</v>
      </c>
      <c r="C95" s="27" t="s">
        <v>109</v>
      </c>
      <c r="D95" s="27">
        <f t="shared" si="6"/>
        <v>1</v>
      </c>
      <c r="E95" s="28">
        <v>5</v>
      </c>
      <c r="F95" s="36">
        <v>1</v>
      </c>
      <c r="G95" s="36">
        <f t="shared" si="8"/>
        <v>31</v>
      </c>
      <c r="H95" s="28">
        <f t="shared" si="7"/>
        <v>30</v>
      </c>
      <c r="I95">
        <f t="shared" si="9"/>
        <v>1</v>
      </c>
      <c r="J95">
        <f t="shared" si="10"/>
        <v>1</v>
      </c>
      <c r="K95" s="38">
        <f t="shared" si="11"/>
        <v>30</v>
      </c>
      <c r="M95">
        <v>12295756</v>
      </c>
      <c r="N95">
        <v>4</v>
      </c>
      <c r="R95" s="27">
        <v>12313881</v>
      </c>
      <c r="S95" s="36">
        <v>22</v>
      </c>
      <c r="T95" s="36">
        <v>29</v>
      </c>
    </row>
    <row r="96" spans="1:20">
      <c r="A96" s="27" t="s">
        <v>5</v>
      </c>
      <c r="B96" s="27">
        <v>12317091</v>
      </c>
      <c r="C96" s="27" t="s">
        <v>110</v>
      </c>
      <c r="D96" s="27">
        <f t="shared" si="6"/>
        <v>0</v>
      </c>
      <c r="E96" s="28">
        <v>0</v>
      </c>
      <c r="F96" s="36">
        <v>0</v>
      </c>
      <c r="G96" s="36">
        <f t="shared" si="8"/>
        <v>0</v>
      </c>
      <c r="H96" s="28">
        <f t="shared" si="7"/>
        <v>0</v>
      </c>
      <c r="I96">
        <f t="shared" si="9"/>
        <v>0</v>
      </c>
      <c r="J96">
        <f t="shared" si="10"/>
        <v>0</v>
      </c>
      <c r="K96" s="38">
        <f t="shared" si="11"/>
        <v>0</v>
      </c>
      <c r="M96">
        <v>537259</v>
      </c>
      <c r="N96">
        <v>18</v>
      </c>
      <c r="R96" s="27">
        <v>12317091</v>
      </c>
      <c r="S96" s="36">
        <v>0</v>
      </c>
      <c r="T96" s="36">
        <v>0</v>
      </c>
    </row>
    <row r="97" spans="1:20">
      <c r="A97" s="27" t="s">
        <v>5</v>
      </c>
      <c r="B97" s="27">
        <v>12318079</v>
      </c>
      <c r="C97" s="27" t="s">
        <v>111</v>
      </c>
      <c r="D97" s="27">
        <f t="shared" si="6"/>
        <v>1</v>
      </c>
      <c r="E97" s="28">
        <v>0</v>
      </c>
      <c r="F97" s="36">
        <v>1</v>
      </c>
      <c r="G97" s="36">
        <f t="shared" si="8"/>
        <v>4</v>
      </c>
      <c r="H97" s="28">
        <f t="shared" si="7"/>
        <v>3</v>
      </c>
      <c r="I97">
        <f t="shared" si="9"/>
        <v>1</v>
      </c>
      <c r="J97">
        <f t="shared" si="10"/>
        <v>1</v>
      </c>
      <c r="K97" s="38">
        <f t="shared" si="11"/>
        <v>3</v>
      </c>
      <c r="M97">
        <v>61526</v>
      </c>
      <c r="N97">
        <v>18</v>
      </c>
      <c r="R97" s="27">
        <v>12318079</v>
      </c>
      <c r="S97" s="36">
        <v>3</v>
      </c>
      <c r="T97" s="36">
        <v>3</v>
      </c>
    </row>
    <row r="98" spans="1:20">
      <c r="A98" s="27" t="s">
        <v>5</v>
      </c>
      <c r="B98" s="27">
        <v>12320853</v>
      </c>
      <c r="C98" s="27" t="s">
        <v>112</v>
      </c>
      <c r="D98" s="27">
        <f t="shared" si="6"/>
        <v>0</v>
      </c>
      <c r="E98" s="28">
        <v>0</v>
      </c>
      <c r="F98" s="36">
        <v>1</v>
      </c>
      <c r="G98" s="36">
        <f t="shared" si="8"/>
        <v>0</v>
      </c>
      <c r="H98" s="28">
        <f t="shared" si="7"/>
        <v>0</v>
      </c>
      <c r="I98">
        <f t="shared" si="9"/>
        <v>0</v>
      </c>
      <c r="J98">
        <f t="shared" si="10"/>
        <v>0</v>
      </c>
      <c r="K98" s="38">
        <f t="shared" si="11"/>
        <v>0</v>
      </c>
      <c r="M98">
        <v>12322361</v>
      </c>
      <c r="N98">
        <v>18</v>
      </c>
      <c r="R98" s="27">
        <v>12320853</v>
      </c>
      <c r="S98" s="36">
        <v>0</v>
      </c>
      <c r="T98" s="36">
        <v>0</v>
      </c>
    </row>
    <row r="99" spans="1:20">
      <c r="A99" s="27" t="s">
        <v>5</v>
      </c>
      <c r="B99" s="27">
        <v>12321230</v>
      </c>
      <c r="C99" s="27" t="s">
        <v>113</v>
      </c>
      <c r="D99" s="27">
        <f t="shared" si="6"/>
        <v>1</v>
      </c>
      <c r="E99" s="28">
        <v>0</v>
      </c>
      <c r="F99" s="36">
        <v>0</v>
      </c>
      <c r="G99" s="36">
        <f t="shared" si="8"/>
        <v>3</v>
      </c>
      <c r="H99" s="28">
        <f t="shared" si="7"/>
        <v>3</v>
      </c>
      <c r="I99">
        <f t="shared" si="9"/>
        <v>1</v>
      </c>
      <c r="J99">
        <f t="shared" si="10"/>
        <v>1</v>
      </c>
      <c r="K99" s="38">
        <f t="shared" si="11"/>
        <v>2</v>
      </c>
      <c r="M99">
        <v>127198</v>
      </c>
      <c r="N99">
        <v>18</v>
      </c>
      <c r="R99" s="27">
        <v>12321230</v>
      </c>
      <c r="S99" s="36">
        <v>2</v>
      </c>
      <c r="T99" s="36">
        <v>3</v>
      </c>
    </row>
    <row r="100" spans="1:20">
      <c r="A100" s="27" t="s">
        <v>5</v>
      </c>
      <c r="B100" s="27">
        <v>12321241</v>
      </c>
      <c r="C100" s="27" t="s">
        <v>114</v>
      </c>
      <c r="D100" s="27">
        <f t="shared" si="6"/>
        <v>1</v>
      </c>
      <c r="E100" s="28">
        <v>6</v>
      </c>
      <c r="F100" s="36">
        <v>3</v>
      </c>
      <c r="G100" s="36">
        <f t="shared" si="8"/>
        <v>31</v>
      </c>
      <c r="H100" s="28">
        <f t="shared" si="7"/>
        <v>28</v>
      </c>
      <c r="I100">
        <f t="shared" si="9"/>
        <v>1</v>
      </c>
      <c r="J100">
        <f t="shared" si="10"/>
        <v>1</v>
      </c>
      <c r="K100" s="38">
        <f t="shared" si="11"/>
        <v>30</v>
      </c>
      <c r="M100">
        <v>347151</v>
      </c>
      <c r="N100">
        <v>18</v>
      </c>
      <c r="R100" s="27">
        <v>12321241</v>
      </c>
      <c r="S100" s="36">
        <v>14</v>
      </c>
      <c r="T100" s="36">
        <v>22</v>
      </c>
    </row>
    <row r="101" spans="1:20">
      <c r="A101" s="27" t="s">
        <v>5</v>
      </c>
      <c r="B101" s="27">
        <v>12321243</v>
      </c>
      <c r="C101" s="27" t="s">
        <v>115</v>
      </c>
      <c r="D101" s="27">
        <f t="shared" si="6"/>
        <v>1</v>
      </c>
      <c r="E101" s="28">
        <v>4</v>
      </c>
      <c r="F101" s="36">
        <v>2</v>
      </c>
      <c r="G101" s="36">
        <f t="shared" si="8"/>
        <v>93</v>
      </c>
      <c r="H101" s="28">
        <f t="shared" si="7"/>
        <v>91</v>
      </c>
      <c r="I101">
        <f t="shared" si="9"/>
        <v>1</v>
      </c>
      <c r="J101">
        <f t="shared" si="10"/>
        <v>1</v>
      </c>
      <c r="K101" s="38">
        <f t="shared" si="11"/>
        <v>92</v>
      </c>
      <c r="M101">
        <v>12323463</v>
      </c>
      <c r="N101">
        <v>89</v>
      </c>
      <c r="R101" s="27">
        <v>12321243</v>
      </c>
      <c r="S101" s="36">
        <v>87</v>
      </c>
      <c r="T101" s="36">
        <v>99</v>
      </c>
    </row>
    <row r="102" spans="1:20">
      <c r="A102" s="27" t="s">
        <v>5</v>
      </c>
      <c r="B102" s="27">
        <v>12322430</v>
      </c>
      <c r="C102" s="27" t="s">
        <v>116</v>
      </c>
      <c r="D102" s="27">
        <f t="shared" si="6"/>
        <v>0</v>
      </c>
      <c r="E102" s="28">
        <v>0</v>
      </c>
      <c r="F102" s="36">
        <v>0</v>
      </c>
      <c r="G102" s="36">
        <f t="shared" si="8"/>
        <v>0</v>
      </c>
      <c r="H102" s="28">
        <f t="shared" si="7"/>
        <v>0</v>
      </c>
      <c r="I102">
        <f t="shared" si="9"/>
        <v>0</v>
      </c>
      <c r="J102">
        <f t="shared" si="10"/>
        <v>0</v>
      </c>
      <c r="K102" s="38">
        <f t="shared" si="11"/>
        <v>0</v>
      </c>
      <c r="M102">
        <v>12333031</v>
      </c>
      <c r="N102">
        <v>51</v>
      </c>
      <c r="R102" s="27">
        <v>12322430</v>
      </c>
      <c r="S102" s="36">
        <v>0</v>
      </c>
      <c r="T102" s="36">
        <v>0</v>
      </c>
    </row>
    <row r="103" spans="1:20">
      <c r="A103" s="27" t="s">
        <v>5</v>
      </c>
      <c r="B103" s="27">
        <v>12324194</v>
      </c>
      <c r="C103" s="27" t="s">
        <v>117</v>
      </c>
      <c r="D103" s="27">
        <f t="shared" si="6"/>
        <v>0</v>
      </c>
      <c r="E103" s="28">
        <v>0</v>
      </c>
      <c r="F103" s="36">
        <v>0</v>
      </c>
      <c r="G103" s="36">
        <f t="shared" si="8"/>
        <v>0</v>
      </c>
      <c r="H103" s="28">
        <f t="shared" si="7"/>
        <v>0</v>
      </c>
      <c r="I103">
        <f t="shared" si="9"/>
        <v>0</v>
      </c>
      <c r="J103">
        <f t="shared" si="10"/>
        <v>0</v>
      </c>
      <c r="K103" s="38">
        <f t="shared" si="11"/>
        <v>0</v>
      </c>
      <c r="M103">
        <v>12333237</v>
      </c>
      <c r="N103">
        <v>13</v>
      </c>
      <c r="R103" s="27">
        <v>12324194</v>
      </c>
      <c r="S103" s="36">
        <v>0</v>
      </c>
      <c r="T103" s="36">
        <v>0</v>
      </c>
    </row>
    <row r="104" spans="1:20">
      <c r="A104" s="27" t="s">
        <v>5</v>
      </c>
      <c r="B104" s="27">
        <v>12327316</v>
      </c>
      <c r="C104" s="27" t="s">
        <v>118</v>
      </c>
      <c r="D104" s="27">
        <f t="shared" si="6"/>
        <v>1</v>
      </c>
      <c r="E104" s="28">
        <v>0</v>
      </c>
      <c r="F104" s="36">
        <v>1</v>
      </c>
      <c r="G104" s="36">
        <f t="shared" si="8"/>
        <v>1</v>
      </c>
      <c r="H104" s="28">
        <f t="shared" si="7"/>
        <v>0</v>
      </c>
      <c r="I104">
        <f t="shared" si="9"/>
        <v>0</v>
      </c>
      <c r="J104">
        <f t="shared" si="10"/>
        <v>0</v>
      </c>
      <c r="K104" s="38">
        <f t="shared" si="11"/>
        <v>1</v>
      </c>
      <c r="M104">
        <v>12321239</v>
      </c>
      <c r="N104">
        <v>13</v>
      </c>
      <c r="R104" s="27">
        <v>12327316</v>
      </c>
      <c r="S104" s="36">
        <v>1</v>
      </c>
      <c r="T104" s="36">
        <v>1</v>
      </c>
    </row>
    <row r="105" spans="1:20">
      <c r="A105" s="27" t="s">
        <v>5</v>
      </c>
      <c r="B105" s="27">
        <v>12331450</v>
      </c>
      <c r="C105" s="27" t="s">
        <v>119</v>
      </c>
      <c r="D105" s="27">
        <f t="shared" si="6"/>
        <v>1</v>
      </c>
      <c r="E105" s="28">
        <v>0</v>
      </c>
      <c r="F105" s="36">
        <v>1</v>
      </c>
      <c r="G105" s="36">
        <f t="shared" si="8"/>
        <v>2</v>
      </c>
      <c r="H105" s="28">
        <f t="shared" si="7"/>
        <v>1</v>
      </c>
      <c r="I105">
        <f t="shared" si="9"/>
        <v>0</v>
      </c>
      <c r="J105">
        <f t="shared" si="10"/>
        <v>0</v>
      </c>
      <c r="K105" s="38">
        <f t="shared" si="11"/>
        <v>2</v>
      </c>
      <c r="M105" t="s">
        <v>192</v>
      </c>
      <c r="N105">
        <v>13</v>
      </c>
      <c r="R105" s="27">
        <v>12331450</v>
      </c>
      <c r="S105" s="36">
        <v>0</v>
      </c>
      <c r="T105" s="36">
        <v>2</v>
      </c>
    </row>
    <row r="106" spans="1:20">
      <c r="A106" s="27" t="s">
        <v>5</v>
      </c>
      <c r="B106" s="27">
        <v>12332670</v>
      </c>
      <c r="C106" s="27" t="s">
        <v>120</v>
      </c>
      <c r="D106" s="27">
        <f t="shared" si="6"/>
        <v>1</v>
      </c>
      <c r="E106" s="28">
        <v>0</v>
      </c>
      <c r="F106" s="36">
        <v>1</v>
      </c>
      <c r="G106" s="36">
        <f t="shared" si="8"/>
        <v>5</v>
      </c>
      <c r="H106" s="28">
        <f t="shared" si="7"/>
        <v>4</v>
      </c>
      <c r="I106">
        <f t="shared" si="9"/>
        <v>1</v>
      </c>
      <c r="J106">
        <f t="shared" si="10"/>
        <v>1</v>
      </c>
      <c r="K106" s="38">
        <f t="shared" si="11"/>
        <v>4</v>
      </c>
      <c r="M106">
        <v>12295785</v>
      </c>
      <c r="N106">
        <v>13</v>
      </c>
      <c r="R106" s="27">
        <v>12332670</v>
      </c>
      <c r="S106" s="36">
        <v>2</v>
      </c>
      <c r="T106" s="36">
        <v>2</v>
      </c>
    </row>
    <row r="107" spans="1:20">
      <c r="A107" s="27" t="s">
        <v>5</v>
      </c>
      <c r="B107" s="27">
        <v>12332811</v>
      </c>
      <c r="C107" s="27" t="s">
        <v>121</v>
      </c>
      <c r="D107" s="27">
        <f t="shared" si="6"/>
        <v>0</v>
      </c>
      <c r="E107" s="28">
        <v>0</v>
      </c>
      <c r="F107" s="36">
        <v>0</v>
      </c>
      <c r="G107" s="36">
        <f t="shared" si="8"/>
        <v>0</v>
      </c>
      <c r="H107" s="28">
        <f t="shared" si="7"/>
        <v>0</v>
      </c>
      <c r="I107">
        <f t="shared" si="9"/>
        <v>0</v>
      </c>
      <c r="J107">
        <f t="shared" si="10"/>
        <v>0</v>
      </c>
      <c r="K107" s="38">
        <f t="shared" si="11"/>
        <v>0</v>
      </c>
      <c r="M107">
        <v>199074</v>
      </c>
      <c r="N107">
        <v>13</v>
      </c>
      <c r="R107" s="27">
        <v>12332811</v>
      </c>
      <c r="S107" s="36">
        <v>0</v>
      </c>
      <c r="T107" s="36">
        <v>0</v>
      </c>
    </row>
    <row r="108" spans="1:20">
      <c r="A108" s="27" t="s">
        <v>5</v>
      </c>
      <c r="B108" s="27">
        <v>12333237</v>
      </c>
      <c r="C108" s="27" t="s">
        <v>122</v>
      </c>
      <c r="D108" s="27">
        <f t="shared" si="6"/>
        <v>1</v>
      </c>
      <c r="E108" s="28">
        <v>0</v>
      </c>
      <c r="F108" s="36">
        <v>1</v>
      </c>
      <c r="G108" s="36">
        <f t="shared" si="8"/>
        <v>13</v>
      </c>
      <c r="H108" s="28">
        <f t="shared" si="7"/>
        <v>12</v>
      </c>
      <c r="I108">
        <f t="shared" si="9"/>
        <v>1</v>
      </c>
      <c r="J108">
        <f t="shared" si="10"/>
        <v>1</v>
      </c>
      <c r="K108" s="38">
        <f t="shared" si="11"/>
        <v>12</v>
      </c>
      <c r="M108">
        <v>537570</v>
      </c>
      <c r="N108">
        <v>13</v>
      </c>
      <c r="R108" s="27">
        <v>12333237</v>
      </c>
      <c r="S108" s="36">
        <v>7</v>
      </c>
      <c r="T108" s="36">
        <v>10</v>
      </c>
    </row>
    <row r="109" spans="1:20">
      <c r="A109" s="27" t="s">
        <v>5</v>
      </c>
      <c r="B109" s="27">
        <v>12334635</v>
      </c>
      <c r="C109" s="27" t="s">
        <v>123</v>
      </c>
      <c r="D109" s="27">
        <f t="shared" si="6"/>
        <v>1</v>
      </c>
      <c r="E109" s="28">
        <v>2</v>
      </c>
      <c r="F109" s="36">
        <v>1</v>
      </c>
      <c r="G109" s="36">
        <f t="shared" si="8"/>
        <v>3</v>
      </c>
      <c r="H109" s="28">
        <f t="shared" si="7"/>
        <v>2</v>
      </c>
      <c r="I109">
        <f t="shared" si="9"/>
        <v>1</v>
      </c>
      <c r="J109">
        <f t="shared" si="10"/>
        <v>1</v>
      </c>
      <c r="K109" s="38">
        <f t="shared" si="11"/>
        <v>2</v>
      </c>
      <c r="M109">
        <v>344173</v>
      </c>
      <c r="N109">
        <v>13</v>
      </c>
      <c r="R109" s="27">
        <v>12334635</v>
      </c>
      <c r="S109" s="36">
        <v>0</v>
      </c>
      <c r="T109" s="36">
        <v>2</v>
      </c>
    </row>
    <row r="110" spans="1:20">
      <c r="A110" s="27" t="s">
        <v>5</v>
      </c>
      <c r="B110" s="27">
        <v>12334637</v>
      </c>
      <c r="C110" s="27" t="s">
        <v>124</v>
      </c>
      <c r="D110" s="27">
        <f t="shared" si="6"/>
        <v>1</v>
      </c>
      <c r="E110" s="28">
        <v>2</v>
      </c>
      <c r="F110" s="36">
        <v>1</v>
      </c>
      <c r="G110" s="36">
        <f t="shared" si="8"/>
        <v>3</v>
      </c>
      <c r="H110" s="28">
        <f t="shared" si="7"/>
        <v>2</v>
      </c>
      <c r="I110">
        <f t="shared" si="9"/>
        <v>1</v>
      </c>
      <c r="J110">
        <f t="shared" si="10"/>
        <v>1</v>
      </c>
      <c r="K110" s="38">
        <f t="shared" si="11"/>
        <v>2</v>
      </c>
      <c r="M110">
        <v>61800</v>
      </c>
      <c r="N110">
        <v>13</v>
      </c>
      <c r="R110" s="27">
        <v>12334637</v>
      </c>
      <c r="S110" s="36">
        <v>2</v>
      </c>
      <c r="T110" s="36">
        <v>3</v>
      </c>
    </row>
    <row r="111" spans="1:20">
      <c r="A111" s="27" t="s">
        <v>5</v>
      </c>
      <c r="B111" s="27">
        <v>126963</v>
      </c>
      <c r="C111" s="27" t="s">
        <v>125</v>
      </c>
      <c r="D111" s="27">
        <f t="shared" si="6"/>
        <v>1</v>
      </c>
      <c r="E111" s="28">
        <v>0</v>
      </c>
      <c r="F111" s="36">
        <v>1</v>
      </c>
      <c r="G111" s="36">
        <f t="shared" si="8"/>
        <v>1</v>
      </c>
      <c r="H111" s="28">
        <f t="shared" si="7"/>
        <v>0</v>
      </c>
      <c r="I111">
        <f t="shared" si="9"/>
        <v>0</v>
      </c>
      <c r="J111">
        <f t="shared" si="10"/>
        <v>0</v>
      </c>
      <c r="K111" s="38">
        <f t="shared" si="11"/>
        <v>1</v>
      </c>
      <c r="M111">
        <v>530211</v>
      </c>
      <c r="N111">
        <v>65</v>
      </c>
      <c r="R111" s="27">
        <v>126963</v>
      </c>
      <c r="S111" s="36">
        <v>0</v>
      </c>
      <c r="T111" s="36">
        <v>1</v>
      </c>
    </row>
    <row r="112" spans="1:20">
      <c r="A112" s="27" t="s">
        <v>5</v>
      </c>
      <c r="B112" s="27">
        <v>127198</v>
      </c>
      <c r="C112" s="27" t="s">
        <v>126</v>
      </c>
      <c r="D112" s="27">
        <f t="shared" si="6"/>
        <v>1</v>
      </c>
      <c r="E112" s="28">
        <v>0</v>
      </c>
      <c r="F112" s="36">
        <v>2</v>
      </c>
      <c r="G112" s="36">
        <f t="shared" si="8"/>
        <v>18</v>
      </c>
      <c r="H112" s="28">
        <f t="shared" si="7"/>
        <v>16</v>
      </c>
      <c r="I112">
        <f t="shared" si="9"/>
        <v>1</v>
      </c>
      <c r="J112">
        <f t="shared" si="10"/>
        <v>1</v>
      </c>
      <c r="K112" s="38">
        <f t="shared" si="11"/>
        <v>17</v>
      </c>
      <c r="M112">
        <v>222817</v>
      </c>
      <c r="N112">
        <v>46</v>
      </c>
      <c r="R112" s="27">
        <v>127198</v>
      </c>
      <c r="S112" s="36">
        <v>10</v>
      </c>
      <c r="T112" s="36">
        <v>14</v>
      </c>
    </row>
    <row r="113" spans="1:20">
      <c r="A113" s="27" t="s">
        <v>5</v>
      </c>
      <c r="B113" s="27">
        <v>195918</v>
      </c>
      <c r="C113" s="27" t="s">
        <v>127</v>
      </c>
      <c r="D113" s="27">
        <f t="shared" si="6"/>
        <v>1</v>
      </c>
      <c r="E113" s="28">
        <v>1</v>
      </c>
      <c r="F113" s="36">
        <v>0</v>
      </c>
      <c r="G113" s="36">
        <f t="shared" si="8"/>
        <v>5</v>
      </c>
      <c r="H113" s="28">
        <f t="shared" si="7"/>
        <v>5</v>
      </c>
      <c r="I113">
        <f t="shared" si="9"/>
        <v>1</v>
      </c>
      <c r="J113">
        <f t="shared" si="10"/>
        <v>1</v>
      </c>
      <c r="K113" s="38">
        <f t="shared" si="11"/>
        <v>4</v>
      </c>
      <c r="M113">
        <v>12318027</v>
      </c>
      <c r="N113">
        <v>27</v>
      </c>
      <c r="R113" s="27">
        <v>195918</v>
      </c>
      <c r="S113" s="36">
        <v>1</v>
      </c>
      <c r="T113" s="36">
        <v>5</v>
      </c>
    </row>
    <row r="114" spans="1:20">
      <c r="A114" s="27" t="s">
        <v>5</v>
      </c>
      <c r="B114" s="27">
        <v>199020</v>
      </c>
      <c r="C114" s="27" t="s">
        <v>128</v>
      </c>
      <c r="D114" s="27">
        <f t="shared" si="6"/>
        <v>0</v>
      </c>
      <c r="E114" s="28">
        <v>0</v>
      </c>
      <c r="F114" s="36">
        <v>1</v>
      </c>
      <c r="G114" s="36">
        <f t="shared" si="8"/>
        <v>0</v>
      </c>
      <c r="H114" s="28">
        <f t="shared" si="7"/>
        <v>0</v>
      </c>
      <c r="I114">
        <f t="shared" si="9"/>
        <v>0</v>
      </c>
      <c r="J114">
        <f t="shared" si="10"/>
        <v>0</v>
      </c>
      <c r="K114" s="38">
        <f t="shared" si="11"/>
        <v>0</v>
      </c>
      <c r="M114">
        <v>229765</v>
      </c>
      <c r="N114">
        <v>27</v>
      </c>
      <c r="R114" s="27">
        <v>199020</v>
      </c>
      <c r="S114" s="36">
        <v>0</v>
      </c>
      <c r="T114" s="36">
        <v>0</v>
      </c>
    </row>
    <row r="115" spans="1:20">
      <c r="A115" s="27" t="s">
        <v>5</v>
      </c>
      <c r="B115" s="27">
        <v>240084</v>
      </c>
      <c r="C115" s="27" t="s">
        <v>129</v>
      </c>
      <c r="D115" s="27">
        <f t="shared" si="6"/>
        <v>1</v>
      </c>
      <c r="E115" s="28">
        <v>0</v>
      </c>
      <c r="F115" s="36">
        <v>0</v>
      </c>
      <c r="G115" s="36">
        <f t="shared" si="8"/>
        <v>3</v>
      </c>
      <c r="H115" s="28">
        <f t="shared" si="7"/>
        <v>3</v>
      </c>
      <c r="I115">
        <f t="shared" si="9"/>
        <v>1</v>
      </c>
      <c r="J115">
        <f t="shared" si="10"/>
        <v>1</v>
      </c>
      <c r="K115" s="38">
        <f t="shared" si="11"/>
        <v>2</v>
      </c>
      <c r="M115">
        <v>62423</v>
      </c>
      <c r="N115">
        <v>27</v>
      </c>
      <c r="R115" s="27">
        <v>240084</v>
      </c>
      <c r="S115" s="36">
        <v>0</v>
      </c>
      <c r="T115" s="36">
        <v>3</v>
      </c>
    </row>
    <row r="116" spans="1:20">
      <c r="A116" s="27" t="s">
        <v>5</v>
      </c>
      <c r="B116" s="27">
        <v>240713</v>
      </c>
      <c r="C116" s="27" t="s">
        <v>130</v>
      </c>
      <c r="D116" s="27">
        <f t="shared" si="6"/>
        <v>1</v>
      </c>
      <c r="E116" s="28">
        <v>1</v>
      </c>
      <c r="F116" s="36">
        <v>1</v>
      </c>
      <c r="G116" s="36">
        <f t="shared" si="8"/>
        <v>5</v>
      </c>
      <c r="H116" s="28">
        <f t="shared" si="7"/>
        <v>4</v>
      </c>
      <c r="I116">
        <f t="shared" si="9"/>
        <v>1</v>
      </c>
      <c r="J116">
        <f t="shared" si="10"/>
        <v>1</v>
      </c>
      <c r="K116" s="38">
        <f t="shared" si="11"/>
        <v>4</v>
      </c>
      <c r="M116">
        <v>12321725</v>
      </c>
      <c r="N116">
        <v>8</v>
      </c>
      <c r="R116" s="27">
        <v>240713</v>
      </c>
      <c r="S116" s="36">
        <v>2</v>
      </c>
      <c r="T116" s="36">
        <v>4</v>
      </c>
    </row>
    <row r="117" spans="1:20">
      <c r="A117" s="27" t="s">
        <v>5</v>
      </c>
      <c r="B117" s="27">
        <v>304264</v>
      </c>
      <c r="C117" s="27" t="s">
        <v>131</v>
      </c>
      <c r="D117" s="27">
        <f t="shared" si="6"/>
        <v>1</v>
      </c>
      <c r="E117" s="28">
        <v>0</v>
      </c>
      <c r="F117" s="36">
        <v>1</v>
      </c>
      <c r="G117" s="36">
        <f t="shared" si="8"/>
        <v>1</v>
      </c>
      <c r="H117" s="28">
        <f t="shared" si="7"/>
        <v>0</v>
      </c>
      <c r="I117">
        <f t="shared" si="9"/>
        <v>0</v>
      </c>
      <c r="J117">
        <f t="shared" si="10"/>
        <v>0</v>
      </c>
      <c r="K117" s="38">
        <f t="shared" si="11"/>
        <v>1</v>
      </c>
      <c r="M117">
        <v>544812</v>
      </c>
      <c r="N117">
        <v>8</v>
      </c>
      <c r="R117" s="27">
        <v>304264</v>
      </c>
      <c r="S117" s="36">
        <v>1</v>
      </c>
      <c r="T117" s="36">
        <v>1</v>
      </c>
    </row>
    <row r="118" spans="1:20">
      <c r="A118" s="27" t="s">
        <v>5</v>
      </c>
      <c r="B118" s="27">
        <v>342829</v>
      </c>
      <c r="C118" s="27" t="s">
        <v>132</v>
      </c>
      <c r="D118" s="27">
        <f t="shared" si="6"/>
        <v>0</v>
      </c>
      <c r="E118" s="28">
        <v>0</v>
      </c>
      <c r="F118" s="36">
        <v>2</v>
      </c>
      <c r="G118" s="36">
        <f t="shared" si="8"/>
        <v>0</v>
      </c>
      <c r="H118" s="28">
        <f t="shared" si="7"/>
        <v>0</v>
      </c>
      <c r="I118">
        <f t="shared" si="9"/>
        <v>0</v>
      </c>
      <c r="J118">
        <f t="shared" si="10"/>
        <v>0</v>
      </c>
      <c r="K118" s="38">
        <f t="shared" si="11"/>
        <v>0</v>
      </c>
      <c r="M118">
        <v>12322463</v>
      </c>
      <c r="N118">
        <v>8</v>
      </c>
      <c r="R118" s="27">
        <v>342829</v>
      </c>
      <c r="S118" s="36">
        <v>1</v>
      </c>
      <c r="T118" s="36">
        <v>1</v>
      </c>
    </row>
    <row r="119" spans="1:20">
      <c r="A119" s="27" t="s">
        <v>5</v>
      </c>
      <c r="B119" s="27">
        <v>345427</v>
      </c>
      <c r="C119" s="27" t="s">
        <v>133</v>
      </c>
      <c r="D119" s="27">
        <f t="shared" si="6"/>
        <v>0</v>
      </c>
      <c r="E119" s="28">
        <v>0</v>
      </c>
      <c r="F119" s="36">
        <v>1</v>
      </c>
      <c r="G119" s="36">
        <f t="shared" si="8"/>
        <v>0</v>
      </c>
      <c r="H119" s="28">
        <f t="shared" si="7"/>
        <v>0</v>
      </c>
      <c r="I119">
        <f t="shared" si="9"/>
        <v>0</v>
      </c>
      <c r="J119">
        <f t="shared" si="10"/>
        <v>0</v>
      </c>
      <c r="K119" s="38">
        <f t="shared" si="11"/>
        <v>0</v>
      </c>
      <c r="M119">
        <v>12322404</v>
      </c>
      <c r="N119">
        <v>8</v>
      </c>
      <c r="R119" s="27">
        <v>345427</v>
      </c>
      <c r="S119" s="36">
        <v>0</v>
      </c>
      <c r="T119" s="36">
        <v>0</v>
      </c>
    </row>
    <row r="120" spans="1:20">
      <c r="A120" s="27" t="s">
        <v>5</v>
      </c>
      <c r="B120" s="27">
        <v>352167</v>
      </c>
      <c r="C120" s="27" t="s">
        <v>134</v>
      </c>
      <c r="D120" s="27">
        <f t="shared" si="6"/>
        <v>1</v>
      </c>
      <c r="E120" s="28">
        <v>0</v>
      </c>
      <c r="F120" s="36">
        <v>0</v>
      </c>
      <c r="G120" s="36">
        <f t="shared" si="8"/>
        <v>1</v>
      </c>
      <c r="H120" s="28">
        <f t="shared" si="7"/>
        <v>1</v>
      </c>
      <c r="I120">
        <f t="shared" si="9"/>
        <v>0</v>
      </c>
      <c r="J120">
        <f t="shared" si="10"/>
        <v>0</v>
      </c>
      <c r="K120" s="38">
        <f t="shared" si="11"/>
        <v>1</v>
      </c>
      <c r="M120">
        <v>12296078</v>
      </c>
      <c r="N120">
        <v>8</v>
      </c>
      <c r="R120" s="27">
        <v>352167</v>
      </c>
      <c r="S120" s="36">
        <v>1</v>
      </c>
      <c r="T120" s="36">
        <v>1</v>
      </c>
    </row>
    <row r="121" spans="1:20">
      <c r="A121" s="27" t="s">
        <v>5</v>
      </c>
      <c r="B121" s="27">
        <v>396176</v>
      </c>
      <c r="C121" s="27" t="s">
        <v>135</v>
      </c>
      <c r="D121" s="27">
        <f t="shared" si="6"/>
        <v>1</v>
      </c>
      <c r="E121" s="28">
        <v>0</v>
      </c>
      <c r="F121" s="36">
        <v>0</v>
      </c>
      <c r="G121" s="36">
        <f t="shared" si="8"/>
        <v>1</v>
      </c>
      <c r="H121" s="28">
        <f t="shared" si="7"/>
        <v>1</v>
      </c>
      <c r="I121">
        <f t="shared" si="9"/>
        <v>0</v>
      </c>
      <c r="J121">
        <f t="shared" si="10"/>
        <v>0</v>
      </c>
      <c r="K121" s="38">
        <f t="shared" si="11"/>
        <v>1</v>
      </c>
      <c r="M121" t="s">
        <v>193</v>
      </c>
      <c r="N121">
        <v>8</v>
      </c>
      <c r="R121" s="27">
        <v>396176</v>
      </c>
      <c r="S121" s="36">
        <v>1</v>
      </c>
      <c r="T121" s="36">
        <v>1</v>
      </c>
    </row>
    <row r="122" spans="1:20">
      <c r="A122" s="27" t="s">
        <v>5</v>
      </c>
      <c r="B122" s="27">
        <v>401031</v>
      </c>
      <c r="C122" s="27" t="s">
        <v>136</v>
      </c>
      <c r="D122" s="27">
        <f t="shared" si="6"/>
        <v>1</v>
      </c>
      <c r="E122" s="28">
        <v>0</v>
      </c>
      <c r="F122" s="36">
        <v>0</v>
      </c>
      <c r="G122" s="36">
        <f t="shared" si="8"/>
        <v>1</v>
      </c>
      <c r="H122" s="28">
        <f t="shared" si="7"/>
        <v>1</v>
      </c>
      <c r="I122">
        <f t="shared" si="9"/>
        <v>0</v>
      </c>
      <c r="J122">
        <f t="shared" si="10"/>
        <v>0</v>
      </c>
      <c r="K122" s="38">
        <f t="shared" si="11"/>
        <v>1</v>
      </c>
      <c r="M122">
        <v>2111</v>
      </c>
      <c r="N122">
        <v>8</v>
      </c>
      <c r="R122" s="27">
        <v>401031</v>
      </c>
      <c r="S122" s="36">
        <v>0</v>
      </c>
      <c r="T122" s="36">
        <v>1</v>
      </c>
    </row>
    <row r="123" spans="1:20">
      <c r="A123" s="27" t="s">
        <v>5</v>
      </c>
      <c r="B123" s="27">
        <v>471389</v>
      </c>
      <c r="C123" s="27" t="s">
        <v>137</v>
      </c>
      <c r="D123" s="27">
        <f t="shared" si="6"/>
        <v>1</v>
      </c>
      <c r="E123" s="28">
        <v>0</v>
      </c>
      <c r="F123" s="36">
        <v>1</v>
      </c>
      <c r="G123" s="36">
        <f t="shared" si="8"/>
        <v>2</v>
      </c>
      <c r="H123" s="28">
        <f t="shared" si="7"/>
        <v>1</v>
      </c>
      <c r="I123">
        <f t="shared" si="9"/>
        <v>0</v>
      </c>
      <c r="J123">
        <f t="shared" si="10"/>
        <v>0</v>
      </c>
      <c r="K123" s="38">
        <f t="shared" si="11"/>
        <v>2</v>
      </c>
      <c r="M123">
        <v>199026</v>
      </c>
      <c r="N123">
        <v>8</v>
      </c>
      <c r="R123" s="27">
        <v>471389</v>
      </c>
      <c r="S123" s="36">
        <v>1</v>
      </c>
      <c r="T123" s="36">
        <v>2</v>
      </c>
    </row>
    <row r="124" spans="1:20">
      <c r="A124" s="27" t="s">
        <v>5</v>
      </c>
      <c r="B124" s="27">
        <v>477625</v>
      </c>
      <c r="C124" s="27" t="s">
        <v>138</v>
      </c>
      <c r="D124" s="27">
        <f t="shared" si="6"/>
        <v>1</v>
      </c>
      <c r="E124" s="28">
        <v>0</v>
      </c>
      <c r="F124" s="36">
        <v>0</v>
      </c>
      <c r="G124" s="36">
        <f t="shared" si="8"/>
        <v>2</v>
      </c>
      <c r="H124" s="28">
        <f t="shared" si="7"/>
        <v>2</v>
      </c>
      <c r="I124">
        <f t="shared" si="9"/>
        <v>0</v>
      </c>
      <c r="J124">
        <f t="shared" si="10"/>
        <v>0</v>
      </c>
      <c r="K124" s="38">
        <f t="shared" si="11"/>
        <v>2</v>
      </c>
      <c r="M124">
        <v>533910</v>
      </c>
      <c r="N124">
        <v>8</v>
      </c>
      <c r="R124" s="27">
        <v>477625</v>
      </c>
      <c r="S124" s="36">
        <v>2</v>
      </c>
      <c r="T124" s="36">
        <v>2</v>
      </c>
    </row>
    <row r="125" spans="1:20">
      <c r="A125" s="27" t="s">
        <v>5</v>
      </c>
      <c r="B125" s="27">
        <v>481857</v>
      </c>
      <c r="C125" s="27" t="s">
        <v>139</v>
      </c>
      <c r="D125" s="27">
        <f t="shared" si="6"/>
        <v>0</v>
      </c>
      <c r="E125" s="28">
        <v>0</v>
      </c>
      <c r="F125" s="36">
        <v>1</v>
      </c>
      <c r="G125" s="36">
        <f t="shared" si="8"/>
        <v>0</v>
      </c>
      <c r="H125" s="28">
        <f t="shared" si="7"/>
        <v>0</v>
      </c>
      <c r="I125">
        <f t="shared" si="9"/>
        <v>0</v>
      </c>
      <c r="J125">
        <f t="shared" si="10"/>
        <v>0</v>
      </c>
      <c r="K125" s="38">
        <f t="shared" si="11"/>
        <v>0</v>
      </c>
      <c r="M125">
        <v>229466</v>
      </c>
      <c r="N125">
        <v>8</v>
      </c>
      <c r="R125" s="27">
        <v>481857</v>
      </c>
      <c r="S125" s="36">
        <v>0</v>
      </c>
      <c r="T125" s="36">
        <v>0</v>
      </c>
    </row>
    <row r="126" spans="1:20">
      <c r="A126" s="27" t="s">
        <v>5</v>
      </c>
      <c r="B126" s="27">
        <v>483240</v>
      </c>
      <c r="C126" s="27" t="s">
        <v>140</v>
      </c>
      <c r="D126" s="27">
        <f t="shared" si="6"/>
        <v>1</v>
      </c>
      <c r="E126" s="28">
        <v>0</v>
      </c>
      <c r="F126" s="36">
        <v>0</v>
      </c>
      <c r="G126" s="36">
        <f t="shared" si="8"/>
        <v>2</v>
      </c>
      <c r="H126" s="28">
        <f t="shared" si="7"/>
        <v>2</v>
      </c>
      <c r="I126">
        <f t="shared" si="9"/>
        <v>0</v>
      </c>
      <c r="J126">
        <f t="shared" si="10"/>
        <v>0</v>
      </c>
      <c r="K126" s="38">
        <f t="shared" si="11"/>
        <v>2</v>
      </c>
      <c r="M126">
        <v>12297040</v>
      </c>
      <c r="N126">
        <v>8</v>
      </c>
      <c r="R126" s="27">
        <v>483240</v>
      </c>
      <c r="S126" s="36">
        <v>1</v>
      </c>
      <c r="T126" s="36">
        <v>2</v>
      </c>
    </row>
    <row r="127" spans="1:20">
      <c r="A127" s="27" t="s">
        <v>5</v>
      </c>
      <c r="B127" s="27">
        <v>499483</v>
      </c>
      <c r="C127" s="27" t="s">
        <v>141</v>
      </c>
      <c r="D127" s="27">
        <f t="shared" si="6"/>
        <v>1</v>
      </c>
      <c r="E127" s="28">
        <v>0</v>
      </c>
      <c r="F127" s="36">
        <v>1</v>
      </c>
      <c r="G127" s="36">
        <f t="shared" si="8"/>
        <v>2</v>
      </c>
      <c r="H127" s="28">
        <f t="shared" si="7"/>
        <v>1</v>
      </c>
      <c r="I127">
        <f t="shared" si="9"/>
        <v>0</v>
      </c>
      <c r="J127">
        <f t="shared" si="10"/>
        <v>0</v>
      </c>
      <c r="K127" s="38">
        <f t="shared" si="11"/>
        <v>2</v>
      </c>
      <c r="M127">
        <v>362462</v>
      </c>
      <c r="N127">
        <v>8</v>
      </c>
      <c r="R127" s="27">
        <v>499483</v>
      </c>
      <c r="S127" s="36">
        <v>2</v>
      </c>
      <c r="T127" s="36">
        <v>2</v>
      </c>
    </row>
    <row r="128" spans="1:20">
      <c r="A128" s="27" t="s">
        <v>5</v>
      </c>
      <c r="B128" s="27">
        <v>501141</v>
      </c>
      <c r="C128" s="27" t="s">
        <v>142</v>
      </c>
      <c r="D128" s="27">
        <f t="shared" si="6"/>
        <v>0</v>
      </c>
      <c r="E128" s="28">
        <v>0</v>
      </c>
      <c r="F128" s="36">
        <v>1</v>
      </c>
      <c r="G128" s="36">
        <f t="shared" si="8"/>
        <v>0</v>
      </c>
      <c r="H128" s="28">
        <f t="shared" si="7"/>
        <v>0</v>
      </c>
      <c r="I128">
        <f t="shared" si="9"/>
        <v>0</v>
      </c>
      <c r="J128">
        <f t="shared" si="10"/>
        <v>0</v>
      </c>
      <c r="K128" s="38">
        <f t="shared" si="11"/>
        <v>0</v>
      </c>
      <c r="M128">
        <v>262784</v>
      </c>
      <c r="N128">
        <v>8</v>
      </c>
      <c r="R128" s="27">
        <v>501141</v>
      </c>
      <c r="S128" s="36">
        <v>0</v>
      </c>
      <c r="T128" s="36">
        <v>0</v>
      </c>
    </row>
    <row r="129" spans="1:20">
      <c r="A129" s="27" t="s">
        <v>5</v>
      </c>
      <c r="B129" s="27">
        <v>501263</v>
      </c>
      <c r="C129" s="27" t="s">
        <v>143</v>
      </c>
      <c r="D129" s="27">
        <f t="shared" si="6"/>
        <v>1</v>
      </c>
      <c r="E129" s="28">
        <v>0</v>
      </c>
      <c r="F129" s="36">
        <v>1</v>
      </c>
      <c r="G129" s="36">
        <f t="shared" si="8"/>
        <v>1</v>
      </c>
      <c r="H129" s="28">
        <f t="shared" si="7"/>
        <v>0</v>
      </c>
      <c r="I129">
        <f t="shared" si="9"/>
        <v>0</v>
      </c>
      <c r="J129">
        <f t="shared" si="10"/>
        <v>0</v>
      </c>
      <c r="K129" s="38">
        <f t="shared" si="11"/>
        <v>1</v>
      </c>
      <c r="M129">
        <v>199056</v>
      </c>
      <c r="N129">
        <v>8</v>
      </c>
      <c r="R129" s="27">
        <v>501263</v>
      </c>
      <c r="S129" s="36">
        <v>1</v>
      </c>
      <c r="T129" s="36">
        <v>1</v>
      </c>
    </row>
    <row r="130" spans="1:20">
      <c r="A130" s="27" t="s">
        <v>5</v>
      </c>
      <c r="B130" s="27">
        <v>501860</v>
      </c>
      <c r="C130" s="27" t="s">
        <v>144</v>
      </c>
      <c r="D130" s="27">
        <f t="shared" ref="D130:D146" si="12">IF(G130&gt;0,1,0)</f>
        <v>1</v>
      </c>
      <c r="E130" s="28">
        <v>1</v>
      </c>
      <c r="F130" s="36">
        <v>1</v>
      </c>
      <c r="G130" s="36">
        <f t="shared" si="8"/>
        <v>3</v>
      </c>
      <c r="H130" s="28">
        <f t="shared" ref="H130:H146" si="13">MAX(G130-F130,0)</f>
        <v>2</v>
      </c>
      <c r="I130">
        <f t="shared" si="9"/>
        <v>1</v>
      </c>
      <c r="J130">
        <f t="shared" si="10"/>
        <v>1</v>
      </c>
      <c r="K130" s="38">
        <f t="shared" si="11"/>
        <v>2</v>
      </c>
      <c r="M130">
        <v>514871</v>
      </c>
      <c r="N130">
        <v>8</v>
      </c>
      <c r="R130" s="27">
        <v>501860</v>
      </c>
      <c r="S130" s="36">
        <v>2</v>
      </c>
      <c r="T130" s="36">
        <v>2</v>
      </c>
    </row>
    <row r="131" spans="1:20">
      <c r="A131" s="27" t="s">
        <v>5</v>
      </c>
      <c r="B131" s="27">
        <v>510295</v>
      </c>
      <c r="C131" s="27" t="s">
        <v>145</v>
      </c>
      <c r="D131" s="27">
        <f t="shared" si="12"/>
        <v>0</v>
      </c>
      <c r="E131" s="28">
        <v>0</v>
      </c>
      <c r="F131" s="36">
        <v>1</v>
      </c>
      <c r="G131" s="36">
        <f t="shared" ref="G131:G146" si="14">_xlfn.IFNA(INDEX(M:N,MATCH(B131,M:M,0),2),0)</f>
        <v>0</v>
      </c>
      <c r="H131" s="28">
        <f t="shared" si="13"/>
        <v>0</v>
      </c>
      <c r="I131">
        <f t="shared" ref="I131:I146" si="15">IF(G131&gt;=3,1,0)</f>
        <v>0</v>
      </c>
      <c r="J131">
        <f t="shared" ref="J131:J146" si="16">IF(G131&gt;=3,1,0)</f>
        <v>0</v>
      </c>
      <c r="K131" s="38">
        <f t="shared" ref="K131:K146" si="17">G131-J131</f>
        <v>0</v>
      </c>
      <c r="M131">
        <v>200996</v>
      </c>
      <c r="N131">
        <v>98</v>
      </c>
      <c r="R131" s="27">
        <v>510295</v>
      </c>
      <c r="S131" s="36">
        <v>0</v>
      </c>
      <c r="T131" s="36">
        <v>0</v>
      </c>
    </row>
    <row r="132" spans="1:20">
      <c r="A132" s="27" t="s">
        <v>5</v>
      </c>
      <c r="B132" s="27">
        <v>510299</v>
      </c>
      <c r="C132" s="27" t="s">
        <v>146</v>
      </c>
      <c r="D132" s="27">
        <f t="shared" si="12"/>
        <v>0</v>
      </c>
      <c r="E132" s="28">
        <v>0</v>
      </c>
      <c r="F132" s="36">
        <v>0</v>
      </c>
      <c r="G132" s="36">
        <f t="shared" si="14"/>
        <v>0</v>
      </c>
      <c r="H132" s="28">
        <f t="shared" si="13"/>
        <v>0</v>
      </c>
      <c r="I132">
        <f t="shared" si="15"/>
        <v>0</v>
      </c>
      <c r="J132">
        <f t="shared" si="16"/>
        <v>0</v>
      </c>
      <c r="K132" s="38">
        <f t="shared" si="17"/>
        <v>0</v>
      </c>
      <c r="M132">
        <v>12300160</v>
      </c>
      <c r="N132">
        <v>60</v>
      </c>
      <c r="R132" s="27">
        <v>510299</v>
      </c>
      <c r="S132" s="36">
        <v>0</v>
      </c>
      <c r="T132" s="36">
        <v>0</v>
      </c>
    </row>
    <row r="133" spans="1:20">
      <c r="A133" s="27" t="s">
        <v>5</v>
      </c>
      <c r="B133" s="27">
        <v>511584</v>
      </c>
      <c r="C133" s="27" t="s">
        <v>147</v>
      </c>
      <c r="D133" s="27">
        <f t="shared" si="12"/>
        <v>1</v>
      </c>
      <c r="E133" s="28">
        <v>0</v>
      </c>
      <c r="F133" s="36">
        <v>1</v>
      </c>
      <c r="G133" s="36">
        <f t="shared" si="14"/>
        <v>3</v>
      </c>
      <c r="H133" s="28">
        <f t="shared" si="13"/>
        <v>2</v>
      </c>
      <c r="I133">
        <f t="shared" si="15"/>
        <v>1</v>
      </c>
      <c r="J133">
        <f t="shared" si="16"/>
        <v>1</v>
      </c>
      <c r="K133" s="38">
        <f t="shared" si="17"/>
        <v>2</v>
      </c>
      <c r="M133">
        <v>12323388</v>
      </c>
      <c r="N133">
        <v>41</v>
      </c>
      <c r="R133" s="27">
        <v>511584</v>
      </c>
      <c r="S133" s="36">
        <v>3</v>
      </c>
      <c r="T133" s="36">
        <v>3</v>
      </c>
    </row>
    <row r="134" spans="1:20">
      <c r="A134" s="27" t="s">
        <v>5</v>
      </c>
      <c r="B134" s="27">
        <v>514589</v>
      </c>
      <c r="C134" s="27" t="s">
        <v>148</v>
      </c>
      <c r="D134" s="27">
        <f t="shared" si="12"/>
        <v>1</v>
      </c>
      <c r="E134" s="28">
        <v>0</v>
      </c>
      <c r="F134" s="36">
        <v>1</v>
      </c>
      <c r="G134" s="36">
        <f t="shared" si="14"/>
        <v>2</v>
      </c>
      <c r="H134" s="28">
        <f t="shared" si="13"/>
        <v>1</v>
      </c>
      <c r="I134">
        <f t="shared" si="15"/>
        <v>0</v>
      </c>
      <c r="J134">
        <f t="shared" si="16"/>
        <v>0</v>
      </c>
      <c r="K134" s="38">
        <f t="shared" si="17"/>
        <v>2</v>
      </c>
      <c r="M134">
        <v>107297</v>
      </c>
      <c r="N134">
        <v>22</v>
      </c>
      <c r="R134" s="27">
        <v>514589</v>
      </c>
      <c r="S134" s="36">
        <v>0</v>
      </c>
      <c r="T134" s="36">
        <v>2</v>
      </c>
    </row>
    <row r="135" spans="1:20">
      <c r="A135" s="27" t="s">
        <v>5</v>
      </c>
      <c r="B135" s="27">
        <v>523849</v>
      </c>
      <c r="C135" s="27" t="s">
        <v>149</v>
      </c>
      <c r="D135" s="27">
        <f t="shared" si="12"/>
        <v>0</v>
      </c>
      <c r="E135" s="28">
        <v>0</v>
      </c>
      <c r="F135" s="36">
        <v>1</v>
      </c>
      <c r="G135" s="36">
        <f t="shared" si="14"/>
        <v>0</v>
      </c>
      <c r="H135" s="28">
        <f t="shared" si="13"/>
        <v>0</v>
      </c>
      <c r="I135">
        <f t="shared" si="15"/>
        <v>0</v>
      </c>
      <c r="J135">
        <f t="shared" si="16"/>
        <v>0</v>
      </c>
      <c r="K135" s="38">
        <f t="shared" si="17"/>
        <v>0</v>
      </c>
      <c r="M135">
        <v>274154</v>
      </c>
      <c r="N135">
        <v>3</v>
      </c>
      <c r="R135" s="27">
        <v>523849</v>
      </c>
      <c r="S135" s="36">
        <v>0</v>
      </c>
      <c r="T135" s="36">
        <v>0</v>
      </c>
    </row>
    <row r="136" spans="1:20">
      <c r="A136" s="27" t="s">
        <v>5</v>
      </c>
      <c r="B136" s="27">
        <v>526916</v>
      </c>
      <c r="C136" s="27" t="s">
        <v>150</v>
      </c>
      <c r="D136" s="27">
        <f t="shared" si="12"/>
        <v>1</v>
      </c>
      <c r="E136" s="28">
        <v>0</v>
      </c>
      <c r="F136" s="36">
        <v>2</v>
      </c>
      <c r="G136" s="36">
        <f t="shared" si="14"/>
        <v>3</v>
      </c>
      <c r="H136" s="28">
        <f t="shared" si="13"/>
        <v>1</v>
      </c>
      <c r="I136">
        <f t="shared" si="15"/>
        <v>1</v>
      </c>
      <c r="J136">
        <f t="shared" si="16"/>
        <v>1</v>
      </c>
      <c r="K136" s="38">
        <f t="shared" si="17"/>
        <v>2</v>
      </c>
      <c r="M136">
        <v>62382</v>
      </c>
      <c r="N136">
        <v>3</v>
      </c>
      <c r="R136" s="27">
        <v>526916</v>
      </c>
      <c r="S136" s="36">
        <v>3</v>
      </c>
      <c r="T136" s="36">
        <v>3</v>
      </c>
    </row>
    <row r="137" spans="1:20">
      <c r="A137" s="27" t="s">
        <v>5</v>
      </c>
      <c r="B137" s="27">
        <v>530334</v>
      </c>
      <c r="C137" s="27" t="s">
        <v>151</v>
      </c>
      <c r="D137" s="27">
        <f t="shared" si="12"/>
        <v>1</v>
      </c>
      <c r="E137" s="28">
        <v>0</v>
      </c>
      <c r="F137" s="36">
        <v>1</v>
      </c>
      <c r="G137" s="36">
        <f t="shared" si="14"/>
        <v>1</v>
      </c>
      <c r="H137" s="28">
        <f t="shared" si="13"/>
        <v>0</v>
      </c>
      <c r="I137">
        <f t="shared" si="15"/>
        <v>0</v>
      </c>
      <c r="J137">
        <f t="shared" si="16"/>
        <v>0</v>
      </c>
      <c r="K137" s="38">
        <f t="shared" si="17"/>
        <v>1</v>
      </c>
      <c r="M137">
        <v>366741</v>
      </c>
      <c r="N137">
        <v>3</v>
      </c>
      <c r="R137" s="27">
        <v>530334</v>
      </c>
      <c r="S137" s="36">
        <v>1</v>
      </c>
      <c r="T137" s="36">
        <v>1</v>
      </c>
    </row>
    <row r="138" spans="1:20">
      <c r="A138" s="27" t="s">
        <v>5</v>
      </c>
      <c r="B138" s="27">
        <v>543771</v>
      </c>
      <c r="C138" s="27" t="s">
        <v>152</v>
      </c>
      <c r="D138" s="27">
        <f t="shared" si="12"/>
        <v>0</v>
      </c>
      <c r="E138" s="28">
        <v>1</v>
      </c>
      <c r="F138" s="36">
        <v>1</v>
      </c>
      <c r="G138" s="36">
        <f t="shared" si="14"/>
        <v>0</v>
      </c>
      <c r="H138" s="28">
        <f t="shared" si="13"/>
        <v>0</v>
      </c>
      <c r="I138">
        <f t="shared" si="15"/>
        <v>0</v>
      </c>
      <c r="J138">
        <f t="shared" si="16"/>
        <v>0</v>
      </c>
      <c r="K138" s="38">
        <f t="shared" si="17"/>
        <v>0</v>
      </c>
      <c r="M138">
        <v>188722</v>
      </c>
      <c r="N138">
        <v>3</v>
      </c>
      <c r="R138" s="27">
        <v>543771</v>
      </c>
      <c r="S138" s="36">
        <v>0</v>
      </c>
      <c r="T138" s="36">
        <v>0</v>
      </c>
    </row>
    <row r="139" spans="1:20">
      <c r="A139" s="27" t="s">
        <v>5</v>
      </c>
      <c r="B139" s="27">
        <v>543826</v>
      </c>
      <c r="C139" s="27" t="s">
        <v>153</v>
      </c>
      <c r="D139" s="27">
        <f t="shared" si="12"/>
        <v>1</v>
      </c>
      <c r="E139" s="28">
        <v>5</v>
      </c>
      <c r="F139" s="36">
        <v>0</v>
      </c>
      <c r="G139" s="36">
        <f t="shared" si="14"/>
        <v>28</v>
      </c>
      <c r="H139" s="28">
        <f t="shared" si="13"/>
        <v>28</v>
      </c>
      <c r="I139">
        <f t="shared" si="15"/>
        <v>1</v>
      </c>
      <c r="J139">
        <f t="shared" si="16"/>
        <v>1</v>
      </c>
      <c r="K139" s="38">
        <f t="shared" si="17"/>
        <v>27</v>
      </c>
      <c r="M139">
        <v>12320273</v>
      </c>
      <c r="N139">
        <v>3</v>
      </c>
      <c r="R139" s="27">
        <v>543826</v>
      </c>
      <c r="S139" s="36">
        <v>18</v>
      </c>
      <c r="T139" s="36">
        <v>23</v>
      </c>
    </row>
    <row r="140" spans="1:20">
      <c r="A140" s="27" t="s">
        <v>5</v>
      </c>
      <c r="B140" s="27">
        <v>546446</v>
      </c>
      <c r="C140" s="27" t="s">
        <v>154</v>
      </c>
      <c r="D140" s="27">
        <f t="shared" si="12"/>
        <v>1</v>
      </c>
      <c r="E140" s="28">
        <v>0</v>
      </c>
      <c r="F140" s="36">
        <v>0</v>
      </c>
      <c r="G140" s="36">
        <f t="shared" si="14"/>
        <v>3</v>
      </c>
      <c r="H140" s="28">
        <f t="shared" si="13"/>
        <v>3</v>
      </c>
      <c r="I140">
        <f t="shared" si="15"/>
        <v>1</v>
      </c>
      <c r="J140">
        <f t="shared" si="16"/>
        <v>1</v>
      </c>
      <c r="K140" s="38">
        <f t="shared" si="17"/>
        <v>2</v>
      </c>
      <c r="M140">
        <v>199185</v>
      </c>
      <c r="N140">
        <v>3</v>
      </c>
      <c r="R140" s="27">
        <v>546446</v>
      </c>
      <c r="S140" s="36">
        <v>2</v>
      </c>
      <c r="T140" s="36">
        <v>3</v>
      </c>
    </row>
    <row r="141" spans="1:20">
      <c r="A141" s="27" t="s">
        <v>5</v>
      </c>
      <c r="B141" s="27">
        <v>558955</v>
      </c>
      <c r="C141" s="27" t="s">
        <v>155</v>
      </c>
      <c r="D141" s="27">
        <f t="shared" si="12"/>
        <v>0</v>
      </c>
      <c r="E141" s="28">
        <v>0</v>
      </c>
      <c r="F141" s="36">
        <v>0</v>
      </c>
      <c r="G141" s="36">
        <f t="shared" si="14"/>
        <v>0</v>
      </c>
      <c r="H141" s="28">
        <f t="shared" si="13"/>
        <v>0</v>
      </c>
      <c r="I141">
        <f t="shared" si="15"/>
        <v>0</v>
      </c>
      <c r="J141">
        <f t="shared" si="16"/>
        <v>0</v>
      </c>
      <c r="K141" s="38">
        <f t="shared" si="17"/>
        <v>0</v>
      </c>
      <c r="M141">
        <v>62019</v>
      </c>
      <c r="N141">
        <v>3</v>
      </c>
      <c r="R141" s="27">
        <v>558955</v>
      </c>
      <c r="S141" s="36">
        <v>0</v>
      </c>
      <c r="T141" s="36">
        <v>0</v>
      </c>
    </row>
    <row r="142" spans="1:20">
      <c r="A142" s="27" t="s">
        <v>5</v>
      </c>
      <c r="B142" s="27">
        <v>562953</v>
      </c>
      <c r="C142" s="27" t="s">
        <v>156</v>
      </c>
      <c r="D142" s="27">
        <f t="shared" si="12"/>
        <v>1</v>
      </c>
      <c r="E142" s="28">
        <v>0</v>
      </c>
      <c r="F142" s="36">
        <v>0</v>
      </c>
      <c r="G142" s="36">
        <f t="shared" si="14"/>
        <v>1</v>
      </c>
      <c r="H142" s="28">
        <f t="shared" si="13"/>
        <v>1</v>
      </c>
      <c r="I142">
        <f t="shared" si="15"/>
        <v>0</v>
      </c>
      <c r="J142">
        <f t="shared" si="16"/>
        <v>0</v>
      </c>
      <c r="K142" s="38">
        <f t="shared" si="17"/>
        <v>1</v>
      </c>
      <c r="M142">
        <v>414586</v>
      </c>
      <c r="N142">
        <v>3</v>
      </c>
      <c r="R142" s="27">
        <v>562953</v>
      </c>
      <c r="S142" s="36">
        <v>0</v>
      </c>
      <c r="T142" s="36">
        <v>1</v>
      </c>
    </row>
    <row r="143" spans="1:20">
      <c r="A143" s="27" t="s">
        <v>5</v>
      </c>
      <c r="B143" s="27">
        <v>569298</v>
      </c>
      <c r="C143" s="27" t="s">
        <v>157</v>
      </c>
      <c r="D143" s="27">
        <f t="shared" si="12"/>
        <v>0</v>
      </c>
      <c r="E143" s="28">
        <v>0</v>
      </c>
      <c r="F143" s="36">
        <v>1</v>
      </c>
      <c r="G143" s="36">
        <f t="shared" si="14"/>
        <v>0</v>
      </c>
      <c r="H143" s="28">
        <f t="shared" si="13"/>
        <v>0</v>
      </c>
      <c r="I143">
        <f t="shared" si="15"/>
        <v>0</v>
      </c>
      <c r="J143">
        <f t="shared" si="16"/>
        <v>0</v>
      </c>
      <c r="K143" s="38">
        <f t="shared" si="17"/>
        <v>0</v>
      </c>
      <c r="M143">
        <v>545397</v>
      </c>
      <c r="N143">
        <v>3</v>
      </c>
      <c r="R143" s="27">
        <v>569298</v>
      </c>
      <c r="S143" s="36">
        <v>0</v>
      </c>
      <c r="T143" s="36">
        <v>0</v>
      </c>
    </row>
    <row r="144" spans="1:20">
      <c r="A144" s="27" t="s">
        <v>5</v>
      </c>
      <c r="B144" s="27">
        <v>574633</v>
      </c>
      <c r="C144" s="27" t="s">
        <v>158</v>
      </c>
      <c r="D144" s="27">
        <f t="shared" si="12"/>
        <v>1</v>
      </c>
      <c r="E144" s="28">
        <v>0</v>
      </c>
      <c r="F144" s="36">
        <v>0</v>
      </c>
      <c r="G144" s="36">
        <f t="shared" si="14"/>
        <v>1</v>
      </c>
      <c r="H144" s="28">
        <f t="shared" si="13"/>
        <v>1</v>
      </c>
      <c r="I144">
        <f t="shared" si="15"/>
        <v>0</v>
      </c>
      <c r="J144">
        <f t="shared" si="16"/>
        <v>0</v>
      </c>
      <c r="K144" s="38">
        <f t="shared" si="17"/>
        <v>1</v>
      </c>
      <c r="M144">
        <v>562928</v>
      </c>
      <c r="N144">
        <v>3</v>
      </c>
      <c r="R144" s="27">
        <v>574633</v>
      </c>
      <c r="S144" s="36">
        <v>1</v>
      </c>
      <c r="T144" s="36">
        <v>1</v>
      </c>
    </row>
    <row r="145" spans="1:20">
      <c r="A145" s="27" t="s">
        <v>5</v>
      </c>
      <c r="B145" s="27">
        <v>61688</v>
      </c>
      <c r="C145" s="27" t="s">
        <v>159</v>
      </c>
      <c r="D145" s="27">
        <f t="shared" si="12"/>
        <v>1</v>
      </c>
      <c r="E145" s="28">
        <v>0</v>
      </c>
      <c r="F145" s="36">
        <v>1</v>
      </c>
      <c r="G145" s="36">
        <f t="shared" si="14"/>
        <v>5</v>
      </c>
      <c r="H145" s="28">
        <f t="shared" si="13"/>
        <v>4</v>
      </c>
      <c r="I145">
        <f t="shared" si="15"/>
        <v>1</v>
      </c>
      <c r="J145">
        <f t="shared" si="16"/>
        <v>1</v>
      </c>
      <c r="K145" s="38">
        <f t="shared" si="17"/>
        <v>4</v>
      </c>
      <c r="M145">
        <v>509953</v>
      </c>
      <c r="N145">
        <v>3</v>
      </c>
      <c r="R145" s="27">
        <v>61688</v>
      </c>
      <c r="S145" s="36">
        <v>4</v>
      </c>
      <c r="T145" s="36">
        <v>4</v>
      </c>
    </row>
    <row r="146" spans="1:20">
      <c r="A146" s="27" t="s">
        <v>5</v>
      </c>
      <c r="B146" s="27" t="s">
        <v>160</v>
      </c>
      <c r="C146" s="27" t="s">
        <v>97</v>
      </c>
      <c r="D146" s="27">
        <f t="shared" si="12"/>
        <v>0</v>
      </c>
      <c r="E146" s="28">
        <v>0</v>
      </c>
      <c r="F146" s="36">
        <v>0</v>
      </c>
      <c r="G146" s="36">
        <f t="shared" si="14"/>
        <v>0</v>
      </c>
      <c r="H146" s="28">
        <f t="shared" si="13"/>
        <v>0</v>
      </c>
      <c r="I146">
        <f t="shared" si="15"/>
        <v>0</v>
      </c>
      <c r="J146">
        <f t="shared" si="16"/>
        <v>0</v>
      </c>
      <c r="K146" s="38">
        <f t="shared" si="17"/>
        <v>0</v>
      </c>
      <c r="M146">
        <v>199072</v>
      </c>
      <c r="N146">
        <v>3</v>
      </c>
      <c r="R146" s="27" t="s">
        <v>160</v>
      </c>
      <c r="S146" s="36">
        <v>0</v>
      </c>
      <c r="T146" s="36">
        <v>0</v>
      </c>
    </row>
    <row r="147" spans="1:20">
      <c r="M147">
        <v>405188</v>
      </c>
      <c r="N147">
        <v>3</v>
      </c>
    </row>
    <row r="148" spans="1:20">
      <c r="M148">
        <v>538731</v>
      </c>
      <c r="N148">
        <v>3</v>
      </c>
    </row>
    <row r="149" spans="1:20">
      <c r="M149">
        <v>236374</v>
      </c>
      <c r="N149">
        <v>3</v>
      </c>
    </row>
    <row r="150" spans="1:20">
      <c r="M150">
        <v>240734</v>
      </c>
      <c r="N150">
        <v>3</v>
      </c>
    </row>
    <row r="151" spans="1:20">
      <c r="M151">
        <v>537838</v>
      </c>
      <c r="N151">
        <v>3</v>
      </c>
    </row>
    <row r="152" spans="1:20">
      <c r="M152">
        <v>62365</v>
      </c>
      <c r="N152">
        <v>3</v>
      </c>
    </row>
    <row r="153" spans="1:20">
      <c r="M153">
        <v>188500</v>
      </c>
      <c r="N153">
        <v>3</v>
      </c>
    </row>
    <row r="154" spans="1:20">
      <c r="M154">
        <v>227846</v>
      </c>
      <c r="N154">
        <v>3</v>
      </c>
    </row>
    <row r="155" spans="1:20">
      <c r="M155">
        <v>440819</v>
      </c>
      <c r="N155">
        <v>3</v>
      </c>
    </row>
    <row r="156" spans="1:20">
      <c r="M156">
        <v>199097</v>
      </c>
      <c r="N156">
        <v>3</v>
      </c>
    </row>
    <row r="157" spans="1:20">
      <c r="M157">
        <v>461982</v>
      </c>
      <c r="N157">
        <v>3</v>
      </c>
    </row>
    <row r="158" spans="1:20">
      <c r="M158" t="s">
        <v>194</v>
      </c>
      <c r="N158">
        <v>3</v>
      </c>
    </row>
    <row r="159" spans="1:20">
      <c r="M159">
        <v>221350</v>
      </c>
      <c r="N159">
        <v>3</v>
      </c>
    </row>
    <row r="160" spans="1:20">
      <c r="M160">
        <v>578664</v>
      </c>
      <c r="N160">
        <v>3</v>
      </c>
    </row>
    <row r="161" spans="13:14">
      <c r="M161">
        <v>517137</v>
      </c>
      <c r="N161">
        <v>3</v>
      </c>
    </row>
    <row r="162" spans="13:14">
      <c r="M162">
        <v>422569</v>
      </c>
      <c r="N162">
        <v>3</v>
      </c>
    </row>
    <row r="163" spans="13:14">
      <c r="M163">
        <v>385480</v>
      </c>
      <c r="N163">
        <v>3</v>
      </c>
    </row>
    <row r="164" spans="13:14">
      <c r="M164">
        <v>468701</v>
      </c>
      <c r="N164">
        <v>3</v>
      </c>
    </row>
    <row r="165" spans="13:14">
      <c r="M165">
        <v>546446</v>
      </c>
      <c r="N165">
        <v>3</v>
      </c>
    </row>
    <row r="166" spans="13:14">
      <c r="M166">
        <v>413434</v>
      </c>
      <c r="N166">
        <v>3</v>
      </c>
    </row>
    <row r="167" spans="13:14">
      <c r="M167">
        <v>188148</v>
      </c>
      <c r="N167">
        <v>3</v>
      </c>
    </row>
    <row r="168" spans="13:14">
      <c r="M168">
        <v>211794</v>
      </c>
      <c r="N168">
        <v>3</v>
      </c>
    </row>
    <row r="169" spans="13:14">
      <c r="M169">
        <v>12334637</v>
      </c>
      <c r="N169">
        <v>3</v>
      </c>
    </row>
    <row r="170" spans="13:14">
      <c r="M170">
        <v>12321230</v>
      </c>
      <c r="N170">
        <v>3</v>
      </c>
    </row>
    <row r="171" spans="13:14">
      <c r="M171">
        <v>12334713</v>
      </c>
      <c r="N171">
        <v>3</v>
      </c>
    </row>
    <row r="172" spans="13:14">
      <c r="M172">
        <v>534103</v>
      </c>
      <c r="N172">
        <v>3</v>
      </c>
    </row>
    <row r="173" spans="13:14">
      <c r="M173">
        <v>62002</v>
      </c>
      <c r="N173">
        <v>3</v>
      </c>
    </row>
    <row r="174" spans="13:14">
      <c r="M174">
        <v>452054</v>
      </c>
      <c r="N174">
        <v>3</v>
      </c>
    </row>
    <row r="175" spans="13:14">
      <c r="M175">
        <v>513017</v>
      </c>
      <c r="N175">
        <v>3</v>
      </c>
    </row>
    <row r="176" spans="13:14">
      <c r="M176">
        <v>571304</v>
      </c>
      <c r="N176">
        <v>3</v>
      </c>
    </row>
    <row r="177" spans="13:14">
      <c r="M177">
        <v>492248</v>
      </c>
      <c r="N177">
        <v>3</v>
      </c>
    </row>
    <row r="178" spans="13:14">
      <c r="M178">
        <v>489805</v>
      </c>
      <c r="N178">
        <v>3</v>
      </c>
    </row>
    <row r="179" spans="13:14">
      <c r="M179">
        <v>12323668</v>
      </c>
      <c r="N179">
        <v>3</v>
      </c>
    </row>
    <row r="180" spans="13:14">
      <c r="M180">
        <v>348418</v>
      </c>
      <c r="N180">
        <v>3</v>
      </c>
    </row>
    <row r="181" spans="13:14">
      <c r="M181">
        <v>12300143</v>
      </c>
      <c r="N181">
        <v>3</v>
      </c>
    </row>
    <row r="182" spans="13:14">
      <c r="M182">
        <v>240084</v>
      </c>
      <c r="N182">
        <v>3</v>
      </c>
    </row>
    <row r="183" spans="13:14">
      <c r="M183">
        <v>156336</v>
      </c>
      <c r="N183">
        <v>3</v>
      </c>
    </row>
    <row r="184" spans="13:14">
      <c r="M184">
        <v>61542</v>
      </c>
      <c r="N184">
        <v>3</v>
      </c>
    </row>
    <row r="185" spans="13:14">
      <c r="M185">
        <v>12296250</v>
      </c>
      <c r="N185">
        <v>3</v>
      </c>
    </row>
    <row r="186" spans="13:14">
      <c r="M186">
        <v>339299</v>
      </c>
      <c r="N186">
        <v>3</v>
      </c>
    </row>
    <row r="187" spans="13:14">
      <c r="M187">
        <v>526916</v>
      </c>
      <c r="N187">
        <v>3</v>
      </c>
    </row>
    <row r="188" spans="13:14">
      <c r="M188">
        <v>478959</v>
      </c>
      <c r="N188">
        <v>3</v>
      </c>
    </row>
    <row r="189" spans="13:14">
      <c r="M189">
        <v>199257</v>
      </c>
      <c r="N189">
        <v>3</v>
      </c>
    </row>
    <row r="190" spans="13:14">
      <c r="M190">
        <v>61673</v>
      </c>
      <c r="N190">
        <v>3</v>
      </c>
    </row>
    <row r="191" spans="13:14">
      <c r="M191">
        <v>383700</v>
      </c>
      <c r="N191">
        <v>3</v>
      </c>
    </row>
    <row r="192" spans="13:14">
      <c r="M192">
        <v>511538</v>
      </c>
      <c r="N192">
        <v>3</v>
      </c>
    </row>
    <row r="193" spans="13:14">
      <c r="M193">
        <v>551630</v>
      </c>
      <c r="N193">
        <v>3</v>
      </c>
    </row>
    <row r="194" spans="13:14">
      <c r="M194">
        <v>195514</v>
      </c>
      <c r="N194">
        <v>3</v>
      </c>
    </row>
    <row r="195" spans="13:14">
      <c r="M195">
        <v>12322409</v>
      </c>
      <c r="N195">
        <v>3</v>
      </c>
    </row>
    <row r="196" spans="13:14">
      <c r="M196">
        <v>269947</v>
      </c>
      <c r="N196">
        <v>3</v>
      </c>
    </row>
    <row r="197" spans="13:14">
      <c r="M197">
        <v>489157</v>
      </c>
      <c r="N197">
        <v>3</v>
      </c>
    </row>
    <row r="198" spans="13:14">
      <c r="M198">
        <v>211639</v>
      </c>
      <c r="N198">
        <v>3</v>
      </c>
    </row>
    <row r="199" spans="13:14">
      <c r="M199">
        <v>465620</v>
      </c>
      <c r="N199">
        <v>3</v>
      </c>
    </row>
    <row r="200" spans="13:14">
      <c r="M200">
        <v>543720</v>
      </c>
      <c r="N200">
        <v>3</v>
      </c>
    </row>
    <row r="201" spans="13:14">
      <c r="M201">
        <v>244518</v>
      </c>
      <c r="N201">
        <v>3</v>
      </c>
    </row>
    <row r="202" spans="13:14">
      <c r="M202">
        <v>261639</v>
      </c>
      <c r="N202">
        <v>3</v>
      </c>
    </row>
    <row r="203" spans="13:14">
      <c r="M203">
        <v>12334635</v>
      </c>
      <c r="N203">
        <v>3</v>
      </c>
    </row>
    <row r="204" spans="13:14">
      <c r="M204">
        <v>199058</v>
      </c>
      <c r="N204">
        <v>3</v>
      </c>
    </row>
    <row r="205" spans="13:14">
      <c r="M205">
        <v>539088</v>
      </c>
      <c r="N205">
        <v>3</v>
      </c>
    </row>
    <row r="206" spans="13:14">
      <c r="M206">
        <v>12296076</v>
      </c>
      <c r="N206">
        <v>3</v>
      </c>
    </row>
    <row r="207" spans="13:14">
      <c r="M207">
        <v>13547</v>
      </c>
      <c r="N207">
        <v>3</v>
      </c>
    </row>
    <row r="208" spans="13:14">
      <c r="M208">
        <v>392044</v>
      </c>
      <c r="N208">
        <v>3</v>
      </c>
    </row>
    <row r="209" spans="13:14">
      <c r="M209">
        <v>12333670</v>
      </c>
      <c r="N209">
        <v>3</v>
      </c>
    </row>
    <row r="210" spans="13:14">
      <c r="M210">
        <v>1937</v>
      </c>
      <c r="N210">
        <v>3</v>
      </c>
    </row>
    <row r="211" spans="13:14">
      <c r="M211">
        <v>62304</v>
      </c>
      <c r="N211">
        <v>3</v>
      </c>
    </row>
    <row r="212" spans="13:14">
      <c r="M212">
        <v>278296</v>
      </c>
      <c r="N212">
        <v>3</v>
      </c>
    </row>
    <row r="213" spans="13:14">
      <c r="M213">
        <v>531527</v>
      </c>
      <c r="N213">
        <v>3</v>
      </c>
    </row>
    <row r="214" spans="13:14">
      <c r="M214">
        <v>62307</v>
      </c>
      <c r="N214">
        <v>3</v>
      </c>
    </row>
    <row r="215" spans="13:14">
      <c r="M215">
        <v>126951</v>
      </c>
      <c r="N215">
        <v>3</v>
      </c>
    </row>
    <row r="216" spans="13:14">
      <c r="M216">
        <v>501860</v>
      </c>
      <c r="N216">
        <v>3</v>
      </c>
    </row>
    <row r="217" spans="13:14">
      <c r="M217">
        <v>127220</v>
      </c>
      <c r="N217">
        <v>3</v>
      </c>
    </row>
    <row r="218" spans="13:14">
      <c r="M218">
        <v>384508</v>
      </c>
      <c r="N218">
        <v>3</v>
      </c>
    </row>
    <row r="219" spans="13:14">
      <c r="M219">
        <v>555648</v>
      </c>
      <c r="N219">
        <v>3</v>
      </c>
    </row>
    <row r="220" spans="13:14">
      <c r="M220">
        <v>12330602</v>
      </c>
      <c r="N220">
        <v>3</v>
      </c>
    </row>
    <row r="221" spans="13:14">
      <c r="M221">
        <v>12299376</v>
      </c>
      <c r="N221">
        <v>3</v>
      </c>
    </row>
    <row r="222" spans="13:14">
      <c r="M222">
        <v>62003</v>
      </c>
      <c r="N222">
        <v>3</v>
      </c>
    </row>
    <row r="223" spans="13:14">
      <c r="M223">
        <v>407992</v>
      </c>
      <c r="N223">
        <v>3</v>
      </c>
    </row>
    <row r="224" spans="13:14">
      <c r="M224">
        <v>62062</v>
      </c>
      <c r="N224">
        <v>3</v>
      </c>
    </row>
    <row r="225" spans="13:14">
      <c r="M225">
        <v>311868</v>
      </c>
      <c r="N225">
        <v>3</v>
      </c>
    </row>
    <row r="226" spans="13:14">
      <c r="M226">
        <v>392253</v>
      </c>
      <c r="N226">
        <v>3</v>
      </c>
    </row>
    <row r="227" spans="13:14">
      <c r="M227">
        <v>410675</v>
      </c>
      <c r="N227">
        <v>3</v>
      </c>
    </row>
    <row r="228" spans="13:14">
      <c r="M228">
        <v>8220</v>
      </c>
      <c r="N228">
        <v>3</v>
      </c>
    </row>
    <row r="229" spans="13:14">
      <c r="M229">
        <v>240684</v>
      </c>
      <c r="N229">
        <v>3</v>
      </c>
    </row>
    <row r="230" spans="13:14">
      <c r="M230">
        <v>12327841</v>
      </c>
      <c r="N230">
        <v>3</v>
      </c>
    </row>
    <row r="231" spans="13:14">
      <c r="M231">
        <v>199121</v>
      </c>
      <c r="N231">
        <v>3</v>
      </c>
    </row>
    <row r="232" spans="13:14">
      <c r="M232">
        <v>12297032</v>
      </c>
      <c r="N232">
        <v>3</v>
      </c>
    </row>
    <row r="233" spans="13:14">
      <c r="M233">
        <v>61799</v>
      </c>
      <c r="N233">
        <v>3</v>
      </c>
    </row>
    <row r="234" spans="13:14">
      <c r="M234">
        <v>61981</v>
      </c>
      <c r="N234">
        <v>3</v>
      </c>
    </row>
    <row r="235" spans="13:14">
      <c r="M235">
        <v>480251</v>
      </c>
      <c r="N235">
        <v>3</v>
      </c>
    </row>
    <row r="236" spans="13:14">
      <c r="M236">
        <v>12325666</v>
      </c>
      <c r="N236">
        <v>3</v>
      </c>
    </row>
    <row r="237" spans="13:14">
      <c r="M237">
        <v>358978</v>
      </c>
      <c r="N237">
        <v>3</v>
      </c>
    </row>
    <row r="238" spans="13:14">
      <c r="M238">
        <v>260597</v>
      </c>
      <c r="N238">
        <v>3</v>
      </c>
    </row>
    <row r="239" spans="13:14">
      <c r="M239">
        <v>347681</v>
      </c>
      <c r="N239">
        <v>3</v>
      </c>
    </row>
    <row r="240" spans="13:14">
      <c r="M240">
        <v>195909</v>
      </c>
      <c r="N240">
        <v>3</v>
      </c>
    </row>
    <row r="241" spans="13:14">
      <c r="M241">
        <v>240104</v>
      </c>
      <c r="N241">
        <v>3</v>
      </c>
    </row>
    <row r="242" spans="13:14">
      <c r="M242">
        <v>12331996</v>
      </c>
      <c r="N242">
        <v>3</v>
      </c>
    </row>
    <row r="243" spans="13:14">
      <c r="M243">
        <v>516144</v>
      </c>
      <c r="N243">
        <v>3</v>
      </c>
    </row>
    <row r="244" spans="13:14">
      <c r="M244">
        <v>12296303</v>
      </c>
      <c r="N244">
        <v>3</v>
      </c>
    </row>
    <row r="245" spans="13:14">
      <c r="M245">
        <v>12296815</v>
      </c>
      <c r="N245">
        <v>3</v>
      </c>
    </row>
    <row r="246" spans="13:14">
      <c r="M246">
        <v>513182</v>
      </c>
      <c r="N246">
        <v>3</v>
      </c>
    </row>
    <row r="247" spans="13:14">
      <c r="M247">
        <v>323376</v>
      </c>
      <c r="N247">
        <v>3</v>
      </c>
    </row>
    <row r="248" spans="13:14">
      <c r="M248">
        <v>553891</v>
      </c>
      <c r="N248">
        <v>3</v>
      </c>
    </row>
    <row r="249" spans="13:14">
      <c r="M249">
        <v>62079</v>
      </c>
      <c r="N249">
        <v>3</v>
      </c>
    </row>
    <row r="250" spans="13:14">
      <c r="M250">
        <v>12296812</v>
      </c>
      <c r="N250">
        <v>3</v>
      </c>
    </row>
    <row r="251" spans="13:14">
      <c r="M251">
        <v>240352</v>
      </c>
      <c r="N251">
        <v>3</v>
      </c>
    </row>
    <row r="252" spans="13:14">
      <c r="M252">
        <v>511584</v>
      </c>
      <c r="N252">
        <v>3</v>
      </c>
    </row>
    <row r="253" spans="13:14">
      <c r="M253">
        <v>12321243</v>
      </c>
      <c r="N253">
        <v>93</v>
      </c>
    </row>
    <row r="254" spans="13:14">
      <c r="M254" t="s">
        <v>98</v>
      </c>
      <c r="N254">
        <v>36</v>
      </c>
    </row>
    <row r="255" spans="13:14">
      <c r="M255">
        <v>336129</v>
      </c>
      <c r="N255">
        <v>17</v>
      </c>
    </row>
    <row r="256" spans="13:14">
      <c r="M256">
        <v>12321241</v>
      </c>
      <c r="N256">
        <v>31</v>
      </c>
    </row>
    <row r="257" spans="13:14">
      <c r="M257">
        <v>12313881</v>
      </c>
      <c r="N257">
        <v>31</v>
      </c>
    </row>
    <row r="258" spans="13:14">
      <c r="M258">
        <v>281419</v>
      </c>
      <c r="N258">
        <v>12</v>
      </c>
    </row>
    <row r="259" spans="13:14">
      <c r="M259">
        <v>422775</v>
      </c>
      <c r="N259">
        <v>12</v>
      </c>
    </row>
    <row r="260" spans="13:14">
      <c r="M260">
        <v>211751</v>
      </c>
      <c r="N260">
        <v>12</v>
      </c>
    </row>
    <row r="261" spans="13:14">
      <c r="M261">
        <v>12295842</v>
      </c>
      <c r="N261">
        <v>12</v>
      </c>
    </row>
    <row r="262" spans="13:14">
      <c r="M262">
        <v>541331</v>
      </c>
      <c r="N262">
        <v>12</v>
      </c>
    </row>
    <row r="263" spans="13:14">
      <c r="M263">
        <v>1556</v>
      </c>
      <c r="N263">
        <v>12</v>
      </c>
    </row>
    <row r="264" spans="13:14">
      <c r="M264">
        <v>107291</v>
      </c>
      <c r="N264">
        <v>12</v>
      </c>
    </row>
    <row r="265" spans="13:14">
      <c r="M265">
        <v>407149</v>
      </c>
      <c r="N265">
        <v>45</v>
      </c>
    </row>
    <row r="266" spans="13:14">
      <c r="M266">
        <v>358156</v>
      </c>
      <c r="N266">
        <v>45</v>
      </c>
    </row>
    <row r="267" spans="13:14">
      <c r="M267">
        <v>12299980</v>
      </c>
      <c r="N267">
        <v>26</v>
      </c>
    </row>
    <row r="268" spans="13:14">
      <c r="M268">
        <v>12297183</v>
      </c>
      <c r="N268">
        <v>26</v>
      </c>
    </row>
    <row r="269" spans="13:14">
      <c r="M269">
        <v>211671</v>
      </c>
      <c r="N269">
        <v>26</v>
      </c>
    </row>
    <row r="270" spans="13:14">
      <c r="M270">
        <v>12326539</v>
      </c>
      <c r="N270">
        <v>7</v>
      </c>
    </row>
    <row r="271" spans="13:14">
      <c r="M271">
        <v>199236</v>
      </c>
      <c r="N271">
        <v>7</v>
      </c>
    </row>
    <row r="272" spans="13:14">
      <c r="M272">
        <v>211660</v>
      </c>
      <c r="N272">
        <v>7</v>
      </c>
    </row>
    <row r="273" spans="13:14">
      <c r="M273">
        <v>12295735</v>
      </c>
      <c r="N273">
        <v>7</v>
      </c>
    </row>
    <row r="274" spans="13:14">
      <c r="M274">
        <v>521830</v>
      </c>
      <c r="N274">
        <v>7</v>
      </c>
    </row>
    <row r="275" spans="13:14">
      <c r="M275">
        <v>291861</v>
      </c>
      <c r="N275">
        <v>7</v>
      </c>
    </row>
    <row r="276" spans="13:14">
      <c r="M276">
        <v>402298</v>
      </c>
      <c r="N276">
        <v>7</v>
      </c>
    </row>
    <row r="277" spans="13:14">
      <c r="M277">
        <v>537323</v>
      </c>
      <c r="N277">
        <v>7</v>
      </c>
    </row>
    <row r="278" spans="13:14">
      <c r="M278">
        <v>402240</v>
      </c>
      <c r="N278">
        <v>7</v>
      </c>
    </row>
    <row r="279" spans="13:14">
      <c r="M279">
        <v>237458</v>
      </c>
      <c r="N279">
        <v>7</v>
      </c>
    </row>
    <row r="280" spans="13:14">
      <c r="M280">
        <v>541322</v>
      </c>
      <c r="N280">
        <v>7</v>
      </c>
    </row>
    <row r="281" spans="13:14">
      <c r="M281">
        <v>369884</v>
      </c>
      <c r="N281">
        <v>7</v>
      </c>
    </row>
    <row r="282" spans="13:14">
      <c r="M282">
        <v>366549</v>
      </c>
      <c r="N282">
        <v>7</v>
      </c>
    </row>
    <row r="283" spans="13:14">
      <c r="M283">
        <v>390</v>
      </c>
      <c r="N283">
        <v>7</v>
      </c>
    </row>
    <row r="284" spans="13:14">
      <c r="M284">
        <v>347687</v>
      </c>
      <c r="N284">
        <v>7</v>
      </c>
    </row>
    <row r="285" spans="13:14">
      <c r="M285">
        <v>12296823</v>
      </c>
      <c r="N285">
        <v>7</v>
      </c>
    </row>
    <row r="286" spans="13:14">
      <c r="M286">
        <v>532883</v>
      </c>
      <c r="N286">
        <v>7</v>
      </c>
    </row>
    <row r="287" spans="13:14">
      <c r="M287">
        <v>12316130</v>
      </c>
      <c r="N287">
        <v>7</v>
      </c>
    </row>
    <row r="288" spans="13:14">
      <c r="M288">
        <v>12296255</v>
      </c>
      <c r="N288">
        <v>7</v>
      </c>
    </row>
    <row r="289" spans="13:14">
      <c r="M289">
        <v>12296071</v>
      </c>
      <c r="N289">
        <v>7</v>
      </c>
    </row>
    <row r="290" spans="13:14">
      <c r="M290">
        <v>553964</v>
      </c>
      <c r="N290">
        <v>7</v>
      </c>
    </row>
    <row r="291" spans="13:14">
      <c r="M291">
        <v>213944</v>
      </c>
      <c r="N291">
        <v>7</v>
      </c>
    </row>
    <row r="292" spans="13:14">
      <c r="M292">
        <v>12303554</v>
      </c>
      <c r="N292">
        <v>7</v>
      </c>
    </row>
    <row r="293" spans="13:14">
      <c r="M293">
        <v>12332361</v>
      </c>
      <c r="N293">
        <v>78</v>
      </c>
    </row>
    <row r="294" spans="13:14">
      <c r="M294">
        <v>267428</v>
      </c>
      <c r="N294">
        <v>21</v>
      </c>
    </row>
    <row r="295" spans="13:14">
      <c r="M295">
        <v>551512</v>
      </c>
      <c r="N295">
        <v>2</v>
      </c>
    </row>
    <row r="296" spans="13:14">
      <c r="M296">
        <v>410976</v>
      </c>
      <c r="N296">
        <v>2</v>
      </c>
    </row>
    <row r="297" spans="13:14">
      <c r="M297">
        <v>453185</v>
      </c>
      <c r="N297">
        <v>2</v>
      </c>
    </row>
    <row r="298" spans="13:14">
      <c r="M298" t="s">
        <v>195</v>
      </c>
      <c r="N298">
        <v>2</v>
      </c>
    </row>
    <row r="299" spans="13:14">
      <c r="M299">
        <v>503354</v>
      </c>
      <c r="N299">
        <v>2</v>
      </c>
    </row>
    <row r="300" spans="13:14">
      <c r="M300">
        <v>12326313</v>
      </c>
      <c r="N300">
        <v>2</v>
      </c>
    </row>
    <row r="301" spans="13:14">
      <c r="M301">
        <v>334656</v>
      </c>
      <c r="N301">
        <v>2</v>
      </c>
    </row>
    <row r="302" spans="13:14">
      <c r="M302">
        <v>548291</v>
      </c>
      <c r="N302">
        <v>2</v>
      </c>
    </row>
    <row r="303" spans="13:14">
      <c r="M303">
        <v>199330</v>
      </c>
      <c r="N303">
        <v>2</v>
      </c>
    </row>
    <row r="304" spans="13:14">
      <c r="M304">
        <v>12314331</v>
      </c>
      <c r="N304">
        <v>2</v>
      </c>
    </row>
    <row r="305" spans="13:14">
      <c r="M305">
        <v>514589</v>
      </c>
      <c r="N305">
        <v>2</v>
      </c>
    </row>
    <row r="306" spans="13:14">
      <c r="M306">
        <v>231086</v>
      </c>
      <c r="N306">
        <v>2</v>
      </c>
    </row>
    <row r="307" spans="13:14">
      <c r="M307">
        <v>61876</v>
      </c>
      <c r="N307">
        <v>2</v>
      </c>
    </row>
    <row r="308" spans="13:14">
      <c r="M308">
        <v>542823</v>
      </c>
      <c r="N308">
        <v>2</v>
      </c>
    </row>
    <row r="309" spans="13:14">
      <c r="M309">
        <v>492959</v>
      </c>
      <c r="N309">
        <v>2</v>
      </c>
    </row>
    <row r="310" spans="13:14">
      <c r="M310">
        <v>493188</v>
      </c>
      <c r="N310">
        <v>2</v>
      </c>
    </row>
    <row r="311" spans="13:14">
      <c r="M311">
        <v>254004</v>
      </c>
      <c r="N311">
        <v>2</v>
      </c>
    </row>
    <row r="312" spans="13:14">
      <c r="M312">
        <v>328295</v>
      </c>
      <c r="N312">
        <v>2</v>
      </c>
    </row>
    <row r="313" spans="13:14">
      <c r="M313">
        <v>61841</v>
      </c>
      <c r="N313">
        <v>2</v>
      </c>
    </row>
    <row r="314" spans="13:14">
      <c r="M314">
        <v>2109</v>
      </c>
      <c r="N314">
        <v>2</v>
      </c>
    </row>
    <row r="315" spans="13:14">
      <c r="M315">
        <v>401140</v>
      </c>
      <c r="N315">
        <v>2</v>
      </c>
    </row>
    <row r="316" spans="13:14">
      <c r="M316">
        <v>12296070</v>
      </c>
      <c r="N316">
        <v>2</v>
      </c>
    </row>
    <row r="317" spans="13:14">
      <c r="M317">
        <v>524914</v>
      </c>
      <c r="N317">
        <v>2</v>
      </c>
    </row>
    <row r="318" spans="13:14">
      <c r="M318">
        <v>186842</v>
      </c>
      <c r="N318">
        <v>2</v>
      </c>
    </row>
    <row r="319" spans="13:14">
      <c r="M319">
        <v>12315185</v>
      </c>
      <c r="N319">
        <v>2</v>
      </c>
    </row>
    <row r="320" spans="13:14">
      <c r="M320">
        <v>12322396</v>
      </c>
      <c r="N320">
        <v>2</v>
      </c>
    </row>
    <row r="321" spans="13:14">
      <c r="M321">
        <v>12300218</v>
      </c>
      <c r="N321">
        <v>2</v>
      </c>
    </row>
    <row r="322" spans="13:14">
      <c r="M322">
        <v>12297044</v>
      </c>
      <c r="N322">
        <v>2</v>
      </c>
    </row>
    <row r="323" spans="13:14">
      <c r="M323">
        <v>12299789</v>
      </c>
      <c r="N323">
        <v>2</v>
      </c>
    </row>
    <row r="324" spans="13:14">
      <c r="M324">
        <v>488992</v>
      </c>
      <c r="N324">
        <v>2</v>
      </c>
    </row>
    <row r="325" spans="13:14">
      <c r="M325">
        <v>516003</v>
      </c>
      <c r="N325">
        <v>2</v>
      </c>
    </row>
    <row r="326" spans="13:14">
      <c r="M326">
        <v>399936</v>
      </c>
      <c r="N326">
        <v>2</v>
      </c>
    </row>
    <row r="327" spans="13:14">
      <c r="M327">
        <v>341164</v>
      </c>
      <c r="N327">
        <v>2</v>
      </c>
    </row>
    <row r="328" spans="13:14">
      <c r="M328">
        <v>477625</v>
      </c>
      <c r="N328">
        <v>2</v>
      </c>
    </row>
    <row r="329" spans="13:14">
      <c r="M329">
        <v>526700</v>
      </c>
      <c r="N329">
        <v>2</v>
      </c>
    </row>
    <row r="330" spans="13:14">
      <c r="M330">
        <v>61953</v>
      </c>
      <c r="N330">
        <v>2</v>
      </c>
    </row>
    <row r="331" spans="13:14">
      <c r="M331">
        <v>343974</v>
      </c>
      <c r="N331">
        <v>2</v>
      </c>
    </row>
    <row r="332" spans="13:14">
      <c r="M332">
        <v>390324</v>
      </c>
      <c r="N332">
        <v>2</v>
      </c>
    </row>
    <row r="333" spans="13:14">
      <c r="M333">
        <v>523915</v>
      </c>
      <c r="N333">
        <v>2</v>
      </c>
    </row>
    <row r="334" spans="13:14">
      <c r="M334">
        <v>523875</v>
      </c>
      <c r="N334">
        <v>2</v>
      </c>
    </row>
    <row r="335" spans="13:14">
      <c r="M335">
        <v>403576</v>
      </c>
      <c r="N335">
        <v>2</v>
      </c>
    </row>
    <row r="336" spans="13:14">
      <c r="M336">
        <v>12320506</v>
      </c>
      <c r="N336">
        <v>2</v>
      </c>
    </row>
    <row r="337" spans="13:14">
      <c r="M337">
        <v>365502</v>
      </c>
      <c r="N337">
        <v>2</v>
      </c>
    </row>
    <row r="338" spans="13:14">
      <c r="M338">
        <v>12296062</v>
      </c>
      <c r="N338">
        <v>2</v>
      </c>
    </row>
    <row r="339" spans="13:14">
      <c r="M339">
        <v>392373</v>
      </c>
      <c r="N339">
        <v>2</v>
      </c>
    </row>
    <row r="340" spans="13:14">
      <c r="M340">
        <v>400338</v>
      </c>
      <c r="N340">
        <v>2</v>
      </c>
    </row>
    <row r="341" spans="13:14">
      <c r="M341">
        <v>12322791</v>
      </c>
      <c r="N341">
        <v>2</v>
      </c>
    </row>
    <row r="342" spans="13:14">
      <c r="M342">
        <v>238637</v>
      </c>
      <c r="N342">
        <v>2</v>
      </c>
    </row>
    <row r="343" spans="13:14">
      <c r="M343">
        <v>533758</v>
      </c>
      <c r="N343">
        <v>2</v>
      </c>
    </row>
    <row r="344" spans="13:14">
      <c r="M344">
        <v>345394</v>
      </c>
      <c r="N344">
        <v>2</v>
      </c>
    </row>
    <row r="345" spans="13:14">
      <c r="M345">
        <v>402551</v>
      </c>
      <c r="N345">
        <v>2</v>
      </c>
    </row>
    <row r="346" spans="13:14">
      <c r="M346">
        <v>370215</v>
      </c>
      <c r="N346">
        <v>2</v>
      </c>
    </row>
    <row r="347" spans="13:14">
      <c r="M347">
        <v>422725</v>
      </c>
      <c r="N347">
        <v>2</v>
      </c>
    </row>
    <row r="348" spans="13:14">
      <c r="M348">
        <v>532249</v>
      </c>
      <c r="N348">
        <v>2</v>
      </c>
    </row>
    <row r="349" spans="13:14">
      <c r="M349">
        <v>355431</v>
      </c>
      <c r="N349">
        <v>2</v>
      </c>
    </row>
    <row r="350" spans="13:14">
      <c r="M350">
        <v>468349</v>
      </c>
      <c r="N350">
        <v>2</v>
      </c>
    </row>
    <row r="351" spans="13:14">
      <c r="M351">
        <v>500429</v>
      </c>
      <c r="N351">
        <v>2</v>
      </c>
    </row>
    <row r="352" spans="13:14">
      <c r="M352">
        <v>281770</v>
      </c>
      <c r="N352">
        <v>2</v>
      </c>
    </row>
    <row r="353" spans="13:14">
      <c r="M353">
        <v>224007</v>
      </c>
      <c r="N353">
        <v>2</v>
      </c>
    </row>
    <row r="354" spans="13:14">
      <c r="M354">
        <v>127072</v>
      </c>
      <c r="N354">
        <v>2</v>
      </c>
    </row>
    <row r="355" spans="13:14">
      <c r="M355">
        <v>553329</v>
      </c>
      <c r="N355">
        <v>2</v>
      </c>
    </row>
    <row r="356" spans="13:14">
      <c r="M356">
        <v>550632</v>
      </c>
      <c r="N356">
        <v>2</v>
      </c>
    </row>
    <row r="357" spans="13:14">
      <c r="M357">
        <v>355584</v>
      </c>
      <c r="N357">
        <v>2</v>
      </c>
    </row>
    <row r="358" spans="13:14">
      <c r="M358">
        <v>12322440</v>
      </c>
      <c r="N358">
        <v>2</v>
      </c>
    </row>
    <row r="359" spans="13:14">
      <c r="M359">
        <v>12296084</v>
      </c>
      <c r="N359">
        <v>2</v>
      </c>
    </row>
    <row r="360" spans="13:14">
      <c r="M360">
        <v>12319785</v>
      </c>
      <c r="N360">
        <v>2</v>
      </c>
    </row>
    <row r="361" spans="13:14">
      <c r="M361">
        <v>12300154</v>
      </c>
      <c r="N361">
        <v>2</v>
      </c>
    </row>
    <row r="362" spans="13:14">
      <c r="M362">
        <v>499483</v>
      </c>
      <c r="N362">
        <v>2</v>
      </c>
    </row>
    <row r="363" spans="13:14">
      <c r="M363">
        <v>61860</v>
      </c>
      <c r="N363">
        <v>2</v>
      </c>
    </row>
    <row r="364" spans="13:14">
      <c r="M364">
        <v>405829</v>
      </c>
      <c r="N364">
        <v>2</v>
      </c>
    </row>
    <row r="365" spans="13:14">
      <c r="M365">
        <v>414487</v>
      </c>
      <c r="N365">
        <v>2</v>
      </c>
    </row>
    <row r="366" spans="13:14">
      <c r="M366">
        <v>572343</v>
      </c>
      <c r="N366">
        <v>2</v>
      </c>
    </row>
    <row r="367" spans="13:14">
      <c r="M367">
        <v>337270</v>
      </c>
      <c r="N367">
        <v>2</v>
      </c>
    </row>
    <row r="368" spans="13:14">
      <c r="M368">
        <v>270056</v>
      </c>
      <c r="N368">
        <v>2</v>
      </c>
    </row>
    <row r="369" spans="13:14">
      <c r="M369" t="s">
        <v>196</v>
      </c>
      <c r="N369">
        <v>2</v>
      </c>
    </row>
    <row r="370" spans="13:14">
      <c r="M370">
        <v>12296482</v>
      </c>
      <c r="N370">
        <v>2</v>
      </c>
    </row>
    <row r="371" spans="13:14">
      <c r="M371">
        <v>12327959</v>
      </c>
      <c r="N371">
        <v>2</v>
      </c>
    </row>
    <row r="372" spans="13:14">
      <c r="M372">
        <v>342770</v>
      </c>
      <c r="N372">
        <v>2</v>
      </c>
    </row>
    <row r="373" spans="13:14">
      <c r="M373">
        <v>5981</v>
      </c>
      <c r="N373">
        <v>2</v>
      </c>
    </row>
    <row r="374" spans="13:14">
      <c r="M374">
        <v>12332390</v>
      </c>
      <c r="N374">
        <v>2</v>
      </c>
    </row>
    <row r="375" spans="13:14">
      <c r="M375">
        <v>61996</v>
      </c>
      <c r="N375">
        <v>2</v>
      </c>
    </row>
    <row r="376" spans="13:14">
      <c r="M376">
        <v>246348</v>
      </c>
      <c r="N376">
        <v>2</v>
      </c>
    </row>
    <row r="377" spans="13:14">
      <c r="M377" t="s">
        <v>197</v>
      </c>
      <c r="N377">
        <v>2</v>
      </c>
    </row>
    <row r="378" spans="13:14">
      <c r="M378">
        <v>301600</v>
      </c>
      <c r="N378">
        <v>2</v>
      </c>
    </row>
    <row r="379" spans="13:14">
      <c r="M379">
        <v>403930</v>
      </c>
      <c r="N379">
        <v>2</v>
      </c>
    </row>
    <row r="380" spans="13:14">
      <c r="M380">
        <v>492045</v>
      </c>
      <c r="N380">
        <v>2</v>
      </c>
    </row>
    <row r="381" spans="13:14">
      <c r="M381">
        <v>231115</v>
      </c>
      <c r="N381">
        <v>2</v>
      </c>
    </row>
    <row r="382" spans="13:14">
      <c r="M382">
        <v>238719</v>
      </c>
      <c r="N382">
        <v>2</v>
      </c>
    </row>
    <row r="383" spans="13:14">
      <c r="M383">
        <v>358177</v>
      </c>
      <c r="N383">
        <v>2</v>
      </c>
    </row>
    <row r="384" spans="13:14">
      <c r="M384">
        <v>459969</v>
      </c>
      <c r="N384">
        <v>2</v>
      </c>
    </row>
    <row r="385" spans="13:14">
      <c r="M385">
        <v>329519</v>
      </c>
      <c r="N385">
        <v>2</v>
      </c>
    </row>
    <row r="386" spans="13:14">
      <c r="M386">
        <v>392372</v>
      </c>
      <c r="N386">
        <v>2</v>
      </c>
    </row>
    <row r="387" spans="13:14">
      <c r="M387">
        <v>62403</v>
      </c>
      <c r="N387">
        <v>2</v>
      </c>
    </row>
    <row r="388" spans="13:14">
      <c r="M388">
        <v>483240</v>
      </c>
      <c r="N388">
        <v>2</v>
      </c>
    </row>
    <row r="389" spans="13:14">
      <c r="M389">
        <v>529781</v>
      </c>
      <c r="N389">
        <v>2</v>
      </c>
    </row>
    <row r="390" spans="13:14">
      <c r="M390">
        <v>12331450</v>
      </c>
      <c r="N390">
        <v>2</v>
      </c>
    </row>
    <row r="391" spans="13:14">
      <c r="M391">
        <v>2827</v>
      </c>
      <c r="N391">
        <v>2</v>
      </c>
    </row>
    <row r="392" spans="13:14">
      <c r="M392">
        <v>357812</v>
      </c>
      <c r="N392">
        <v>2</v>
      </c>
    </row>
    <row r="393" spans="13:14">
      <c r="M393">
        <v>540514</v>
      </c>
      <c r="N393">
        <v>2</v>
      </c>
    </row>
    <row r="394" spans="13:14">
      <c r="M394">
        <v>487986</v>
      </c>
      <c r="N394">
        <v>2</v>
      </c>
    </row>
    <row r="395" spans="13:14">
      <c r="M395">
        <v>522468</v>
      </c>
      <c r="N395">
        <v>2</v>
      </c>
    </row>
    <row r="396" spans="13:14">
      <c r="M396">
        <v>12334597</v>
      </c>
      <c r="N396">
        <v>2</v>
      </c>
    </row>
    <row r="397" spans="13:14">
      <c r="M397">
        <v>471389</v>
      </c>
      <c r="N397">
        <v>2</v>
      </c>
    </row>
    <row r="398" spans="13:14">
      <c r="M398">
        <v>127119</v>
      </c>
      <c r="N398">
        <v>2</v>
      </c>
    </row>
    <row r="399" spans="13:14">
      <c r="M399">
        <v>2628</v>
      </c>
      <c r="N399">
        <v>2</v>
      </c>
    </row>
    <row r="400" spans="13:14">
      <c r="M400">
        <v>524408</v>
      </c>
      <c r="N400">
        <v>2</v>
      </c>
    </row>
    <row r="401" spans="13:14">
      <c r="M401">
        <v>63863</v>
      </c>
      <c r="N401">
        <v>2</v>
      </c>
    </row>
    <row r="402" spans="13:14">
      <c r="M402">
        <v>364537</v>
      </c>
      <c r="N402">
        <v>2</v>
      </c>
    </row>
    <row r="403" spans="13:14">
      <c r="M403">
        <v>265466</v>
      </c>
      <c r="N403">
        <v>2</v>
      </c>
    </row>
    <row r="404" spans="13:14">
      <c r="M404">
        <v>196535</v>
      </c>
      <c r="N404">
        <v>2</v>
      </c>
    </row>
    <row r="405" spans="13:14">
      <c r="M405">
        <v>127152</v>
      </c>
      <c r="N405">
        <v>2</v>
      </c>
    </row>
    <row r="406" spans="13:14">
      <c r="M406">
        <v>240546</v>
      </c>
      <c r="N406">
        <v>2</v>
      </c>
    </row>
    <row r="407" spans="13:14">
      <c r="M407">
        <v>347538</v>
      </c>
      <c r="N407">
        <v>2</v>
      </c>
    </row>
    <row r="408" spans="13:14">
      <c r="M408">
        <v>408290</v>
      </c>
      <c r="N408">
        <v>2</v>
      </c>
    </row>
    <row r="409" spans="13:14">
      <c r="M409">
        <v>512721</v>
      </c>
      <c r="N409">
        <v>2</v>
      </c>
    </row>
    <row r="410" spans="13:14">
      <c r="M410">
        <v>12333967</v>
      </c>
      <c r="N410">
        <v>2</v>
      </c>
    </row>
    <row r="411" spans="13:14">
      <c r="M411">
        <v>61483</v>
      </c>
      <c r="N411">
        <v>2</v>
      </c>
    </row>
    <row r="412" spans="13:14">
      <c r="M412">
        <v>525586</v>
      </c>
      <c r="N412">
        <v>2</v>
      </c>
    </row>
    <row r="413" spans="13:14">
      <c r="M413">
        <v>362684</v>
      </c>
      <c r="N413">
        <v>2</v>
      </c>
    </row>
    <row r="414" spans="13:14">
      <c r="M414">
        <v>385457</v>
      </c>
      <c r="N414">
        <v>2</v>
      </c>
    </row>
    <row r="415" spans="13:14">
      <c r="M415">
        <v>12324062</v>
      </c>
      <c r="N415">
        <v>2</v>
      </c>
    </row>
    <row r="416" spans="13:14">
      <c r="M416">
        <v>413177</v>
      </c>
      <c r="N416">
        <v>2</v>
      </c>
    </row>
    <row r="417" spans="13:14">
      <c r="M417">
        <v>506237</v>
      </c>
      <c r="N417">
        <v>2</v>
      </c>
    </row>
    <row r="418" spans="13:14">
      <c r="M418">
        <v>62200</v>
      </c>
      <c r="N418">
        <v>2</v>
      </c>
    </row>
    <row r="419" spans="13:14">
      <c r="M419">
        <v>12300470</v>
      </c>
      <c r="N419">
        <v>2</v>
      </c>
    </row>
    <row r="420" spans="13:14">
      <c r="M420">
        <v>12295824</v>
      </c>
      <c r="N420">
        <v>2</v>
      </c>
    </row>
    <row r="421" spans="13:14">
      <c r="M421">
        <v>201641</v>
      </c>
      <c r="N421">
        <v>2</v>
      </c>
    </row>
    <row r="422" spans="13:14">
      <c r="M422">
        <v>12321065</v>
      </c>
      <c r="N422">
        <v>2</v>
      </c>
    </row>
    <row r="423" spans="13:14">
      <c r="M423">
        <v>458953</v>
      </c>
      <c r="N423">
        <v>2</v>
      </c>
    </row>
    <row r="424" spans="13:14">
      <c r="M424">
        <v>211822</v>
      </c>
      <c r="N424">
        <v>2</v>
      </c>
    </row>
    <row r="425" spans="13:14">
      <c r="M425">
        <v>403618</v>
      </c>
      <c r="N425">
        <v>2</v>
      </c>
    </row>
    <row r="426" spans="13:14">
      <c r="M426">
        <v>408166</v>
      </c>
      <c r="N426">
        <v>2</v>
      </c>
    </row>
    <row r="427" spans="13:14">
      <c r="M427">
        <v>325380</v>
      </c>
      <c r="N427">
        <v>2</v>
      </c>
    </row>
    <row r="428" spans="13:14">
      <c r="M428">
        <v>289467</v>
      </c>
      <c r="N428">
        <v>2</v>
      </c>
    </row>
    <row r="429" spans="13:14">
      <c r="M429">
        <v>2083</v>
      </c>
      <c r="N429">
        <v>2</v>
      </c>
    </row>
    <row r="430" spans="13:14">
      <c r="M430">
        <v>12300221</v>
      </c>
      <c r="N430">
        <v>2</v>
      </c>
    </row>
    <row r="431" spans="13:14">
      <c r="M431">
        <v>139908</v>
      </c>
      <c r="N431">
        <v>2</v>
      </c>
    </row>
    <row r="432" spans="13:14">
      <c r="M432">
        <v>266549</v>
      </c>
      <c r="N432">
        <v>2</v>
      </c>
    </row>
    <row r="433" spans="13:14">
      <c r="M433">
        <v>186394</v>
      </c>
      <c r="N433">
        <v>2</v>
      </c>
    </row>
    <row r="434" spans="13:14">
      <c r="M434">
        <v>272014</v>
      </c>
      <c r="N434">
        <v>2</v>
      </c>
    </row>
    <row r="435" spans="13:14">
      <c r="M435">
        <v>532284</v>
      </c>
      <c r="N435">
        <v>2</v>
      </c>
    </row>
    <row r="436" spans="13:14">
      <c r="M436">
        <v>202378</v>
      </c>
      <c r="N436">
        <v>2</v>
      </c>
    </row>
    <row r="437" spans="13:14">
      <c r="M437">
        <v>288094</v>
      </c>
      <c r="N437">
        <v>2</v>
      </c>
    </row>
    <row r="438" spans="13:14">
      <c r="M438">
        <v>246734</v>
      </c>
      <c r="N438">
        <v>2</v>
      </c>
    </row>
    <row r="439" spans="13:14">
      <c r="M439">
        <v>12303072</v>
      </c>
      <c r="N439">
        <v>2</v>
      </c>
    </row>
    <row r="440" spans="13:14">
      <c r="M440">
        <v>546109</v>
      </c>
      <c r="N440">
        <v>2</v>
      </c>
    </row>
    <row r="441" spans="13:14">
      <c r="M441">
        <v>547291</v>
      </c>
      <c r="N441">
        <v>2</v>
      </c>
    </row>
    <row r="442" spans="13:14">
      <c r="M442">
        <v>252235</v>
      </c>
      <c r="N442">
        <v>2</v>
      </c>
    </row>
    <row r="443" spans="13:14">
      <c r="M443">
        <v>264192</v>
      </c>
      <c r="N443">
        <v>2</v>
      </c>
    </row>
    <row r="444" spans="13:14">
      <c r="M444">
        <v>355448</v>
      </c>
      <c r="N444">
        <v>2</v>
      </c>
    </row>
    <row r="445" spans="13:14">
      <c r="M445">
        <v>107298</v>
      </c>
      <c r="N445">
        <v>2</v>
      </c>
    </row>
    <row r="446" spans="13:14">
      <c r="M446">
        <v>61564</v>
      </c>
      <c r="N446">
        <v>2</v>
      </c>
    </row>
    <row r="447" spans="13:14">
      <c r="M447">
        <v>275866</v>
      </c>
      <c r="N447">
        <v>2</v>
      </c>
    </row>
    <row r="448" spans="13:14">
      <c r="M448">
        <v>458900</v>
      </c>
      <c r="N448">
        <v>2</v>
      </c>
    </row>
    <row r="449" spans="13:14">
      <c r="M449">
        <v>246587</v>
      </c>
      <c r="N449">
        <v>2</v>
      </c>
    </row>
    <row r="450" spans="13:14">
      <c r="M450">
        <v>199324</v>
      </c>
      <c r="N450">
        <v>2</v>
      </c>
    </row>
    <row r="451" spans="13:14">
      <c r="M451">
        <v>12325652</v>
      </c>
      <c r="N451">
        <v>2</v>
      </c>
    </row>
    <row r="452" spans="13:14">
      <c r="M452">
        <v>114982</v>
      </c>
      <c r="N452">
        <v>2</v>
      </c>
    </row>
    <row r="453" spans="13:14">
      <c r="M453">
        <v>12334377</v>
      </c>
      <c r="N453">
        <v>2</v>
      </c>
    </row>
    <row r="454" spans="13:14">
      <c r="M454">
        <v>12322024</v>
      </c>
      <c r="N454">
        <v>2</v>
      </c>
    </row>
    <row r="455" spans="13:14">
      <c r="M455">
        <v>344259</v>
      </c>
      <c r="N455">
        <v>2</v>
      </c>
    </row>
    <row r="456" spans="13:14">
      <c r="M456">
        <v>13554</v>
      </c>
      <c r="N456">
        <v>2</v>
      </c>
    </row>
    <row r="457" spans="13:14">
      <c r="M457">
        <v>479735</v>
      </c>
      <c r="N457">
        <v>2</v>
      </c>
    </row>
    <row r="458" spans="13:14">
      <c r="M458">
        <v>556434</v>
      </c>
      <c r="N458">
        <v>2</v>
      </c>
    </row>
    <row r="459" spans="13:14">
      <c r="M459">
        <v>188114</v>
      </c>
      <c r="N459">
        <v>2</v>
      </c>
    </row>
    <row r="460" spans="13:14">
      <c r="M460">
        <v>12305463</v>
      </c>
      <c r="N460">
        <v>2</v>
      </c>
    </row>
    <row r="461" spans="13:14">
      <c r="M461">
        <v>211854</v>
      </c>
      <c r="N461">
        <v>2</v>
      </c>
    </row>
    <row r="462" spans="13:14">
      <c r="M462">
        <v>63849</v>
      </c>
      <c r="N462">
        <v>2</v>
      </c>
    </row>
    <row r="463" spans="13:14">
      <c r="M463">
        <v>199217</v>
      </c>
      <c r="N463">
        <v>2</v>
      </c>
    </row>
    <row r="464" spans="13:14">
      <c r="M464">
        <v>475859</v>
      </c>
      <c r="N464">
        <v>2</v>
      </c>
    </row>
    <row r="465" spans="13:14">
      <c r="M465">
        <v>13387</v>
      </c>
      <c r="N465">
        <v>2</v>
      </c>
    </row>
    <row r="466" spans="13:14">
      <c r="M466">
        <v>570754</v>
      </c>
      <c r="N466">
        <v>2</v>
      </c>
    </row>
    <row r="467" spans="13:14">
      <c r="M467">
        <v>127209</v>
      </c>
      <c r="N467">
        <v>2</v>
      </c>
    </row>
    <row r="468" spans="13:14">
      <c r="M468">
        <v>199317</v>
      </c>
      <c r="N468">
        <v>2</v>
      </c>
    </row>
    <row r="469" spans="13:14">
      <c r="M469">
        <v>243830</v>
      </c>
      <c r="N469">
        <v>2</v>
      </c>
    </row>
    <row r="470" spans="13:14">
      <c r="M470">
        <v>62369</v>
      </c>
      <c r="N470">
        <v>2</v>
      </c>
    </row>
    <row r="471" spans="13:14">
      <c r="M471">
        <v>377602</v>
      </c>
      <c r="N471">
        <v>2</v>
      </c>
    </row>
    <row r="472" spans="13:14">
      <c r="M472">
        <v>127191</v>
      </c>
      <c r="N472">
        <v>2</v>
      </c>
    </row>
    <row r="473" spans="13:14">
      <c r="M473">
        <v>530345</v>
      </c>
      <c r="N473">
        <v>2</v>
      </c>
    </row>
    <row r="474" spans="13:14">
      <c r="M474">
        <v>514827</v>
      </c>
      <c r="N474">
        <v>2</v>
      </c>
    </row>
    <row r="475" spans="13:14">
      <c r="M475">
        <v>12327271</v>
      </c>
      <c r="N475">
        <v>2</v>
      </c>
    </row>
    <row r="476" spans="13:14">
      <c r="M476">
        <v>62449</v>
      </c>
      <c r="N476">
        <v>2</v>
      </c>
    </row>
    <row r="477" spans="13:14">
      <c r="M477">
        <v>541001</v>
      </c>
      <c r="N477">
        <v>2</v>
      </c>
    </row>
    <row r="478" spans="13:14">
      <c r="M478">
        <v>160260</v>
      </c>
      <c r="N478">
        <v>2</v>
      </c>
    </row>
    <row r="479" spans="13:14">
      <c r="M479">
        <v>536320</v>
      </c>
      <c r="N479">
        <v>2</v>
      </c>
    </row>
    <row r="480" spans="13:14">
      <c r="M480">
        <v>538207</v>
      </c>
      <c r="N480">
        <v>2</v>
      </c>
    </row>
    <row r="481" spans="13:14">
      <c r="M481">
        <v>368908</v>
      </c>
      <c r="N481">
        <v>2</v>
      </c>
    </row>
    <row r="482" spans="13:14">
      <c r="M482">
        <v>240133</v>
      </c>
      <c r="N482">
        <v>2</v>
      </c>
    </row>
    <row r="483" spans="13:14">
      <c r="M483">
        <v>385492</v>
      </c>
      <c r="N483">
        <v>2</v>
      </c>
    </row>
    <row r="484" spans="13:14">
      <c r="M484">
        <v>62397</v>
      </c>
      <c r="N484">
        <v>2</v>
      </c>
    </row>
    <row r="485" spans="13:14">
      <c r="M485">
        <v>12312942</v>
      </c>
      <c r="N485">
        <v>2</v>
      </c>
    </row>
    <row r="486" spans="13:14">
      <c r="M486">
        <v>509643</v>
      </c>
      <c r="N486">
        <v>2</v>
      </c>
    </row>
    <row r="487" spans="13:14">
      <c r="M487">
        <v>405373</v>
      </c>
      <c r="N487">
        <v>2</v>
      </c>
    </row>
    <row r="488" spans="13:14">
      <c r="M488">
        <v>391846</v>
      </c>
      <c r="N488">
        <v>2</v>
      </c>
    </row>
    <row r="489" spans="13:14">
      <c r="M489">
        <v>523940</v>
      </c>
      <c r="N489">
        <v>2</v>
      </c>
    </row>
    <row r="490" spans="13:14">
      <c r="M490">
        <v>560814</v>
      </c>
      <c r="N490">
        <v>2</v>
      </c>
    </row>
    <row r="491" spans="13:14">
      <c r="M491">
        <v>211589</v>
      </c>
      <c r="N491">
        <v>2</v>
      </c>
    </row>
    <row r="492" spans="13:14">
      <c r="M492">
        <v>211672</v>
      </c>
      <c r="N492">
        <v>2</v>
      </c>
    </row>
    <row r="493" spans="13:14">
      <c r="M493">
        <v>533367</v>
      </c>
      <c r="N493">
        <v>2</v>
      </c>
    </row>
    <row r="494" spans="13:14">
      <c r="M494">
        <v>61549</v>
      </c>
      <c r="N494">
        <v>2</v>
      </c>
    </row>
    <row r="495" spans="13:14">
      <c r="M495">
        <v>149756</v>
      </c>
      <c r="N495">
        <v>2</v>
      </c>
    </row>
    <row r="496" spans="13:14">
      <c r="M496">
        <v>571265</v>
      </c>
      <c r="N496">
        <v>2</v>
      </c>
    </row>
    <row r="497" spans="13:14">
      <c r="M497">
        <v>509433</v>
      </c>
      <c r="N497">
        <v>2</v>
      </c>
    </row>
    <row r="498" spans="13:14">
      <c r="M498">
        <v>406831</v>
      </c>
      <c r="N498">
        <v>2</v>
      </c>
    </row>
    <row r="499" spans="13:14">
      <c r="M499">
        <v>405461</v>
      </c>
      <c r="N499">
        <v>2</v>
      </c>
    </row>
    <row r="500" spans="13:14">
      <c r="M500">
        <v>363660</v>
      </c>
      <c r="N500">
        <v>2</v>
      </c>
    </row>
    <row r="501" spans="13:14">
      <c r="M501">
        <v>211807</v>
      </c>
      <c r="N501">
        <v>2</v>
      </c>
    </row>
    <row r="502" spans="13:14">
      <c r="M502">
        <v>356600</v>
      </c>
      <c r="N502">
        <v>2</v>
      </c>
    </row>
    <row r="503" spans="13:14">
      <c r="M503">
        <v>363655</v>
      </c>
      <c r="N503">
        <v>2</v>
      </c>
    </row>
    <row r="504" spans="13:14">
      <c r="M504">
        <v>195812</v>
      </c>
      <c r="N504">
        <v>2</v>
      </c>
    </row>
    <row r="505" spans="13:14">
      <c r="M505">
        <v>12296326</v>
      </c>
      <c r="N505">
        <v>2</v>
      </c>
    </row>
    <row r="506" spans="13:14">
      <c r="M506">
        <v>426546</v>
      </c>
      <c r="N506">
        <v>2</v>
      </c>
    </row>
    <row r="507" spans="13:14">
      <c r="M507">
        <v>62270</v>
      </c>
      <c r="N507">
        <v>2</v>
      </c>
    </row>
    <row r="508" spans="13:14">
      <c r="M508">
        <v>12295986</v>
      </c>
      <c r="N508">
        <v>2</v>
      </c>
    </row>
    <row r="509" spans="13:14">
      <c r="M509">
        <v>126926</v>
      </c>
      <c r="N509">
        <v>2</v>
      </c>
    </row>
    <row r="510" spans="13:14">
      <c r="M510">
        <v>240378</v>
      </c>
      <c r="N510">
        <v>2</v>
      </c>
    </row>
    <row r="511" spans="13:14">
      <c r="M511">
        <v>523362</v>
      </c>
      <c r="N511">
        <v>2</v>
      </c>
    </row>
    <row r="512" spans="13:14">
      <c r="M512">
        <v>527188</v>
      </c>
      <c r="N512">
        <v>2</v>
      </c>
    </row>
    <row r="513" spans="13:14">
      <c r="M513">
        <v>282319</v>
      </c>
      <c r="N513">
        <v>2</v>
      </c>
    </row>
    <row r="514" spans="13:14">
      <c r="M514">
        <v>12295542</v>
      </c>
      <c r="N514">
        <v>2</v>
      </c>
    </row>
    <row r="515" spans="13:14">
      <c r="M515">
        <v>280412</v>
      </c>
      <c r="N515">
        <v>2</v>
      </c>
    </row>
    <row r="516" spans="13:14">
      <c r="M516">
        <v>559287</v>
      </c>
      <c r="N516">
        <v>2</v>
      </c>
    </row>
    <row r="517" spans="13:14">
      <c r="M517" t="s">
        <v>198</v>
      </c>
      <c r="N517">
        <v>54</v>
      </c>
    </row>
    <row r="518" spans="13:14">
      <c r="M518">
        <v>570685</v>
      </c>
      <c r="N518">
        <v>16</v>
      </c>
    </row>
    <row r="519" spans="13:14">
      <c r="M519">
        <v>219074</v>
      </c>
      <c r="N519">
        <v>16</v>
      </c>
    </row>
    <row r="520" spans="13:14">
      <c r="M520">
        <v>12294838</v>
      </c>
      <c r="N520">
        <v>87</v>
      </c>
    </row>
    <row r="521" spans="13:14">
      <c r="M521">
        <v>264920</v>
      </c>
      <c r="N521">
        <v>30</v>
      </c>
    </row>
    <row r="522" spans="13:14">
      <c r="M522">
        <v>159895</v>
      </c>
      <c r="N522">
        <v>11</v>
      </c>
    </row>
    <row r="523" spans="13:14">
      <c r="M523">
        <v>537134</v>
      </c>
      <c r="N523">
        <v>11</v>
      </c>
    </row>
    <row r="524" spans="13:14">
      <c r="M524">
        <v>535182</v>
      </c>
      <c r="N524">
        <v>11</v>
      </c>
    </row>
    <row r="525" spans="13:14">
      <c r="M525">
        <v>12326005</v>
      </c>
      <c r="N525">
        <v>11</v>
      </c>
    </row>
    <row r="526" spans="13:14">
      <c r="M526">
        <v>12295592</v>
      </c>
      <c r="N526">
        <v>11</v>
      </c>
    </row>
    <row r="527" spans="13:14">
      <c r="M527">
        <v>12318696</v>
      </c>
      <c r="N527">
        <v>44</v>
      </c>
    </row>
    <row r="528" spans="13:14">
      <c r="M528">
        <v>572317</v>
      </c>
      <c r="N528">
        <v>172</v>
      </c>
    </row>
    <row r="529" spans="13:14">
      <c r="M529">
        <v>369696</v>
      </c>
      <c r="N529">
        <v>25</v>
      </c>
    </row>
    <row r="530" spans="13:14">
      <c r="M530">
        <v>12299378</v>
      </c>
      <c r="N530">
        <v>6</v>
      </c>
    </row>
    <row r="531" spans="13:14">
      <c r="M531">
        <v>12327278</v>
      </c>
      <c r="N531">
        <v>6</v>
      </c>
    </row>
    <row r="532" spans="13:14">
      <c r="M532">
        <v>2587</v>
      </c>
      <c r="N532">
        <v>6</v>
      </c>
    </row>
    <row r="533" spans="13:14">
      <c r="M533">
        <v>287452</v>
      </c>
      <c r="N533">
        <v>6</v>
      </c>
    </row>
    <row r="534" spans="13:14">
      <c r="M534">
        <v>512273</v>
      </c>
      <c r="N534">
        <v>6</v>
      </c>
    </row>
    <row r="535" spans="13:14">
      <c r="M535">
        <v>12331070</v>
      </c>
      <c r="N535">
        <v>6</v>
      </c>
    </row>
    <row r="536" spans="13:14">
      <c r="M536">
        <v>195102</v>
      </c>
      <c r="N536">
        <v>6</v>
      </c>
    </row>
    <row r="537" spans="13:14">
      <c r="M537">
        <v>242675</v>
      </c>
      <c r="N537">
        <v>6</v>
      </c>
    </row>
    <row r="538" spans="13:14">
      <c r="M538">
        <v>244443</v>
      </c>
      <c r="N538">
        <v>6</v>
      </c>
    </row>
    <row r="539" spans="13:14">
      <c r="M539">
        <v>555965</v>
      </c>
      <c r="N539">
        <v>6</v>
      </c>
    </row>
    <row r="540" spans="13:14">
      <c r="M540">
        <v>545391</v>
      </c>
      <c r="N540">
        <v>6</v>
      </c>
    </row>
    <row r="541" spans="13:14">
      <c r="M541">
        <v>311393</v>
      </c>
      <c r="N541">
        <v>6</v>
      </c>
    </row>
    <row r="542" spans="13:14">
      <c r="M542">
        <v>547539</v>
      </c>
      <c r="N542">
        <v>6</v>
      </c>
    </row>
    <row r="543" spans="13:14">
      <c r="M543">
        <v>12322371</v>
      </c>
      <c r="N543">
        <v>6</v>
      </c>
    </row>
    <row r="544" spans="13:14">
      <c r="M544">
        <v>61881</v>
      </c>
      <c r="N544">
        <v>6</v>
      </c>
    </row>
    <row r="545" spans="13:14">
      <c r="M545">
        <v>570748</v>
      </c>
      <c r="N545">
        <v>6</v>
      </c>
    </row>
    <row r="546" spans="13:14">
      <c r="M546">
        <v>387721</v>
      </c>
      <c r="N546">
        <v>6</v>
      </c>
    </row>
    <row r="547" spans="13:14">
      <c r="M547">
        <v>222814</v>
      </c>
      <c r="N547">
        <v>6</v>
      </c>
    </row>
    <row r="548" spans="13:14">
      <c r="M548">
        <v>542219</v>
      </c>
      <c r="N548">
        <v>6</v>
      </c>
    </row>
    <row r="549" spans="13:14">
      <c r="M549">
        <v>63850</v>
      </c>
      <c r="N549">
        <v>6</v>
      </c>
    </row>
    <row r="550" spans="13:14">
      <c r="M550">
        <v>424470</v>
      </c>
      <c r="N550">
        <v>6</v>
      </c>
    </row>
    <row r="551" spans="13:14">
      <c r="M551">
        <v>62205</v>
      </c>
      <c r="N551">
        <v>6</v>
      </c>
    </row>
    <row r="552" spans="13:14">
      <c r="M552">
        <v>516570</v>
      </c>
      <c r="N552">
        <v>6</v>
      </c>
    </row>
    <row r="553" spans="13:14">
      <c r="M553">
        <v>366695</v>
      </c>
      <c r="N553">
        <v>6</v>
      </c>
    </row>
    <row r="554" spans="13:14">
      <c r="M554">
        <v>12332347</v>
      </c>
      <c r="N554">
        <v>6</v>
      </c>
    </row>
    <row r="555" spans="13:14">
      <c r="M555">
        <v>406040</v>
      </c>
      <c r="N555">
        <v>6</v>
      </c>
    </row>
    <row r="556" spans="13:14">
      <c r="M556">
        <v>12294847</v>
      </c>
      <c r="N556">
        <v>6</v>
      </c>
    </row>
    <row r="557" spans="13:14">
      <c r="M557">
        <v>544831</v>
      </c>
      <c r="N557">
        <v>39</v>
      </c>
    </row>
    <row r="558" spans="13:14">
      <c r="M558">
        <v>63885</v>
      </c>
      <c r="N558">
        <v>39</v>
      </c>
    </row>
    <row r="559" spans="13:14">
      <c r="M559">
        <v>12297170</v>
      </c>
      <c r="N559">
        <v>20</v>
      </c>
    </row>
    <row r="560" spans="13:14">
      <c r="M560">
        <v>12318668</v>
      </c>
      <c r="N560">
        <v>20</v>
      </c>
    </row>
    <row r="561" spans="13:14">
      <c r="M561">
        <v>366718</v>
      </c>
      <c r="N561">
        <v>20</v>
      </c>
    </row>
    <row r="562" spans="13:14">
      <c r="M562">
        <v>391817</v>
      </c>
      <c r="N562">
        <v>20</v>
      </c>
    </row>
    <row r="563" spans="13:14">
      <c r="M563">
        <v>12322351</v>
      </c>
      <c r="N563">
        <v>20</v>
      </c>
    </row>
    <row r="564" spans="13:14">
      <c r="M564">
        <v>12332344</v>
      </c>
      <c r="N564">
        <v>20</v>
      </c>
    </row>
    <row r="565" spans="13:14">
      <c r="M565" t="s">
        <v>199</v>
      </c>
      <c r="N565">
        <v>20</v>
      </c>
    </row>
    <row r="566" spans="13:14">
      <c r="M566">
        <v>489481</v>
      </c>
      <c r="N566">
        <v>1</v>
      </c>
    </row>
    <row r="567" spans="13:14">
      <c r="M567">
        <v>2787</v>
      </c>
      <c r="N567">
        <v>1</v>
      </c>
    </row>
    <row r="568" spans="13:14">
      <c r="M568">
        <v>373755</v>
      </c>
      <c r="N568">
        <v>1</v>
      </c>
    </row>
    <row r="569" spans="13:14">
      <c r="M569">
        <v>401031</v>
      </c>
      <c r="N569">
        <v>1</v>
      </c>
    </row>
    <row r="570" spans="13:14">
      <c r="M570">
        <v>529249</v>
      </c>
      <c r="N570">
        <v>1</v>
      </c>
    </row>
    <row r="571" spans="13:14">
      <c r="M571">
        <v>10466</v>
      </c>
      <c r="N571">
        <v>1</v>
      </c>
    </row>
    <row r="572" spans="13:14">
      <c r="M572">
        <v>520960</v>
      </c>
      <c r="N572">
        <v>1</v>
      </c>
    </row>
    <row r="573" spans="13:14">
      <c r="M573">
        <v>61528</v>
      </c>
      <c r="N573">
        <v>1</v>
      </c>
    </row>
    <row r="574" spans="13:14">
      <c r="M574">
        <v>201488</v>
      </c>
      <c r="N574">
        <v>1</v>
      </c>
    </row>
    <row r="575" spans="13:14">
      <c r="M575">
        <v>330648</v>
      </c>
      <c r="N575">
        <v>1</v>
      </c>
    </row>
    <row r="576" spans="13:14">
      <c r="M576">
        <v>370055</v>
      </c>
      <c r="N576">
        <v>1</v>
      </c>
    </row>
    <row r="577" spans="13:14">
      <c r="M577">
        <v>401367</v>
      </c>
      <c r="N577">
        <v>1</v>
      </c>
    </row>
    <row r="578" spans="13:14">
      <c r="M578">
        <v>468202</v>
      </c>
      <c r="N578">
        <v>1</v>
      </c>
    </row>
    <row r="579" spans="13:14">
      <c r="M579">
        <v>12296347</v>
      </c>
      <c r="N579">
        <v>1</v>
      </c>
    </row>
    <row r="580" spans="13:14">
      <c r="M580">
        <v>211621</v>
      </c>
      <c r="N580">
        <v>1</v>
      </c>
    </row>
    <row r="581" spans="13:14">
      <c r="M581">
        <v>366702</v>
      </c>
      <c r="N581">
        <v>1</v>
      </c>
    </row>
    <row r="582" spans="13:14">
      <c r="M582">
        <v>366732</v>
      </c>
      <c r="N582">
        <v>1</v>
      </c>
    </row>
    <row r="583" spans="13:14">
      <c r="M583">
        <v>62420</v>
      </c>
      <c r="N583">
        <v>1</v>
      </c>
    </row>
    <row r="584" spans="13:14">
      <c r="M584">
        <v>565427</v>
      </c>
      <c r="N584">
        <v>1</v>
      </c>
    </row>
    <row r="585" spans="13:14">
      <c r="M585">
        <v>12312295</v>
      </c>
      <c r="N585">
        <v>1</v>
      </c>
    </row>
    <row r="586" spans="13:14">
      <c r="M586">
        <v>3060</v>
      </c>
      <c r="N586">
        <v>1</v>
      </c>
    </row>
    <row r="587" spans="13:14">
      <c r="M587">
        <v>199135</v>
      </c>
      <c r="N587">
        <v>1</v>
      </c>
    </row>
    <row r="588" spans="13:14">
      <c r="M588">
        <v>2385</v>
      </c>
      <c r="N588">
        <v>1</v>
      </c>
    </row>
    <row r="589" spans="13:14">
      <c r="M589">
        <v>67035</v>
      </c>
      <c r="N589">
        <v>1</v>
      </c>
    </row>
    <row r="590" spans="13:14">
      <c r="M590">
        <v>12332159</v>
      </c>
      <c r="N590">
        <v>1</v>
      </c>
    </row>
    <row r="591" spans="13:14">
      <c r="M591">
        <v>396792</v>
      </c>
      <c r="N591">
        <v>1</v>
      </c>
    </row>
    <row r="592" spans="13:14">
      <c r="M592">
        <v>12304208</v>
      </c>
      <c r="N592">
        <v>1</v>
      </c>
    </row>
    <row r="593" spans="13:14">
      <c r="M593">
        <v>222820</v>
      </c>
      <c r="N593">
        <v>1</v>
      </c>
    </row>
    <row r="594" spans="13:14">
      <c r="M594">
        <v>12314920</v>
      </c>
      <c r="N594">
        <v>1</v>
      </c>
    </row>
    <row r="595" spans="13:14">
      <c r="M595">
        <v>12305636</v>
      </c>
      <c r="N595">
        <v>1</v>
      </c>
    </row>
    <row r="596" spans="13:14">
      <c r="M596">
        <v>532583</v>
      </c>
      <c r="N596">
        <v>1</v>
      </c>
    </row>
    <row r="597" spans="13:14">
      <c r="M597">
        <v>61600</v>
      </c>
      <c r="N597">
        <v>1</v>
      </c>
    </row>
    <row r="598" spans="13:14">
      <c r="M598">
        <v>211743</v>
      </c>
      <c r="N598">
        <v>1</v>
      </c>
    </row>
    <row r="599" spans="13:14">
      <c r="M599">
        <v>511076</v>
      </c>
      <c r="N599">
        <v>1</v>
      </c>
    </row>
    <row r="600" spans="13:14">
      <c r="M600">
        <v>370031</v>
      </c>
      <c r="N600">
        <v>1</v>
      </c>
    </row>
    <row r="601" spans="13:14">
      <c r="M601">
        <v>12296241</v>
      </c>
      <c r="N601">
        <v>1</v>
      </c>
    </row>
    <row r="602" spans="13:14">
      <c r="M602">
        <v>12294918</v>
      </c>
      <c r="N602">
        <v>1</v>
      </c>
    </row>
    <row r="603" spans="13:14">
      <c r="M603">
        <v>547188</v>
      </c>
      <c r="N603">
        <v>1</v>
      </c>
    </row>
    <row r="604" spans="13:14">
      <c r="M604">
        <v>236236</v>
      </c>
      <c r="N604">
        <v>1</v>
      </c>
    </row>
    <row r="605" spans="13:14">
      <c r="M605">
        <v>530334</v>
      </c>
      <c r="N605">
        <v>1</v>
      </c>
    </row>
    <row r="606" spans="13:14">
      <c r="M606">
        <v>574633</v>
      </c>
      <c r="N606">
        <v>1</v>
      </c>
    </row>
    <row r="607" spans="13:14">
      <c r="M607">
        <v>231806</v>
      </c>
      <c r="N607">
        <v>1</v>
      </c>
    </row>
    <row r="608" spans="13:14">
      <c r="M608">
        <v>2872</v>
      </c>
      <c r="N608">
        <v>1</v>
      </c>
    </row>
    <row r="609" spans="13:14">
      <c r="M609">
        <v>250263</v>
      </c>
      <c r="N609">
        <v>1</v>
      </c>
    </row>
    <row r="610" spans="13:14">
      <c r="M610">
        <v>557984</v>
      </c>
      <c r="N610">
        <v>1</v>
      </c>
    </row>
    <row r="611" spans="13:14">
      <c r="M611">
        <v>523859</v>
      </c>
      <c r="N611">
        <v>1</v>
      </c>
    </row>
    <row r="612" spans="13:14">
      <c r="M612">
        <v>518674</v>
      </c>
      <c r="N612">
        <v>1</v>
      </c>
    </row>
    <row r="613" spans="13:14">
      <c r="M613">
        <v>548910</v>
      </c>
      <c r="N613">
        <v>1</v>
      </c>
    </row>
    <row r="614" spans="13:14">
      <c r="M614">
        <v>486638</v>
      </c>
      <c r="N614">
        <v>1</v>
      </c>
    </row>
    <row r="615" spans="13:14">
      <c r="M615">
        <v>12296194</v>
      </c>
      <c r="N615">
        <v>1</v>
      </c>
    </row>
    <row r="616" spans="13:14">
      <c r="M616">
        <v>576113</v>
      </c>
      <c r="N616">
        <v>1</v>
      </c>
    </row>
    <row r="617" spans="13:14">
      <c r="M617">
        <v>3369</v>
      </c>
      <c r="N617">
        <v>1</v>
      </c>
    </row>
    <row r="618" spans="13:14">
      <c r="M618">
        <v>248829</v>
      </c>
      <c r="N618">
        <v>1</v>
      </c>
    </row>
    <row r="619" spans="13:14">
      <c r="M619">
        <v>211692</v>
      </c>
      <c r="N619">
        <v>1</v>
      </c>
    </row>
    <row r="620" spans="13:14">
      <c r="M620">
        <v>523194</v>
      </c>
      <c r="N620">
        <v>1</v>
      </c>
    </row>
    <row r="621" spans="13:14">
      <c r="M621">
        <v>458924</v>
      </c>
      <c r="N621">
        <v>1</v>
      </c>
    </row>
    <row r="622" spans="13:14">
      <c r="M622">
        <v>265773</v>
      </c>
      <c r="N622">
        <v>1</v>
      </c>
    </row>
    <row r="623" spans="13:14">
      <c r="M623">
        <v>12319246</v>
      </c>
      <c r="N623">
        <v>1</v>
      </c>
    </row>
    <row r="624" spans="13:14">
      <c r="M624">
        <v>404926</v>
      </c>
      <c r="N624">
        <v>1</v>
      </c>
    </row>
    <row r="625" spans="13:14">
      <c r="M625">
        <v>61904</v>
      </c>
      <c r="N625">
        <v>1</v>
      </c>
    </row>
    <row r="626" spans="13:14">
      <c r="M626">
        <v>61892</v>
      </c>
      <c r="N626">
        <v>1</v>
      </c>
    </row>
    <row r="627" spans="13:14">
      <c r="M627">
        <v>12295717</v>
      </c>
      <c r="N627">
        <v>1</v>
      </c>
    </row>
    <row r="628" spans="13:14">
      <c r="M628">
        <v>571637</v>
      </c>
      <c r="N628">
        <v>1</v>
      </c>
    </row>
    <row r="629" spans="13:14">
      <c r="M629">
        <v>547922</v>
      </c>
      <c r="N629">
        <v>1</v>
      </c>
    </row>
    <row r="630" spans="13:14">
      <c r="M630">
        <v>12322841</v>
      </c>
      <c r="N630">
        <v>1</v>
      </c>
    </row>
    <row r="631" spans="13:14">
      <c r="M631">
        <v>12300486</v>
      </c>
      <c r="N631">
        <v>1</v>
      </c>
    </row>
    <row r="632" spans="13:14">
      <c r="M632">
        <v>440364</v>
      </c>
      <c r="N632">
        <v>1</v>
      </c>
    </row>
    <row r="633" spans="13:14">
      <c r="M633">
        <v>282957</v>
      </c>
      <c r="N633">
        <v>1</v>
      </c>
    </row>
    <row r="634" spans="13:14">
      <c r="M634">
        <v>12300225</v>
      </c>
      <c r="N634">
        <v>1</v>
      </c>
    </row>
    <row r="635" spans="13:14">
      <c r="M635">
        <v>12312221</v>
      </c>
      <c r="N635">
        <v>1</v>
      </c>
    </row>
    <row r="636" spans="13:14">
      <c r="M636">
        <v>12322237</v>
      </c>
      <c r="N636">
        <v>1</v>
      </c>
    </row>
    <row r="637" spans="13:14">
      <c r="M637">
        <v>61664</v>
      </c>
      <c r="N637">
        <v>1</v>
      </c>
    </row>
    <row r="638" spans="13:14">
      <c r="M638">
        <v>62229</v>
      </c>
      <c r="N638">
        <v>1</v>
      </c>
    </row>
    <row r="639" spans="13:14">
      <c r="M639" t="s">
        <v>200</v>
      </c>
      <c r="N639">
        <v>1</v>
      </c>
    </row>
    <row r="640" spans="13:14">
      <c r="M640">
        <v>62246</v>
      </c>
      <c r="N640">
        <v>1</v>
      </c>
    </row>
    <row r="641" spans="13:14">
      <c r="M641">
        <v>404283</v>
      </c>
      <c r="N641">
        <v>1</v>
      </c>
    </row>
    <row r="642" spans="13:14">
      <c r="M642">
        <v>440835</v>
      </c>
      <c r="N642">
        <v>1</v>
      </c>
    </row>
    <row r="643" spans="13:14">
      <c r="M643">
        <v>512770</v>
      </c>
      <c r="N643">
        <v>1</v>
      </c>
    </row>
    <row r="644" spans="13:14">
      <c r="M644">
        <v>357182</v>
      </c>
      <c r="N644">
        <v>1</v>
      </c>
    </row>
    <row r="645" spans="13:14">
      <c r="M645">
        <v>211532</v>
      </c>
      <c r="N645">
        <v>1</v>
      </c>
    </row>
    <row r="646" spans="13:14">
      <c r="M646">
        <v>12306416</v>
      </c>
      <c r="N646">
        <v>1</v>
      </c>
    </row>
    <row r="647" spans="13:14">
      <c r="M647">
        <v>524025</v>
      </c>
      <c r="N647">
        <v>1</v>
      </c>
    </row>
    <row r="648" spans="13:14">
      <c r="M648">
        <v>2677</v>
      </c>
      <c r="N648">
        <v>1</v>
      </c>
    </row>
    <row r="649" spans="13:14">
      <c r="M649">
        <v>12954</v>
      </c>
      <c r="N649">
        <v>1</v>
      </c>
    </row>
    <row r="650" spans="13:14">
      <c r="M650">
        <v>228736</v>
      </c>
      <c r="N650">
        <v>1</v>
      </c>
    </row>
    <row r="651" spans="13:14">
      <c r="M651">
        <v>568255</v>
      </c>
      <c r="N651">
        <v>1</v>
      </c>
    </row>
    <row r="652" spans="13:14">
      <c r="M652">
        <v>199207</v>
      </c>
      <c r="N652">
        <v>1</v>
      </c>
    </row>
    <row r="653" spans="13:14">
      <c r="M653">
        <v>63887</v>
      </c>
      <c r="N653">
        <v>1</v>
      </c>
    </row>
    <row r="654" spans="13:14">
      <c r="M654">
        <v>352167</v>
      </c>
      <c r="N654">
        <v>1</v>
      </c>
    </row>
    <row r="655" spans="13:14">
      <c r="M655">
        <v>490411</v>
      </c>
      <c r="N655">
        <v>1</v>
      </c>
    </row>
    <row r="656" spans="13:14">
      <c r="M656">
        <v>12325673</v>
      </c>
      <c r="N656">
        <v>1</v>
      </c>
    </row>
    <row r="657" spans="13:14">
      <c r="M657">
        <v>254042</v>
      </c>
      <c r="N657">
        <v>1</v>
      </c>
    </row>
    <row r="658" spans="13:14">
      <c r="M658">
        <v>559146</v>
      </c>
      <c r="N658">
        <v>1</v>
      </c>
    </row>
    <row r="659" spans="13:14">
      <c r="M659">
        <v>224061</v>
      </c>
      <c r="N659">
        <v>1</v>
      </c>
    </row>
    <row r="660" spans="13:14">
      <c r="M660">
        <v>509739</v>
      </c>
      <c r="N660">
        <v>1</v>
      </c>
    </row>
    <row r="661" spans="13:14">
      <c r="M661" t="s">
        <v>201</v>
      </c>
      <c r="N661">
        <v>1</v>
      </c>
    </row>
    <row r="662" spans="13:14">
      <c r="M662">
        <v>253772</v>
      </c>
      <c r="N662">
        <v>1</v>
      </c>
    </row>
    <row r="663" spans="13:14">
      <c r="M663">
        <v>1596</v>
      </c>
      <c r="N663">
        <v>1</v>
      </c>
    </row>
    <row r="664" spans="13:14">
      <c r="M664">
        <v>327626</v>
      </c>
      <c r="N664">
        <v>1</v>
      </c>
    </row>
    <row r="665" spans="13:14">
      <c r="M665">
        <v>62462</v>
      </c>
      <c r="N665">
        <v>1</v>
      </c>
    </row>
    <row r="666" spans="13:14">
      <c r="M666">
        <v>339315</v>
      </c>
      <c r="N666">
        <v>1</v>
      </c>
    </row>
    <row r="667" spans="13:14">
      <c r="M667">
        <v>12296271</v>
      </c>
      <c r="N667">
        <v>1</v>
      </c>
    </row>
    <row r="668" spans="13:14">
      <c r="M668" t="s">
        <v>202</v>
      </c>
      <c r="N668">
        <v>1</v>
      </c>
    </row>
    <row r="669" spans="13:14">
      <c r="M669">
        <v>199082</v>
      </c>
      <c r="N669">
        <v>1</v>
      </c>
    </row>
    <row r="670" spans="13:14">
      <c r="M670">
        <v>248865</v>
      </c>
      <c r="N670">
        <v>1</v>
      </c>
    </row>
    <row r="671" spans="13:14">
      <c r="M671">
        <v>12328412</v>
      </c>
      <c r="N671">
        <v>1</v>
      </c>
    </row>
    <row r="672" spans="13:14">
      <c r="M672">
        <v>243377</v>
      </c>
      <c r="N672">
        <v>1</v>
      </c>
    </row>
    <row r="673" spans="13:14">
      <c r="M673">
        <v>458917</v>
      </c>
      <c r="N673">
        <v>1</v>
      </c>
    </row>
    <row r="674" spans="13:14">
      <c r="M674">
        <v>478964</v>
      </c>
      <c r="N674">
        <v>1</v>
      </c>
    </row>
    <row r="675" spans="13:14">
      <c r="M675">
        <v>527659</v>
      </c>
      <c r="N675">
        <v>1</v>
      </c>
    </row>
    <row r="676" spans="13:14">
      <c r="M676">
        <v>199108</v>
      </c>
      <c r="N676">
        <v>1</v>
      </c>
    </row>
    <row r="677" spans="13:14">
      <c r="M677">
        <v>67319</v>
      </c>
      <c r="N677">
        <v>1</v>
      </c>
    </row>
    <row r="678" spans="13:14">
      <c r="M678">
        <v>525728</v>
      </c>
      <c r="N678">
        <v>1</v>
      </c>
    </row>
    <row r="679" spans="13:14">
      <c r="M679">
        <v>328760</v>
      </c>
      <c r="N679">
        <v>1</v>
      </c>
    </row>
    <row r="680" spans="13:14">
      <c r="M680">
        <v>532244</v>
      </c>
      <c r="N680">
        <v>1</v>
      </c>
    </row>
    <row r="681" spans="13:14">
      <c r="M681">
        <v>383463</v>
      </c>
      <c r="N681">
        <v>1</v>
      </c>
    </row>
    <row r="682" spans="13:14">
      <c r="M682">
        <v>12321917</v>
      </c>
      <c r="N682">
        <v>1</v>
      </c>
    </row>
    <row r="683" spans="13:14">
      <c r="M683">
        <v>272399</v>
      </c>
      <c r="N683">
        <v>1</v>
      </c>
    </row>
    <row r="684" spans="13:14">
      <c r="M684">
        <v>525590</v>
      </c>
      <c r="N684">
        <v>1</v>
      </c>
    </row>
    <row r="685" spans="13:14">
      <c r="M685">
        <v>530058</v>
      </c>
      <c r="N685">
        <v>1</v>
      </c>
    </row>
    <row r="686" spans="13:14">
      <c r="M686">
        <v>12322496</v>
      </c>
      <c r="N686">
        <v>1</v>
      </c>
    </row>
    <row r="687" spans="13:14">
      <c r="M687">
        <v>346185</v>
      </c>
      <c r="N687">
        <v>1</v>
      </c>
    </row>
    <row r="688" spans="13:14">
      <c r="M688">
        <v>497599</v>
      </c>
      <c r="N688">
        <v>1</v>
      </c>
    </row>
    <row r="689" spans="13:14">
      <c r="M689">
        <v>286468</v>
      </c>
      <c r="N689">
        <v>1</v>
      </c>
    </row>
    <row r="690" spans="13:14">
      <c r="M690">
        <v>407121</v>
      </c>
      <c r="N690">
        <v>1</v>
      </c>
    </row>
    <row r="691" spans="13:14">
      <c r="M691">
        <v>482760</v>
      </c>
      <c r="N691">
        <v>1</v>
      </c>
    </row>
    <row r="692" spans="13:14">
      <c r="M692">
        <v>560095</v>
      </c>
      <c r="N692">
        <v>1</v>
      </c>
    </row>
    <row r="693" spans="13:14">
      <c r="M693">
        <v>12324316</v>
      </c>
      <c r="N693">
        <v>1</v>
      </c>
    </row>
    <row r="694" spans="13:14">
      <c r="M694">
        <v>274080</v>
      </c>
      <c r="N694">
        <v>1</v>
      </c>
    </row>
    <row r="695" spans="13:14">
      <c r="M695">
        <v>62152</v>
      </c>
      <c r="N695">
        <v>1</v>
      </c>
    </row>
    <row r="696" spans="13:14">
      <c r="M696">
        <v>229775</v>
      </c>
      <c r="N696">
        <v>1</v>
      </c>
    </row>
    <row r="697" spans="13:14">
      <c r="M697">
        <v>516674</v>
      </c>
      <c r="N697">
        <v>1</v>
      </c>
    </row>
    <row r="698" spans="13:14">
      <c r="M698">
        <v>12321213</v>
      </c>
      <c r="N698">
        <v>1</v>
      </c>
    </row>
    <row r="699" spans="13:14">
      <c r="M699">
        <v>12296215</v>
      </c>
      <c r="N699">
        <v>1</v>
      </c>
    </row>
    <row r="700" spans="13:14">
      <c r="M700">
        <v>345127</v>
      </c>
      <c r="N700">
        <v>1</v>
      </c>
    </row>
    <row r="701" spans="13:14">
      <c r="M701">
        <v>12323486</v>
      </c>
      <c r="N701">
        <v>1</v>
      </c>
    </row>
    <row r="702" spans="13:14">
      <c r="M702">
        <v>61487</v>
      </c>
      <c r="N702">
        <v>1</v>
      </c>
    </row>
    <row r="703" spans="13:14">
      <c r="M703">
        <v>282322</v>
      </c>
      <c r="N703">
        <v>1</v>
      </c>
    </row>
    <row r="704" spans="13:14">
      <c r="M704">
        <v>453810</v>
      </c>
      <c r="N704">
        <v>1</v>
      </c>
    </row>
    <row r="705" spans="13:14">
      <c r="M705">
        <v>478963</v>
      </c>
      <c r="N705">
        <v>1</v>
      </c>
    </row>
    <row r="706" spans="13:14">
      <c r="M706">
        <v>61721</v>
      </c>
      <c r="N706">
        <v>1</v>
      </c>
    </row>
    <row r="707" spans="13:14">
      <c r="M707">
        <v>62083</v>
      </c>
      <c r="N707">
        <v>1</v>
      </c>
    </row>
    <row r="708" spans="13:14">
      <c r="M708">
        <v>344776</v>
      </c>
      <c r="N708">
        <v>1</v>
      </c>
    </row>
    <row r="709" spans="13:14">
      <c r="M709">
        <v>12303100</v>
      </c>
      <c r="N709">
        <v>1</v>
      </c>
    </row>
    <row r="710" spans="13:14">
      <c r="M710">
        <v>211674</v>
      </c>
      <c r="N710">
        <v>1</v>
      </c>
    </row>
    <row r="711" spans="13:14">
      <c r="M711">
        <v>458986</v>
      </c>
      <c r="N711">
        <v>1</v>
      </c>
    </row>
    <row r="712" spans="13:14">
      <c r="M712">
        <v>523503</v>
      </c>
      <c r="N712">
        <v>1</v>
      </c>
    </row>
    <row r="713" spans="13:14">
      <c r="M713" t="s">
        <v>203</v>
      </c>
      <c r="N713">
        <v>1</v>
      </c>
    </row>
    <row r="714" spans="13:14">
      <c r="M714">
        <v>240721</v>
      </c>
      <c r="N714">
        <v>1</v>
      </c>
    </row>
    <row r="715" spans="13:14">
      <c r="M715">
        <v>572944</v>
      </c>
      <c r="N715">
        <v>1</v>
      </c>
    </row>
    <row r="716" spans="13:14">
      <c r="M716">
        <v>283130</v>
      </c>
      <c r="N716">
        <v>1</v>
      </c>
    </row>
    <row r="717" spans="13:14">
      <c r="M717">
        <v>264732</v>
      </c>
      <c r="N717">
        <v>1</v>
      </c>
    </row>
    <row r="718" spans="13:14">
      <c r="M718">
        <v>325994</v>
      </c>
      <c r="N718">
        <v>1</v>
      </c>
    </row>
    <row r="719" spans="13:14">
      <c r="M719">
        <v>569708</v>
      </c>
      <c r="N719">
        <v>1</v>
      </c>
    </row>
    <row r="720" spans="13:14">
      <c r="M720" t="s">
        <v>204</v>
      </c>
      <c r="N720">
        <v>1</v>
      </c>
    </row>
    <row r="721" spans="13:14">
      <c r="M721">
        <v>527179</v>
      </c>
      <c r="N721">
        <v>1</v>
      </c>
    </row>
    <row r="722" spans="13:14">
      <c r="M722">
        <v>523919</v>
      </c>
      <c r="N722">
        <v>1</v>
      </c>
    </row>
    <row r="723" spans="13:14">
      <c r="M723">
        <v>383011</v>
      </c>
      <c r="N723">
        <v>1</v>
      </c>
    </row>
    <row r="724" spans="13:14">
      <c r="M724">
        <v>551710</v>
      </c>
      <c r="N724">
        <v>1</v>
      </c>
    </row>
    <row r="725" spans="13:14">
      <c r="M725">
        <v>529090</v>
      </c>
      <c r="N725">
        <v>1</v>
      </c>
    </row>
    <row r="726" spans="13:14">
      <c r="M726">
        <v>572380</v>
      </c>
      <c r="N726">
        <v>1</v>
      </c>
    </row>
    <row r="727" spans="13:14">
      <c r="M727">
        <v>264668</v>
      </c>
      <c r="N727">
        <v>1</v>
      </c>
    </row>
    <row r="728" spans="13:14">
      <c r="M728">
        <v>458950</v>
      </c>
      <c r="N728">
        <v>1</v>
      </c>
    </row>
    <row r="729" spans="13:14">
      <c r="M729">
        <v>127148</v>
      </c>
      <c r="N729">
        <v>1</v>
      </c>
    </row>
    <row r="730" spans="13:14">
      <c r="M730">
        <v>12303881</v>
      </c>
      <c r="N730">
        <v>1</v>
      </c>
    </row>
    <row r="731" spans="13:14">
      <c r="M731">
        <v>370040</v>
      </c>
      <c r="N731">
        <v>1</v>
      </c>
    </row>
    <row r="732" spans="13:14">
      <c r="M732">
        <v>12296824</v>
      </c>
      <c r="N732">
        <v>1</v>
      </c>
    </row>
    <row r="733" spans="13:14">
      <c r="M733">
        <v>336564</v>
      </c>
      <c r="N733">
        <v>1</v>
      </c>
    </row>
    <row r="734" spans="13:14">
      <c r="M734">
        <v>516126</v>
      </c>
      <c r="N734">
        <v>1</v>
      </c>
    </row>
    <row r="735" spans="13:14">
      <c r="M735">
        <v>490222</v>
      </c>
      <c r="N735">
        <v>1</v>
      </c>
    </row>
    <row r="736" spans="13:14">
      <c r="M736">
        <v>12300880</v>
      </c>
      <c r="N736">
        <v>1</v>
      </c>
    </row>
    <row r="737" spans="13:14">
      <c r="M737">
        <v>62419</v>
      </c>
      <c r="N737">
        <v>1</v>
      </c>
    </row>
    <row r="738" spans="13:14">
      <c r="M738">
        <v>555323</v>
      </c>
      <c r="N738">
        <v>1</v>
      </c>
    </row>
    <row r="739" spans="13:14">
      <c r="M739">
        <v>199253</v>
      </c>
      <c r="N739">
        <v>1</v>
      </c>
    </row>
    <row r="740" spans="13:14">
      <c r="M740">
        <v>63878</v>
      </c>
      <c r="N740">
        <v>1</v>
      </c>
    </row>
    <row r="741" spans="13:14">
      <c r="M741">
        <v>12321883</v>
      </c>
      <c r="N741">
        <v>1</v>
      </c>
    </row>
    <row r="742" spans="13:14">
      <c r="M742">
        <v>67321</v>
      </c>
      <c r="N742">
        <v>1</v>
      </c>
    </row>
    <row r="743" spans="13:14">
      <c r="M743">
        <v>404051</v>
      </c>
      <c r="N743">
        <v>1</v>
      </c>
    </row>
    <row r="744" spans="13:14">
      <c r="M744">
        <v>546598</v>
      </c>
      <c r="N744">
        <v>1</v>
      </c>
    </row>
    <row r="745" spans="13:14">
      <c r="M745">
        <v>527832</v>
      </c>
      <c r="N745">
        <v>1</v>
      </c>
    </row>
    <row r="746" spans="13:14">
      <c r="M746">
        <v>556459</v>
      </c>
      <c r="N746">
        <v>1</v>
      </c>
    </row>
    <row r="747" spans="13:14">
      <c r="M747">
        <v>1777</v>
      </c>
      <c r="N747">
        <v>1</v>
      </c>
    </row>
    <row r="748" spans="13:14">
      <c r="M748">
        <v>12317312</v>
      </c>
      <c r="N748">
        <v>1</v>
      </c>
    </row>
    <row r="749" spans="13:14">
      <c r="M749">
        <v>13057</v>
      </c>
      <c r="N749">
        <v>1</v>
      </c>
    </row>
    <row r="750" spans="13:14">
      <c r="M750">
        <v>261870</v>
      </c>
      <c r="N750">
        <v>1</v>
      </c>
    </row>
    <row r="751" spans="13:14">
      <c r="M751" t="s">
        <v>205</v>
      </c>
      <c r="N751">
        <v>1</v>
      </c>
    </row>
    <row r="752" spans="13:14">
      <c r="M752">
        <v>115396</v>
      </c>
      <c r="N752">
        <v>1</v>
      </c>
    </row>
    <row r="753" spans="13:14">
      <c r="M753">
        <v>519286</v>
      </c>
      <c r="N753">
        <v>1</v>
      </c>
    </row>
    <row r="754" spans="13:14">
      <c r="M754">
        <v>260342</v>
      </c>
      <c r="N754">
        <v>1</v>
      </c>
    </row>
    <row r="755" spans="13:14">
      <c r="M755">
        <v>61720</v>
      </c>
      <c r="N755">
        <v>1</v>
      </c>
    </row>
    <row r="756" spans="13:14">
      <c r="M756">
        <v>502217</v>
      </c>
      <c r="N756">
        <v>1</v>
      </c>
    </row>
    <row r="757" spans="13:14">
      <c r="M757">
        <v>13450</v>
      </c>
      <c r="N757">
        <v>1</v>
      </c>
    </row>
    <row r="758" spans="13:14">
      <c r="M758">
        <v>12318885</v>
      </c>
      <c r="N758">
        <v>1</v>
      </c>
    </row>
    <row r="759" spans="13:14">
      <c r="M759">
        <v>517908</v>
      </c>
      <c r="N759">
        <v>1</v>
      </c>
    </row>
    <row r="760" spans="13:14">
      <c r="M760">
        <v>4761</v>
      </c>
      <c r="N760">
        <v>1</v>
      </c>
    </row>
    <row r="761" spans="13:14">
      <c r="M761">
        <v>222335</v>
      </c>
      <c r="N761">
        <v>1</v>
      </c>
    </row>
    <row r="762" spans="13:14">
      <c r="M762">
        <v>126970</v>
      </c>
      <c r="N762">
        <v>1</v>
      </c>
    </row>
    <row r="763" spans="13:14">
      <c r="M763">
        <v>12304744</v>
      </c>
      <c r="N763">
        <v>1</v>
      </c>
    </row>
    <row r="764" spans="13:14">
      <c r="M764">
        <v>542066</v>
      </c>
      <c r="N764">
        <v>1</v>
      </c>
    </row>
    <row r="765" spans="13:14">
      <c r="M765">
        <v>499401</v>
      </c>
      <c r="N765">
        <v>1</v>
      </c>
    </row>
    <row r="766" spans="13:14">
      <c r="M766">
        <v>12326605</v>
      </c>
      <c r="N766">
        <v>1</v>
      </c>
    </row>
    <row r="767" spans="13:14">
      <c r="M767">
        <v>264010</v>
      </c>
      <c r="N767">
        <v>1</v>
      </c>
    </row>
    <row r="768" spans="13:14">
      <c r="M768">
        <v>557861</v>
      </c>
      <c r="N768">
        <v>1</v>
      </c>
    </row>
    <row r="769" spans="13:14">
      <c r="M769">
        <v>12296045</v>
      </c>
      <c r="N769">
        <v>1</v>
      </c>
    </row>
    <row r="770" spans="13:14">
      <c r="M770">
        <v>275660</v>
      </c>
      <c r="N770">
        <v>1</v>
      </c>
    </row>
    <row r="771" spans="13:14">
      <c r="M771">
        <v>12329048</v>
      </c>
      <c r="N771">
        <v>1</v>
      </c>
    </row>
    <row r="772" spans="13:14">
      <c r="M772">
        <v>249761</v>
      </c>
      <c r="N772">
        <v>1</v>
      </c>
    </row>
    <row r="773" spans="13:14">
      <c r="M773">
        <v>288206</v>
      </c>
      <c r="N773">
        <v>1</v>
      </c>
    </row>
    <row r="774" spans="13:14">
      <c r="M774">
        <v>396176</v>
      </c>
      <c r="N774">
        <v>1</v>
      </c>
    </row>
    <row r="775" spans="13:14">
      <c r="M775">
        <v>12327316</v>
      </c>
      <c r="N775">
        <v>1</v>
      </c>
    </row>
    <row r="776" spans="13:14">
      <c r="M776">
        <v>542767</v>
      </c>
      <c r="N776">
        <v>1</v>
      </c>
    </row>
    <row r="777" spans="13:14">
      <c r="M777">
        <v>529245</v>
      </c>
      <c r="N777">
        <v>1</v>
      </c>
    </row>
    <row r="778" spans="13:14">
      <c r="M778">
        <v>12320250</v>
      </c>
      <c r="N778">
        <v>1</v>
      </c>
    </row>
    <row r="779" spans="13:14">
      <c r="M779">
        <v>466676</v>
      </c>
      <c r="N779">
        <v>1</v>
      </c>
    </row>
    <row r="780" spans="13:14">
      <c r="M780">
        <v>562943</v>
      </c>
      <c r="N780">
        <v>1</v>
      </c>
    </row>
    <row r="781" spans="13:14">
      <c r="M781">
        <v>314840</v>
      </c>
      <c r="N781">
        <v>1</v>
      </c>
    </row>
    <row r="782" spans="13:14">
      <c r="M782">
        <v>2722</v>
      </c>
      <c r="N782">
        <v>1</v>
      </c>
    </row>
    <row r="783" spans="13:14">
      <c r="M783">
        <v>107295</v>
      </c>
      <c r="N783">
        <v>1</v>
      </c>
    </row>
    <row r="784" spans="13:14">
      <c r="M784">
        <v>261429</v>
      </c>
      <c r="N784">
        <v>1</v>
      </c>
    </row>
    <row r="785" spans="13:14">
      <c r="M785">
        <v>61653</v>
      </c>
      <c r="N785">
        <v>1</v>
      </c>
    </row>
    <row r="786" spans="13:14">
      <c r="M786">
        <v>7483</v>
      </c>
      <c r="N786">
        <v>1</v>
      </c>
    </row>
    <row r="787" spans="13:14">
      <c r="M787">
        <v>126968</v>
      </c>
      <c r="N787">
        <v>1</v>
      </c>
    </row>
    <row r="788" spans="13:14">
      <c r="M788">
        <v>238651</v>
      </c>
      <c r="N788">
        <v>1</v>
      </c>
    </row>
    <row r="789" spans="13:14">
      <c r="M789">
        <v>61579</v>
      </c>
      <c r="N789">
        <v>1</v>
      </c>
    </row>
    <row r="790" spans="13:14">
      <c r="M790">
        <v>530400</v>
      </c>
      <c r="N790">
        <v>1</v>
      </c>
    </row>
    <row r="791" spans="13:14">
      <c r="M791">
        <v>341652</v>
      </c>
      <c r="N791">
        <v>1</v>
      </c>
    </row>
    <row r="792" spans="13:14">
      <c r="M792">
        <v>12322263</v>
      </c>
      <c r="N792">
        <v>1</v>
      </c>
    </row>
    <row r="793" spans="13:14">
      <c r="M793">
        <v>12325929</v>
      </c>
      <c r="N793">
        <v>1</v>
      </c>
    </row>
    <row r="794" spans="13:14">
      <c r="M794">
        <v>281776</v>
      </c>
      <c r="N794">
        <v>1</v>
      </c>
    </row>
    <row r="795" spans="13:14">
      <c r="M795">
        <v>317775</v>
      </c>
      <c r="N795">
        <v>1</v>
      </c>
    </row>
    <row r="796" spans="13:14">
      <c r="M796">
        <v>12304278</v>
      </c>
      <c r="N796">
        <v>1</v>
      </c>
    </row>
    <row r="797" spans="13:14">
      <c r="M797">
        <v>12320664</v>
      </c>
      <c r="N797">
        <v>1</v>
      </c>
    </row>
    <row r="798" spans="13:14">
      <c r="M798">
        <v>12297387</v>
      </c>
      <c r="N798">
        <v>1</v>
      </c>
    </row>
    <row r="799" spans="13:14">
      <c r="M799">
        <v>511386</v>
      </c>
      <c r="N799">
        <v>1</v>
      </c>
    </row>
    <row r="800" spans="13:14">
      <c r="M800">
        <v>3109</v>
      </c>
      <c r="N800">
        <v>1</v>
      </c>
    </row>
    <row r="801" spans="13:14">
      <c r="M801">
        <v>390771</v>
      </c>
      <c r="N801">
        <v>1</v>
      </c>
    </row>
    <row r="802" spans="13:14">
      <c r="M802">
        <v>282063</v>
      </c>
      <c r="N802">
        <v>1</v>
      </c>
    </row>
    <row r="803" spans="13:14">
      <c r="M803">
        <v>115501</v>
      </c>
      <c r="N803">
        <v>1</v>
      </c>
    </row>
    <row r="804" spans="13:14">
      <c r="M804">
        <v>9171</v>
      </c>
      <c r="N804">
        <v>1</v>
      </c>
    </row>
    <row r="805" spans="13:14">
      <c r="M805">
        <v>518762</v>
      </c>
      <c r="N805">
        <v>1</v>
      </c>
    </row>
    <row r="806" spans="13:14">
      <c r="M806">
        <v>368809</v>
      </c>
      <c r="N806">
        <v>1</v>
      </c>
    </row>
    <row r="807" spans="13:14">
      <c r="M807">
        <v>517552</v>
      </c>
      <c r="N807">
        <v>1</v>
      </c>
    </row>
    <row r="808" spans="13:14">
      <c r="M808">
        <v>481887</v>
      </c>
      <c r="N808">
        <v>1</v>
      </c>
    </row>
    <row r="809" spans="13:14">
      <c r="M809">
        <v>532833</v>
      </c>
      <c r="N809">
        <v>1</v>
      </c>
    </row>
    <row r="810" spans="13:14">
      <c r="M810">
        <v>500500</v>
      </c>
      <c r="N810">
        <v>1</v>
      </c>
    </row>
    <row r="811" spans="13:14">
      <c r="M811">
        <v>455508</v>
      </c>
      <c r="N811">
        <v>1</v>
      </c>
    </row>
    <row r="812" spans="13:14">
      <c r="M812">
        <v>12325944</v>
      </c>
      <c r="N812">
        <v>1</v>
      </c>
    </row>
    <row r="813" spans="13:14">
      <c r="M813">
        <v>580677</v>
      </c>
      <c r="N813">
        <v>1</v>
      </c>
    </row>
    <row r="814" spans="13:14">
      <c r="M814">
        <v>262895</v>
      </c>
      <c r="N814">
        <v>1</v>
      </c>
    </row>
    <row r="815" spans="13:14">
      <c r="M815">
        <v>458928</v>
      </c>
      <c r="N815">
        <v>1</v>
      </c>
    </row>
    <row r="816" spans="13:14">
      <c r="M816">
        <v>529785</v>
      </c>
      <c r="N816">
        <v>1</v>
      </c>
    </row>
    <row r="817" spans="13:14">
      <c r="M817">
        <v>547285</v>
      </c>
      <c r="N817">
        <v>1</v>
      </c>
    </row>
    <row r="818" spans="13:14">
      <c r="M818">
        <v>287843</v>
      </c>
      <c r="N818">
        <v>1</v>
      </c>
    </row>
    <row r="819" spans="13:14">
      <c r="M819">
        <v>531522</v>
      </c>
      <c r="N819">
        <v>1</v>
      </c>
    </row>
    <row r="820" spans="13:14">
      <c r="M820">
        <v>538067</v>
      </c>
      <c r="N820">
        <v>1</v>
      </c>
    </row>
    <row r="821" spans="13:14">
      <c r="M821">
        <v>574054</v>
      </c>
      <c r="N821">
        <v>1</v>
      </c>
    </row>
    <row r="822" spans="13:14">
      <c r="M822">
        <v>9191</v>
      </c>
      <c r="N822">
        <v>1</v>
      </c>
    </row>
    <row r="823" spans="13:14">
      <c r="M823">
        <v>12295887</v>
      </c>
      <c r="N823">
        <v>1</v>
      </c>
    </row>
    <row r="824" spans="13:14">
      <c r="M824">
        <v>12301666</v>
      </c>
      <c r="N824">
        <v>1</v>
      </c>
    </row>
    <row r="825" spans="13:14">
      <c r="M825">
        <v>562457</v>
      </c>
      <c r="N825">
        <v>1</v>
      </c>
    </row>
    <row r="826" spans="13:14">
      <c r="M826">
        <v>12323426</v>
      </c>
      <c r="N826">
        <v>1</v>
      </c>
    </row>
    <row r="827" spans="13:14">
      <c r="M827">
        <v>61851</v>
      </c>
      <c r="N827">
        <v>1</v>
      </c>
    </row>
    <row r="828" spans="13:14">
      <c r="M828">
        <v>545433</v>
      </c>
      <c r="N828">
        <v>1</v>
      </c>
    </row>
    <row r="829" spans="13:14">
      <c r="M829">
        <v>127223</v>
      </c>
      <c r="N829">
        <v>1</v>
      </c>
    </row>
    <row r="830" spans="13:14">
      <c r="M830">
        <v>521902</v>
      </c>
      <c r="N830">
        <v>1</v>
      </c>
    </row>
    <row r="831" spans="13:14">
      <c r="M831">
        <v>12305580</v>
      </c>
      <c r="N831">
        <v>1</v>
      </c>
    </row>
    <row r="832" spans="13:14">
      <c r="M832">
        <v>540125</v>
      </c>
      <c r="N832">
        <v>1</v>
      </c>
    </row>
    <row r="833" spans="13:14">
      <c r="M833">
        <v>63897</v>
      </c>
      <c r="N833">
        <v>1</v>
      </c>
    </row>
    <row r="834" spans="13:14">
      <c r="M834">
        <v>7567</v>
      </c>
      <c r="N834">
        <v>1</v>
      </c>
    </row>
    <row r="835" spans="13:14">
      <c r="M835">
        <v>244995</v>
      </c>
      <c r="N835">
        <v>1</v>
      </c>
    </row>
    <row r="836" spans="13:14">
      <c r="M836">
        <v>238925</v>
      </c>
      <c r="N836">
        <v>1</v>
      </c>
    </row>
    <row r="837" spans="13:14">
      <c r="M837">
        <v>314806</v>
      </c>
      <c r="N837">
        <v>1</v>
      </c>
    </row>
    <row r="838" spans="13:14">
      <c r="M838">
        <v>1222</v>
      </c>
      <c r="N838">
        <v>1</v>
      </c>
    </row>
    <row r="839" spans="13:14">
      <c r="M839">
        <v>12332813</v>
      </c>
      <c r="N839">
        <v>1</v>
      </c>
    </row>
    <row r="840" spans="13:14">
      <c r="M840">
        <v>221676</v>
      </c>
      <c r="N840">
        <v>1</v>
      </c>
    </row>
    <row r="841" spans="13:14">
      <c r="M841">
        <v>211739</v>
      </c>
      <c r="N841">
        <v>1</v>
      </c>
    </row>
    <row r="842" spans="13:14">
      <c r="M842">
        <v>63866</v>
      </c>
      <c r="N842">
        <v>1</v>
      </c>
    </row>
    <row r="843" spans="13:14">
      <c r="M843">
        <v>237416</v>
      </c>
      <c r="N843">
        <v>1</v>
      </c>
    </row>
    <row r="844" spans="13:14">
      <c r="M844">
        <v>265541</v>
      </c>
      <c r="N844">
        <v>1</v>
      </c>
    </row>
    <row r="845" spans="13:14">
      <c r="M845">
        <v>199293</v>
      </c>
      <c r="N845">
        <v>1</v>
      </c>
    </row>
    <row r="846" spans="13:14">
      <c r="M846">
        <v>275621</v>
      </c>
      <c r="N846">
        <v>1</v>
      </c>
    </row>
    <row r="847" spans="13:14">
      <c r="M847">
        <v>404499</v>
      </c>
      <c r="N847">
        <v>1</v>
      </c>
    </row>
    <row r="848" spans="13:14">
      <c r="M848">
        <v>572180</v>
      </c>
      <c r="N848">
        <v>1</v>
      </c>
    </row>
    <row r="849" spans="13:14">
      <c r="M849">
        <v>510915</v>
      </c>
      <c r="N849">
        <v>1</v>
      </c>
    </row>
    <row r="850" spans="13:14">
      <c r="M850">
        <v>399513</v>
      </c>
      <c r="N850">
        <v>1</v>
      </c>
    </row>
    <row r="851" spans="13:14">
      <c r="M851" t="s">
        <v>206</v>
      </c>
      <c r="N851">
        <v>1</v>
      </c>
    </row>
    <row r="852" spans="13:14">
      <c r="M852">
        <v>352910</v>
      </c>
      <c r="N852">
        <v>1</v>
      </c>
    </row>
    <row r="853" spans="13:14">
      <c r="M853">
        <v>12329399</v>
      </c>
      <c r="N853">
        <v>1</v>
      </c>
    </row>
    <row r="854" spans="13:14">
      <c r="M854">
        <v>331841</v>
      </c>
      <c r="N854">
        <v>1</v>
      </c>
    </row>
    <row r="855" spans="13:14">
      <c r="M855">
        <v>126972</v>
      </c>
      <c r="N855">
        <v>1</v>
      </c>
    </row>
    <row r="856" spans="13:14">
      <c r="M856">
        <v>404929</v>
      </c>
      <c r="N856">
        <v>1</v>
      </c>
    </row>
    <row r="857" spans="13:14">
      <c r="M857">
        <v>480116</v>
      </c>
      <c r="N857">
        <v>1</v>
      </c>
    </row>
    <row r="858" spans="13:14">
      <c r="M858">
        <v>2815</v>
      </c>
      <c r="N858">
        <v>1</v>
      </c>
    </row>
    <row r="859" spans="13:14">
      <c r="M859">
        <v>2845</v>
      </c>
      <c r="N859">
        <v>1</v>
      </c>
    </row>
    <row r="860" spans="13:14">
      <c r="M860">
        <v>12327984</v>
      </c>
      <c r="N860">
        <v>1</v>
      </c>
    </row>
    <row r="861" spans="13:14">
      <c r="M861">
        <v>545395</v>
      </c>
      <c r="N861">
        <v>1</v>
      </c>
    </row>
    <row r="862" spans="13:14">
      <c r="M862">
        <v>12304939</v>
      </c>
      <c r="N862">
        <v>1</v>
      </c>
    </row>
    <row r="863" spans="13:14">
      <c r="M863">
        <v>12328568</v>
      </c>
      <c r="N863">
        <v>1</v>
      </c>
    </row>
    <row r="864" spans="13:14">
      <c r="M864">
        <v>12300897</v>
      </c>
      <c r="N864">
        <v>1</v>
      </c>
    </row>
    <row r="865" spans="13:14">
      <c r="M865">
        <v>523918</v>
      </c>
      <c r="N865">
        <v>1</v>
      </c>
    </row>
    <row r="866" spans="13:14">
      <c r="M866">
        <v>544123</v>
      </c>
      <c r="N866">
        <v>1</v>
      </c>
    </row>
    <row r="867" spans="13:14">
      <c r="M867">
        <v>211703</v>
      </c>
      <c r="N867">
        <v>1</v>
      </c>
    </row>
    <row r="868" spans="13:14">
      <c r="M868" t="s">
        <v>207</v>
      </c>
      <c r="N868">
        <v>1</v>
      </c>
    </row>
    <row r="869" spans="13:14">
      <c r="M869">
        <v>526020</v>
      </c>
      <c r="N869">
        <v>1</v>
      </c>
    </row>
    <row r="870" spans="13:14">
      <c r="M870">
        <v>517546</v>
      </c>
      <c r="N870">
        <v>1</v>
      </c>
    </row>
    <row r="871" spans="13:14">
      <c r="M871">
        <v>540113</v>
      </c>
      <c r="N871">
        <v>1</v>
      </c>
    </row>
    <row r="872" spans="13:14">
      <c r="M872">
        <v>369735</v>
      </c>
      <c r="N872">
        <v>1</v>
      </c>
    </row>
    <row r="873" spans="13:14">
      <c r="M873">
        <v>418829</v>
      </c>
      <c r="N873">
        <v>1</v>
      </c>
    </row>
    <row r="874" spans="13:14">
      <c r="M874">
        <v>538191</v>
      </c>
      <c r="N874">
        <v>1</v>
      </c>
    </row>
    <row r="875" spans="13:14">
      <c r="M875">
        <v>12322388</v>
      </c>
      <c r="N875">
        <v>1</v>
      </c>
    </row>
    <row r="876" spans="13:14">
      <c r="M876">
        <v>12323218</v>
      </c>
      <c r="N876">
        <v>1</v>
      </c>
    </row>
    <row r="877" spans="13:14">
      <c r="M877">
        <v>541003</v>
      </c>
      <c r="N877">
        <v>1</v>
      </c>
    </row>
    <row r="878" spans="13:14">
      <c r="M878">
        <v>531889</v>
      </c>
      <c r="N878">
        <v>1</v>
      </c>
    </row>
    <row r="879" spans="13:14">
      <c r="M879">
        <v>312931</v>
      </c>
      <c r="N879">
        <v>1</v>
      </c>
    </row>
    <row r="880" spans="13:14">
      <c r="M880">
        <v>12295805</v>
      </c>
      <c r="N880">
        <v>1</v>
      </c>
    </row>
    <row r="881" spans="13:14">
      <c r="M881">
        <v>12320892</v>
      </c>
      <c r="N881">
        <v>1</v>
      </c>
    </row>
    <row r="882" spans="13:14">
      <c r="M882">
        <v>12304884</v>
      </c>
      <c r="N882">
        <v>1</v>
      </c>
    </row>
    <row r="883" spans="13:14">
      <c r="M883">
        <v>225921</v>
      </c>
      <c r="N883">
        <v>1</v>
      </c>
    </row>
    <row r="884" spans="13:14">
      <c r="M884">
        <v>457463</v>
      </c>
      <c r="N884">
        <v>1</v>
      </c>
    </row>
    <row r="885" spans="13:14">
      <c r="M885">
        <v>293971</v>
      </c>
      <c r="N885">
        <v>1</v>
      </c>
    </row>
    <row r="886" spans="13:14">
      <c r="M886">
        <v>199245</v>
      </c>
      <c r="N886">
        <v>1</v>
      </c>
    </row>
    <row r="887" spans="13:14">
      <c r="M887">
        <v>243536</v>
      </c>
      <c r="N887">
        <v>1</v>
      </c>
    </row>
    <row r="888" spans="13:14">
      <c r="M888">
        <v>211686</v>
      </c>
      <c r="N888">
        <v>1</v>
      </c>
    </row>
    <row r="889" spans="13:14">
      <c r="M889">
        <v>12295992</v>
      </c>
      <c r="N889">
        <v>1</v>
      </c>
    </row>
    <row r="890" spans="13:14">
      <c r="M890">
        <v>124855</v>
      </c>
      <c r="N890">
        <v>1</v>
      </c>
    </row>
    <row r="891" spans="13:14">
      <c r="M891">
        <v>222816</v>
      </c>
      <c r="N891">
        <v>1</v>
      </c>
    </row>
    <row r="892" spans="13:14">
      <c r="M892">
        <v>514162</v>
      </c>
      <c r="N892">
        <v>1</v>
      </c>
    </row>
    <row r="893" spans="13:14">
      <c r="M893">
        <v>579115</v>
      </c>
      <c r="N893">
        <v>1</v>
      </c>
    </row>
    <row r="894" spans="13:14">
      <c r="M894">
        <v>409595</v>
      </c>
      <c r="N894">
        <v>1</v>
      </c>
    </row>
    <row r="895" spans="13:14">
      <c r="M895">
        <v>295027</v>
      </c>
      <c r="N895">
        <v>1</v>
      </c>
    </row>
    <row r="896" spans="13:14">
      <c r="M896" t="s">
        <v>208</v>
      </c>
      <c r="N896">
        <v>1</v>
      </c>
    </row>
    <row r="897" spans="13:14">
      <c r="M897">
        <v>182785</v>
      </c>
      <c r="N897">
        <v>1</v>
      </c>
    </row>
    <row r="898" spans="13:14">
      <c r="M898">
        <v>501263</v>
      </c>
      <c r="N898">
        <v>1</v>
      </c>
    </row>
    <row r="899" spans="13:14">
      <c r="M899">
        <v>11178</v>
      </c>
      <c r="N899">
        <v>1</v>
      </c>
    </row>
    <row r="900" spans="13:14">
      <c r="M900">
        <v>342581</v>
      </c>
      <c r="N900">
        <v>1</v>
      </c>
    </row>
    <row r="901" spans="13:14">
      <c r="M901">
        <v>364974</v>
      </c>
      <c r="N901">
        <v>1</v>
      </c>
    </row>
    <row r="902" spans="13:14">
      <c r="M902">
        <v>538626</v>
      </c>
      <c r="N902">
        <v>1</v>
      </c>
    </row>
    <row r="903" spans="13:14">
      <c r="M903">
        <v>199313</v>
      </c>
      <c r="N903">
        <v>1</v>
      </c>
    </row>
    <row r="904" spans="13:14">
      <c r="M904">
        <v>234565</v>
      </c>
      <c r="N904">
        <v>1</v>
      </c>
    </row>
    <row r="905" spans="13:14">
      <c r="M905">
        <v>263476</v>
      </c>
      <c r="N905">
        <v>1</v>
      </c>
    </row>
    <row r="906" spans="13:14">
      <c r="M906">
        <v>233903</v>
      </c>
      <c r="N906">
        <v>1</v>
      </c>
    </row>
    <row r="907" spans="13:14">
      <c r="M907">
        <v>160207</v>
      </c>
      <c r="N907">
        <v>1</v>
      </c>
    </row>
    <row r="908" spans="13:14">
      <c r="M908">
        <v>12296266</v>
      </c>
      <c r="N908">
        <v>1</v>
      </c>
    </row>
    <row r="909" spans="13:14">
      <c r="M909">
        <v>521465</v>
      </c>
      <c r="N909">
        <v>1</v>
      </c>
    </row>
    <row r="910" spans="13:14">
      <c r="M910">
        <v>12322314</v>
      </c>
      <c r="N910">
        <v>1</v>
      </c>
    </row>
    <row r="911" spans="13:14">
      <c r="M911">
        <v>344532</v>
      </c>
      <c r="N911">
        <v>1</v>
      </c>
    </row>
    <row r="912" spans="13:14">
      <c r="M912">
        <v>229932</v>
      </c>
      <c r="N912">
        <v>1</v>
      </c>
    </row>
    <row r="913" spans="13:14">
      <c r="M913">
        <v>562953</v>
      </c>
      <c r="N913">
        <v>1</v>
      </c>
    </row>
    <row r="914" spans="13:14">
      <c r="M914">
        <v>63912</v>
      </c>
      <c r="N914">
        <v>1</v>
      </c>
    </row>
    <row r="915" spans="13:14">
      <c r="M915">
        <v>547197</v>
      </c>
      <c r="N915">
        <v>1</v>
      </c>
    </row>
    <row r="916" spans="13:14">
      <c r="M916">
        <v>366683</v>
      </c>
      <c r="N916">
        <v>1</v>
      </c>
    </row>
    <row r="917" spans="13:14">
      <c r="M917">
        <v>12303846</v>
      </c>
      <c r="N917">
        <v>1</v>
      </c>
    </row>
    <row r="918" spans="13:14">
      <c r="M918">
        <v>115236</v>
      </c>
      <c r="N918">
        <v>1</v>
      </c>
    </row>
    <row r="919" spans="13:14">
      <c r="M919">
        <v>211624</v>
      </c>
      <c r="N919">
        <v>1</v>
      </c>
    </row>
    <row r="920" spans="13:14">
      <c r="M920" t="s">
        <v>209</v>
      </c>
      <c r="N920">
        <v>1</v>
      </c>
    </row>
    <row r="921" spans="13:14">
      <c r="M921">
        <v>392325</v>
      </c>
      <c r="N921">
        <v>1</v>
      </c>
    </row>
    <row r="922" spans="13:14">
      <c r="M922">
        <v>12330562</v>
      </c>
      <c r="N922">
        <v>1</v>
      </c>
    </row>
    <row r="923" spans="13:14">
      <c r="M923">
        <v>366676</v>
      </c>
      <c r="N923">
        <v>1</v>
      </c>
    </row>
    <row r="924" spans="13:14">
      <c r="M924">
        <v>211614</v>
      </c>
      <c r="N924">
        <v>1</v>
      </c>
    </row>
    <row r="925" spans="13:14">
      <c r="M925">
        <v>12322214</v>
      </c>
      <c r="N925">
        <v>1</v>
      </c>
    </row>
    <row r="926" spans="13:14">
      <c r="M926">
        <v>126963</v>
      </c>
      <c r="N926">
        <v>1</v>
      </c>
    </row>
    <row r="927" spans="13:14">
      <c r="M927">
        <v>366777</v>
      </c>
      <c r="N927">
        <v>1</v>
      </c>
    </row>
    <row r="928" spans="13:14">
      <c r="M928">
        <v>260298</v>
      </c>
      <c r="N928">
        <v>1</v>
      </c>
    </row>
    <row r="929" spans="13:14">
      <c r="M929">
        <v>12326196</v>
      </c>
      <c r="N929">
        <v>1</v>
      </c>
    </row>
    <row r="930" spans="13:14">
      <c r="M930">
        <v>199043</v>
      </c>
      <c r="N930">
        <v>1</v>
      </c>
    </row>
    <row r="931" spans="13:14">
      <c r="M931">
        <v>477032</v>
      </c>
      <c r="N931">
        <v>1</v>
      </c>
    </row>
    <row r="932" spans="13:14">
      <c r="M932" t="s">
        <v>210</v>
      </c>
      <c r="N932">
        <v>1</v>
      </c>
    </row>
    <row r="933" spans="13:14">
      <c r="M933">
        <v>412499</v>
      </c>
      <c r="N933">
        <v>1</v>
      </c>
    </row>
    <row r="934" spans="13:14">
      <c r="M934">
        <v>126916</v>
      </c>
      <c r="N934">
        <v>1</v>
      </c>
    </row>
    <row r="935" spans="13:14">
      <c r="M935">
        <v>246732</v>
      </c>
      <c r="N935">
        <v>1</v>
      </c>
    </row>
    <row r="936" spans="13:14">
      <c r="M936">
        <v>287622</v>
      </c>
      <c r="N936">
        <v>1</v>
      </c>
    </row>
    <row r="937" spans="13:14">
      <c r="M937">
        <v>401238</v>
      </c>
      <c r="N937">
        <v>1</v>
      </c>
    </row>
    <row r="938" spans="13:14">
      <c r="M938">
        <v>510053</v>
      </c>
      <c r="N938">
        <v>1</v>
      </c>
    </row>
    <row r="939" spans="13:14">
      <c r="M939">
        <v>513123</v>
      </c>
      <c r="N939">
        <v>1</v>
      </c>
    </row>
    <row r="940" spans="13:14">
      <c r="M940">
        <v>524858</v>
      </c>
      <c r="N940">
        <v>1</v>
      </c>
    </row>
    <row r="941" spans="13:14">
      <c r="M941">
        <v>544599</v>
      </c>
      <c r="N941">
        <v>1</v>
      </c>
    </row>
    <row r="942" spans="13:14">
      <c r="M942">
        <v>570472</v>
      </c>
      <c r="N942">
        <v>1</v>
      </c>
    </row>
    <row r="943" spans="13:14">
      <c r="M943">
        <v>437019</v>
      </c>
      <c r="N943">
        <v>1</v>
      </c>
    </row>
    <row r="944" spans="13:14">
      <c r="M944">
        <v>548720</v>
      </c>
      <c r="N944">
        <v>1</v>
      </c>
    </row>
    <row r="945" spans="13:14">
      <c r="M945">
        <v>512640</v>
      </c>
      <c r="N945">
        <v>1</v>
      </c>
    </row>
    <row r="946" spans="13:14">
      <c r="M946">
        <v>12296086</v>
      </c>
      <c r="N946">
        <v>1</v>
      </c>
    </row>
    <row r="947" spans="13:14">
      <c r="M947">
        <v>385444</v>
      </c>
      <c r="N947">
        <v>1</v>
      </c>
    </row>
    <row r="948" spans="13:14">
      <c r="M948">
        <v>245224</v>
      </c>
      <c r="N948">
        <v>1</v>
      </c>
    </row>
    <row r="949" spans="13:14">
      <c r="M949">
        <v>475159</v>
      </c>
      <c r="N949">
        <v>1</v>
      </c>
    </row>
    <row r="950" spans="13:14">
      <c r="M950">
        <v>478811</v>
      </c>
      <c r="N950">
        <v>1</v>
      </c>
    </row>
    <row r="951" spans="13:14">
      <c r="M951">
        <v>199037</v>
      </c>
      <c r="N951">
        <v>1</v>
      </c>
    </row>
    <row r="952" spans="13:14">
      <c r="M952">
        <v>3576</v>
      </c>
      <c r="N952">
        <v>1</v>
      </c>
    </row>
    <row r="953" spans="13:14">
      <c r="M953">
        <v>12328320</v>
      </c>
      <c r="N953">
        <v>1</v>
      </c>
    </row>
    <row r="954" spans="13:14">
      <c r="M954">
        <v>61618</v>
      </c>
      <c r="N954">
        <v>1</v>
      </c>
    </row>
    <row r="955" spans="13:14">
      <c r="M955">
        <v>544721</v>
      </c>
      <c r="N955">
        <v>1</v>
      </c>
    </row>
    <row r="956" spans="13:14">
      <c r="M956">
        <v>12297054</v>
      </c>
      <c r="N956">
        <v>1</v>
      </c>
    </row>
    <row r="957" spans="13:14">
      <c r="M957">
        <v>12295724</v>
      </c>
      <c r="N957">
        <v>1</v>
      </c>
    </row>
    <row r="958" spans="13:14">
      <c r="M958">
        <v>61982</v>
      </c>
      <c r="N958">
        <v>1</v>
      </c>
    </row>
    <row r="959" spans="13:14">
      <c r="M959">
        <v>62378</v>
      </c>
      <c r="N959">
        <v>1</v>
      </c>
    </row>
    <row r="960" spans="13:14">
      <c r="M960">
        <v>512798</v>
      </c>
      <c r="N960">
        <v>1</v>
      </c>
    </row>
    <row r="961" spans="13:14">
      <c r="M961">
        <v>408081</v>
      </c>
      <c r="N961">
        <v>1</v>
      </c>
    </row>
    <row r="962" spans="13:14">
      <c r="M962">
        <v>12319319</v>
      </c>
      <c r="N962">
        <v>1</v>
      </c>
    </row>
    <row r="963" spans="13:14">
      <c r="M963">
        <v>12322483</v>
      </c>
      <c r="N963">
        <v>1</v>
      </c>
    </row>
    <row r="964" spans="13:14">
      <c r="M964">
        <v>457893</v>
      </c>
      <c r="N964">
        <v>1</v>
      </c>
    </row>
    <row r="965" spans="13:14">
      <c r="M965">
        <v>62075</v>
      </c>
      <c r="N965">
        <v>1</v>
      </c>
    </row>
    <row r="966" spans="13:14">
      <c r="M966">
        <v>533799</v>
      </c>
      <c r="N966">
        <v>1</v>
      </c>
    </row>
    <row r="967" spans="13:14">
      <c r="M967">
        <v>2772</v>
      </c>
      <c r="N967">
        <v>1</v>
      </c>
    </row>
    <row r="968" spans="13:14">
      <c r="M968">
        <v>512777</v>
      </c>
      <c r="N968">
        <v>1</v>
      </c>
    </row>
    <row r="969" spans="13:14">
      <c r="M969">
        <v>276648</v>
      </c>
      <c r="N969">
        <v>1</v>
      </c>
    </row>
    <row r="970" spans="13:14">
      <c r="M970">
        <v>149221</v>
      </c>
      <c r="N970">
        <v>1</v>
      </c>
    </row>
    <row r="971" spans="13:14">
      <c r="M971">
        <v>240316</v>
      </c>
      <c r="N971">
        <v>1</v>
      </c>
    </row>
    <row r="972" spans="13:14">
      <c r="M972">
        <v>196416</v>
      </c>
      <c r="N972">
        <v>1</v>
      </c>
    </row>
    <row r="973" spans="13:14">
      <c r="M973">
        <v>494950</v>
      </c>
      <c r="N973">
        <v>1</v>
      </c>
    </row>
    <row r="974" spans="13:14">
      <c r="M974">
        <v>574426</v>
      </c>
      <c r="N974">
        <v>1</v>
      </c>
    </row>
    <row r="975" spans="13:14">
      <c r="M975">
        <v>286026</v>
      </c>
      <c r="N975">
        <v>1</v>
      </c>
    </row>
    <row r="976" spans="13:14">
      <c r="M976">
        <v>12295536</v>
      </c>
      <c r="N976">
        <v>1</v>
      </c>
    </row>
    <row r="977" spans="13:14">
      <c r="M977">
        <v>12328831</v>
      </c>
      <c r="N977">
        <v>1</v>
      </c>
    </row>
    <row r="978" spans="13:14">
      <c r="M978">
        <v>509438</v>
      </c>
      <c r="N978">
        <v>1</v>
      </c>
    </row>
    <row r="979" spans="13:14">
      <c r="M979">
        <v>369875</v>
      </c>
      <c r="N979">
        <v>1</v>
      </c>
    </row>
    <row r="980" spans="13:14">
      <c r="M980">
        <v>347832</v>
      </c>
      <c r="N980">
        <v>1</v>
      </c>
    </row>
    <row r="981" spans="13:14">
      <c r="M981">
        <v>547191</v>
      </c>
      <c r="N981">
        <v>1</v>
      </c>
    </row>
    <row r="982" spans="13:14">
      <c r="M982">
        <v>243030</v>
      </c>
      <c r="N982">
        <v>1</v>
      </c>
    </row>
    <row r="983" spans="13:14">
      <c r="M983">
        <v>12295752</v>
      </c>
      <c r="N983">
        <v>1</v>
      </c>
    </row>
    <row r="984" spans="13:14">
      <c r="M984">
        <v>258245</v>
      </c>
      <c r="N984">
        <v>1</v>
      </c>
    </row>
    <row r="985" spans="13:14">
      <c r="M985">
        <v>403481</v>
      </c>
      <c r="N985">
        <v>1</v>
      </c>
    </row>
    <row r="986" spans="13:14">
      <c r="M986">
        <v>342882</v>
      </c>
      <c r="N986">
        <v>1</v>
      </c>
    </row>
    <row r="987" spans="13:14">
      <c r="M987">
        <v>12302519</v>
      </c>
      <c r="N987">
        <v>1</v>
      </c>
    </row>
    <row r="988" spans="13:14">
      <c r="M988">
        <v>427198</v>
      </c>
      <c r="N988">
        <v>1</v>
      </c>
    </row>
    <row r="989" spans="13:14">
      <c r="M989">
        <v>12307587</v>
      </c>
      <c r="N989">
        <v>1</v>
      </c>
    </row>
    <row r="990" spans="13:14">
      <c r="M990">
        <v>308739</v>
      </c>
      <c r="N990">
        <v>1</v>
      </c>
    </row>
    <row r="991" spans="13:14">
      <c r="M991">
        <v>281759</v>
      </c>
      <c r="N991">
        <v>1</v>
      </c>
    </row>
    <row r="992" spans="13:14">
      <c r="M992">
        <v>368553</v>
      </c>
      <c r="N992">
        <v>1</v>
      </c>
    </row>
    <row r="993" spans="13:14">
      <c r="M993">
        <v>12295728</v>
      </c>
      <c r="N993">
        <v>1</v>
      </c>
    </row>
    <row r="994" spans="13:14">
      <c r="M994">
        <v>531707</v>
      </c>
      <c r="N994">
        <v>1</v>
      </c>
    </row>
    <row r="995" spans="13:14">
      <c r="M995">
        <v>513384</v>
      </c>
      <c r="N995">
        <v>1</v>
      </c>
    </row>
    <row r="996" spans="13:14">
      <c r="M996">
        <v>12303501</v>
      </c>
      <c r="N996">
        <v>1</v>
      </c>
    </row>
    <row r="997" spans="13:14">
      <c r="M997">
        <v>527199</v>
      </c>
      <c r="N997">
        <v>1</v>
      </c>
    </row>
    <row r="998" spans="13:14">
      <c r="M998">
        <v>252647</v>
      </c>
      <c r="N998">
        <v>1</v>
      </c>
    </row>
    <row r="999" spans="13:14">
      <c r="M999">
        <v>512103</v>
      </c>
      <c r="N999">
        <v>1</v>
      </c>
    </row>
    <row r="1000" spans="13:14">
      <c r="M1000">
        <v>260562</v>
      </c>
      <c r="N1000">
        <v>1</v>
      </c>
    </row>
    <row r="1001" spans="13:14">
      <c r="M1001">
        <v>62320</v>
      </c>
      <c r="N1001">
        <v>1</v>
      </c>
    </row>
    <row r="1002" spans="13:14">
      <c r="M1002">
        <v>515755</v>
      </c>
      <c r="N1002">
        <v>1</v>
      </c>
    </row>
    <row r="1003" spans="13:14">
      <c r="M1003">
        <v>330557</v>
      </c>
      <c r="N1003">
        <v>1</v>
      </c>
    </row>
    <row r="1004" spans="13:14">
      <c r="M1004">
        <v>3135</v>
      </c>
      <c r="N1004">
        <v>1</v>
      </c>
    </row>
    <row r="1005" spans="13:14">
      <c r="M1005">
        <v>12319354</v>
      </c>
      <c r="N1005">
        <v>1</v>
      </c>
    </row>
    <row r="1006" spans="13:14">
      <c r="M1006">
        <v>12323425</v>
      </c>
      <c r="N1006">
        <v>1</v>
      </c>
    </row>
    <row r="1007" spans="13:14">
      <c r="M1007">
        <v>12325132</v>
      </c>
      <c r="N1007">
        <v>1</v>
      </c>
    </row>
    <row r="1008" spans="13:14">
      <c r="M1008">
        <v>565681</v>
      </c>
      <c r="N1008">
        <v>1</v>
      </c>
    </row>
    <row r="1009" spans="13:14">
      <c r="M1009" t="s">
        <v>211</v>
      </c>
      <c r="N1009">
        <v>1</v>
      </c>
    </row>
    <row r="1010" spans="13:14">
      <c r="M1010" t="s">
        <v>212</v>
      </c>
      <c r="N1010">
        <v>1</v>
      </c>
    </row>
    <row r="1011" spans="13:14">
      <c r="M1011">
        <v>127194</v>
      </c>
      <c r="N1011">
        <v>1</v>
      </c>
    </row>
    <row r="1012" spans="13:14">
      <c r="M1012">
        <v>199010</v>
      </c>
      <c r="N1012">
        <v>1</v>
      </c>
    </row>
    <row r="1013" spans="13:14">
      <c r="M1013">
        <v>298574</v>
      </c>
      <c r="N1013">
        <v>1</v>
      </c>
    </row>
    <row r="1014" spans="13:14">
      <c r="M1014">
        <v>304264</v>
      </c>
      <c r="N1014">
        <v>1</v>
      </c>
    </row>
    <row r="1015" spans="13:14">
      <c r="M1015">
        <v>188236</v>
      </c>
      <c r="N1015">
        <v>1</v>
      </c>
    </row>
    <row r="1016" spans="13:14">
      <c r="M1016">
        <v>345691</v>
      </c>
      <c r="N1016">
        <v>1</v>
      </c>
    </row>
    <row r="1017" spans="13:14">
      <c r="M1017">
        <v>12326118</v>
      </c>
      <c r="N1017">
        <v>1</v>
      </c>
    </row>
    <row r="1018" spans="13:14">
      <c r="M1018">
        <v>240048</v>
      </c>
      <c r="N1018">
        <v>1</v>
      </c>
    </row>
    <row r="1019" spans="13:14">
      <c r="M1019">
        <v>241230</v>
      </c>
      <c r="N1019">
        <v>1</v>
      </c>
    </row>
    <row r="1020" spans="13:14">
      <c r="M1020">
        <v>298581</v>
      </c>
      <c r="N1020">
        <v>1</v>
      </c>
    </row>
    <row r="1021" spans="13:14">
      <c r="M1021">
        <v>12304943</v>
      </c>
      <c r="N1021">
        <v>1</v>
      </c>
    </row>
    <row r="1022" spans="13:14">
      <c r="M1022">
        <v>211809</v>
      </c>
      <c r="N1022">
        <v>1</v>
      </c>
    </row>
    <row r="1023" spans="13:14">
      <c r="M1023">
        <v>538252</v>
      </c>
      <c r="N1023">
        <v>1</v>
      </c>
    </row>
    <row r="1024" spans="13:14">
      <c r="M1024">
        <v>410986</v>
      </c>
      <c r="N1024">
        <v>1</v>
      </c>
    </row>
    <row r="1025" spans="13:14">
      <c r="M1025">
        <v>339975</v>
      </c>
      <c r="N1025">
        <v>1</v>
      </c>
    </row>
    <row r="1026" spans="13:14">
      <c r="M1026">
        <v>61652</v>
      </c>
      <c r="N1026">
        <v>1</v>
      </c>
    </row>
    <row r="1027" spans="13:14">
      <c r="M1027">
        <v>240092</v>
      </c>
      <c r="N1027">
        <v>1</v>
      </c>
    </row>
    <row r="1028" spans="13:14">
      <c r="M1028">
        <v>521231</v>
      </c>
      <c r="N1028">
        <v>1</v>
      </c>
    </row>
    <row r="1029" spans="13:14">
      <c r="M1029">
        <v>12325413</v>
      </c>
      <c r="N1029">
        <v>1</v>
      </c>
    </row>
    <row r="1030" spans="13:14">
      <c r="M1030">
        <v>514233</v>
      </c>
      <c r="N1030">
        <v>1</v>
      </c>
    </row>
    <row r="1031" spans="13:14">
      <c r="M1031">
        <v>311453</v>
      </c>
      <c r="N1031">
        <v>1</v>
      </c>
    </row>
    <row r="1032" spans="13:14">
      <c r="M1032">
        <v>539830</v>
      </c>
      <c r="N1032">
        <v>1</v>
      </c>
    </row>
    <row r="1033" spans="13:14">
      <c r="M1033">
        <v>308936</v>
      </c>
      <c r="N1033">
        <v>1</v>
      </c>
    </row>
    <row r="1034" spans="13:14">
      <c r="M1034">
        <v>12295860</v>
      </c>
      <c r="N1034">
        <v>1</v>
      </c>
    </row>
    <row r="1035" spans="13:14">
      <c r="M1035">
        <v>63851</v>
      </c>
      <c r="N1035">
        <v>34</v>
      </c>
    </row>
    <row r="1036" spans="13:14">
      <c r="M1036">
        <v>286444</v>
      </c>
      <c r="N1036">
        <v>15</v>
      </c>
    </row>
    <row r="1037" spans="13:14">
      <c r="M1037">
        <v>12331261</v>
      </c>
      <c r="N1037">
        <v>48</v>
      </c>
    </row>
    <row r="1038" spans="13:14">
      <c r="M1038">
        <v>385886</v>
      </c>
      <c r="N1038">
        <v>29</v>
      </c>
    </row>
    <row r="1039" spans="13:14">
      <c r="M1039">
        <v>61933</v>
      </c>
      <c r="N1039">
        <v>29</v>
      </c>
    </row>
    <row r="1040" spans="13:14">
      <c r="M1040">
        <v>515338</v>
      </c>
      <c r="N1040">
        <v>29</v>
      </c>
    </row>
    <row r="1041" spans="13:14">
      <c r="M1041">
        <v>211840</v>
      </c>
      <c r="N1041">
        <v>10</v>
      </c>
    </row>
    <row r="1042" spans="13:14">
      <c r="M1042">
        <v>12296049</v>
      </c>
      <c r="N1042">
        <v>10</v>
      </c>
    </row>
    <row r="1043" spans="13:14">
      <c r="M1043">
        <v>458949</v>
      </c>
      <c r="N1043">
        <v>10</v>
      </c>
    </row>
    <row r="1044" spans="13:14">
      <c r="M1044">
        <v>61883</v>
      </c>
      <c r="N1044">
        <v>10</v>
      </c>
    </row>
    <row r="1045" spans="13:14">
      <c r="M1045">
        <v>67030</v>
      </c>
      <c r="N1045">
        <v>10</v>
      </c>
    </row>
    <row r="1046" spans="13:14">
      <c r="M1046">
        <v>546628</v>
      </c>
      <c r="N1046">
        <v>10</v>
      </c>
    </row>
    <row r="1047" spans="13:14">
      <c r="M1047">
        <v>522623</v>
      </c>
      <c r="N1047">
        <v>10</v>
      </c>
    </row>
    <row r="1048" spans="13:14">
      <c r="M1048">
        <v>564795</v>
      </c>
      <c r="N1048">
        <v>10</v>
      </c>
    </row>
    <row r="1049" spans="13:14">
      <c r="M1049">
        <v>62414</v>
      </c>
      <c r="N1049">
        <v>10</v>
      </c>
    </row>
    <row r="1050" spans="13:14">
      <c r="M1050">
        <v>199156</v>
      </c>
      <c r="N1050">
        <v>43</v>
      </c>
    </row>
    <row r="1051" spans="13:14">
      <c r="M1051">
        <v>563913</v>
      </c>
      <c r="N1051">
        <v>24</v>
      </c>
    </row>
    <row r="1052" spans="13:14">
      <c r="M1052">
        <v>547256</v>
      </c>
      <c r="N1052">
        <v>5</v>
      </c>
    </row>
    <row r="1053" spans="13:14">
      <c r="M1053">
        <v>512404</v>
      </c>
      <c r="N1053">
        <v>5</v>
      </c>
    </row>
    <row r="1054" spans="13:14">
      <c r="M1054">
        <v>480658</v>
      </c>
      <c r="N1054">
        <v>5</v>
      </c>
    </row>
    <row r="1055" spans="13:14">
      <c r="M1055">
        <v>67311</v>
      </c>
      <c r="N1055">
        <v>5</v>
      </c>
    </row>
    <row r="1056" spans="13:14">
      <c r="M1056">
        <v>126952</v>
      </c>
      <c r="N1056">
        <v>5</v>
      </c>
    </row>
    <row r="1057" spans="13:14">
      <c r="M1057" t="s">
        <v>100</v>
      </c>
      <c r="N1057">
        <v>5</v>
      </c>
    </row>
    <row r="1058" spans="13:14">
      <c r="M1058">
        <v>408617</v>
      </c>
      <c r="N1058">
        <v>5</v>
      </c>
    </row>
    <row r="1059" spans="13:14">
      <c r="M1059">
        <v>12332670</v>
      </c>
      <c r="N1059">
        <v>5</v>
      </c>
    </row>
    <row r="1060" spans="13:14">
      <c r="M1060">
        <v>516280</v>
      </c>
      <c r="N1060">
        <v>5</v>
      </c>
    </row>
    <row r="1061" spans="13:14">
      <c r="M1061">
        <v>12296312</v>
      </c>
      <c r="N1061">
        <v>5</v>
      </c>
    </row>
    <row r="1062" spans="13:14">
      <c r="M1062">
        <v>240043</v>
      </c>
      <c r="N1062">
        <v>5</v>
      </c>
    </row>
    <row r="1063" spans="13:14">
      <c r="M1063">
        <v>195918</v>
      </c>
      <c r="N1063">
        <v>5</v>
      </c>
    </row>
    <row r="1064" spans="13:14">
      <c r="M1064">
        <v>12326939</v>
      </c>
      <c r="N1064">
        <v>5</v>
      </c>
    </row>
    <row r="1065" spans="13:14">
      <c r="M1065">
        <v>309555</v>
      </c>
      <c r="N1065">
        <v>5</v>
      </c>
    </row>
    <row r="1066" spans="13:14">
      <c r="M1066">
        <v>12300507</v>
      </c>
      <c r="N1066">
        <v>5</v>
      </c>
    </row>
    <row r="1067" spans="13:14">
      <c r="M1067">
        <v>61609</v>
      </c>
      <c r="N1067">
        <v>5</v>
      </c>
    </row>
    <row r="1068" spans="13:14">
      <c r="M1068">
        <v>62014</v>
      </c>
      <c r="N1068">
        <v>5</v>
      </c>
    </row>
    <row r="1069" spans="13:14">
      <c r="M1069">
        <v>12295051</v>
      </c>
      <c r="N1069">
        <v>5</v>
      </c>
    </row>
    <row r="1070" spans="13:14">
      <c r="M1070">
        <v>61688</v>
      </c>
      <c r="N1070">
        <v>5</v>
      </c>
    </row>
    <row r="1071" spans="13:14">
      <c r="M1071">
        <v>512469</v>
      </c>
      <c r="N1071">
        <v>5</v>
      </c>
    </row>
    <row r="1072" spans="13:14">
      <c r="M1072">
        <v>12327272</v>
      </c>
      <c r="N1072">
        <v>5</v>
      </c>
    </row>
    <row r="1073" spans="13:14">
      <c r="M1073">
        <v>8334</v>
      </c>
      <c r="N1073">
        <v>5</v>
      </c>
    </row>
    <row r="1074" spans="13:14">
      <c r="M1074">
        <v>211648</v>
      </c>
      <c r="N1074">
        <v>5</v>
      </c>
    </row>
    <row r="1075" spans="13:14">
      <c r="M1075">
        <v>579337</v>
      </c>
      <c r="N1075">
        <v>5</v>
      </c>
    </row>
    <row r="1076" spans="13:14">
      <c r="M1076">
        <v>268747</v>
      </c>
      <c r="N1076">
        <v>5</v>
      </c>
    </row>
    <row r="1077" spans="13:14">
      <c r="M1077">
        <v>12299382</v>
      </c>
      <c r="N1077">
        <v>5</v>
      </c>
    </row>
    <row r="1078" spans="13:14">
      <c r="M1078">
        <v>501630</v>
      </c>
      <c r="N1078">
        <v>5</v>
      </c>
    </row>
    <row r="1079" spans="13:14">
      <c r="M1079">
        <v>240713</v>
      </c>
      <c r="N1079">
        <v>5</v>
      </c>
    </row>
    <row r="1080" spans="13:14">
      <c r="M1080">
        <v>537116</v>
      </c>
      <c r="N1080">
        <v>5</v>
      </c>
    </row>
    <row r="1081" spans="13:14">
      <c r="M1081">
        <v>272816</v>
      </c>
      <c r="N1081">
        <v>5</v>
      </c>
    </row>
    <row r="1082" spans="13:14">
      <c r="M1082">
        <v>313780</v>
      </c>
      <c r="N1082">
        <v>5</v>
      </c>
    </row>
    <row r="1083" spans="13:14">
      <c r="M1083">
        <v>488681</v>
      </c>
      <c r="N1083">
        <v>5</v>
      </c>
    </row>
    <row r="1084" spans="13:14">
      <c r="M1084">
        <v>12301356</v>
      </c>
      <c r="N1084">
        <v>5</v>
      </c>
    </row>
    <row r="1085" spans="13:14">
      <c r="M1085">
        <v>237391</v>
      </c>
      <c r="N1085">
        <v>5</v>
      </c>
    </row>
    <row r="1086" spans="13:14">
      <c r="M1086">
        <v>2201</v>
      </c>
      <c r="N1086">
        <v>5</v>
      </c>
    </row>
    <row r="1087" spans="13:14">
      <c r="M1087">
        <v>12326166</v>
      </c>
      <c r="N1087">
        <v>5</v>
      </c>
    </row>
    <row r="1088" spans="13:14">
      <c r="M1088">
        <v>12297197</v>
      </c>
      <c r="N1088">
        <v>5</v>
      </c>
    </row>
    <row r="1089" spans="13:14">
      <c r="M1089">
        <v>61816</v>
      </c>
      <c r="N1089">
        <v>5</v>
      </c>
    </row>
    <row r="1090" spans="13:14">
      <c r="M1090">
        <v>12305135</v>
      </c>
      <c r="N1090">
        <v>5</v>
      </c>
    </row>
    <row r="1091" spans="13:14">
      <c r="M1091">
        <v>11484</v>
      </c>
      <c r="N1091">
        <v>5</v>
      </c>
    </row>
    <row r="1092" spans="13:14">
      <c r="M1092">
        <v>375678</v>
      </c>
      <c r="N1092">
        <v>5</v>
      </c>
    </row>
    <row r="1093" spans="13:14">
      <c r="M1093">
        <v>260931</v>
      </c>
      <c r="N1093">
        <v>5</v>
      </c>
    </row>
    <row r="1094" spans="13:14">
      <c r="M1094">
        <v>244663</v>
      </c>
      <c r="N1094">
        <v>5</v>
      </c>
    </row>
    <row r="1095" spans="13:14">
      <c r="M1095">
        <v>191791</v>
      </c>
      <c r="N1095">
        <v>38</v>
      </c>
    </row>
    <row r="1096" spans="13:14">
      <c r="M1096">
        <v>12332439</v>
      </c>
      <c r="N1096">
        <v>38</v>
      </c>
    </row>
  </sheetData>
  <autoFilter ref="A1:K146" xr:uid="{F42E2FEA-7579-4105-BB5C-707DD11104C2}"/>
  <conditionalFormatting sqref="D1">
    <cfRule type="containsText" dxfId="6" priority="7" operator="containsText" text="Outlet Telco">
      <formula>NOT(ISERROR(SEARCH("Outlet Telco",D1)))</formula>
    </cfRule>
  </conditionalFormatting>
  <conditionalFormatting sqref="B2:B146">
    <cfRule type="duplicateValues" dxfId="1" priority="2"/>
  </conditionalFormatting>
  <conditionalFormatting sqref="D2:D146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TARGET</vt:lpstr>
      <vt:lpstr>BIO</vt:lpstr>
      <vt:lpstr>MTD OSA | 3GB</vt:lpstr>
      <vt:lpstr>LMTD OSA | 3GB</vt:lpstr>
      <vt:lpstr>BIO WAHYU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AMN</dc:creator>
  <cp:lastModifiedBy>AMN</cp:lastModifiedBy>
  <dcterms:created xsi:type="dcterms:W3CDTF">2026-07-18T05:26:14Z</dcterms:created>
  <dcterms:modified xsi:type="dcterms:W3CDTF">2026-07-28T15:43:19Z</dcterms:modified>
</cp:coreProperties>
</file>
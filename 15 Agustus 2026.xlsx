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MN\Documents\0Asharing\"/>
    </mc:Choice>
  </mc:AlternateContent>
  <xr:revisionPtr revIDLastSave="0" documentId="13_ncr:1_{5F542DD5-58EA-477C-B737-6E688BB82D2D}" xr6:coauthVersionLast="47" xr6:coauthVersionMax="47" xr10:uidLastSave="{00000000-0000-0000-0000-000000000000}"/>
  <bookViews>
    <workbookView xWindow="-108" yWindow="252" windowWidth="23256" windowHeight="12816" xr2:uid="{B793076F-8D73-466D-B30A-FF91CE4E6F62}"/>
  </bookViews>
  <sheets>
    <sheet name="DATA" sheetId="1" r:id="rId1"/>
    <sheet name="TARGET" sheetId="5" r:id="rId2"/>
    <sheet name="OSA | 3GB" sheetId="7" r:id="rId3"/>
    <sheet name="BIO WAHYU" sheetId="8" r:id="rId4"/>
  </sheets>
  <definedNames>
    <definedName name="_xlnm._FilterDatabase" localSheetId="3" hidden="1">'BIO WAHYU'!$A$1:$K$146</definedName>
    <definedName name="_xlnm._FilterDatabase" localSheetId="0" hidden="1">DATA!$B$1:$M$146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11" i="1" l="1"/>
  <c r="F147" i="1"/>
  <c r="G147" i="1"/>
  <c r="H147" i="1"/>
  <c r="I147" i="1"/>
  <c r="J147" i="1"/>
  <c r="K147" i="1"/>
  <c r="L147" i="1"/>
  <c r="M147" i="1"/>
  <c r="F148" i="1"/>
  <c r="G148" i="1"/>
  <c r="H148" i="1"/>
  <c r="I148" i="1"/>
  <c r="J148" i="1"/>
  <c r="K148" i="1"/>
  <c r="L148" i="1"/>
  <c r="M148" i="1"/>
  <c r="F149" i="1"/>
  <c r="G149" i="1"/>
  <c r="H149" i="1"/>
  <c r="I149" i="1"/>
  <c r="J149" i="1"/>
  <c r="K149" i="1"/>
  <c r="L149" i="1"/>
  <c r="M149" i="1"/>
  <c r="F150" i="1"/>
  <c r="G150" i="1"/>
  <c r="H150" i="1"/>
  <c r="I150" i="1"/>
  <c r="J150" i="1"/>
  <c r="K150" i="1"/>
  <c r="L150" i="1"/>
  <c r="M150" i="1"/>
  <c r="F151" i="1"/>
  <c r="G151" i="1"/>
  <c r="H151" i="1"/>
  <c r="I151" i="1"/>
  <c r="J151" i="1"/>
  <c r="K151" i="1"/>
  <c r="L151" i="1"/>
  <c r="M151" i="1"/>
  <c r="F152" i="1"/>
  <c r="G152" i="1"/>
  <c r="H152" i="1"/>
  <c r="I152" i="1"/>
  <c r="J152" i="1"/>
  <c r="K152" i="1"/>
  <c r="L152" i="1"/>
  <c r="M152" i="1"/>
  <c r="F153" i="1"/>
  <c r="G153" i="1"/>
  <c r="H153" i="1"/>
  <c r="I153" i="1"/>
  <c r="J153" i="1"/>
  <c r="K153" i="1"/>
  <c r="L153" i="1"/>
  <c r="M153" i="1"/>
  <c r="F154" i="1"/>
  <c r="G154" i="1"/>
  <c r="H154" i="1"/>
  <c r="I154" i="1"/>
  <c r="J154" i="1"/>
  <c r="K154" i="1"/>
  <c r="L154" i="1"/>
  <c r="M154" i="1"/>
  <c r="F155" i="1"/>
  <c r="G155" i="1"/>
  <c r="H155" i="1"/>
  <c r="I155" i="1"/>
  <c r="J155" i="1"/>
  <c r="K155" i="1"/>
  <c r="L155" i="1"/>
  <c r="M155" i="1"/>
  <c r="F156" i="1"/>
  <c r="G156" i="1"/>
  <c r="H156" i="1"/>
  <c r="I156" i="1"/>
  <c r="J156" i="1"/>
  <c r="K156" i="1"/>
  <c r="L156" i="1"/>
  <c r="M156" i="1"/>
  <c r="F157" i="1"/>
  <c r="G157" i="1"/>
  <c r="H157" i="1"/>
  <c r="I157" i="1"/>
  <c r="J157" i="1"/>
  <c r="K157" i="1"/>
  <c r="L157" i="1"/>
  <c r="M157" i="1"/>
  <c r="F158" i="1"/>
  <c r="G158" i="1"/>
  <c r="H158" i="1"/>
  <c r="I158" i="1"/>
  <c r="J158" i="1"/>
  <c r="K158" i="1"/>
  <c r="L158" i="1"/>
  <c r="M158" i="1"/>
  <c r="F159" i="1"/>
  <c r="G159" i="1"/>
  <c r="H159" i="1"/>
  <c r="I159" i="1"/>
  <c r="J159" i="1"/>
  <c r="K159" i="1"/>
  <c r="L159" i="1"/>
  <c r="M159" i="1"/>
  <c r="F160" i="1"/>
  <c r="G160" i="1"/>
  <c r="H160" i="1"/>
  <c r="I160" i="1"/>
  <c r="J160" i="1"/>
  <c r="K160" i="1"/>
  <c r="L160" i="1"/>
  <c r="M160" i="1"/>
  <c r="F161" i="1"/>
  <c r="G161" i="1"/>
  <c r="H161" i="1"/>
  <c r="I161" i="1"/>
  <c r="J161" i="1"/>
  <c r="K161" i="1"/>
  <c r="L161" i="1"/>
  <c r="M161" i="1"/>
  <c r="F162" i="1"/>
  <c r="G162" i="1"/>
  <c r="H162" i="1"/>
  <c r="I162" i="1"/>
  <c r="J162" i="1"/>
  <c r="K162" i="1"/>
  <c r="L162" i="1"/>
  <c r="M162" i="1"/>
  <c r="F163" i="1"/>
  <c r="G163" i="1"/>
  <c r="H163" i="1"/>
  <c r="I163" i="1"/>
  <c r="J163" i="1"/>
  <c r="K163" i="1"/>
  <c r="L163" i="1"/>
  <c r="M163" i="1"/>
  <c r="F164" i="1"/>
  <c r="G164" i="1"/>
  <c r="H164" i="1"/>
  <c r="I164" i="1"/>
  <c r="J164" i="1"/>
  <c r="K164" i="1"/>
  <c r="L164" i="1"/>
  <c r="M164" i="1"/>
  <c r="F165" i="1"/>
  <c r="G165" i="1"/>
  <c r="H165" i="1"/>
  <c r="I165" i="1"/>
  <c r="J165" i="1"/>
  <c r="K165" i="1"/>
  <c r="L165" i="1"/>
  <c r="M165" i="1"/>
  <c r="F166" i="1"/>
  <c r="G166" i="1"/>
  <c r="H166" i="1"/>
  <c r="I166" i="1"/>
  <c r="J166" i="1"/>
  <c r="K166" i="1"/>
  <c r="L166" i="1"/>
  <c r="M166" i="1"/>
  <c r="F167" i="1"/>
  <c r="G167" i="1"/>
  <c r="H167" i="1"/>
  <c r="I167" i="1"/>
  <c r="J167" i="1"/>
  <c r="K167" i="1"/>
  <c r="L167" i="1"/>
  <c r="M167" i="1"/>
  <c r="F168" i="1"/>
  <c r="G168" i="1"/>
  <c r="H168" i="1"/>
  <c r="I168" i="1"/>
  <c r="J168" i="1"/>
  <c r="K168" i="1"/>
  <c r="L168" i="1"/>
  <c r="M168" i="1"/>
  <c r="F169" i="1"/>
  <c r="G169" i="1"/>
  <c r="H169" i="1"/>
  <c r="I169" i="1"/>
  <c r="J169" i="1"/>
  <c r="K169" i="1"/>
  <c r="L169" i="1"/>
  <c r="M169" i="1"/>
  <c r="F170" i="1"/>
  <c r="G170" i="1"/>
  <c r="H170" i="1"/>
  <c r="I170" i="1"/>
  <c r="J170" i="1"/>
  <c r="K170" i="1"/>
  <c r="L170" i="1"/>
  <c r="M170" i="1"/>
  <c r="F171" i="1"/>
  <c r="G171" i="1"/>
  <c r="H171" i="1"/>
  <c r="I171" i="1"/>
  <c r="J171" i="1"/>
  <c r="K171" i="1"/>
  <c r="L171" i="1"/>
  <c r="M171" i="1"/>
  <c r="F172" i="1"/>
  <c r="G172" i="1"/>
  <c r="H172" i="1"/>
  <c r="I172" i="1"/>
  <c r="J172" i="1"/>
  <c r="K172" i="1"/>
  <c r="L172" i="1"/>
  <c r="M172" i="1"/>
  <c r="F173" i="1"/>
  <c r="G173" i="1"/>
  <c r="H173" i="1"/>
  <c r="I173" i="1"/>
  <c r="J173" i="1"/>
  <c r="K173" i="1"/>
  <c r="L173" i="1"/>
  <c r="M173" i="1"/>
  <c r="F174" i="1"/>
  <c r="G174" i="1"/>
  <c r="H174" i="1"/>
  <c r="I174" i="1"/>
  <c r="J174" i="1"/>
  <c r="K174" i="1"/>
  <c r="L174" i="1"/>
  <c r="M174" i="1"/>
  <c r="F175" i="1"/>
  <c r="G175" i="1"/>
  <c r="H175" i="1"/>
  <c r="I175" i="1"/>
  <c r="J175" i="1"/>
  <c r="K175" i="1"/>
  <c r="L175" i="1"/>
  <c r="M175" i="1"/>
  <c r="F176" i="1"/>
  <c r="G176" i="1"/>
  <c r="H176" i="1"/>
  <c r="I176" i="1"/>
  <c r="J176" i="1"/>
  <c r="K176" i="1"/>
  <c r="L176" i="1"/>
  <c r="M176" i="1"/>
  <c r="F177" i="1"/>
  <c r="G177" i="1"/>
  <c r="H177" i="1"/>
  <c r="I177" i="1"/>
  <c r="J177" i="1"/>
  <c r="K177" i="1"/>
  <c r="L177" i="1"/>
  <c r="M177" i="1"/>
  <c r="F178" i="1"/>
  <c r="G178" i="1"/>
  <c r="H178" i="1"/>
  <c r="I178" i="1"/>
  <c r="J178" i="1"/>
  <c r="K178" i="1"/>
  <c r="L178" i="1"/>
  <c r="M178" i="1"/>
  <c r="F179" i="1"/>
  <c r="G179" i="1"/>
  <c r="H179" i="1"/>
  <c r="I179" i="1"/>
  <c r="J179" i="1"/>
  <c r="K179" i="1"/>
  <c r="L179" i="1"/>
  <c r="M179" i="1"/>
  <c r="F180" i="1"/>
  <c r="G180" i="1"/>
  <c r="H180" i="1"/>
  <c r="I180" i="1"/>
  <c r="J180" i="1"/>
  <c r="K180" i="1"/>
  <c r="L180" i="1"/>
  <c r="M180" i="1"/>
  <c r="F181" i="1"/>
  <c r="G181" i="1"/>
  <c r="H181" i="1"/>
  <c r="I181" i="1"/>
  <c r="J181" i="1"/>
  <c r="K181" i="1"/>
  <c r="L181" i="1"/>
  <c r="M181" i="1"/>
  <c r="F182" i="1"/>
  <c r="G182" i="1"/>
  <c r="H182" i="1"/>
  <c r="I182" i="1"/>
  <c r="J182" i="1"/>
  <c r="K182" i="1"/>
  <c r="L182" i="1"/>
  <c r="M182" i="1"/>
  <c r="F183" i="1"/>
  <c r="G183" i="1"/>
  <c r="H183" i="1"/>
  <c r="I183" i="1"/>
  <c r="J183" i="1"/>
  <c r="K183" i="1"/>
  <c r="L183" i="1"/>
  <c r="M183" i="1"/>
  <c r="F184" i="1"/>
  <c r="G184" i="1"/>
  <c r="H184" i="1"/>
  <c r="I184" i="1"/>
  <c r="J184" i="1"/>
  <c r="K184" i="1"/>
  <c r="L184" i="1"/>
  <c r="M184" i="1"/>
  <c r="F185" i="1"/>
  <c r="G185" i="1"/>
  <c r="H185" i="1"/>
  <c r="I185" i="1"/>
  <c r="J185" i="1"/>
  <c r="K185" i="1"/>
  <c r="L185" i="1"/>
  <c r="M185" i="1"/>
  <c r="F186" i="1"/>
  <c r="G186" i="1"/>
  <c r="H186" i="1"/>
  <c r="I186" i="1"/>
  <c r="J186" i="1"/>
  <c r="K186" i="1"/>
  <c r="L186" i="1"/>
  <c r="M186" i="1"/>
  <c r="F187" i="1"/>
  <c r="G187" i="1"/>
  <c r="H187" i="1"/>
  <c r="I187" i="1"/>
  <c r="J187" i="1"/>
  <c r="K187" i="1"/>
  <c r="L187" i="1"/>
  <c r="M187" i="1"/>
  <c r="F188" i="1"/>
  <c r="G188" i="1"/>
  <c r="H188" i="1"/>
  <c r="I188" i="1"/>
  <c r="J188" i="1"/>
  <c r="K188" i="1"/>
  <c r="L188" i="1"/>
  <c r="M188" i="1"/>
  <c r="F189" i="1"/>
  <c r="G189" i="1"/>
  <c r="H189" i="1"/>
  <c r="I189" i="1"/>
  <c r="J189" i="1"/>
  <c r="K189" i="1"/>
  <c r="L189" i="1"/>
  <c r="M189" i="1"/>
  <c r="F190" i="1"/>
  <c r="G190" i="1"/>
  <c r="H190" i="1"/>
  <c r="I190" i="1"/>
  <c r="J190" i="1"/>
  <c r="K190" i="1"/>
  <c r="L190" i="1"/>
  <c r="M190" i="1"/>
  <c r="F191" i="1"/>
  <c r="G191" i="1"/>
  <c r="H191" i="1"/>
  <c r="I191" i="1"/>
  <c r="J191" i="1"/>
  <c r="K191" i="1"/>
  <c r="L191" i="1"/>
  <c r="M191" i="1"/>
  <c r="F192" i="1"/>
  <c r="G192" i="1"/>
  <c r="H192" i="1"/>
  <c r="I192" i="1"/>
  <c r="J192" i="1"/>
  <c r="K192" i="1"/>
  <c r="L192" i="1"/>
  <c r="M192" i="1"/>
  <c r="F193" i="1"/>
  <c r="G193" i="1"/>
  <c r="H193" i="1"/>
  <c r="I193" i="1"/>
  <c r="J193" i="1"/>
  <c r="K193" i="1"/>
  <c r="L193" i="1"/>
  <c r="M193" i="1"/>
  <c r="F194" i="1"/>
  <c r="G194" i="1"/>
  <c r="H194" i="1"/>
  <c r="I194" i="1"/>
  <c r="J194" i="1"/>
  <c r="K194" i="1"/>
  <c r="L194" i="1"/>
  <c r="M194" i="1"/>
  <c r="F195" i="1"/>
  <c r="G195" i="1"/>
  <c r="H195" i="1"/>
  <c r="I195" i="1"/>
  <c r="J195" i="1"/>
  <c r="K195" i="1"/>
  <c r="L195" i="1"/>
  <c r="M195" i="1"/>
  <c r="F196" i="1"/>
  <c r="G196" i="1"/>
  <c r="H196" i="1"/>
  <c r="I196" i="1"/>
  <c r="J196" i="1"/>
  <c r="K196" i="1"/>
  <c r="L196" i="1"/>
  <c r="M196" i="1"/>
  <c r="F197" i="1"/>
  <c r="G197" i="1"/>
  <c r="H197" i="1"/>
  <c r="I197" i="1"/>
  <c r="J197" i="1"/>
  <c r="K197" i="1"/>
  <c r="L197" i="1"/>
  <c r="M197" i="1"/>
  <c r="F198" i="1"/>
  <c r="G198" i="1"/>
  <c r="H198" i="1"/>
  <c r="I198" i="1"/>
  <c r="J198" i="1"/>
  <c r="K198" i="1"/>
  <c r="L198" i="1"/>
  <c r="M198" i="1"/>
  <c r="F199" i="1"/>
  <c r="G199" i="1"/>
  <c r="H199" i="1"/>
  <c r="I199" i="1"/>
  <c r="J199" i="1"/>
  <c r="K199" i="1"/>
  <c r="L199" i="1"/>
  <c r="M199" i="1"/>
  <c r="F200" i="1"/>
  <c r="G200" i="1"/>
  <c r="H200" i="1"/>
  <c r="I200" i="1"/>
  <c r="J200" i="1"/>
  <c r="K200" i="1"/>
  <c r="L200" i="1"/>
  <c r="M200" i="1"/>
  <c r="F201" i="1"/>
  <c r="G201" i="1"/>
  <c r="H201" i="1"/>
  <c r="I201" i="1"/>
  <c r="J201" i="1"/>
  <c r="K201" i="1"/>
  <c r="L201" i="1"/>
  <c r="M201" i="1"/>
  <c r="F202" i="1"/>
  <c r="G202" i="1"/>
  <c r="H202" i="1"/>
  <c r="I202" i="1"/>
  <c r="J202" i="1"/>
  <c r="K202" i="1"/>
  <c r="L202" i="1"/>
  <c r="M202" i="1"/>
  <c r="F203" i="1"/>
  <c r="G203" i="1"/>
  <c r="H203" i="1"/>
  <c r="I203" i="1"/>
  <c r="J203" i="1"/>
  <c r="K203" i="1"/>
  <c r="L203" i="1"/>
  <c r="M203" i="1"/>
  <c r="F204" i="1"/>
  <c r="G204" i="1"/>
  <c r="H204" i="1"/>
  <c r="I204" i="1"/>
  <c r="J204" i="1"/>
  <c r="K204" i="1"/>
  <c r="L204" i="1"/>
  <c r="M204" i="1"/>
  <c r="F205" i="1"/>
  <c r="G205" i="1"/>
  <c r="H205" i="1"/>
  <c r="I205" i="1"/>
  <c r="J205" i="1"/>
  <c r="K205" i="1"/>
  <c r="L205" i="1"/>
  <c r="M205" i="1"/>
  <c r="F206" i="1"/>
  <c r="G206" i="1"/>
  <c r="H206" i="1"/>
  <c r="I206" i="1"/>
  <c r="J206" i="1"/>
  <c r="K206" i="1"/>
  <c r="L206" i="1"/>
  <c r="M206" i="1"/>
  <c r="F207" i="1"/>
  <c r="G207" i="1"/>
  <c r="H207" i="1"/>
  <c r="I207" i="1"/>
  <c r="J207" i="1"/>
  <c r="K207" i="1"/>
  <c r="L207" i="1"/>
  <c r="M207" i="1"/>
  <c r="F208" i="1"/>
  <c r="G208" i="1"/>
  <c r="H208" i="1"/>
  <c r="I208" i="1"/>
  <c r="J208" i="1"/>
  <c r="K208" i="1"/>
  <c r="L208" i="1"/>
  <c r="M208" i="1"/>
  <c r="F209" i="1"/>
  <c r="G209" i="1"/>
  <c r="H209" i="1"/>
  <c r="I209" i="1"/>
  <c r="J209" i="1"/>
  <c r="K209" i="1"/>
  <c r="L209" i="1"/>
  <c r="M209" i="1"/>
  <c r="F210" i="1"/>
  <c r="G210" i="1"/>
  <c r="H210" i="1"/>
  <c r="I210" i="1"/>
  <c r="J210" i="1"/>
  <c r="K210" i="1"/>
  <c r="L210" i="1"/>
  <c r="M210" i="1"/>
  <c r="F211" i="1"/>
  <c r="G211" i="1"/>
  <c r="H211" i="1"/>
  <c r="I211" i="1"/>
  <c r="J211" i="1"/>
  <c r="K211" i="1"/>
  <c r="L211" i="1"/>
  <c r="M211" i="1"/>
  <c r="F212" i="1"/>
  <c r="G212" i="1"/>
  <c r="H212" i="1"/>
  <c r="I212" i="1"/>
  <c r="J212" i="1"/>
  <c r="K212" i="1"/>
  <c r="L212" i="1"/>
  <c r="M212" i="1"/>
  <c r="F213" i="1"/>
  <c r="G213" i="1"/>
  <c r="H213" i="1"/>
  <c r="I213" i="1"/>
  <c r="J213" i="1"/>
  <c r="K213" i="1"/>
  <c r="L213" i="1"/>
  <c r="M213" i="1"/>
  <c r="F214" i="1"/>
  <c r="G214" i="1"/>
  <c r="H214" i="1"/>
  <c r="I214" i="1"/>
  <c r="J214" i="1"/>
  <c r="K214" i="1"/>
  <c r="L214" i="1"/>
  <c r="M214" i="1"/>
  <c r="F215" i="1"/>
  <c r="G215" i="1"/>
  <c r="H215" i="1"/>
  <c r="I215" i="1"/>
  <c r="J215" i="1"/>
  <c r="K215" i="1"/>
  <c r="L215" i="1"/>
  <c r="M215" i="1"/>
  <c r="F216" i="1"/>
  <c r="G216" i="1"/>
  <c r="H216" i="1"/>
  <c r="I216" i="1"/>
  <c r="J216" i="1"/>
  <c r="K216" i="1"/>
  <c r="L216" i="1"/>
  <c r="M216" i="1"/>
  <c r="F217" i="1"/>
  <c r="G217" i="1"/>
  <c r="H217" i="1"/>
  <c r="I217" i="1"/>
  <c r="J217" i="1"/>
  <c r="K217" i="1"/>
  <c r="L217" i="1"/>
  <c r="M217" i="1"/>
  <c r="F218" i="1"/>
  <c r="G218" i="1"/>
  <c r="H218" i="1"/>
  <c r="I218" i="1"/>
  <c r="J218" i="1"/>
  <c r="K218" i="1"/>
  <c r="L218" i="1"/>
  <c r="M218" i="1"/>
  <c r="F219" i="1"/>
  <c r="G219" i="1"/>
  <c r="H219" i="1"/>
  <c r="I219" i="1"/>
  <c r="J219" i="1"/>
  <c r="K219" i="1"/>
  <c r="L219" i="1"/>
  <c r="M219" i="1"/>
  <c r="F220" i="1"/>
  <c r="G220" i="1"/>
  <c r="H220" i="1"/>
  <c r="I220" i="1"/>
  <c r="J220" i="1"/>
  <c r="K220" i="1"/>
  <c r="L220" i="1"/>
  <c r="M220" i="1"/>
  <c r="F221" i="1"/>
  <c r="G221" i="1"/>
  <c r="H221" i="1"/>
  <c r="I221" i="1"/>
  <c r="J221" i="1"/>
  <c r="K221" i="1"/>
  <c r="L221" i="1"/>
  <c r="M221" i="1"/>
  <c r="F222" i="1"/>
  <c r="G222" i="1"/>
  <c r="H222" i="1"/>
  <c r="I222" i="1"/>
  <c r="J222" i="1"/>
  <c r="K222" i="1"/>
  <c r="L222" i="1"/>
  <c r="M222" i="1"/>
  <c r="F223" i="1"/>
  <c r="G223" i="1"/>
  <c r="H223" i="1"/>
  <c r="I223" i="1"/>
  <c r="J223" i="1"/>
  <c r="K223" i="1"/>
  <c r="L223" i="1"/>
  <c r="M223" i="1"/>
  <c r="F224" i="1"/>
  <c r="G224" i="1"/>
  <c r="H224" i="1"/>
  <c r="I224" i="1"/>
  <c r="J224" i="1"/>
  <c r="K224" i="1"/>
  <c r="L224" i="1"/>
  <c r="M224" i="1"/>
  <c r="F225" i="1"/>
  <c r="G225" i="1"/>
  <c r="H225" i="1"/>
  <c r="I225" i="1"/>
  <c r="J225" i="1"/>
  <c r="K225" i="1"/>
  <c r="L225" i="1"/>
  <c r="M225" i="1"/>
  <c r="F226" i="1"/>
  <c r="G226" i="1"/>
  <c r="H226" i="1"/>
  <c r="I226" i="1"/>
  <c r="J226" i="1"/>
  <c r="K226" i="1"/>
  <c r="L226" i="1"/>
  <c r="M226" i="1"/>
  <c r="F227" i="1"/>
  <c r="G227" i="1"/>
  <c r="H227" i="1"/>
  <c r="I227" i="1"/>
  <c r="J227" i="1"/>
  <c r="K227" i="1"/>
  <c r="L227" i="1"/>
  <c r="M227" i="1"/>
  <c r="F228" i="1"/>
  <c r="G228" i="1"/>
  <c r="H228" i="1"/>
  <c r="I228" i="1"/>
  <c r="J228" i="1"/>
  <c r="K228" i="1"/>
  <c r="L228" i="1"/>
  <c r="M228" i="1"/>
  <c r="F229" i="1"/>
  <c r="G229" i="1"/>
  <c r="H229" i="1"/>
  <c r="I229" i="1"/>
  <c r="J229" i="1"/>
  <c r="K229" i="1"/>
  <c r="L229" i="1"/>
  <c r="M229" i="1"/>
  <c r="F230" i="1"/>
  <c r="G230" i="1"/>
  <c r="H230" i="1"/>
  <c r="I230" i="1"/>
  <c r="J230" i="1"/>
  <c r="K230" i="1"/>
  <c r="L230" i="1"/>
  <c r="M230" i="1"/>
  <c r="F231" i="1"/>
  <c r="G231" i="1"/>
  <c r="H231" i="1"/>
  <c r="I231" i="1"/>
  <c r="J231" i="1"/>
  <c r="K231" i="1"/>
  <c r="L231" i="1"/>
  <c r="M231" i="1"/>
  <c r="F232" i="1"/>
  <c r="G232" i="1"/>
  <c r="H232" i="1"/>
  <c r="I232" i="1"/>
  <c r="J232" i="1"/>
  <c r="K232" i="1"/>
  <c r="L232" i="1"/>
  <c r="M232" i="1"/>
  <c r="F233" i="1"/>
  <c r="G233" i="1"/>
  <c r="H233" i="1"/>
  <c r="I233" i="1"/>
  <c r="J233" i="1"/>
  <c r="K233" i="1"/>
  <c r="L233" i="1"/>
  <c r="M233" i="1"/>
  <c r="F234" i="1"/>
  <c r="G234" i="1"/>
  <c r="H234" i="1"/>
  <c r="I234" i="1"/>
  <c r="J234" i="1"/>
  <c r="K234" i="1"/>
  <c r="L234" i="1"/>
  <c r="M234" i="1"/>
  <c r="F235" i="1"/>
  <c r="G235" i="1"/>
  <c r="H235" i="1"/>
  <c r="I235" i="1"/>
  <c r="J235" i="1"/>
  <c r="K235" i="1"/>
  <c r="L235" i="1"/>
  <c r="M235" i="1"/>
  <c r="F236" i="1"/>
  <c r="G236" i="1"/>
  <c r="H236" i="1"/>
  <c r="I236" i="1"/>
  <c r="J236" i="1"/>
  <c r="K236" i="1"/>
  <c r="L236" i="1"/>
  <c r="M236" i="1"/>
  <c r="F237" i="1"/>
  <c r="G237" i="1"/>
  <c r="H237" i="1"/>
  <c r="I237" i="1"/>
  <c r="J237" i="1"/>
  <c r="K237" i="1"/>
  <c r="L237" i="1"/>
  <c r="M237" i="1"/>
  <c r="F238" i="1"/>
  <c r="G238" i="1"/>
  <c r="H238" i="1"/>
  <c r="I238" i="1"/>
  <c r="J238" i="1"/>
  <c r="K238" i="1"/>
  <c r="L238" i="1"/>
  <c r="M238" i="1"/>
  <c r="F239" i="1"/>
  <c r="G239" i="1"/>
  <c r="H239" i="1"/>
  <c r="I239" i="1"/>
  <c r="J239" i="1"/>
  <c r="K239" i="1"/>
  <c r="L239" i="1"/>
  <c r="M239" i="1"/>
  <c r="F240" i="1"/>
  <c r="G240" i="1"/>
  <c r="H240" i="1"/>
  <c r="I240" i="1"/>
  <c r="J240" i="1"/>
  <c r="K240" i="1"/>
  <c r="L240" i="1"/>
  <c r="M240" i="1"/>
  <c r="F241" i="1"/>
  <c r="G241" i="1"/>
  <c r="H241" i="1"/>
  <c r="I241" i="1"/>
  <c r="J241" i="1"/>
  <c r="K241" i="1"/>
  <c r="L241" i="1"/>
  <c r="M241" i="1"/>
  <c r="F242" i="1"/>
  <c r="G242" i="1"/>
  <c r="H242" i="1"/>
  <c r="I242" i="1"/>
  <c r="J242" i="1"/>
  <c r="K242" i="1"/>
  <c r="L242" i="1"/>
  <c r="M242" i="1"/>
  <c r="F243" i="1"/>
  <c r="G243" i="1"/>
  <c r="H243" i="1"/>
  <c r="I243" i="1"/>
  <c r="J243" i="1"/>
  <c r="K243" i="1"/>
  <c r="L243" i="1"/>
  <c r="M243" i="1"/>
  <c r="F244" i="1"/>
  <c r="G244" i="1"/>
  <c r="H244" i="1"/>
  <c r="I244" i="1"/>
  <c r="J244" i="1"/>
  <c r="K244" i="1"/>
  <c r="L244" i="1"/>
  <c r="M244" i="1"/>
  <c r="F245" i="1"/>
  <c r="G245" i="1"/>
  <c r="H245" i="1"/>
  <c r="I245" i="1"/>
  <c r="J245" i="1"/>
  <c r="K245" i="1"/>
  <c r="L245" i="1"/>
  <c r="M245" i="1"/>
  <c r="F246" i="1"/>
  <c r="G246" i="1"/>
  <c r="H246" i="1"/>
  <c r="I246" i="1"/>
  <c r="J246" i="1"/>
  <c r="K246" i="1"/>
  <c r="L246" i="1"/>
  <c r="M246" i="1"/>
  <c r="F247" i="1"/>
  <c r="G247" i="1"/>
  <c r="H247" i="1"/>
  <c r="I247" i="1"/>
  <c r="J247" i="1"/>
  <c r="K247" i="1"/>
  <c r="L247" i="1"/>
  <c r="M247" i="1"/>
  <c r="F248" i="1"/>
  <c r="G248" i="1"/>
  <c r="H248" i="1"/>
  <c r="I248" i="1"/>
  <c r="J248" i="1"/>
  <c r="K248" i="1"/>
  <c r="L248" i="1"/>
  <c r="M248" i="1"/>
  <c r="F249" i="1"/>
  <c r="G249" i="1"/>
  <c r="H249" i="1"/>
  <c r="I249" i="1"/>
  <c r="J249" i="1"/>
  <c r="K249" i="1"/>
  <c r="L249" i="1"/>
  <c r="M249" i="1"/>
  <c r="F250" i="1"/>
  <c r="G250" i="1"/>
  <c r="H250" i="1"/>
  <c r="I250" i="1"/>
  <c r="J250" i="1"/>
  <c r="K250" i="1"/>
  <c r="L250" i="1"/>
  <c r="M250" i="1"/>
  <c r="F251" i="1"/>
  <c r="G251" i="1"/>
  <c r="H251" i="1"/>
  <c r="I251" i="1"/>
  <c r="J251" i="1"/>
  <c r="K251" i="1"/>
  <c r="L251" i="1"/>
  <c r="M251" i="1"/>
  <c r="F252" i="1"/>
  <c r="G252" i="1"/>
  <c r="H252" i="1"/>
  <c r="I252" i="1"/>
  <c r="J252" i="1"/>
  <c r="K252" i="1"/>
  <c r="L252" i="1"/>
  <c r="M252" i="1"/>
  <c r="F253" i="1"/>
  <c r="G253" i="1"/>
  <c r="H253" i="1"/>
  <c r="I253" i="1"/>
  <c r="J253" i="1"/>
  <c r="K253" i="1"/>
  <c r="L253" i="1"/>
  <c r="M253" i="1"/>
  <c r="F254" i="1"/>
  <c r="G254" i="1"/>
  <c r="H254" i="1"/>
  <c r="I254" i="1"/>
  <c r="J254" i="1"/>
  <c r="K254" i="1"/>
  <c r="L254" i="1"/>
  <c r="M254" i="1"/>
  <c r="F255" i="1"/>
  <c r="G255" i="1"/>
  <c r="H255" i="1"/>
  <c r="I255" i="1"/>
  <c r="J255" i="1"/>
  <c r="K255" i="1"/>
  <c r="L255" i="1"/>
  <c r="M255" i="1"/>
  <c r="F256" i="1"/>
  <c r="G256" i="1"/>
  <c r="H256" i="1"/>
  <c r="I256" i="1"/>
  <c r="J256" i="1"/>
  <c r="K256" i="1"/>
  <c r="L256" i="1"/>
  <c r="M256" i="1"/>
  <c r="F257" i="1"/>
  <c r="G257" i="1"/>
  <c r="H257" i="1"/>
  <c r="I257" i="1"/>
  <c r="J257" i="1"/>
  <c r="K257" i="1"/>
  <c r="L257" i="1"/>
  <c r="M257" i="1"/>
  <c r="F258" i="1"/>
  <c r="G258" i="1"/>
  <c r="H258" i="1"/>
  <c r="I258" i="1"/>
  <c r="J258" i="1"/>
  <c r="K258" i="1"/>
  <c r="L258" i="1"/>
  <c r="M258" i="1"/>
  <c r="F259" i="1"/>
  <c r="G259" i="1"/>
  <c r="H259" i="1"/>
  <c r="I259" i="1"/>
  <c r="J259" i="1"/>
  <c r="K259" i="1"/>
  <c r="L259" i="1"/>
  <c r="M259" i="1"/>
  <c r="F260" i="1"/>
  <c r="G260" i="1"/>
  <c r="H260" i="1"/>
  <c r="I260" i="1"/>
  <c r="J260" i="1"/>
  <c r="K260" i="1"/>
  <c r="L260" i="1"/>
  <c r="M260" i="1"/>
  <c r="F261" i="1"/>
  <c r="G261" i="1"/>
  <c r="H261" i="1"/>
  <c r="I261" i="1"/>
  <c r="J261" i="1"/>
  <c r="K261" i="1"/>
  <c r="L261" i="1"/>
  <c r="M261" i="1"/>
  <c r="F262" i="1"/>
  <c r="G262" i="1"/>
  <c r="H262" i="1"/>
  <c r="I262" i="1"/>
  <c r="J262" i="1"/>
  <c r="K262" i="1"/>
  <c r="L262" i="1"/>
  <c r="M262" i="1"/>
  <c r="F263" i="1"/>
  <c r="G263" i="1"/>
  <c r="H263" i="1"/>
  <c r="I263" i="1"/>
  <c r="J263" i="1"/>
  <c r="K263" i="1"/>
  <c r="L263" i="1"/>
  <c r="M263" i="1"/>
  <c r="F264" i="1"/>
  <c r="G264" i="1"/>
  <c r="H264" i="1"/>
  <c r="I264" i="1"/>
  <c r="J264" i="1"/>
  <c r="K264" i="1"/>
  <c r="L264" i="1"/>
  <c r="M264" i="1"/>
  <c r="F265" i="1"/>
  <c r="G265" i="1"/>
  <c r="H265" i="1"/>
  <c r="I265" i="1"/>
  <c r="J265" i="1"/>
  <c r="K265" i="1"/>
  <c r="L265" i="1"/>
  <c r="M265" i="1"/>
  <c r="F266" i="1"/>
  <c r="G266" i="1"/>
  <c r="H266" i="1"/>
  <c r="I266" i="1"/>
  <c r="J266" i="1"/>
  <c r="K266" i="1"/>
  <c r="L266" i="1"/>
  <c r="M266" i="1"/>
  <c r="F267" i="1"/>
  <c r="G267" i="1"/>
  <c r="H267" i="1"/>
  <c r="I267" i="1"/>
  <c r="J267" i="1"/>
  <c r="K267" i="1"/>
  <c r="L267" i="1"/>
  <c r="M267" i="1"/>
  <c r="F268" i="1"/>
  <c r="G268" i="1"/>
  <c r="H268" i="1"/>
  <c r="I268" i="1"/>
  <c r="J268" i="1"/>
  <c r="K268" i="1"/>
  <c r="L268" i="1"/>
  <c r="M268" i="1"/>
  <c r="F269" i="1"/>
  <c r="G269" i="1"/>
  <c r="H269" i="1"/>
  <c r="I269" i="1"/>
  <c r="J269" i="1"/>
  <c r="K269" i="1"/>
  <c r="L269" i="1"/>
  <c r="M269" i="1"/>
  <c r="F270" i="1"/>
  <c r="G270" i="1"/>
  <c r="H270" i="1"/>
  <c r="I270" i="1"/>
  <c r="J270" i="1"/>
  <c r="K270" i="1"/>
  <c r="L270" i="1"/>
  <c r="M270" i="1"/>
  <c r="F271" i="1"/>
  <c r="G271" i="1"/>
  <c r="H271" i="1"/>
  <c r="I271" i="1"/>
  <c r="J271" i="1"/>
  <c r="K271" i="1"/>
  <c r="L271" i="1"/>
  <c r="M271" i="1"/>
  <c r="F272" i="1"/>
  <c r="G272" i="1"/>
  <c r="H272" i="1"/>
  <c r="I272" i="1"/>
  <c r="J272" i="1"/>
  <c r="K272" i="1"/>
  <c r="L272" i="1"/>
  <c r="M272" i="1"/>
  <c r="F273" i="1"/>
  <c r="G273" i="1"/>
  <c r="H273" i="1"/>
  <c r="I273" i="1"/>
  <c r="J273" i="1"/>
  <c r="K273" i="1"/>
  <c r="L273" i="1"/>
  <c r="M273" i="1"/>
  <c r="F274" i="1"/>
  <c r="G274" i="1"/>
  <c r="H274" i="1"/>
  <c r="I274" i="1"/>
  <c r="J274" i="1"/>
  <c r="K274" i="1"/>
  <c r="L274" i="1"/>
  <c r="M274" i="1"/>
  <c r="F275" i="1"/>
  <c r="G275" i="1"/>
  <c r="H275" i="1"/>
  <c r="I275" i="1"/>
  <c r="J275" i="1"/>
  <c r="K275" i="1"/>
  <c r="L275" i="1"/>
  <c r="M275" i="1"/>
  <c r="F276" i="1"/>
  <c r="G276" i="1"/>
  <c r="H276" i="1"/>
  <c r="I276" i="1"/>
  <c r="J276" i="1"/>
  <c r="K276" i="1"/>
  <c r="L276" i="1"/>
  <c r="M276" i="1"/>
  <c r="F277" i="1"/>
  <c r="G277" i="1"/>
  <c r="H277" i="1"/>
  <c r="I277" i="1"/>
  <c r="J277" i="1"/>
  <c r="K277" i="1"/>
  <c r="L277" i="1"/>
  <c r="M277" i="1"/>
  <c r="F278" i="1"/>
  <c r="G278" i="1"/>
  <c r="H278" i="1"/>
  <c r="I278" i="1"/>
  <c r="J278" i="1"/>
  <c r="K278" i="1"/>
  <c r="L278" i="1"/>
  <c r="M278" i="1"/>
  <c r="F279" i="1"/>
  <c r="G279" i="1"/>
  <c r="H279" i="1"/>
  <c r="I279" i="1"/>
  <c r="J279" i="1"/>
  <c r="K279" i="1"/>
  <c r="L279" i="1"/>
  <c r="M279" i="1"/>
  <c r="F280" i="1"/>
  <c r="G280" i="1"/>
  <c r="H280" i="1"/>
  <c r="I280" i="1"/>
  <c r="J280" i="1"/>
  <c r="K280" i="1"/>
  <c r="L280" i="1"/>
  <c r="M280" i="1"/>
  <c r="F281" i="1"/>
  <c r="G281" i="1"/>
  <c r="H281" i="1"/>
  <c r="I281" i="1"/>
  <c r="J281" i="1"/>
  <c r="K281" i="1"/>
  <c r="L281" i="1"/>
  <c r="M281" i="1"/>
  <c r="F282" i="1"/>
  <c r="G282" i="1"/>
  <c r="H282" i="1"/>
  <c r="I282" i="1"/>
  <c r="J282" i="1"/>
  <c r="K282" i="1"/>
  <c r="L282" i="1"/>
  <c r="M282" i="1"/>
  <c r="F283" i="1"/>
  <c r="G283" i="1"/>
  <c r="H283" i="1"/>
  <c r="I283" i="1"/>
  <c r="J283" i="1"/>
  <c r="K283" i="1"/>
  <c r="L283" i="1"/>
  <c r="M283" i="1"/>
  <c r="F284" i="1"/>
  <c r="G284" i="1"/>
  <c r="H284" i="1"/>
  <c r="I284" i="1"/>
  <c r="J284" i="1"/>
  <c r="K284" i="1"/>
  <c r="L284" i="1"/>
  <c r="M284" i="1"/>
  <c r="F285" i="1"/>
  <c r="G285" i="1"/>
  <c r="H285" i="1"/>
  <c r="I285" i="1"/>
  <c r="J285" i="1"/>
  <c r="K285" i="1"/>
  <c r="L285" i="1"/>
  <c r="M285" i="1"/>
  <c r="F286" i="1"/>
  <c r="G286" i="1"/>
  <c r="H286" i="1"/>
  <c r="I286" i="1"/>
  <c r="J286" i="1"/>
  <c r="K286" i="1"/>
  <c r="L286" i="1"/>
  <c r="M286" i="1"/>
  <c r="F287" i="1"/>
  <c r="G287" i="1"/>
  <c r="H287" i="1"/>
  <c r="I287" i="1"/>
  <c r="J287" i="1"/>
  <c r="K287" i="1"/>
  <c r="L287" i="1"/>
  <c r="M287" i="1"/>
  <c r="F288" i="1"/>
  <c r="G288" i="1"/>
  <c r="H288" i="1"/>
  <c r="I288" i="1"/>
  <c r="J288" i="1"/>
  <c r="K288" i="1"/>
  <c r="L288" i="1"/>
  <c r="M288" i="1"/>
  <c r="F289" i="1"/>
  <c r="G289" i="1"/>
  <c r="H289" i="1"/>
  <c r="I289" i="1"/>
  <c r="J289" i="1"/>
  <c r="K289" i="1"/>
  <c r="L289" i="1"/>
  <c r="M289" i="1"/>
  <c r="F290" i="1"/>
  <c r="G290" i="1"/>
  <c r="H290" i="1"/>
  <c r="I290" i="1"/>
  <c r="J290" i="1"/>
  <c r="K290" i="1"/>
  <c r="L290" i="1"/>
  <c r="M290" i="1"/>
  <c r="F291" i="1"/>
  <c r="G291" i="1"/>
  <c r="H291" i="1"/>
  <c r="I291" i="1"/>
  <c r="J291" i="1"/>
  <c r="K291" i="1"/>
  <c r="L291" i="1"/>
  <c r="M291" i="1"/>
  <c r="F292" i="1"/>
  <c r="G292" i="1"/>
  <c r="H292" i="1"/>
  <c r="I292" i="1"/>
  <c r="J292" i="1"/>
  <c r="K292" i="1"/>
  <c r="L292" i="1"/>
  <c r="M292" i="1"/>
  <c r="F293" i="1"/>
  <c r="G293" i="1"/>
  <c r="H293" i="1"/>
  <c r="I293" i="1"/>
  <c r="J293" i="1"/>
  <c r="K293" i="1"/>
  <c r="L293" i="1"/>
  <c r="M293" i="1"/>
  <c r="F294" i="1"/>
  <c r="G294" i="1"/>
  <c r="H294" i="1"/>
  <c r="I294" i="1"/>
  <c r="J294" i="1"/>
  <c r="K294" i="1"/>
  <c r="L294" i="1"/>
  <c r="M294" i="1"/>
  <c r="F295" i="1"/>
  <c r="G295" i="1"/>
  <c r="H295" i="1"/>
  <c r="I295" i="1"/>
  <c r="J295" i="1"/>
  <c r="K295" i="1"/>
  <c r="L295" i="1"/>
  <c r="M295" i="1"/>
  <c r="F296" i="1"/>
  <c r="G296" i="1"/>
  <c r="H296" i="1"/>
  <c r="I296" i="1"/>
  <c r="J296" i="1"/>
  <c r="K296" i="1"/>
  <c r="L296" i="1"/>
  <c r="M296" i="1"/>
  <c r="F297" i="1"/>
  <c r="G297" i="1"/>
  <c r="H297" i="1"/>
  <c r="I297" i="1"/>
  <c r="J297" i="1"/>
  <c r="K297" i="1"/>
  <c r="L297" i="1"/>
  <c r="M297" i="1"/>
  <c r="F298" i="1"/>
  <c r="G298" i="1"/>
  <c r="H298" i="1"/>
  <c r="I298" i="1"/>
  <c r="J298" i="1"/>
  <c r="K298" i="1"/>
  <c r="L298" i="1"/>
  <c r="M298" i="1"/>
  <c r="F299" i="1"/>
  <c r="G299" i="1"/>
  <c r="H299" i="1"/>
  <c r="I299" i="1"/>
  <c r="J299" i="1"/>
  <c r="K299" i="1"/>
  <c r="L299" i="1"/>
  <c r="M299" i="1"/>
  <c r="F300" i="1"/>
  <c r="G300" i="1"/>
  <c r="H300" i="1"/>
  <c r="I300" i="1"/>
  <c r="J300" i="1"/>
  <c r="K300" i="1"/>
  <c r="L300" i="1"/>
  <c r="M300" i="1"/>
  <c r="F301" i="1"/>
  <c r="G301" i="1"/>
  <c r="H301" i="1"/>
  <c r="I301" i="1"/>
  <c r="J301" i="1"/>
  <c r="K301" i="1"/>
  <c r="L301" i="1"/>
  <c r="M301" i="1"/>
  <c r="F302" i="1"/>
  <c r="G302" i="1"/>
  <c r="H302" i="1"/>
  <c r="I302" i="1"/>
  <c r="J302" i="1"/>
  <c r="K302" i="1"/>
  <c r="L302" i="1"/>
  <c r="M302" i="1"/>
  <c r="F303" i="1"/>
  <c r="G303" i="1"/>
  <c r="H303" i="1"/>
  <c r="I303" i="1"/>
  <c r="J303" i="1"/>
  <c r="K303" i="1"/>
  <c r="L303" i="1"/>
  <c r="M303" i="1"/>
  <c r="F304" i="1"/>
  <c r="G304" i="1"/>
  <c r="H304" i="1"/>
  <c r="I304" i="1"/>
  <c r="J304" i="1"/>
  <c r="K304" i="1"/>
  <c r="L304" i="1"/>
  <c r="M304" i="1"/>
  <c r="F305" i="1"/>
  <c r="G305" i="1"/>
  <c r="H305" i="1"/>
  <c r="I305" i="1"/>
  <c r="J305" i="1"/>
  <c r="K305" i="1"/>
  <c r="L305" i="1"/>
  <c r="M305" i="1"/>
  <c r="F306" i="1"/>
  <c r="G306" i="1"/>
  <c r="H306" i="1"/>
  <c r="I306" i="1"/>
  <c r="J306" i="1"/>
  <c r="K306" i="1"/>
  <c r="L306" i="1"/>
  <c r="M306" i="1"/>
  <c r="F307" i="1"/>
  <c r="G307" i="1"/>
  <c r="H307" i="1"/>
  <c r="I307" i="1"/>
  <c r="J307" i="1"/>
  <c r="K307" i="1"/>
  <c r="L307" i="1"/>
  <c r="M307" i="1"/>
  <c r="F308" i="1"/>
  <c r="G308" i="1"/>
  <c r="H308" i="1"/>
  <c r="I308" i="1"/>
  <c r="J308" i="1"/>
  <c r="K308" i="1"/>
  <c r="L308" i="1"/>
  <c r="M308" i="1"/>
  <c r="F309" i="1"/>
  <c r="G309" i="1"/>
  <c r="H309" i="1"/>
  <c r="I309" i="1"/>
  <c r="J309" i="1"/>
  <c r="K309" i="1"/>
  <c r="L309" i="1"/>
  <c r="M309" i="1"/>
  <c r="F310" i="1"/>
  <c r="G310" i="1"/>
  <c r="H310" i="1"/>
  <c r="I310" i="1"/>
  <c r="J310" i="1"/>
  <c r="K310" i="1"/>
  <c r="L310" i="1"/>
  <c r="M310" i="1"/>
  <c r="F311" i="1"/>
  <c r="G311" i="1"/>
  <c r="H311" i="1"/>
  <c r="I311" i="1"/>
  <c r="J311" i="1"/>
  <c r="K311" i="1"/>
  <c r="L311" i="1"/>
  <c r="M311" i="1"/>
  <c r="F312" i="1"/>
  <c r="G312" i="1"/>
  <c r="H312" i="1"/>
  <c r="I312" i="1"/>
  <c r="J312" i="1"/>
  <c r="K312" i="1"/>
  <c r="L312" i="1"/>
  <c r="M312" i="1"/>
  <c r="F313" i="1"/>
  <c r="G313" i="1"/>
  <c r="H313" i="1"/>
  <c r="I313" i="1"/>
  <c r="J313" i="1"/>
  <c r="K313" i="1"/>
  <c r="L313" i="1"/>
  <c r="M313" i="1"/>
  <c r="F314" i="1"/>
  <c r="G314" i="1"/>
  <c r="H314" i="1"/>
  <c r="I314" i="1"/>
  <c r="J314" i="1"/>
  <c r="K314" i="1"/>
  <c r="L314" i="1"/>
  <c r="M314" i="1"/>
  <c r="F315" i="1"/>
  <c r="G315" i="1"/>
  <c r="H315" i="1"/>
  <c r="I315" i="1"/>
  <c r="J315" i="1"/>
  <c r="K315" i="1"/>
  <c r="L315" i="1"/>
  <c r="M315" i="1"/>
  <c r="F316" i="1"/>
  <c r="G316" i="1"/>
  <c r="H316" i="1"/>
  <c r="I316" i="1"/>
  <c r="J316" i="1"/>
  <c r="K316" i="1"/>
  <c r="L316" i="1"/>
  <c r="M316" i="1"/>
  <c r="F317" i="1"/>
  <c r="G317" i="1"/>
  <c r="H317" i="1"/>
  <c r="I317" i="1"/>
  <c r="J317" i="1"/>
  <c r="K317" i="1"/>
  <c r="L317" i="1"/>
  <c r="M317" i="1"/>
  <c r="F318" i="1"/>
  <c r="G318" i="1"/>
  <c r="H318" i="1"/>
  <c r="I318" i="1"/>
  <c r="J318" i="1"/>
  <c r="K318" i="1"/>
  <c r="L318" i="1"/>
  <c r="M318" i="1"/>
  <c r="F319" i="1"/>
  <c r="G319" i="1"/>
  <c r="H319" i="1"/>
  <c r="I319" i="1"/>
  <c r="J319" i="1"/>
  <c r="K319" i="1"/>
  <c r="L319" i="1"/>
  <c r="M319" i="1"/>
  <c r="F320" i="1"/>
  <c r="G320" i="1"/>
  <c r="H320" i="1"/>
  <c r="I320" i="1"/>
  <c r="J320" i="1"/>
  <c r="K320" i="1"/>
  <c r="L320" i="1"/>
  <c r="M320" i="1"/>
  <c r="F321" i="1"/>
  <c r="G321" i="1"/>
  <c r="H321" i="1"/>
  <c r="I321" i="1"/>
  <c r="J321" i="1"/>
  <c r="K321" i="1"/>
  <c r="L321" i="1"/>
  <c r="M321" i="1"/>
  <c r="F322" i="1"/>
  <c r="G322" i="1"/>
  <c r="H322" i="1"/>
  <c r="I322" i="1"/>
  <c r="J322" i="1"/>
  <c r="K322" i="1"/>
  <c r="L322" i="1"/>
  <c r="M322" i="1"/>
  <c r="F323" i="1"/>
  <c r="G323" i="1"/>
  <c r="H323" i="1"/>
  <c r="I323" i="1"/>
  <c r="J323" i="1"/>
  <c r="K323" i="1"/>
  <c r="L323" i="1"/>
  <c r="M323" i="1"/>
  <c r="F324" i="1"/>
  <c r="G324" i="1"/>
  <c r="H324" i="1"/>
  <c r="I324" i="1"/>
  <c r="J324" i="1"/>
  <c r="K324" i="1"/>
  <c r="L324" i="1"/>
  <c r="M324" i="1"/>
  <c r="F325" i="1"/>
  <c r="G325" i="1"/>
  <c r="H325" i="1"/>
  <c r="I325" i="1"/>
  <c r="J325" i="1"/>
  <c r="K325" i="1"/>
  <c r="L325" i="1"/>
  <c r="M325" i="1"/>
  <c r="F326" i="1"/>
  <c r="G326" i="1"/>
  <c r="H326" i="1"/>
  <c r="I326" i="1"/>
  <c r="J326" i="1"/>
  <c r="K326" i="1"/>
  <c r="L326" i="1"/>
  <c r="M326" i="1"/>
  <c r="F327" i="1"/>
  <c r="G327" i="1"/>
  <c r="H327" i="1"/>
  <c r="I327" i="1"/>
  <c r="J327" i="1"/>
  <c r="K327" i="1"/>
  <c r="L327" i="1"/>
  <c r="M327" i="1"/>
  <c r="F328" i="1"/>
  <c r="G328" i="1"/>
  <c r="H328" i="1"/>
  <c r="I328" i="1"/>
  <c r="J328" i="1"/>
  <c r="K328" i="1"/>
  <c r="L328" i="1"/>
  <c r="M328" i="1"/>
  <c r="F329" i="1"/>
  <c r="G329" i="1"/>
  <c r="H329" i="1"/>
  <c r="I329" i="1"/>
  <c r="J329" i="1"/>
  <c r="K329" i="1"/>
  <c r="L329" i="1"/>
  <c r="M329" i="1"/>
  <c r="F330" i="1"/>
  <c r="G330" i="1"/>
  <c r="H330" i="1"/>
  <c r="I330" i="1"/>
  <c r="J330" i="1"/>
  <c r="K330" i="1"/>
  <c r="L330" i="1"/>
  <c r="M330" i="1"/>
  <c r="F331" i="1"/>
  <c r="G331" i="1"/>
  <c r="H331" i="1"/>
  <c r="I331" i="1"/>
  <c r="J331" i="1"/>
  <c r="K331" i="1"/>
  <c r="L331" i="1"/>
  <c r="M331" i="1"/>
  <c r="F332" i="1"/>
  <c r="G332" i="1"/>
  <c r="H332" i="1"/>
  <c r="I332" i="1"/>
  <c r="J332" i="1"/>
  <c r="K332" i="1"/>
  <c r="L332" i="1"/>
  <c r="M332" i="1"/>
  <c r="F333" i="1"/>
  <c r="G333" i="1"/>
  <c r="H333" i="1"/>
  <c r="I333" i="1"/>
  <c r="J333" i="1"/>
  <c r="K333" i="1"/>
  <c r="L333" i="1"/>
  <c r="M333" i="1"/>
  <c r="F334" i="1"/>
  <c r="G334" i="1"/>
  <c r="H334" i="1"/>
  <c r="I334" i="1"/>
  <c r="J334" i="1"/>
  <c r="K334" i="1"/>
  <c r="L334" i="1"/>
  <c r="M334" i="1"/>
  <c r="F335" i="1"/>
  <c r="G335" i="1"/>
  <c r="H335" i="1"/>
  <c r="I335" i="1"/>
  <c r="J335" i="1"/>
  <c r="K335" i="1"/>
  <c r="L335" i="1"/>
  <c r="M335" i="1"/>
  <c r="F336" i="1"/>
  <c r="G336" i="1"/>
  <c r="H336" i="1"/>
  <c r="I336" i="1"/>
  <c r="J336" i="1"/>
  <c r="K336" i="1"/>
  <c r="L336" i="1"/>
  <c r="M336" i="1"/>
  <c r="F337" i="1"/>
  <c r="G337" i="1"/>
  <c r="H337" i="1"/>
  <c r="I337" i="1"/>
  <c r="J337" i="1"/>
  <c r="K337" i="1"/>
  <c r="L337" i="1"/>
  <c r="M337" i="1"/>
  <c r="F338" i="1"/>
  <c r="G338" i="1"/>
  <c r="H338" i="1"/>
  <c r="I338" i="1"/>
  <c r="J338" i="1"/>
  <c r="K338" i="1"/>
  <c r="L338" i="1"/>
  <c r="M338" i="1"/>
  <c r="F339" i="1"/>
  <c r="G339" i="1"/>
  <c r="H339" i="1"/>
  <c r="I339" i="1"/>
  <c r="J339" i="1"/>
  <c r="K339" i="1"/>
  <c r="L339" i="1"/>
  <c r="M339" i="1"/>
  <c r="F340" i="1"/>
  <c r="G340" i="1"/>
  <c r="H340" i="1"/>
  <c r="I340" i="1"/>
  <c r="J340" i="1"/>
  <c r="K340" i="1"/>
  <c r="L340" i="1"/>
  <c r="M340" i="1"/>
  <c r="F341" i="1"/>
  <c r="G341" i="1"/>
  <c r="H341" i="1"/>
  <c r="I341" i="1"/>
  <c r="J341" i="1"/>
  <c r="K341" i="1"/>
  <c r="L341" i="1"/>
  <c r="M341" i="1"/>
  <c r="F342" i="1"/>
  <c r="G342" i="1"/>
  <c r="H342" i="1"/>
  <c r="I342" i="1"/>
  <c r="J342" i="1"/>
  <c r="K342" i="1"/>
  <c r="L342" i="1"/>
  <c r="M342" i="1"/>
  <c r="F343" i="1"/>
  <c r="G343" i="1"/>
  <c r="H343" i="1"/>
  <c r="I343" i="1"/>
  <c r="J343" i="1"/>
  <c r="K343" i="1"/>
  <c r="L343" i="1"/>
  <c r="M343" i="1"/>
  <c r="F344" i="1"/>
  <c r="G344" i="1"/>
  <c r="H344" i="1"/>
  <c r="I344" i="1"/>
  <c r="J344" i="1"/>
  <c r="K344" i="1"/>
  <c r="L344" i="1"/>
  <c r="M344" i="1"/>
  <c r="F345" i="1"/>
  <c r="G345" i="1"/>
  <c r="H345" i="1"/>
  <c r="I345" i="1"/>
  <c r="J345" i="1"/>
  <c r="K345" i="1"/>
  <c r="L345" i="1"/>
  <c r="M345" i="1"/>
  <c r="F346" i="1"/>
  <c r="G346" i="1"/>
  <c r="H346" i="1"/>
  <c r="I346" i="1"/>
  <c r="J346" i="1"/>
  <c r="K346" i="1"/>
  <c r="L346" i="1"/>
  <c r="M346" i="1"/>
  <c r="F347" i="1"/>
  <c r="G347" i="1"/>
  <c r="H347" i="1"/>
  <c r="I347" i="1"/>
  <c r="J347" i="1"/>
  <c r="K347" i="1"/>
  <c r="L347" i="1"/>
  <c r="M347" i="1"/>
  <c r="F348" i="1"/>
  <c r="G348" i="1"/>
  <c r="H348" i="1"/>
  <c r="I348" i="1"/>
  <c r="J348" i="1"/>
  <c r="K348" i="1"/>
  <c r="L348" i="1"/>
  <c r="M348" i="1"/>
  <c r="F349" i="1"/>
  <c r="G349" i="1"/>
  <c r="H349" i="1"/>
  <c r="I349" i="1"/>
  <c r="J349" i="1"/>
  <c r="K349" i="1"/>
  <c r="L349" i="1"/>
  <c r="M349" i="1"/>
  <c r="F350" i="1"/>
  <c r="G350" i="1"/>
  <c r="H350" i="1"/>
  <c r="I350" i="1"/>
  <c r="J350" i="1"/>
  <c r="K350" i="1"/>
  <c r="L350" i="1"/>
  <c r="M350" i="1"/>
  <c r="F351" i="1"/>
  <c r="G351" i="1"/>
  <c r="H351" i="1"/>
  <c r="I351" i="1"/>
  <c r="J351" i="1"/>
  <c r="K351" i="1"/>
  <c r="L351" i="1"/>
  <c r="M351" i="1"/>
  <c r="F352" i="1"/>
  <c r="G352" i="1"/>
  <c r="H352" i="1"/>
  <c r="I352" i="1"/>
  <c r="J352" i="1"/>
  <c r="K352" i="1"/>
  <c r="L352" i="1"/>
  <c r="M352" i="1"/>
  <c r="F353" i="1"/>
  <c r="G353" i="1"/>
  <c r="H353" i="1"/>
  <c r="I353" i="1"/>
  <c r="J353" i="1"/>
  <c r="K353" i="1"/>
  <c r="L353" i="1"/>
  <c r="M353" i="1"/>
  <c r="F354" i="1"/>
  <c r="G354" i="1"/>
  <c r="H354" i="1"/>
  <c r="I354" i="1"/>
  <c r="J354" i="1"/>
  <c r="K354" i="1"/>
  <c r="L354" i="1"/>
  <c r="M354" i="1"/>
  <c r="F355" i="1"/>
  <c r="G355" i="1"/>
  <c r="H355" i="1"/>
  <c r="I355" i="1"/>
  <c r="J355" i="1"/>
  <c r="K355" i="1"/>
  <c r="L355" i="1"/>
  <c r="M355" i="1"/>
  <c r="F356" i="1"/>
  <c r="G356" i="1"/>
  <c r="H356" i="1"/>
  <c r="I356" i="1"/>
  <c r="J356" i="1"/>
  <c r="K356" i="1"/>
  <c r="L356" i="1"/>
  <c r="M356" i="1"/>
  <c r="F357" i="1"/>
  <c r="G357" i="1"/>
  <c r="H357" i="1"/>
  <c r="I357" i="1"/>
  <c r="J357" i="1"/>
  <c r="K357" i="1"/>
  <c r="L357" i="1"/>
  <c r="M357" i="1"/>
  <c r="F358" i="1"/>
  <c r="G358" i="1"/>
  <c r="H358" i="1"/>
  <c r="I358" i="1"/>
  <c r="J358" i="1"/>
  <c r="K358" i="1"/>
  <c r="L358" i="1"/>
  <c r="M358" i="1"/>
  <c r="F359" i="1"/>
  <c r="G359" i="1"/>
  <c r="H359" i="1"/>
  <c r="I359" i="1"/>
  <c r="J359" i="1"/>
  <c r="K359" i="1"/>
  <c r="L359" i="1"/>
  <c r="M359" i="1"/>
  <c r="F360" i="1"/>
  <c r="G360" i="1"/>
  <c r="H360" i="1"/>
  <c r="I360" i="1"/>
  <c r="J360" i="1"/>
  <c r="K360" i="1"/>
  <c r="L360" i="1"/>
  <c r="M360" i="1"/>
  <c r="F361" i="1"/>
  <c r="G361" i="1"/>
  <c r="H361" i="1"/>
  <c r="I361" i="1"/>
  <c r="J361" i="1"/>
  <c r="K361" i="1"/>
  <c r="L361" i="1"/>
  <c r="M361" i="1"/>
  <c r="F362" i="1"/>
  <c r="G362" i="1"/>
  <c r="H362" i="1"/>
  <c r="I362" i="1"/>
  <c r="J362" i="1"/>
  <c r="K362" i="1"/>
  <c r="L362" i="1"/>
  <c r="M362" i="1"/>
  <c r="F363" i="1"/>
  <c r="G363" i="1"/>
  <c r="H363" i="1"/>
  <c r="I363" i="1"/>
  <c r="J363" i="1"/>
  <c r="K363" i="1"/>
  <c r="L363" i="1"/>
  <c r="M363" i="1"/>
  <c r="F364" i="1"/>
  <c r="G364" i="1"/>
  <c r="H364" i="1"/>
  <c r="I364" i="1"/>
  <c r="J364" i="1"/>
  <c r="K364" i="1"/>
  <c r="L364" i="1"/>
  <c r="M364" i="1"/>
  <c r="F365" i="1"/>
  <c r="G365" i="1"/>
  <c r="H365" i="1"/>
  <c r="I365" i="1"/>
  <c r="J365" i="1"/>
  <c r="K365" i="1"/>
  <c r="L365" i="1"/>
  <c r="M365" i="1"/>
  <c r="F366" i="1"/>
  <c r="G366" i="1"/>
  <c r="H366" i="1"/>
  <c r="I366" i="1"/>
  <c r="J366" i="1"/>
  <c r="K366" i="1"/>
  <c r="L366" i="1"/>
  <c r="M366" i="1"/>
  <c r="F367" i="1"/>
  <c r="G367" i="1"/>
  <c r="H367" i="1"/>
  <c r="I367" i="1"/>
  <c r="J367" i="1"/>
  <c r="K367" i="1"/>
  <c r="L367" i="1"/>
  <c r="M367" i="1"/>
  <c r="F368" i="1"/>
  <c r="G368" i="1"/>
  <c r="H368" i="1"/>
  <c r="I368" i="1"/>
  <c r="J368" i="1"/>
  <c r="K368" i="1"/>
  <c r="L368" i="1"/>
  <c r="M368" i="1"/>
  <c r="F369" i="1"/>
  <c r="G369" i="1"/>
  <c r="H369" i="1"/>
  <c r="I369" i="1"/>
  <c r="J369" i="1"/>
  <c r="K369" i="1"/>
  <c r="L369" i="1"/>
  <c r="M369" i="1"/>
  <c r="F370" i="1"/>
  <c r="G370" i="1"/>
  <c r="H370" i="1"/>
  <c r="I370" i="1"/>
  <c r="J370" i="1"/>
  <c r="K370" i="1"/>
  <c r="L370" i="1"/>
  <c r="M370" i="1"/>
  <c r="F371" i="1"/>
  <c r="G371" i="1"/>
  <c r="H371" i="1"/>
  <c r="I371" i="1"/>
  <c r="J371" i="1"/>
  <c r="K371" i="1"/>
  <c r="L371" i="1"/>
  <c r="M371" i="1"/>
  <c r="F372" i="1"/>
  <c r="G372" i="1"/>
  <c r="H372" i="1"/>
  <c r="I372" i="1"/>
  <c r="J372" i="1"/>
  <c r="K372" i="1"/>
  <c r="L372" i="1"/>
  <c r="M372" i="1"/>
  <c r="F373" i="1"/>
  <c r="G373" i="1"/>
  <c r="H373" i="1"/>
  <c r="I373" i="1"/>
  <c r="J373" i="1"/>
  <c r="K373" i="1"/>
  <c r="L373" i="1"/>
  <c r="M373" i="1"/>
  <c r="F374" i="1"/>
  <c r="G374" i="1"/>
  <c r="H374" i="1"/>
  <c r="I374" i="1"/>
  <c r="J374" i="1"/>
  <c r="K374" i="1"/>
  <c r="L374" i="1"/>
  <c r="M374" i="1"/>
  <c r="F375" i="1"/>
  <c r="G375" i="1"/>
  <c r="H375" i="1"/>
  <c r="I375" i="1"/>
  <c r="J375" i="1"/>
  <c r="K375" i="1"/>
  <c r="L375" i="1"/>
  <c r="M375" i="1"/>
  <c r="F376" i="1"/>
  <c r="G376" i="1"/>
  <c r="H376" i="1"/>
  <c r="I376" i="1"/>
  <c r="J376" i="1"/>
  <c r="K376" i="1"/>
  <c r="L376" i="1"/>
  <c r="M376" i="1"/>
  <c r="F377" i="1"/>
  <c r="G377" i="1"/>
  <c r="H377" i="1"/>
  <c r="I377" i="1"/>
  <c r="J377" i="1"/>
  <c r="K377" i="1"/>
  <c r="L377" i="1"/>
  <c r="M377" i="1"/>
  <c r="F378" i="1"/>
  <c r="G378" i="1"/>
  <c r="H378" i="1"/>
  <c r="I378" i="1"/>
  <c r="J378" i="1"/>
  <c r="K378" i="1"/>
  <c r="L378" i="1"/>
  <c r="M378" i="1"/>
  <c r="F379" i="1"/>
  <c r="G379" i="1"/>
  <c r="H379" i="1"/>
  <c r="I379" i="1"/>
  <c r="J379" i="1"/>
  <c r="K379" i="1"/>
  <c r="L379" i="1"/>
  <c r="M379" i="1"/>
  <c r="F380" i="1"/>
  <c r="G380" i="1"/>
  <c r="H380" i="1"/>
  <c r="I380" i="1"/>
  <c r="J380" i="1"/>
  <c r="K380" i="1"/>
  <c r="L380" i="1"/>
  <c r="M380" i="1"/>
  <c r="F381" i="1"/>
  <c r="G381" i="1"/>
  <c r="H381" i="1"/>
  <c r="I381" i="1"/>
  <c r="J381" i="1"/>
  <c r="K381" i="1"/>
  <c r="L381" i="1"/>
  <c r="M381" i="1"/>
  <c r="F382" i="1"/>
  <c r="G382" i="1"/>
  <c r="H382" i="1"/>
  <c r="I382" i="1"/>
  <c r="J382" i="1"/>
  <c r="K382" i="1"/>
  <c r="L382" i="1"/>
  <c r="M382" i="1"/>
  <c r="F383" i="1"/>
  <c r="G383" i="1"/>
  <c r="H383" i="1"/>
  <c r="I383" i="1"/>
  <c r="J383" i="1"/>
  <c r="K383" i="1"/>
  <c r="L383" i="1"/>
  <c r="M383" i="1"/>
  <c r="F384" i="1"/>
  <c r="G384" i="1"/>
  <c r="H384" i="1"/>
  <c r="I384" i="1"/>
  <c r="J384" i="1"/>
  <c r="K384" i="1"/>
  <c r="L384" i="1"/>
  <c r="M384" i="1"/>
  <c r="F385" i="1"/>
  <c r="G385" i="1"/>
  <c r="H385" i="1"/>
  <c r="I385" i="1"/>
  <c r="J385" i="1"/>
  <c r="K385" i="1"/>
  <c r="L385" i="1"/>
  <c r="M385" i="1"/>
  <c r="F386" i="1"/>
  <c r="G386" i="1"/>
  <c r="H386" i="1"/>
  <c r="I386" i="1"/>
  <c r="J386" i="1"/>
  <c r="K386" i="1"/>
  <c r="L386" i="1"/>
  <c r="M386" i="1"/>
  <c r="F387" i="1"/>
  <c r="G387" i="1"/>
  <c r="H387" i="1"/>
  <c r="I387" i="1"/>
  <c r="J387" i="1"/>
  <c r="K387" i="1"/>
  <c r="L387" i="1"/>
  <c r="M387" i="1"/>
  <c r="F388" i="1"/>
  <c r="G388" i="1"/>
  <c r="H388" i="1"/>
  <c r="I388" i="1"/>
  <c r="J388" i="1"/>
  <c r="K388" i="1"/>
  <c r="L388" i="1"/>
  <c r="M388" i="1"/>
  <c r="F389" i="1"/>
  <c r="G389" i="1"/>
  <c r="H389" i="1"/>
  <c r="I389" i="1"/>
  <c r="J389" i="1"/>
  <c r="K389" i="1"/>
  <c r="L389" i="1"/>
  <c r="M389" i="1"/>
  <c r="F390" i="1"/>
  <c r="G390" i="1"/>
  <c r="H390" i="1"/>
  <c r="I390" i="1"/>
  <c r="J390" i="1"/>
  <c r="K390" i="1"/>
  <c r="L390" i="1"/>
  <c r="M390" i="1"/>
  <c r="F391" i="1"/>
  <c r="G391" i="1"/>
  <c r="H391" i="1"/>
  <c r="I391" i="1"/>
  <c r="J391" i="1"/>
  <c r="K391" i="1"/>
  <c r="L391" i="1"/>
  <c r="M391" i="1"/>
  <c r="F392" i="1"/>
  <c r="G392" i="1"/>
  <c r="H392" i="1"/>
  <c r="I392" i="1"/>
  <c r="J392" i="1"/>
  <c r="K392" i="1"/>
  <c r="L392" i="1"/>
  <c r="M392" i="1"/>
  <c r="F393" i="1"/>
  <c r="G393" i="1"/>
  <c r="H393" i="1"/>
  <c r="I393" i="1"/>
  <c r="J393" i="1"/>
  <c r="K393" i="1"/>
  <c r="L393" i="1"/>
  <c r="M393" i="1"/>
  <c r="F394" i="1"/>
  <c r="G394" i="1"/>
  <c r="H394" i="1"/>
  <c r="I394" i="1"/>
  <c r="J394" i="1"/>
  <c r="K394" i="1"/>
  <c r="L394" i="1"/>
  <c r="M394" i="1"/>
  <c r="F395" i="1"/>
  <c r="G395" i="1"/>
  <c r="H395" i="1"/>
  <c r="I395" i="1"/>
  <c r="J395" i="1"/>
  <c r="K395" i="1"/>
  <c r="L395" i="1"/>
  <c r="M395" i="1"/>
  <c r="F396" i="1"/>
  <c r="G396" i="1"/>
  <c r="H396" i="1"/>
  <c r="I396" i="1"/>
  <c r="J396" i="1"/>
  <c r="K396" i="1"/>
  <c r="L396" i="1"/>
  <c r="M396" i="1"/>
  <c r="F397" i="1"/>
  <c r="G397" i="1"/>
  <c r="H397" i="1"/>
  <c r="I397" i="1"/>
  <c r="J397" i="1"/>
  <c r="K397" i="1"/>
  <c r="L397" i="1"/>
  <c r="M397" i="1"/>
  <c r="F398" i="1"/>
  <c r="G398" i="1"/>
  <c r="H398" i="1"/>
  <c r="I398" i="1"/>
  <c r="J398" i="1"/>
  <c r="K398" i="1"/>
  <c r="L398" i="1"/>
  <c r="M398" i="1"/>
  <c r="F399" i="1"/>
  <c r="G399" i="1"/>
  <c r="H399" i="1"/>
  <c r="I399" i="1"/>
  <c r="J399" i="1"/>
  <c r="K399" i="1"/>
  <c r="L399" i="1"/>
  <c r="M399" i="1"/>
  <c r="F400" i="1"/>
  <c r="G400" i="1"/>
  <c r="H400" i="1"/>
  <c r="I400" i="1"/>
  <c r="J400" i="1"/>
  <c r="K400" i="1"/>
  <c r="L400" i="1"/>
  <c r="M400" i="1"/>
  <c r="F401" i="1"/>
  <c r="G401" i="1"/>
  <c r="H401" i="1"/>
  <c r="I401" i="1"/>
  <c r="J401" i="1"/>
  <c r="K401" i="1"/>
  <c r="L401" i="1"/>
  <c r="M401" i="1"/>
  <c r="F402" i="1"/>
  <c r="G402" i="1"/>
  <c r="H402" i="1"/>
  <c r="I402" i="1"/>
  <c r="J402" i="1"/>
  <c r="K402" i="1"/>
  <c r="L402" i="1"/>
  <c r="M402" i="1"/>
  <c r="F403" i="1"/>
  <c r="G403" i="1"/>
  <c r="H403" i="1"/>
  <c r="I403" i="1"/>
  <c r="J403" i="1"/>
  <c r="K403" i="1"/>
  <c r="L403" i="1"/>
  <c r="M403" i="1"/>
  <c r="F404" i="1"/>
  <c r="G404" i="1"/>
  <c r="H404" i="1"/>
  <c r="I404" i="1"/>
  <c r="J404" i="1"/>
  <c r="K404" i="1"/>
  <c r="L404" i="1"/>
  <c r="M404" i="1"/>
  <c r="F405" i="1"/>
  <c r="G405" i="1"/>
  <c r="H405" i="1"/>
  <c r="I405" i="1"/>
  <c r="J405" i="1"/>
  <c r="K405" i="1"/>
  <c r="L405" i="1"/>
  <c r="M405" i="1"/>
  <c r="F406" i="1"/>
  <c r="G406" i="1"/>
  <c r="H406" i="1"/>
  <c r="I406" i="1"/>
  <c r="J406" i="1"/>
  <c r="K406" i="1"/>
  <c r="L406" i="1"/>
  <c r="M406" i="1"/>
  <c r="F407" i="1"/>
  <c r="G407" i="1"/>
  <c r="H407" i="1"/>
  <c r="I407" i="1"/>
  <c r="J407" i="1"/>
  <c r="K407" i="1"/>
  <c r="L407" i="1"/>
  <c r="M407" i="1"/>
  <c r="F408" i="1"/>
  <c r="G408" i="1"/>
  <c r="H408" i="1"/>
  <c r="I408" i="1"/>
  <c r="J408" i="1"/>
  <c r="K408" i="1"/>
  <c r="L408" i="1"/>
  <c r="M408" i="1"/>
  <c r="F409" i="1"/>
  <c r="G409" i="1"/>
  <c r="H409" i="1"/>
  <c r="I409" i="1"/>
  <c r="J409" i="1"/>
  <c r="K409" i="1"/>
  <c r="L409" i="1"/>
  <c r="M409" i="1"/>
  <c r="F410" i="1"/>
  <c r="G410" i="1"/>
  <c r="H410" i="1"/>
  <c r="I410" i="1"/>
  <c r="J410" i="1"/>
  <c r="K410" i="1"/>
  <c r="L410" i="1"/>
  <c r="M410" i="1"/>
  <c r="F411" i="1"/>
  <c r="G411" i="1"/>
  <c r="H411" i="1"/>
  <c r="I411" i="1"/>
  <c r="J411" i="1"/>
  <c r="K411" i="1"/>
  <c r="L411" i="1"/>
  <c r="M411" i="1"/>
  <c r="F412" i="1"/>
  <c r="G412" i="1"/>
  <c r="H412" i="1"/>
  <c r="I412" i="1"/>
  <c r="J412" i="1"/>
  <c r="K412" i="1"/>
  <c r="L412" i="1"/>
  <c r="M412" i="1"/>
  <c r="F413" i="1"/>
  <c r="G413" i="1"/>
  <c r="H413" i="1"/>
  <c r="I413" i="1"/>
  <c r="J413" i="1"/>
  <c r="K413" i="1"/>
  <c r="L413" i="1"/>
  <c r="M413" i="1"/>
  <c r="F414" i="1"/>
  <c r="G414" i="1"/>
  <c r="H414" i="1"/>
  <c r="I414" i="1"/>
  <c r="J414" i="1"/>
  <c r="K414" i="1"/>
  <c r="L414" i="1"/>
  <c r="M414" i="1"/>
  <c r="F415" i="1"/>
  <c r="G415" i="1"/>
  <c r="H415" i="1"/>
  <c r="I415" i="1"/>
  <c r="J415" i="1"/>
  <c r="K415" i="1"/>
  <c r="L415" i="1"/>
  <c r="M415" i="1"/>
  <c r="F416" i="1"/>
  <c r="G416" i="1"/>
  <c r="H416" i="1"/>
  <c r="I416" i="1"/>
  <c r="J416" i="1"/>
  <c r="K416" i="1"/>
  <c r="L416" i="1"/>
  <c r="M416" i="1"/>
  <c r="F417" i="1"/>
  <c r="G417" i="1"/>
  <c r="H417" i="1"/>
  <c r="I417" i="1"/>
  <c r="J417" i="1"/>
  <c r="K417" i="1"/>
  <c r="L417" i="1"/>
  <c r="M417" i="1"/>
  <c r="F418" i="1"/>
  <c r="G418" i="1"/>
  <c r="H418" i="1"/>
  <c r="I418" i="1"/>
  <c r="J418" i="1"/>
  <c r="K418" i="1"/>
  <c r="L418" i="1"/>
  <c r="M418" i="1"/>
  <c r="F419" i="1"/>
  <c r="G419" i="1"/>
  <c r="H419" i="1"/>
  <c r="I419" i="1"/>
  <c r="J419" i="1"/>
  <c r="K419" i="1"/>
  <c r="L419" i="1"/>
  <c r="M419" i="1"/>
  <c r="F420" i="1"/>
  <c r="G420" i="1"/>
  <c r="H420" i="1"/>
  <c r="I420" i="1"/>
  <c r="J420" i="1"/>
  <c r="K420" i="1"/>
  <c r="L420" i="1"/>
  <c r="M420" i="1"/>
  <c r="F421" i="1"/>
  <c r="G421" i="1"/>
  <c r="H421" i="1"/>
  <c r="I421" i="1"/>
  <c r="J421" i="1"/>
  <c r="K421" i="1"/>
  <c r="L421" i="1"/>
  <c r="M421" i="1"/>
  <c r="F422" i="1"/>
  <c r="G422" i="1"/>
  <c r="H422" i="1"/>
  <c r="I422" i="1"/>
  <c r="J422" i="1"/>
  <c r="K422" i="1"/>
  <c r="L422" i="1"/>
  <c r="M422" i="1"/>
  <c r="F423" i="1"/>
  <c r="G423" i="1"/>
  <c r="H423" i="1"/>
  <c r="I423" i="1"/>
  <c r="J423" i="1"/>
  <c r="K423" i="1"/>
  <c r="L423" i="1"/>
  <c r="M423" i="1"/>
  <c r="F424" i="1"/>
  <c r="G424" i="1"/>
  <c r="H424" i="1"/>
  <c r="I424" i="1"/>
  <c r="J424" i="1"/>
  <c r="K424" i="1"/>
  <c r="L424" i="1"/>
  <c r="M424" i="1"/>
  <c r="F425" i="1"/>
  <c r="G425" i="1"/>
  <c r="H425" i="1"/>
  <c r="I425" i="1"/>
  <c r="J425" i="1"/>
  <c r="K425" i="1"/>
  <c r="L425" i="1"/>
  <c r="M425" i="1"/>
  <c r="F426" i="1"/>
  <c r="G426" i="1"/>
  <c r="H426" i="1"/>
  <c r="I426" i="1"/>
  <c r="J426" i="1"/>
  <c r="K426" i="1"/>
  <c r="L426" i="1"/>
  <c r="M426" i="1"/>
  <c r="F427" i="1"/>
  <c r="G427" i="1"/>
  <c r="H427" i="1"/>
  <c r="I427" i="1"/>
  <c r="J427" i="1"/>
  <c r="K427" i="1"/>
  <c r="L427" i="1"/>
  <c r="M427" i="1"/>
  <c r="F428" i="1"/>
  <c r="G428" i="1"/>
  <c r="H428" i="1"/>
  <c r="I428" i="1"/>
  <c r="J428" i="1"/>
  <c r="K428" i="1"/>
  <c r="L428" i="1"/>
  <c r="M428" i="1"/>
  <c r="F429" i="1"/>
  <c r="G429" i="1"/>
  <c r="H429" i="1"/>
  <c r="I429" i="1"/>
  <c r="J429" i="1"/>
  <c r="K429" i="1"/>
  <c r="L429" i="1"/>
  <c r="M429" i="1"/>
  <c r="F430" i="1"/>
  <c r="G430" i="1"/>
  <c r="H430" i="1"/>
  <c r="I430" i="1"/>
  <c r="J430" i="1"/>
  <c r="K430" i="1"/>
  <c r="L430" i="1"/>
  <c r="M430" i="1"/>
  <c r="F431" i="1"/>
  <c r="G431" i="1"/>
  <c r="H431" i="1"/>
  <c r="I431" i="1"/>
  <c r="J431" i="1"/>
  <c r="K431" i="1"/>
  <c r="L431" i="1"/>
  <c r="M431" i="1"/>
  <c r="F432" i="1"/>
  <c r="G432" i="1"/>
  <c r="H432" i="1"/>
  <c r="I432" i="1"/>
  <c r="J432" i="1"/>
  <c r="K432" i="1"/>
  <c r="L432" i="1"/>
  <c r="M432" i="1"/>
  <c r="F433" i="1"/>
  <c r="G433" i="1"/>
  <c r="H433" i="1"/>
  <c r="I433" i="1"/>
  <c r="J433" i="1"/>
  <c r="K433" i="1"/>
  <c r="L433" i="1"/>
  <c r="M433" i="1"/>
  <c r="F434" i="1"/>
  <c r="G434" i="1"/>
  <c r="H434" i="1"/>
  <c r="I434" i="1"/>
  <c r="J434" i="1"/>
  <c r="K434" i="1"/>
  <c r="L434" i="1"/>
  <c r="M434" i="1"/>
  <c r="F435" i="1"/>
  <c r="G435" i="1"/>
  <c r="H435" i="1"/>
  <c r="I435" i="1"/>
  <c r="J435" i="1"/>
  <c r="K435" i="1"/>
  <c r="L435" i="1"/>
  <c r="M435" i="1"/>
  <c r="F436" i="1"/>
  <c r="G436" i="1"/>
  <c r="H436" i="1"/>
  <c r="I436" i="1"/>
  <c r="J436" i="1"/>
  <c r="K436" i="1"/>
  <c r="L436" i="1"/>
  <c r="M436" i="1"/>
  <c r="F437" i="1"/>
  <c r="G437" i="1"/>
  <c r="H437" i="1"/>
  <c r="I437" i="1"/>
  <c r="J437" i="1"/>
  <c r="K437" i="1"/>
  <c r="L437" i="1"/>
  <c r="M437" i="1"/>
  <c r="F438" i="1"/>
  <c r="G438" i="1"/>
  <c r="H438" i="1"/>
  <c r="I438" i="1"/>
  <c r="J438" i="1"/>
  <c r="K438" i="1"/>
  <c r="L438" i="1"/>
  <c r="M438" i="1"/>
  <c r="F439" i="1"/>
  <c r="G439" i="1"/>
  <c r="H439" i="1"/>
  <c r="I439" i="1"/>
  <c r="J439" i="1"/>
  <c r="K439" i="1"/>
  <c r="L439" i="1"/>
  <c r="M439" i="1"/>
  <c r="F440" i="1"/>
  <c r="G440" i="1"/>
  <c r="H440" i="1"/>
  <c r="I440" i="1"/>
  <c r="J440" i="1"/>
  <c r="K440" i="1"/>
  <c r="L440" i="1"/>
  <c r="M440" i="1"/>
  <c r="F441" i="1"/>
  <c r="G441" i="1"/>
  <c r="H441" i="1"/>
  <c r="I441" i="1"/>
  <c r="J441" i="1"/>
  <c r="K441" i="1"/>
  <c r="L441" i="1"/>
  <c r="M441" i="1"/>
  <c r="F442" i="1"/>
  <c r="G442" i="1"/>
  <c r="H442" i="1"/>
  <c r="I442" i="1"/>
  <c r="J442" i="1"/>
  <c r="K442" i="1"/>
  <c r="L442" i="1"/>
  <c r="M442" i="1"/>
  <c r="F443" i="1"/>
  <c r="G443" i="1"/>
  <c r="H443" i="1"/>
  <c r="I443" i="1"/>
  <c r="J443" i="1"/>
  <c r="K443" i="1"/>
  <c r="L443" i="1"/>
  <c r="M443" i="1"/>
  <c r="F444" i="1"/>
  <c r="G444" i="1"/>
  <c r="H444" i="1"/>
  <c r="I444" i="1"/>
  <c r="J444" i="1"/>
  <c r="K444" i="1"/>
  <c r="L444" i="1"/>
  <c r="M444" i="1"/>
  <c r="F445" i="1"/>
  <c r="G445" i="1"/>
  <c r="H445" i="1"/>
  <c r="I445" i="1"/>
  <c r="J445" i="1"/>
  <c r="K445" i="1"/>
  <c r="L445" i="1"/>
  <c r="M445" i="1"/>
  <c r="F446" i="1"/>
  <c r="G446" i="1"/>
  <c r="H446" i="1"/>
  <c r="I446" i="1"/>
  <c r="J446" i="1"/>
  <c r="K446" i="1"/>
  <c r="L446" i="1"/>
  <c r="M446" i="1"/>
  <c r="F447" i="1"/>
  <c r="G447" i="1"/>
  <c r="H447" i="1"/>
  <c r="I447" i="1"/>
  <c r="J447" i="1"/>
  <c r="K447" i="1"/>
  <c r="L447" i="1"/>
  <c r="M447" i="1"/>
  <c r="F448" i="1"/>
  <c r="G448" i="1"/>
  <c r="H448" i="1"/>
  <c r="I448" i="1"/>
  <c r="J448" i="1"/>
  <c r="K448" i="1"/>
  <c r="L448" i="1"/>
  <c r="M448" i="1"/>
  <c r="F449" i="1"/>
  <c r="G449" i="1"/>
  <c r="H449" i="1"/>
  <c r="I449" i="1"/>
  <c r="J449" i="1"/>
  <c r="K449" i="1"/>
  <c r="L449" i="1"/>
  <c r="M449" i="1"/>
  <c r="F450" i="1"/>
  <c r="G450" i="1"/>
  <c r="H450" i="1"/>
  <c r="I450" i="1"/>
  <c r="J450" i="1"/>
  <c r="K450" i="1"/>
  <c r="L450" i="1"/>
  <c r="M450" i="1"/>
  <c r="F451" i="1"/>
  <c r="G451" i="1"/>
  <c r="H451" i="1"/>
  <c r="I451" i="1"/>
  <c r="J451" i="1"/>
  <c r="K451" i="1"/>
  <c r="L451" i="1"/>
  <c r="M451" i="1"/>
  <c r="F452" i="1"/>
  <c r="G452" i="1"/>
  <c r="H452" i="1"/>
  <c r="I452" i="1"/>
  <c r="J452" i="1"/>
  <c r="K452" i="1"/>
  <c r="L452" i="1"/>
  <c r="M452" i="1"/>
  <c r="F453" i="1"/>
  <c r="G453" i="1"/>
  <c r="H453" i="1"/>
  <c r="I453" i="1"/>
  <c r="J453" i="1"/>
  <c r="K453" i="1"/>
  <c r="L453" i="1"/>
  <c r="M453" i="1"/>
  <c r="F454" i="1"/>
  <c r="G454" i="1"/>
  <c r="H454" i="1"/>
  <c r="I454" i="1"/>
  <c r="J454" i="1"/>
  <c r="K454" i="1"/>
  <c r="L454" i="1"/>
  <c r="M454" i="1"/>
  <c r="F455" i="1"/>
  <c r="G455" i="1"/>
  <c r="H455" i="1"/>
  <c r="I455" i="1"/>
  <c r="J455" i="1"/>
  <c r="K455" i="1"/>
  <c r="L455" i="1"/>
  <c r="M455" i="1"/>
  <c r="F456" i="1"/>
  <c r="G456" i="1"/>
  <c r="H456" i="1"/>
  <c r="I456" i="1"/>
  <c r="J456" i="1"/>
  <c r="K456" i="1"/>
  <c r="L456" i="1"/>
  <c r="M456" i="1"/>
  <c r="F457" i="1"/>
  <c r="G457" i="1"/>
  <c r="H457" i="1"/>
  <c r="I457" i="1"/>
  <c r="J457" i="1"/>
  <c r="K457" i="1"/>
  <c r="L457" i="1"/>
  <c r="M457" i="1"/>
  <c r="F458" i="1"/>
  <c r="G458" i="1"/>
  <c r="H458" i="1"/>
  <c r="I458" i="1"/>
  <c r="J458" i="1"/>
  <c r="K458" i="1"/>
  <c r="L458" i="1"/>
  <c r="M458" i="1"/>
  <c r="F459" i="1"/>
  <c r="G459" i="1"/>
  <c r="H459" i="1"/>
  <c r="I459" i="1"/>
  <c r="J459" i="1"/>
  <c r="K459" i="1"/>
  <c r="L459" i="1"/>
  <c r="M459" i="1"/>
  <c r="F460" i="1"/>
  <c r="G460" i="1"/>
  <c r="H460" i="1"/>
  <c r="I460" i="1"/>
  <c r="J460" i="1"/>
  <c r="K460" i="1"/>
  <c r="L460" i="1"/>
  <c r="M460" i="1"/>
  <c r="F461" i="1"/>
  <c r="G461" i="1"/>
  <c r="H461" i="1"/>
  <c r="I461" i="1"/>
  <c r="J461" i="1"/>
  <c r="K461" i="1"/>
  <c r="L461" i="1"/>
  <c r="M461" i="1"/>
  <c r="F462" i="1"/>
  <c r="G462" i="1"/>
  <c r="H462" i="1"/>
  <c r="I462" i="1"/>
  <c r="J462" i="1"/>
  <c r="K462" i="1"/>
  <c r="L462" i="1"/>
  <c r="M462" i="1"/>
  <c r="F463" i="1"/>
  <c r="G463" i="1"/>
  <c r="H463" i="1"/>
  <c r="I463" i="1"/>
  <c r="J463" i="1"/>
  <c r="K463" i="1"/>
  <c r="L463" i="1"/>
  <c r="M463" i="1"/>
  <c r="F464" i="1"/>
  <c r="G464" i="1"/>
  <c r="H464" i="1"/>
  <c r="I464" i="1"/>
  <c r="J464" i="1"/>
  <c r="K464" i="1"/>
  <c r="L464" i="1"/>
  <c r="M464" i="1"/>
  <c r="F465" i="1"/>
  <c r="G465" i="1"/>
  <c r="H465" i="1"/>
  <c r="I465" i="1"/>
  <c r="J465" i="1"/>
  <c r="K465" i="1"/>
  <c r="L465" i="1"/>
  <c r="M465" i="1"/>
  <c r="F466" i="1"/>
  <c r="G466" i="1"/>
  <c r="H466" i="1"/>
  <c r="I466" i="1"/>
  <c r="J466" i="1"/>
  <c r="K466" i="1"/>
  <c r="L466" i="1"/>
  <c r="M466" i="1"/>
  <c r="F467" i="1"/>
  <c r="G467" i="1"/>
  <c r="H467" i="1"/>
  <c r="I467" i="1"/>
  <c r="J467" i="1"/>
  <c r="K467" i="1"/>
  <c r="L467" i="1"/>
  <c r="M467" i="1"/>
  <c r="F468" i="1"/>
  <c r="G468" i="1"/>
  <c r="H468" i="1"/>
  <c r="I468" i="1"/>
  <c r="J468" i="1"/>
  <c r="K468" i="1"/>
  <c r="L468" i="1"/>
  <c r="M468" i="1"/>
  <c r="F469" i="1"/>
  <c r="G469" i="1"/>
  <c r="H469" i="1"/>
  <c r="I469" i="1"/>
  <c r="J469" i="1"/>
  <c r="K469" i="1"/>
  <c r="L469" i="1"/>
  <c r="M469" i="1"/>
  <c r="F470" i="1"/>
  <c r="G470" i="1"/>
  <c r="H470" i="1"/>
  <c r="I470" i="1"/>
  <c r="J470" i="1"/>
  <c r="K470" i="1"/>
  <c r="L470" i="1"/>
  <c r="M470" i="1"/>
  <c r="F471" i="1"/>
  <c r="G471" i="1"/>
  <c r="H471" i="1"/>
  <c r="I471" i="1"/>
  <c r="J471" i="1"/>
  <c r="K471" i="1"/>
  <c r="L471" i="1"/>
  <c r="M471" i="1"/>
  <c r="F472" i="1"/>
  <c r="G472" i="1"/>
  <c r="H472" i="1"/>
  <c r="I472" i="1"/>
  <c r="J472" i="1"/>
  <c r="K472" i="1"/>
  <c r="L472" i="1"/>
  <c r="M472" i="1"/>
  <c r="F473" i="1"/>
  <c r="G473" i="1"/>
  <c r="H473" i="1"/>
  <c r="I473" i="1"/>
  <c r="J473" i="1"/>
  <c r="K473" i="1"/>
  <c r="L473" i="1"/>
  <c r="M473" i="1"/>
  <c r="F474" i="1"/>
  <c r="G474" i="1"/>
  <c r="H474" i="1"/>
  <c r="I474" i="1"/>
  <c r="J474" i="1"/>
  <c r="K474" i="1"/>
  <c r="L474" i="1"/>
  <c r="M474" i="1"/>
  <c r="F475" i="1"/>
  <c r="G475" i="1"/>
  <c r="H475" i="1"/>
  <c r="I475" i="1"/>
  <c r="J475" i="1"/>
  <c r="K475" i="1"/>
  <c r="L475" i="1"/>
  <c r="M475" i="1"/>
  <c r="F476" i="1"/>
  <c r="G476" i="1"/>
  <c r="H476" i="1"/>
  <c r="I476" i="1"/>
  <c r="J476" i="1"/>
  <c r="K476" i="1"/>
  <c r="L476" i="1"/>
  <c r="M476" i="1"/>
  <c r="F477" i="1"/>
  <c r="G477" i="1"/>
  <c r="H477" i="1"/>
  <c r="I477" i="1"/>
  <c r="J477" i="1"/>
  <c r="K477" i="1"/>
  <c r="L477" i="1"/>
  <c r="M477" i="1"/>
  <c r="F478" i="1"/>
  <c r="G478" i="1"/>
  <c r="H478" i="1"/>
  <c r="I478" i="1"/>
  <c r="J478" i="1"/>
  <c r="K478" i="1"/>
  <c r="L478" i="1"/>
  <c r="M478" i="1"/>
  <c r="F479" i="1"/>
  <c r="G479" i="1"/>
  <c r="H479" i="1"/>
  <c r="I479" i="1"/>
  <c r="J479" i="1"/>
  <c r="K479" i="1"/>
  <c r="L479" i="1"/>
  <c r="M479" i="1"/>
  <c r="F480" i="1"/>
  <c r="G480" i="1"/>
  <c r="H480" i="1"/>
  <c r="I480" i="1"/>
  <c r="J480" i="1"/>
  <c r="K480" i="1"/>
  <c r="L480" i="1"/>
  <c r="M480" i="1"/>
  <c r="F481" i="1"/>
  <c r="G481" i="1"/>
  <c r="H481" i="1"/>
  <c r="I481" i="1"/>
  <c r="J481" i="1"/>
  <c r="K481" i="1"/>
  <c r="L481" i="1"/>
  <c r="M481" i="1"/>
  <c r="F482" i="1"/>
  <c r="G482" i="1"/>
  <c r="H482" i="1"/>
  <c r="I482" i="1"/>
  <c r="J482" i="1"/>
  <c r="K482" i="1"/>
  <c r="L482" i="1"/>
  <c r="M482" i="1"/>
  <c r="F483" i="1"/>
  <c r="G483" i="1"/>
  <c r="H483" i="1"/>
  <c r="I483" i="1"/>
  <c r="J483" i="1"/>
  <c r="K483" i="1"/>
  <c r="L483" i="1"/>
  <c r="M483" i="1"/>
  <c r="F484" i="1"/>
  <c r="G484" i="1"/>
  <c r="H484" i="1"/>
  <c r="I484" i="1"/>
  <c r="J484" i="1"/>
  <c r="K484" i="1"/>
  <c r="L484" i="1"/>
  <c r="M484" i="1"/>
  <c r="F485" i="1"/>
  <c r="G485" i="1"/>
  <c r="H485" i="1"/>
  <c r="I485" i="1"/>
  <c r="J485" i="1"/>
  <c r="K485" i="1"/>
  <c r="L485" i="1"/>
  <c r="M485" i="1"/>
  <c r="F486" i="1"/>
  <c r="G486" i="1"/>
  <c r="H486" i="1"/>
  <c r="I486" i="1"/>
  <c r="J486" i="1"/>
  <c r="K486" i="1"/>
  <c r="L486" i="1"/>
  <c r="M486" i="1"/>
  <c r="F487" i="1"/>
  <c r="G487" i="1"/>
  <c r="H487" i="1"/>
  <c r="I487" i="1"/>
  <c r="J487" i="1"/>
  <c r="K487" i="1"/>
  <c r="L487" i="1"/>
  <c r="M487" i="1"/>
  <c r="F488" i="1"/>
  <c r="G488" i="1"/>
  <c r="H488" i="1"/>
  <c r="I488" i="1"/>
  <c r="J488" i="1"/>
  <c r="K488" i="1"/>
  <c r="L488" i="1"/>
  <c r="M488" i="1"/>
  <c r="F489" i="1"/>
  <c r="G489" i="1"/>
  <c r="H489" i="1"/>
  <c r="I489" i="1"/>
  <c r="J489" i="1"/>
  <c r="K489" i="1"/>
  <c r="L489" i="1"/>
  <c r="M489" i="1"/>
  <c r="F490" i="1"/>
  <c r="G490" i="1"/>
  <c r="H490" i="1"/>
  <c r="I490" i="1"/>
  <c r="J490" i="1"/>
  <c r="K490" i="1"/>
  <c r="L490" i="1"/>
  <c r="M490" i="1"/>
  <c r="F491" i="1"/>
  <c r="G491" i="1"/>
  <c r="H491" i="1"/>
  <c r="I491" i="1"/>
  <c r="J491" i="1"/>
  <c r="K491" i="1"/>
  <c r="L491" i="1"/>
  <c r="M491" i="1"/>
  <c r="F492" i="1"/>
  <c r="G492" i="1"/>
  <c r="H492" i="1"/>
  <c r="I492" i="1"/>
  <c r="J492" i="1"/>
  <c r="K492" i="1"/>
  <c r="L492" i="1"/>
  <c r="M492" i="1"/>
  <c r="F493" i="1"/>
  <c r="G493" i="1"/>
  <c r="H493" i="1"/>
  <c r="I493" i="1"/>
  <c r="J493" i="1"/>
  <c r="K493" i="1"/>
  <c r="L493" i="1"/>
  <c r="M493" i="1"/>
  <c r="F494" i="1"/>
  <c r="G494" i="1"/>
  <c r="H494" i="1"/>
  <c r="I494" i="1"/>
  <c r="J494" i="1"/>
  <c r="K494" i="1"/>
  <c r="L494" i="1"/>
  <c r="M494" i="1"/>
  <c r="F495" i="1"/>
  <c r="G495" i="1"/>
  <c r="H495" i="1"/>
  <c r="I495" i="1"/>
  <c r="J495" i="1"/>
  <c r="K495" i="1"/>
  <c r="L495" i="1"/>
  <c r="M495" i="1"/>
  <c r="F496" i="1"/>
  <c r="G496" i="1"/>
  <c r="H496" i="1"/>
  <c r="I496" i="1"/>
  <c r="J496" i="1"/>
  <c r="K496" i="1"/>
  <c r="L496" i="1"/>
  <c r="M496" i="1"/>
  <c r="F497" i="1"/>
  <c r="G497" i="1"/>
  <c r="H497" i="1"/>
  <c r="I497" i="1"/>
  <c r="J497" i="1"/>
  <c r="K497" i="1"/>
  <c r="L497" i="1"/>
  <c r="M497" i="1"/>
  <c r="F498" i="1"/>
  <c r="G498" i="1"/>
  <c r="H498" i="1"/>
  <c r="I498" i="1"/>
  <c r="J498" i="1"/>
  <c r="K498" i="1"/>
  <c r="L498" i="1"/>
  <c r="M498" i="1"/>
  <c r="F499" i="1"/>
  <c r="G499" i="1"/>
  <c r="H499" i="1"/>
  <c r="I499" i="1"/>
  <c r="J499" i="1"/>
  <c r="K499" i="1"/>
  <c r="L499" i="1"/>
  <c r="M499" i="1"/>
  <c r="F500" i="1"/>
  <c r="G500" i="1"/>
  <c r="H500" i="1"/>
  <c r="I500" i="1"/>
  <c r="J500" i="1"/>
  <c r="K500" i="1"/>
  <c r="L500" i="1"/>
  <c r="M500" i="1"/>
  <c r="F501" i="1"/>
  <c r="G501" i="1"/>
  <c r="H501" i="1"/>
  <c r="I501" i="1"/>
  <c r="J501" i="1"/>
  <c r="K501" i="1"/>
  <c r="L501" i="1"/>
  <c r="M501" i="1"/>
  <c r="F502" i="1"/>
  <c r="G502" i="1"/>
  <c r="H502" i="1"/>
  <c r="I502" i="1"/>
  <c r="J502" i="1"/>
  <c r="K502" i="1"/>
  <c r="L502" i="1"/>
  <c r="M502" i="1"/>
  <c r="F503" i="1"/>
  <c r="G503" i="1"/>
  <c r="H503" i="1"/>
  <c r="I503" i="1"/>
  <c r="J503" i="1"/>
  <c r="K503" i="1"/>
  <c r="L503" i="1"/>
  <c r="M503" i="1"/>
  <c r="F504" i="1"/>
  <c r="G504" i="1"/>
  <c r="H504" i="1"/>
  <c r="I504" i="1"/>
  <c r="J504" i="1"/>
  <c r="K504" i="1"/>
  <c r="L504" i="1"/>
  <c r="M504" i="1"/>
  <c r="F505" i="1"/>
  <c r="G505" i="1"/>
  <c r="H505" i="1"/>
  <c r="I505" i="1"/>
  <c r="J505" i="1"/>
  <c r="K505" i="1"/>
  <c r="L505" i="1"/>
  <c r="M505" i="1"/>
  <c r="F506" i="1"/>
  <c r="G506" i="1"/>
  <c r="H506" i="1"/>
  <c r="I506" i="1"/>
  <c r="J506" i="1"/>
  <c r="K506" i="1"/>
  <c r="L506" i="1"/>
  <c r="M506" i="1"/>
  <c r="F507" i="1"/>
  <c r="G507" i="1"/>
  <c r="H507" i="1"/>
  <c r="I507" i="1"/>
  <c r="J507" i="1"/>
  <c r="K507" i="1"/>
  <c r="L507" i="1"/>
  <c r="M507" i="1"/>
  <c r="F508" i="1"/>
  <c r="G508" i="1"/>
  <c r="H508" i="1"/>
  <c r="I508" i="1"/>
  <c r="J508" i="1"/>
  <c r="K508" i="1"/>
  <c r="L508" i="1"/>
  <c r="M508" i="1"/>
  <c r="F509" i="1"/>
  <c r="G509" i="1"/>
  <c r="H509" i="1"/>
  <c r="I509" i="1"/>
  <c r="J509" i="1"/>
  <c r="K509" i="1"/>
  <c r="L509" i="1"/>
  <c r="M509" i="1"/>
  <c r="F510" i="1"/>
  <c r="G510" i="1"/>
  <c r="H510" i="1"/>
  <c r="I510" i="1"/>
  <c r="J510" i="1"/>
  <c r="K510" i="1"/>
  <c r="L510" i="1"/>
  <c r="M510" i="1"/>
  <c r="F511" i="1"/>
  <c r="G511" i="1"/>
  <c r="H511" i="1"/>
  <c r="I511" i="1"/>
  <c r="J511" i="1"/>
  <c r="K511" i="1"/>
  <c r="L511" i="1"/>
  <c r="M511" i="1"/>
  <c r="F512" i="1"/>
  <c r="G512" i="1"/>
  <c r="H512" i="1"/>
  <c r="I512" i="1"/>
  <c r="J512" i="1"/>
  <c r="K512" i="1"/>
  <c r="L512" i="1"/>
  <c r="M512" i="1"/>
  <c r="F513" i="1"/>
  <c r="G513" i="1"/>
  <c r="H513" i="1"/>
  <c r="I513" i="1"/>
  <c r="J513" i="1"/>
  <c r="K513" i="1"/>
  <c r="L513" i="1"/>
  <c r="M513" i="1"/>
  <c r="F514" i="1"/>
  <c r="G514" i="1"/>
  <c r="H514" i="1"/>
  <c r="I514" i="1"/>
  <c r="J514" i="1"/>
  <c r="K514" i="1"/>
  <c r="L514" i="1"/>
  <c r="M514" i="1"/>
  <c r="F515" i="1"/>
  <c r="G515" i="1"/>
  <c r="H515" i="1"/>
  <c r="I515" i="1"/>
  <c r="J515" i="1"/>
  <c r="K515" i="1"/>
  <c r="L515" i="1"/>
  <c r="M515" i="1"/>
  <c r="F516" i="1"/>
  <c r="G516" i="1"/>
  <c r="H516" i="1"/>
  <c r="I516" i="1"/>
  <c r="J516" i="1"/>
  <c r="K516" i="1"/>
  <c r="L516" i="1"/>
  <c r="M516" i="1"/>
  <c r="F517" i="1"/>
  <c r="G517" i="1"/>
  <c r="H517" i="1"/>
  <c r="I517" i="1"/>
  <c r="J517" i="1"/>
  <c r="K517" i="1"/>
  <c r="L517" i="1"/>
  <c r="M517" i="1"/>
  <c r="F518" i="1"/>
  <c r="G518" i="1"/>
  <c r="H518" i="1"/>
  <c r="I518" i="1"/>
  <c r="J518" i="1"/>
  <c r="K518" i="1"/>
  <c r="L518" i="1"/>
  <c r="M518" i="1"/>
  <c r="F519" i="1"/>
  <c r="G519" i="1"/>
  <c r="H519" i="1"/>
  <c r="I519" i="1"/>
  <c r="J519" i="1"/>
  <c r="K519" i="1"/>
  <c r="L519" i="1"/>
  <c r="M519" i="1"/>
  <c r="F520" i="1"/>
  <c r="G520" i="1"/>
  <c r="H520" i="1"/>
  <c r="I520" i="1"/>
  <c r="J520" i="1"/>
  <c r="K520" i="1"/>
  <c r="L520" i="1"/>
  <c r="M520" i="1"/>
  <c r="F521" i="1"/>
  <c r="G521" i="1"/>
  <c r="H521" i="1"/>
  <c r="I521" i="1"/>
  <c r="J521" i="1"/>
  <c r="K521" i="1"/>
  <c r="L521" i="1"/>
  <c r="M521" i="1"/>
  <c r="F522" i="1"/>
  <c r="G522" i="1"/>
  <c r="H522" i="1"/>
  <c r="I522" i="1"/>
  <c r="J522" i="1"/>
  <c r="K522" i="1"/>
  <c r="L522" i="1"/>
  <c r="M522" i="1"/>
  <c r="F523" i="1"/>
  <c r="G523" i="1"/>
  <c r="H523" i="1"/>
  <c r="I523" i="1"/>
  <c r="J523" i="1"/>
  <c r="K523" i="1"/>
  <c r="L523" i="1"/>
  <c r="M523" i="1"/>
  <c r="F524" i="1"/>
  <c r="G524" i="1"/>
  <c r="H524" i="1"/>
  <c r="I524" i="1"/>
  <c r="J524" i="1"/>
  <c r="K524" i="1"/>
  <c r="L524" i="1"/>
  <c r="M524" i="1"/>
  <c r="F525" i="1"/>
  <c r="G525" i="1"/>
  <c r="H525" i="1"/>
  <c r="I525" i="1"/>
  <c r="J525" i="1"/>
  <c r="K525" i="1"/>
  <c r="L525" i="1"/>
  <c r="M525" i="1"/>
  <c r="F526" i="1"/>
  <c r="G526" i="1"/>
  <c r="H526" i="1"/>
  <c r="I526" i="1"/>
  <c r="J526" i="1"/>
  <c r="K526" i="1"/>
  <c r="L526" i="1"/>
  <c r="M526" i="1"/>
  <c r="F527" i="1"/>
  <c r="G527" i="1"/>
  <c r="H527" i="1"/>
  <c r="I527" i="1"/>
  <c r="J527" i="1"/>
  <c r="K527" i="1"/>
  <c r="L527" i="1"/>
  <c r="M527" i="1"/>
  <c r="F528" i="1"/>
  <c r="G528" i="1"/>
  <c r="H528" i="1"/>
  <c r="I528" i="1"/>
  <c r="J528" i="1"/>
  <c r="K528" i="1"/>
  <c r="L528" i="1"/>
  <c r="M528" i="1"/>
  <c r="F529" i="1"/>
  <c r="G529" i="1"/>
  <c r="H529" i="1"/>
  <c r="I529" i="1"/>
  <c r="J529" i="1"/>
  <c r="K529" i="1"/>
  <c r="L529" i="1"/>
  <c r="M529" i="1"/>
  <c r="F530" i="1"/>
  <c r="G530" i="1"/>
  <c r="H530" i="1"/>
  <c r="I530" i="1"/>
  <c r="J530" i="1"/>
  <c r="K530" i="1"/>
  <c r="L530" i="1"/>
  <c r="M530" i="1"/>
  <c r="F531" i="1"/>
  <c r="G531" i="1"/>
  <c r="H531" i="1"/>
  <c r="I531" i="1"/>
  <c r="J531" i="1"/>
  <c r="K531" i="1"/>
  <c r="L531" i="1"/>
  <c r="M531" i="1"/>
  <c r="F532" i="1"/>
  <c r="G532" i="1"/>
  <c r="H532" i="1"/>
  <c r="I532" i="1"/>
  <c r="J532" i="1"/>
  <c r="K532" i="1"/>
  <c r="L532" i="1"/>
  <c r="M532" i="1"/>
  <c r="F533" i="1"/>
  <c r="G533" i="1"/>
  <c r="H533" i="1"/>
  <c r="I533" i="1"/>
  <c r="J533" i="1"/>
  <c r="K533" i="1"/>
  <c r="L533" i="1"/>
  <c r="M533" i="1"/>
  <c r="F534" i="1"/>
  <c r="G534" i="1"/>
  <c r="H534" i="1"/>
  <c r="I534" i="1"/>
  <c r="J534" i="1"/>
  <c r="K534" i="1"/>
  <c r="L534" i="1"/>
  <c r="M534" i="1"/>
  <c r="F535" i="1"/>
  <c r="G535" i="1"/>
  <c r="H535" i="1"/>
  <c r="I535" i="1"/>
  <c r="J535" i="1"/>
  <c r="K535" i="1"/>
  <c r="L535" i="1"/>
  <c r="M535" i="1"/>
  <c r="F536" i="1"/>
  <c r="G536" i="1"/>
  <c r="H536" i="1"/>
  <c r="I536" i="1"/>
  <c r="J536" i="1"/>
  <c r="K536" i="1"/>
  <c r="L536" i="1"/>
  <c r="M536" i="1"/>
  <c r="F537" i="1"/>
  <c r="G537" i="1"/>
  <c r="H537" i="1"/>
  <c r="I537" i="1"/>
  <c r="J537" i="1"/>
  <c r="K537" i="1"/>
  <c r="L537" i="1"/>
  <c r="M537" i="1"/>
  <c r="F538" i="1"/>
  <c r="G538" i="1"/>
  <c r="H538" i="1"/>
  <c r="I538" i="1"/>
  <c r="J538" i="1"/>
  <c r="K538" i="1"/>
  <c r="L538" i="1"/>
  <c r="M538" i="1"/>
  <c r="F539" i="1"/>
  <c r="G539" i="1"/>
  <c r="H539" i="1"/>
  <c r="I539" i="1"/>
  <c r="J539" i="1"/>
  <c r="K539" i="1"/>
  <c r="L539" i="1"/>
  <c r="M539" i="1"/>
  <c r="F540" i="1"/>
  <c r="G540" i="1"/>
  <c r="H540" i="1"/>
  <c r="I540" i="1"/>
  <c r="J540" i="1"/>
  <c r="K540" i="1"/>
  <c r="L540" i="1"/>
  <c r="M540" i="1"/>
  <c r="F541" i="1"/>
  <c r="G541" i="1"/>
  <c r="H541" i="1"/>
  <c r="I541" i="1"/>
  <c r="J541" i="1"/>
  <c r="K541" i="1"/>
  <c r="L541" i="1"/>
  <c r="M541" i="1"/>
  <c r="F542" i="1"/>
  <c r="G542" i="1"/>
  <c r="H542" i="1"/>
  <c r="I542" i="1"/>
  <c r="J542" i="1"/>
  <c r="K542" i="1"/>
  <c r="L542" i="1"/>
  <c r="M542" i="1"/>
  <c r="F543" i="1"/>
  <c r="G543" i="1"/>
  <c r="H543" i="1"/>
  <c r="I543" i="1"/>
  <c r="J543" i="1"/>
  <c r="K543" i="1"/>
  <c r="L543" i="1"/>
  <c r="M543" i="1"/>
  <c r="F544" i="1"/>
  <c r="G544" i="1"/>
  <c r="H544" i="1"/>
  <c r="I544" i="1"/>
  <c r="J544" i="1"/>
  <c r="K544" i="1"/>
  <c r="L544" i="1"/>
  <c r="M544" i="1"/>
  <c r="F545" i="1"/>
  <c r="G545" i="1"/>
  <c r="H545" i="1"/>
  <c r="I545" i="1"/>
  <c r="J545" i="1"/>
  <c r="K545" i="1"/>
  <c r="L545" i="1"/>
  <c r="M545" i="1"/>
  <c r="F546" i="1"/>
  <c r="G546" i="1"/>
  <c r="H546" i="1"/>
  <c r="I546" i="1"/>
  <c r="J546" i="1"/>
  <c r="K546" i="1"/>
  <c r="L546" i="1"/>
  <c r="M546" i="1"/>
  <c r="F547" i="1"/>
  <c r="G547" i="1"/>
  <c r="H547" i="1"/>
  <c r="I547" i="1"/>
  <c r="J547" i="1"/>
  <c r="K547" i="1"/>
  <c r="L547" i="1"/>
  <c r="M547" i="1"/>
  <c r="F548" i="1"/>
  <c r="G548" i="1"/>
  <c r="H548" i="1"/>
  <c r="I548" i="1"/>
  <c r="J548" i="1"/>
  <c r="K548" i="1"/>
  <c r="L548" i="1"/>
  <c r="M548" i="1"/>
  <c r="F549" i="1"/>
  <c r="G549" i="1"/>
  <c r="H549" i="1"/>
  <c r="I549" i="1"/>
  <c r="J549" i="1"/>
  <c r="K549" i="1"/>
  <c r="L549" i="1"/>
  <c r="M549" i="1"/>
  <c r="F550" i="1"/>
  <c r="G550" i="1"/>
  <c r="H550" i="1"/>
  <c r="I550" i="1"/>
  <c r="J550" i="1"/>
  <c r="K550" i="1"/>
  <c r="L550" i="1"/>
  <c r="M550" i="1"/>
  <c r="F551" i="1"/>
  <c r="G551" i="1"/>
  <c r="H551" i="1"/>
  <c r="I551" i="1"/>
  <c r="J551" i="1"/>
  <c r="K551" i="1"/>
  <c r="L551" i="1"/>
  <c r="M551" i="1"/>
  <c r="F552" i="1"/>
  <c r="G552" i="1"/>
  <c r="H552" i="1"/>
  <c r="I552" i="1"/>
  <c r="J552" i="1"/>
  <c r="K552" i="1"/>
  <c r="L552" i="1"/>
  <c r="M552" i="1"/>
  <c r="F553" i="1"/>
  <c r="G553" i="1"/>
  <c r="H553" i="1"/>
  <c r="I553" i="1"/>
  <c r="J553" i="1"/>
  <c r="K553" i="1"/>
  <c r="L553" i="1"/>
  <c r="M553" i="1"/>
  <c r="F554" i="1"/>
  <c r="G554" i="1"/>
  <c r="H554" i="1"/>
  <c r="I554" i="1"/>
  <c r="J554" i="1"/>
  <c r="K554" i="1"/>
  <c r="L554" i="1"/>
  <c r="M554" i="1"/>
  <c r="F555" i="1"/>
  <c r="G555" i="1"/>
  <c r="H555" i="1"/>
  <c r="I555" i="1"/>
  <c r="J555" i="1"/>
  <c r="K555" i="1"/>
  <c r="L555" i="1"/>
  <c r="M555" i="1"/>
  <c r="F556" i="1"/>
  <c r="G556" i="1"/>
  <c r="H556" i="1"/>
  <c r="I556" i="1"/>
  <c r="J556" i="1"/>
  <c r="K556" i="1"/>
  <c r="L556" i="1"/>
  <c r="M556" i="1"/>
  <c r="F557" i="1"/>
  <c r="G557" i="1"/>
  <c r="H557" i="1"/>
  <c r="I557" i="1"/>
  <c r="J557" i="1"/>
  <c r="K557" i="1"/>
  <c r="L557" i="1"/>
  <c r="M557" i="1"/>
  <c r="F558" i="1"/>
  <c r="G558" i="1"/>
  <c r="H558" i="1"/>
  <c r="I558" i="1"/>
  <c r="J558" i="1"/>
  <c r="K558" i="1"/>
  <c r="L558" i="1"/>
  <c r="M558" i="1"/>
  <c r="F559" i="1"/>
  <c r="G559" i="1"/>
  <c r="H559" i="1"/>
  <c r="I559" i="1"/>
  <c r="J559" i="1"/>
  <c r="K559" i="1"/>
  <c r="L559" i="1"/>
  <c r="M559" i="1"/>
  <c r="F560" i="1"/>
  <c r="G560" i="1"/>
  <c r="H560" i="1"/>
  <c r="I560" i="1"/>
  <c r="J560" i="1"/>
  <c r="K560" i="1"/>
  <c r="L560" i="1"/>
  <c r="M560" i="1"/>
  <c r="F561" i="1"/>
  <c r="G561" i="1"/>
  <c r="H561" i="1"/>
  <c r="I561" i="1"/>
  <c r="J561" i="1"/>
  <c r="K561" i="1"/>
  <c r="L561" i="1"/>
  <c r="M561" i="1"/>
  <c r="F562" i="1"/>
  <c r="G562" i="1"/>
  <c r="H562" i="1"/>
  <c r="I562" i="1"/>
  <c r="J562" i="1"/>
  <c r="K562" i="1"/>
  <c r="L562" i="1"/>
  <c r="M562" i="1"/>
  <c r="F563" i="1"/>
  <c r="G563" i="1"/>
  <c r="H563" i="1"/>
  <c r="I563" i="1"/>
  <c r="J563" i="1"/>
  <c r="K563" i="1"/>
  <c r="L563" i="1"/>
  <c r="M563" i="1"/>
  <c r="F564" i="1"/>
  <c r="G564" i="1"/>
  <c r="H564" i="1"/>
  <c r="I564" i="1"/>
  <c r="J564" i="1"/>
  <c r="K564" i="1"/>
  <c r="L564" i="1"/>
  <c r="M564" i="1"/>
  <c r="F565" i="1"/>
  <c r="G565" i="1"/>
  <c r="H565" i="1"/>
  <c r="I565" i="1"/>
  <c r="J565" i="1"/>
  <c r="K565" i="1"/>
  <c r="L565" i="1"/>
  <c r="M565" i="1"/>
  <c r="F566" i="1"/>
  <c r="G566" i="1"/>
  <c r="H566" i="1"/>
  <c r="I566" i="1"/>
  <c r="J566" i="1"/>
  <c r="K566" i="1"/>
  <c r="L566" i="1"/>
  <c r="M566" i="1"/>
  <c r="F567" i="1"/>
  <c r="G567" i="1"/>
  <c r="H567" i="1"/>
  <c r="I567" i="1"/>
  <c r="J567" i="1"/>
  <c r="K567" i="1"/>
  <c r="L567" i="1"/>
  <c r="M567" i="1"/>
  <c r="F568" i="1"/>
  <c r="G568" i="1"/>
  <c r="H568" i="1"/>
  <c r="I568" i="1"/>
  <c r="J568" i="1"/>
  <c r="K568" i="1"/>
  <c r="L568" i="1"/>
  <c r="M568" i="1"/>
  <c r="F569" i="1"/>
  <c r="G569" i="1"/>
  <c r="H569" i="1"/>
  <c r="I569" i="1"/>
  <c r="J569" i="1"/>
  <c r="K569" i="1"/>
  <c r="L569" i="1"/>
  <c r="M569" i="1"/>
  <c r="F570" i="1"/>
  <c r="G570" i="1"/>
  <c r="H570" i="1"/>
  <c r="I570" i="1"/>
  <c r="J570" i="1"/>
  <c r="K570" i="1"/>
  <c r="L570" i="1"/>
  <c r="M570" i="1"/>
  <c r="F571" i="1"/>
  <c r="G571" i="1"/>
  <c r="H571" i="1"/>
  <c r="I571" i="1"/>
  <c r="J571" i="1"/>
  <c r="K571" i="1"/>
  <c r="L571" i="1"/>
  <c r="M571" i="1"/>
  <c r="F572" i="1"/>
  <c r="G572" i="1"/>
  <c r="H572" i="1"/>
  <c r="I572" i="1"/>
  <c r="J572" i="1"/>
  <c r="K572" i="1"/>
  <c r="L572" i="1"/>
  <c r="M572" i="1"/>
  <c r="F573" i="1"/>
  <c r="G573" i="1"/>
  <c r="H573" i="1"/>
  <c r="I573" i="1"/>
  <c r="J573" i="1"/>
  <c r="K573" i="1"/>
  <c r="L573" i="1"/>
  <c r="M573" i="1"/>
  <c r="F574" i="1"/>
  <c r="G574" i="1"/>
  <c r="H574" i="1"/>
  <c r="I574" i="1"/>
  <c r="J574" i="1"/>
  <c r="K574" i="1"/>
  <c r="L574" i="1"/>
  <c r="M574" i="1"/>
  <c r="F575" i="1"/>
  <c r="G575" i="1"/>
  <c r="H575" i="1"/>
  <c r="I575" i="1"/>
  <c r="J575" i="1"/>
  <c r="K575" i="1"/>
  <c r="L575" i="1"/>
  <c r="M575" i="1"/>
  <c r="F576" i="1"/>
  <c r="G576" i="1"/>
  <c r="H576" i="1"/>
  <c r="I576" i="1"/>
  <c r="J576" i="1"/>
  <c r="K576" i="1"/>
  <c r="L576" i="1"/>
  <c r="M576" i="1"/>
  <c r="F577" i="1"/>
  <c r="G577" i="1"/>
  <c r="H577" i="1"/>
  <c r="I577" i="1"/>
  <c r="J577" i="1"/>
  <c r="K577" i="1"/>
  <c r="L577" i="1"/>
  <c r="M577" i="1"/>
  <c r="F578" i="1"/>
  <c r="G578" i="1"/>
  <c r="H578" i="1"/>
  <c r="I578" i="1"/>
  <c r="J578" i="1"/>
  <c r="K578" i="1"/>
  <c r="L578" i="1"/>
  <c r="M578" i="1"/>
  <c r="F579" i="1"/>
  <c r="G579" i="1"/>
  <c r="H579" i="1"/>
  <c r="I579" i="1"/>
  <c r="J579" i="1"/>
  <c r="K579" i="1"/>
  <c r="L579" i="1"/>
  <c r="M579" i="1"/>
  <c r="F580" i="1"/>
  <c r="G580" i="1"/>
  <c r="H580" i="1"/>
  <c r="I580" i="1"/>
  <c r="J580" i="1"/>
  <c r="K580" i="1"/>
  <c r="L580" i="1"/>
  <c r="M580" i="1"/>
  <c r="F581" i="1"/>
  <c r="G581" i="1"/>
  <c r="H581" i="1"/>
  <c r="I581" i="1"/>
  <c r="J581" i="1"/>
  <c r="K581" i="1"/>
  <c r="L581" i="1"/>
  <c r="M581" i="1"/>
  <c r="F582" i="1"/>
  <c r="G582" i="1"/>
  <c r="H582" i="1"/>
  <c r="I582" i="1"/>
  <c r="J582" i="1"/>
  <c r="K582" i="1"/>
  <c r="L582" i="1"/>
  <c r="M582" i="1"/>
  <c r="F583" i="1"/>
  <c r="G583" i="1"/>
  <c r="H583" i="1"/>
  <c r="I583" i="1"/>
  <c r="J583" i="1"/>
  <c r="K583" i="1"/>
  <c r="L583" i="1"/>
  <c r="M583" i="1"/>
  <c r="F584" i="1"/>
  <c r="G584" i="1"/>
  <c r="H584" i="1"/>
  <c r="I584" i="1"/>
  <c r="J584" i="1"/>
  <c r="K584" i="1"/>
  <c r="L584" i="1"/>
  <c r="M584" i="1"/>
  <c r="F585" i="1"/>
  <c r="G585" i="1"/>
  <c r="H585" i="1"/>
  <c r="I585" i="1"/>
  <c r="J585" i="1"/>
  <c r="K585" i="1"/>
  <c r="L585" i="1"/>
  <c r="M585" i="1"/>
  <c r="F586" i="1"/>
  <c r="G586" i="1"/>
  <c r="H586" i="1"/>
  <c r="I586" i="1"/>
  <c r="J586" i="1"/>
  <c r="K586" i="1"/>
  <c r="L586" i="1"/>
  <c r="M586" i="1"/>
  <c r="F587" i="1"/>
  <c r="G587" i="1"/>
  <c r="H587" i="1"/>
  <c r="I587" i="1"/>
  <c r="J587" i="1"/>
  <c r="K587" i="1"/>
  <c r="L587" i="1"/>
  <c r="M587" i="1"/>
  <c r="F588" i="1"/>
  <c r="G588" i="1"/>
  <c r="H588" i="1"/>
  <c r="I588" i="1"/>
  <c r="J588" i="1"/>
  <c r="K588" i="1"/>
  <c r="L588" i="1"/>
  <c r="M588" i="1"/>
  <c r="F589" i="1"/>
  <c r="G589" i="1"/>
  <c r="H589" i="1"/>
  <c r="I589" i="1"/>
  <c r="J589" i="1"/>
  <c r="K589" i="1"/>
  <c r="L589" i="1"/>
  <c r="M589" i="1"/>
  <c r="F590" i="1"/>
  <c r="G590" i="1"/>
  <c r="H590" i="1"/>
  <c r="I590" i="1"/>
  <c r="J590" i="1"/>
  <c r="K590" i="1"/>
  <c r="L590" i="1"/>
  <c r="M590" i="1"/>
  <c r="F591" i="1"/>
  <c r="G591" i="1"/>
  <c r="H591" i="1"/>
  <c r="I591" i="1"/>
  <c r="J591" i="1"/>
  <c r="K591" i="1"/>
  <c r="L591" i="1"/>
  <c r="M591" i="1"/>
  <c r="F592" i="1"/>
  <c r="G592" i="1"/>
  <c r="H592" i="1"/>
  <c r="I592" i="1"/>
  <c r="J592" i="1"/>
  <c r="K592" i="1"/>
  <c r="L592" i="1"/>
  <c r="M592" i="1"/>
  <c r="F593" i="1"/>
  <c r="G593" i="1"/>
  <c r="H593" i="1"/>
  <c r="I593" i="1"/>
  <c r="J593" i="1"/>
  <c r="K593" i="1"/>
  <c r="L593" i="1"/>
  <c r="M593" i="1"/>
  <c r="F594" i="1"/>
  <c r="G594" i="1"/>
  <c r="H594" i="1"/>
  <c r="I594" i="1"/>
  <c r="J594" i="1"/>
  <c r="K594" i="1"/>
  <c r="L594" i="1"/>
  <c r="M594" i="1"/>
  <c r="F595" i="1"/>
  <c r="G595" i="1"/>
  <c r="H595" i="1"/>
  <c r="I595" i="1"/>
  <c r="J595" i="1"/>
  <c r="K595" i="1"/>
  <c r="L595" i="1"/>
  <c r="M595" i="1"/>
  <c r="F596" i="1"/>
  <c r="G596" i="1"/>
  <c r="H596" i="1"/>
  <c r="I596" i="1"/>
  <c r="J596" i="1"/>
  <c r="K596" i="1"/>
  <c r="L596" i="1"/>
  <c r="M596" i="1"/>
  <c r="F597" i="1"/>
  <c r="G597" i="1"/>
  <c r="H597" i="1"/>
  <c r="I597" i="1"/>
  <c r="J597" i="1"/>
  <c r="K597" i="1"/>
  <c r="L597" i="1"/>
  <c r="M597" i="1"/>
  <c r="F598" i="1"/>
  <c r="G598" i="1"/>
  <c r="H598" i="1"/>
  <c r="I598" i="1"/>
  <c r="J598" i="1"/>
  <c r="K598" i="1"/>
  <c r="L598" i="1"/>
  <c r="M598" i="1"/>
  <c r="F599" i="1"/>
  <c r="G599" i="1"/>
  <c r="H599" i="1"/>
  <c r="I599" i="1"/>
  <c r="J599" i="1"/>
  <c r="K599" i="1"/>
  <c r="L599" i="1"/>
  <c r="M599" i="1"/>
  <c r="F600" i="1"/>
  <c r="G600" i="1"/>
  <c r="H600" i="1"/>
  <c r="I600" i="1"/>
  <c r="J600" i="1"/>
  <c r="K600" i="1"/>
  <c r="L600" i="1"/>
  <c r="M600" i="1"/>
  <c r="F601" i="1"/>
  <c r="G601" i="1"/>
  <c r="H601" i="1"/>
  <c r="I601" i="1"/>
  <c r="J601" i="1"/>
  <c r="K601" i="1"/>
  <c r="L601" i="1"/>
  <c r="M601" i="1"/>
  <c r="F602" i="1"/>
  <c r="G602" i="1"/>
  <c r="H602" i="1"/>
  <c r="I602" i="1"/>
  <c r="J602" i="1"/>
  <c r="K602" i="1"/>
  <c r="L602" i="1"/>
  <c r="M602" i="1"/>
  <c r="F603" i="1"/>
  <c r="G603" i="1"/>
  <c r="H603" i="1"/>
  <c r="I603" i="1"/>
  <c r="J603" i="1"/>
  <c r="K603" i="1"/>
  <c r="L603" i="1"/>
  <c r="M603" i="1"/>
  <c r="F604" i="1"/>
  <c r="G604" i="1"/>
  <c r="H604" i="1"/>
  <c r="I604" i="1"/>
  <c r="J604" i="1"/>
  <c r="K604" i="1"/>
  <c r="L604" i="1"/>
  <c r="M604" i="1"/>
  <c r="F605" i="1"/>
  <c r="G605" i="1"/>
  <c r="H605" i="1"/>
  <c r="I605" i="1"/>
  <c r="J605" i="1"/>
  <c r="K605" i="1"/>
  <c r="L605" i="1"/>
  <c r="M605" i="1"/>
  <c r="F606" i="1"/>
  <c r="G606" i="1"/>
  <c r="H606" i="1"/>
  <c r="I606" i="1"/>
  <c r="J606" i="1"/>
  <c r="K606" i="1"/>
  <c r="L606" i="1"/>
  <c r="M606" i="1"/>
  <c r="F607" i="1"/>
  <c r="G607" i="1"/>
  <c r="H607" i="1"/>
  <c r="I607" i="1"/>
  <c r="J607" i="1"/>
  <c r="K607" i="1"/>
  <c r="L607" i="1"/>
  <c r="M607" i="1"/>
  <c r="F608" i="1"/>
  <c r="G608" i="1"/>
  <c r="H608" i="1"/>
  <c r="I608" i="1"/>
  <c r="J608" i="1"/>
  <c r="K608" i="1"/>
  <c r="L608" i="1"/>
  <c r="M608" i="1"/>
  <c r="F609" i="1"/>
  <c r="G609" i="1"/>
  <c r="H609" i="1"/>
  <c r="I609" i="1"/>
  <c r="J609" i="1"/>
  <c r="K609" i="1"/>
  <c r="L609" i="1"/>
  <c r="M609" i="1"/>
  <c r="F610" i="1"/>
  <c r="G610" i="1"/>
  <c r="H610" i="1"/>
  <c r="I610" i="1"/>
  <c r="J610" i="1"/>
  <c r="K610" i="1"/>
  <c r="L610" i="1"/>
  <c r="M610" i="1"/>
  <c r="F611" i="1"/>
  <c r="G611" i="1"/>
  <c r="H611" i="1"/>
  <c r="I611" i="1"/>
  <c r="J611" i="1"/>
  <c r="K611" i="1"/>
  <c r="L611" i="1"/>
  <c r="M611" i="1"/>
  <c r="F612" i="1"/>
  <c r="G612" i="1"/>
  <c r="H612" i="1"/>
  <c r="I612" i="1"/>
  <c r="J612" i="1"/>
  <c r="K612" i="1"/>
  <c r="L612" i="1"/>
  <c r="M612" i="1"/>
  <c r="F613" i="1"/>
  <c r="G613" i="1"/>
  <c r="H613" i="1"/>
  <c r="I613" i="1"/>
  <c r="J613" i="1"/>
  <c r="K613" i="1"/>
  <c r="L613" i="1"/>
  <c r="M613" i="1"/>
  <c r="F614" i="1"/>
  <c r="G614" i="1"/>
  <c r="H614" i="1"/>
  <c r="I614" i="1"/>
  <c r="J614" i="1"/>
  <c r="K614" i="1"/>
  <c r="L614" i="1"/>
  <c r="M614" i="1"/>
  <c r="F615" i="1"/>
  <c r="G615" i="1"/>
  <c r="H615" i="1"/>
  <c r="I615" i="1"/>
  <c r="J615" i="1"/>
  <c r="K615" i="1"/>
  <c r="L615" i="1"/>
  <c r="M615" i="1"/>
  <c r="F616" i="1"/>
  <c r="G616" i="1"/>
  <c r="H616" i="1"/>
  <c r="I616" i="1"/>
  <c r="J616" i="1"/>
  <c r="K616" i="1"/>
  <c r="L616" i="1"/>
  <c r="M616" i="1"/>
  <c r="F617" i="1"/>
  <c r="G617" i="1"/>
  <c r="H617" i="1"/>
  <c r="I617" i="1"/>
  <c r="J617" i="1"/>
  <c r="K617" i="1"/>
  <c r="L617" i="1"/>
  <c r="M617" i="1"/>
  <c r="F618" i="1"/>
  <c r="G618" i="1"/>
  <c r="H618" i="1"/>
  <c r="I618" i="1"/>
  <c r="J618" i="1"/>
  <c r="K618" i="1"/>
  <c r="L618" i="1"/>
  <c r="M618" i="1"/>
  <c r="F619" i="1"/>
  <c r="G619" i="1"/>
  <c r="H619" i="1"/>
  <c r="I619" i="1"/>
  <c r="J619" i="1"/>
  <c r="K619" i="1"/>
  <c r="L619" i="1"/>
  <c r="M619" i="1"/>
  <c r="F620" i="1"/>
  <c r="G620" i="1"/>
  <c r="H620" i="1"/>
  <c r="I620" i="1"/>
  <c r="J620" i="1"/>
  <c r="K620" i="1"/>
  <c r="L620" i="1"/>
  <c r="M620" i="1"/>
  <c r="F621" i="1"/>
  <c r="G621" i="1"/>
  <c r="H621" i="1"/>
  <c r="I621" i="1"/>
  <c r="J621" i="1"/>
  <c r="K621" i="1"/>
  <c r="L621" i="1"/>
  <c r="M621" i="1"/>
  <c r="F622" i="1"/>
  <c r="G622" i="1"/>
  <c r="H622" i="1"/>
  <c r="I622" i="1"/>
  <c r="J622" i="1"/>
  <c r="K622" i="1"/>
  <c r="L622" i="1"/>
  <c r="M622" i="1"/>
  <c r="F623" i="1"/>
  <c r="G623" i="1"/>
  <c r="H623" i="1"/>
  <c r="I623" i="1"/>
  <c r="J623" i="1"/>
  <c r="K623" i="1"/>
  <c r="L623" i="1"/>
  <c r="M623" i="1"/>
  <c r="F624" i="1"/>
  <c r="G624" i="1"/>
  <c r="H624" i="1"/>
  <c r="I624" i="1"/>
  <c r="J624" i="1"/>
  <c r="K624" i="1"/>
  <c r="L624" i="1"/>
  <c r="M624" i="1"/>
  <c r="F625" i="1"/>
  <c r="G625" i="1"/>
  <c r="H625" i="1"/>
  <c r="I625" i="1"/>
  <c r="J625" i="1"/>
  <c r="K625" i="1"/>
  <c r="L625" i="1"/>
  <c r="M625" i="1"/>
  <c r="F626" i="1"/>
  <c r="G626" i="1"/>
  <c r="H626" i="1"/>
  <c r="I626" i="1"/>
  <c r="J626" i="1"/>
  <c r="K626" i="1"/>
  <c r="L626" i="1"/>
  <c r="M626" i="1"/>
  <c r="F627" i="1"/>
  <c r="G627" i="1"/>
  <c r="H627" i="1"/>
  <c r="I627" i="1"/>
  <c r="J627" i="1"/>
  <c r="K627" i="1"/>
  <c r="L627" i="1"/>
  <c r="M627" i="1"/>
  <c r="F628" i="1"/>
  <c r="G628" i="1"/>
  <c r="H628" i="1"/>
  <c r="I628" i="1"/>
  <c r="J628" i="1"/>
  <c r="K628" i="1"/>
  <c r="L628" i="1"/>
  <c r="M628" i="1"/>
  <c r="F629" i="1"/>
  <c r="G629" i="1"/>
  <c r="H629" i="1"/>
  <c r="I629" i="1"/>
  <c r="J629" i="1"/>
  <c r="K629" i="1"/>
  <c r="L629" i="1"/>
  <c r="M629" i="1"/>
  <c r="F630" i="1"/>
  <c r="G630" i="1"/>
  <c r="H630" i="1"/>
  <c r="I630" i="1"/>
  <c r="J630" i="1"/>
  <c r="K630" i="1"/>
  <c r="L630" i="1"/>
  <c r="M630" i="1"/>
  <c r="F631" i="1"/>
  <c r="G631" i="1"/>
  <c r="H631" i="1"/>
  <c r="I631" i="1"/>
  <c r="J631" i="1"/>
  <c r="K631" i="1"/>
  <c r="L631" i="1"/>
  <c r="M631" i="1"/>
  <c r="F632" i="1"/>
  <c r="G632" i="1"/>
  <c r="H632" i="1"/>
  <c r="I632" i="1"/>
  <c r="J632" i="1"/>
  <c r="K632" i="1"/>
  <c r="L632" i="1"/>
  <c r="M632" i="1"/>
  <c r="F633" i="1"/>
  <c r="G633" i="1"/>
  <c r="H633" i="1"/>
  <c r="I633" i="1"/>
  <c r="J633" i="1"/>
  <c r="K633" i="1"/>
  <c r="L633" i="1"/>
  <c r="M633" i="1"/>
  <c r="F634" i="1"/>
  <c r="G634" i="1"/>
  <c r="H634" i="1"/>
  <c r="I634" i="1"/>
  <c r="J634" i="1"/>
  <c r="K634" i="1"/>
  <c r="L634" i="1"/>
  <c r="M634" i="1"/>
  <c r="F635" i="1"/>
  <c r="G635" i="1"/>
  <c r="H635" i="1"/>
  <c r="I635" i="1"/>
  <c r="J635" i="1"/>
  <c r="K635" i="1"/>
  <c r="L635" i="1"/>
  <c r="M635" i="1"/>
  <c r="F636" i="1"/>
  <c r="G636" i="1"/>
  <c r="H636" i="1"/>
  <c r="I636" i="1"/>
  <c r="J636" i="1"/>
  <c r="K636" i="1"/>
  <c r="L636" i="1"/>
  <c r="M636" i="1"/>
  <c r="F637" i="1"/>
  <c r="G637" i="1"/>
  <c r="H637" i="1"/>
  <c r="I637" i="1"/>
  <c r="J637" i="1"/>
  <c r="K637" i="1"/>
  <c r="L637" i="1"/>
  <c r="M637" i="1"/>
  <c r="F638" i="1"/>
  <c r="G638" i="1"/>
  <c r="H638" i="1"/>
  <c r="I638" i="1"/>
  <c r="J638" i="1"/>
  <c r="K638" i="1"/>
  <c r="L638" i="1"/>
  <c r="M638" i="1"/>
  <c r="F639" i="1"/>
  <c r="G639" i="1"/>
  <c r="H639" i="1"/>
  <c r="I639" i="1"/>
  <c r="J639" i="1"/>
  <c r="K639" i="1"/>
  <c r="L639" i="1"/>
  <c r="M639" i="1"/>
  <c r="F640" i="1"/>
  <c r="G640" i="1"/>
  <c r="H640" i="1"/>
  <c r="I640" i="1"/>
  <c r="J640" i="1"/>
  <c r="K640" i="1"/>
  <c r="L640" i="1"/>
  <c r="M640" i="1"/>
  <c r="F641" i="1"/>
  <c r="G641" i="1"/>
  <c r="H641" i="1"/>
  <c r="I641" i="1"/>
  <c r="J641" i="1"/>
  <c r="K641" i="1"/>
  <c r="L641" i="1"/>
  <c r="M641" i="1"/>
  <c r="F642" i="1"/>
  <c r="G642" i="1"/>
  <c r="H642" i="1"/>
  <c r="I642" i="1"/>
  <c r="J642" i="1"/>
  <c r="K642" i="1"/>
  <c r="L642" i="1"/>
  <c r="M642" i="1"/>
  <c r="F643" i="1"/>
  <c r="G643" i="1"/>
  <c r="H643" i="1"/>
  <c r="I643" i="1"/>
  <c r="J643" i="1"/>
  <c r="K643" i="1"/>
  <c r="L643" i="1"/>
  <c r="M643" i="1"/>
  <c r="F644" i="1"/>
  <c r="G644" i="1"/>
  <c r="H644" i="1"/>
  <c r="I644" i="1"/>
  <c r="J644" i="1"/>
  <c r="K644" i="1"/>
  <c r="L644" i="1"/>
  <c r="M644" i="1"/>
  <c r="F645" i="1"/>
  <c r="G645" i="1"/>
  <c r="H645" i="1"/>
  <c r="I645" i="1"/>
  <c r="J645" i="1"/>
  <c r="K645" i="1"/>
  <c r="L645" i="1"/>
  <c r="M645" i="1"/>
  <c r="F646" i="1"/>
  <c r="G646" i="1"/>
  <c r="H646" i="1"/>
  <c r="I646" i="1"/>
  <c r="J646" i="1"/>
  <c r="K646" i="1"/>
  <c r="L646" i="1"/>
  <c r="M646" i="1"/>
  <c r="F647" i="1"/>
  <c r="G647" i="1"/>
  <c r="H647" i="1"/>
  <c r="I647" i="1"/>
  <c r="J647" i="1"/>
  <c r="K647" i="1"/>
  <c r="L647" i="1"/>
  <c r="M647" i="1"/>
  <c r="F648" i="1"/>
  <c r="G648" i="1"/>
  <c r="H648" i="1"/>
  <c r="I648" i="1"/>
  <c r="J648" i="1"/>
  <c r="K648" i="1"/>
  <c r="L648" i="1"/>
  <c r="M648" i="1"/>
  <c r="F649" i="1"/>
  <c r="G649" i="1"/>
  <c r="H649" i="1"/>
  <c r="I649" i="1"/>
  <c r="J649" i="1"/>
  <c r="K649" i="1"/>
  <c r="L649" i="1"/>
  <c r="M649" i="1"/>
  <c r="F650" i="1"/>
  <c r="G650" i="1"/>
  <c r="H650" i="1"/>
  <c r="I650" i="1"/>
  <c r="J650" i="1"/>
  <c r="K650" i="1"/>
  <c r="L650" i="1"/>
  <c r="M650" i="1"/>
  <c r="F651" i="1"/>
  <c r="G651" i="1"/>
  <c r="H651" i="1"/>
  <c r="I651" i="1"/>
  <c r="J651" i="1"/>
  <c r="K651" i="1"/>
  <c r="L651" i="1"/>
  <c r="M651" i="1"/>
  <c r="F652" i="1"/>
  <c r="G652" i="1"/>
  <c r="H652" i="1"/>
  <c r="I652" i="1"/>
  <c r="J652" i="1"/>
  <c r="K652" i="1"/>
  <c r="L652" i="1"/>
  <c r="M652" i="1"/>
  <c r="F653" i="1"/>
  <c r="G653" i="1"/>
  <c r="H653" i="1"/>
  <c r="I653" i="1"/>
  <c r="J653" i="1"/>
  <c r="K653" i="1"/>
  <c r="L653" i="1"/>
  <c r="M653" i="1"/>
  <c r="F654" i="1"/>
  <c r="G654" i="1"/>
  <c r="H654" i="1"/>
  <c r="I654" i="1"/>
  <c r="J654" i="1"/>
  <c r="K654" i="1"/>
  <c r="L654" i="1"/>
  <c r="M654" i="1"/>
  <c r="F655" i="1"/>
  <c r="G655" i="1"/>
  <c r="H655" i="1"/>
  <c r="I655" i="1"/>
  <c r="J655" i="1"/>
  <c r="K655" i="1"/>
  <c r="L655" i="1"/>
  <c r="M655" i="1"/>
  <c r="F656" i="1"/>
  <c r="G656" i="1"/>
  <c r="H656" i="1"/>
  <c r="I656" i="1"/>
  <c r="J656" i="1"/>
  <c r="K656" i="1"/>
  <c r="L656" i="1"/>
  <c r="M656" i="1"/>
  <c r="F657" i="1"/>
  <c r="G657" i="1"/>
  <c r="H657" i="1"/>
  <c r="I657" i="1"/>
  <c r="J657" i="1"/>
  <c r="K657" i="1"/>
  <c r="L657" i="1"/>
  <c r="M657" i="1"/>
  <c r="F658" i="1"/>
  <c r="G658" i="1"/>
  <c r="H658" i="1"/>
  <c r="I658" i="1"/>
  <c r="J658" i="1"/>
  <c r="K658" i="1"/>
  <c r="L658" i="1"/>
  <c r="M658" i="1"/>
  <c r="F659" i="1"/>
  <c r="G659" i="1"/>
  <c r="H659" i="1"/>
  <c r="I659" i="1"/>
  <c r="J659" i="1"/>
  <c r="K659" i="1"/>
  <c r="L659" i="1"/>
  <c r="M659" i="1"/>
  <c r="F660" i="1"/>
  <c r="G660" i="1"/>
  <c r="H660" i="1"/>
  <c r="I660" i="1"/>
  <c r="J660" i="1"/>
  <c r="K660" i="1"/>
  <c r="L660" i="1"/>
  <c r="M660" i="1"/>
  <c r="F661" i="1"/>
  <c r="G661" i="1"/>
  <c r="H661" i="1"/>
  <c r="I661" i="1"/>
  <c r="J661" i="1"/>
  <c r="K661" i="1"/>
  <c r="L661" i="1"/>
  <c r="M661" i="1"/>
  <c r="F662" i="1"/>
  <c r="G662" i="1"/>
  <c r="H662" i="1"/>
  <c r="I662" i="1"/>
  <c r="J662" i="1"/>
  <c r="K662" i="1"/>
  <c r="L662" i="1"/>
  <c r="M662" i="1"/>
  <c r="F663" i="1"/>
  <c r="G663" i="1"/>
  <c r="H663" i="1"/>
  <c r="I663" i="1"/>
  <c r="J663" i="1"/>
  <c r="K663" i="1"/>
  <c r="L663" i="1"/>
  <c r="M663" i="1"/>
  <c r="F664" i="1"/>
  <c r="G664" i="1"/>
  <c r="H664" i="1"/>
  <c r="I664" i="1"/>
  <c r="J664" i="1"/>
  <c r="K664" i="1"/>
  <c r="L664" i="1"/>
  <c r="M664" i="1"/>
  <c r="F665" i="1"/>
  <c r="G665" i="1"/>
  <c r="H665" i="1"/>
  <c r="I665" i="1"/>
  <c r="J665" i="1"/>
  <c r="K665" i="1"/>
  <c r="L665" i="1"/>
  <c r="M665" i="1"/>
  <c r="F666" i="1"/>
  <c r="G666" i="1"/>
  <c r="H666" i="1"/>
  <c r="I666" i="1"/>
  <c r="J666" i="1"/>
  <c r="K666" i="1"/>
  <c r="L666" i="1"/>
  <c r="M666" i="1"/>
  <c r="F667" i="1"/>
  <c r="G667" i="1"/>
  <c r="H667" i="1"/>
  <c r="I667" i="1"/>
  <c r="J667" i="1"/>
  <c r="K667" i="1"/>
  <c r="L667" i="1"/>
  <c r="M667" i="1"/>
  <c r="F668" i="1"/>
  <c r="G668" i="1"/>
  <c r="H668" i="1"/>
  <c r="I668" i="1"/>
  <c r="J668" i="1"/>
  <c r="K668" i="1"/>
  <c r="L668" i="1"/>
  <c r="M668" i="1"/>
  <c r="F669" i="1"/>
  <c r="G669" i="1"/>
  <c r="H669" i="1"/>
  <c r="I669" i="1"/>
  <c r="J669" i="1"/>
  <c r="K669" i="1"/>
  <c r="L669" i="1"/>
  <c r="M669" i="1"/>
  <c r="F670" i="1"/>
  <c r="G670" i="1"/>
  <c r="H670" i="1"/>
  <c r="I670" i="1"/>
  <c r="J670" i="1"/>
  <c r="K670" i="1"/>
  <c r="L670" i="1"/>
  <c r="M670" i="1"/>
  <c r="F671" i="1"/>
  <c r="G671" i="1"/>
  <c r="H671" i="1"/>
  <c r="I671" i="1"/>
  <c r="J671" i="1"/>
  <c r="K671" i="1"/>
  <c r="L671" i="1"/>
  <c r="M671" i="1"/>
  <c r="F672" i="1"/>
  <c r="G672" i="1"/>
  <c r="H672" i="1"/>
  <c r="I672" i="1"/>
  <c r="J672" i="1"/>
  <c r="K672" i="1"/>
  <c r="L672" i="1"/>
  <c r="M672" i="1"/>
  <c r="F673" i="1"/>
  <c r="G673" i="1"/>
  <c r="H673" i="1"/>
  <c r="I673" i="1"/>
  <c r="J673" i="1"/>
  <c r="K673" i="1"/>
  <c r="L673" i="1"/>
  <c r="M673" i="1"/>
  <c r="F674" i="1"/>
  <c r="G674" i="1"/>
  <c r="H674" i="1"/>
  <c r="I674" i="1"/>
  <c r="J674" i="1"/>
  <c r="K674" i="1"/>
  <c r="L674" i="1"/>
  <c r="M674" i="1"/>
  <c r="F675" i="1"/>
  <c r="G675" i="1"/>
  <c r="H675" i="1"/>
  <c r="I675" i="1"/>
  <c r="J675" i="1"/>
  <c r="K675" i="1"/>
  <c r="L675" i="1"/>
  <c r="M675" i="1"/>
  <c r="F676" i="1"/>
  <c r="G676" i="1"/>
  <c r="H676" i="1"/>
  <c r="I676" i="1"/>
  <c r="J676" i="1"/>
  <c r="K676" i="1"/>
  <c r="L676" i="1"/>
  <c r="M676" i="1"/>
  <c r="F677" i="1"/>
  <c r="G677" i="1"/>
  <c r="H677" i="1"/>
  <c r="I677" i="1"/>
  <c r="J677" i="1"/>
  <c r="K677" i="1"/>
  <c r="L677" i="1"/>
  <c r="M677" i="1"/>
  <c r="F678" i="1"/>
  <c r="G678" i="1"/>
  <c r="H678" i="1"/>
  <c r="I678" i="1"/>
  <c r="J678" i="1"/>
  <c r="K678" i="1"/>
  <c r="L678" i="1"/>
  <c r="M678" i="1"/>
  <c r="F679" i="1"/>
  <c r="G679" i="1"/>
  <c r="H679" i="1"/>
  <c r="I679" i="1"/>
  <c r="J679" i="1"/>
  <c r="K679" i="1"/>
  <c r="L679" i="1"/>
  <c r="M679" i="1"/>
  <c r="F680" i="1"/>
  <c r="G680" i="1"/>
  <c r="H680" i="1"/>
  <c r="I680" i="1"/>
  <c r="J680" i="1"/>
  <c r="K680" i="1"/>
  <c r="L680" i="1"/>
  <c r="M680" i="1"/>
  <c r="F681" i="1"/>
  <c r="G681" i="1"/>
  <c r="H681" i="1"/>
  <c r="I681" i="1"/>
  <c r="J681" i="1"/>
  <c r="K681" i="1"/>
  <c r="L681" i="1"/>
  <c r="M681" i="1"/>
  <c r="F682" i="1"/>
  <c r="G682" i="1"/>
  <c r="H682" i="1"/>
  <c r="I682" i="1"/>
  <c r="J682" i="1"/>
  <c r="K682" i="1"/>
  <c r="L682" i="1"/>
  <c r="M682" i="1"/>
  <c r="F683" i="1"/>
  <c r="G683" i="1"/>
  <c r="H683" i="1"/>
  <c r="I683" i="1"/>
  <c r="J683" i="1"/>
  <c r="K683" i="1"/>
  <c r="L683" i="1"/>
  <c r="M683" i="1"/>
  <c r="F684" i="1"/>
  <c r="G684" i="1"/>
  <c r="H684" i="1"/>
  <c r="I684" i="1"/>
  <c r="J684" i="1"/>
  <c r="K684" i="1"/>
  <c r="L684" i="1"/>
  <c r="M684" i="1"/>
  <c r="F685" i="1"/>
  <c r="G685" i="1"/>
  <c r="H685" i="1"/>
  <c r="I685" i="1"/>
  <c r="J685" i="1"/>
  <c r="K685" i="1"/>
  <c r="L685" i="1"/>
  <c r="M685" i="1"/>
  <c r="F686" i="1"/>
  <c r="G686" i="1"/>
  <c r="H686" i="1"/>
  <c r="I686" i="1"/>
  <c r="J686" i="1"/>
  <c r="K686" i="1"/>
  <c r="L686" i="1"/>
  <c r="M686" i="1"/>
  <c r="F687" i="1"/>
  <c r="G687" i="1"/>
  <c r="H687" i="1"/>
  <c r="I687" i="1"/>
  <c r="J687" i="1"/>
  <c r="K687" i="1"/>
  <c r="L687" i="1"/>
  <c r="M687" i="1"/>
  <c r="F688" i="1"/>
  <c r="G688" i="1"/>
  <c r="H688" i="1"/>
  <c r="I688" i="1"/>
  <c r="J688" i="1"/>
  <c r="K688" i="1"/>
  <c r="L688" i="1"/>
  <c r="M688" i="1"/>
  <c r="F689" i="1"/>
  <c r="G689" i="1"/>
  <c r="H689" i="1"/>
  <c r="I689" i="1"/>
  <c r="J689" i="1"/>
  <c r="K689" i="1"/>
  <c r="L689" i="1"/>
  <c r="M689" i="1"/>
  <c r="F690" i="1"/>
  <c r="G690" i="1"/>
  <c r="H690" i="1"/>
  <c r="I690" i="1"/>
  <c r="J690" i="1"/>
  <c r="K690" i="1"/>
  <c r="L690" i="1"/>
  <c r="M690" i="1"/>
  <c r="F691" i="1"/>
  <c r="G691" i="1"/>
  <c r="H691" i="1"/>
  <c r="I691" i="1"/>
  <c r="J691" i="1"/>
  <c r="K691" i="1"/>
  <c r="L691" i="1"/>
  <c r="M691" i="1"/>
  <c r="F692" i="1"/>
  <c r="G692" i="1"/>
  <c r="H692" i="1"/>
  <c r="I692" i="1"/>
  <c r="J692" i="1"/>
  <c r="K692" i="1"/>
  <c r="L692" i="1"/>
  <c r="M692" i="1"/>
  <c r="F693" i="1"/>
  <c r="G693" i="1"/>
  <c r="H693" i="1"/>
  <c r="I693" i="1"/>
  <c r="J693" i="1"/>
  <c r="K693" i="1"/>
  <c r="L693" i="1"/>
  <c r="M693" i="1"/>
  <c r="F694" i="1"/>
  <c r="G694" i="1"/>
  <c r="H694" i="1"/>
  <c r="I694" i="1"/>
  <c r="J694" i="1"/>
  <c r="K694" i="1"/>
  <c r="L694" i="1"/>
  <c r="M694" i="1"/>
  <c r="F695" i="1"/>
  <c r="G695" i="1"/>
  <c r="H695" i="1"/>
  <c r="I695" i="1"/>
  <c r="J695" i="1"/>
  <c r="K695" i="1"/>
  <c r="L695" i="1"/>
  <c r="M695" i="1"/>
  <c r="F696" i="1"/>
  <c r="G696" i="1"/>
  <c r="H696" i="1"/>
  <c r="I696" i="1"/>
  <c r="J696" i="1"/>
  <c r="K696" i="1"/>
  <c r="L696" i="1"/>
  <c r="M696" i="1"/>
  <c r="F697" i="1"/>
  <c r="G697" i="1"/>
  <c r="H697" i="1"/>
  <c r="I697" i="1"/>
  <c r="J697" i="1"/>
  <c r="K697" i="1"/>
  <c r="L697" i="1"/>
  <c r="M697" i="1"/>
  <c r="F698" i="1"/>
  <c r="G698" i="1"/>
  <c r="H698" i="1"/>
  <c r="I698" i="1"/>
  <c r="J698" i="1"/>
  <c r="K698" i="1"/>
  <c r="L698" i="1"/>
  <c r="M698" i="1"/>
  <c r="F699" i="1"/>
  <c r="G699" i="1"/>
  <c r="H699" i="1"/>
  <c r="I699" i="1"/>
  <c r="J699" i="1"/>
  <c r="K699" i="1"/>
  <c r="L699" i="1"/>
  <c r="M699" i="1"/>
  <c r="F700" i="1"/>
  <c r="G700" i="1"/>
  <c r="H700" i="1"/>
  <c r="I700" i="1"/>
  <c r="J700" i="1"/>
  <c r="K700" i="1"/>
  <c r="L700" i="1"/>
  <c r="M700" i="1"/>
  <c r="F701" i="1"/>
  <c r="G701" i="1"/>
  <c r="H701" i="1"/>
  <c r="I701" i="1"/>
  <c r="J701" i="1"/>
  <c r="K701" i="1"/>
  <c r="L701" i="1"/>
  <c r="M701" i="1"/>
  <c r="F702" i="1"/>
  <c r="G702" i="1"/>
  <c r="H702" i="1"/>
  <c r="I702" i="1"/>
  <c r="J702" i="1"/>
  <c r="K702" i="1"/>
  <c r="L702" i="1"/>
  <c r="M702" i="1"/>
  <c r="F703" i="1"/>
  <c r="G703" i="1"/>
  <c r="H703" i="1"/>
  <c r="I703" i="1"/>
  <c r="J703" i="1"/>
  <c r="K703" i="1"/>
  <c r="L703" i="1"/>
  <c r="M703" i="1"/>
  <c r="F704" i="1"/>
  <c r="G704" i="1"/>
  <c r="H704" i="1"/>
  <c r="I704" i="1"/>
  <c r="J704" i="1"/>
  <c r="K704" i="1"/>
  <c r="L704" i="1"/>
  <c r="M704" i="1"/>
  <c r="F705" i="1"/>
  <c r="G705" i="1"/>
  <c r="H705" i="1"/>
  <c r="I705" i="1"/>
  <c r="J705" i="1"/>
  <c r="K705" i="1"/>
  <c r="L705" i="1"/>
  <c r="M705" i="1"/>
  <c r="F706" i="1"/>
  <c r="G706" i="1"/>
  <c r="H706" i="1"/>
  <c r="I706" i="1"/>
  <c r="J706" i="1"/>
  <c r="K706" i="1"/>
  <c r="L706" i="1"/>
  <c r="M706" i="1"/>
  <c r="F707" i="1"/>
  <c r="G707" i="1"/>
  <c r="H707" i="1"/>
  <c r="I707" i="1"/>
  <c r="J707" i="1"/>
  <c r="K707" i="1"/>
  <c r="L707" i="1"/>
  <c r="M707" i="1"/>
  <c r="F708" i="1"/>
  <c r="G708" i="1"/>
  <c r="H708" i="1"/>
  <c r="I708" i="1"/>
  <c r="J708" i="1"/>
  <c r="K708" i="1"/>
  <c r="L708" i="1"/>
  <c r="M708" i="1"/>
  <c r="F709" i="1"/>
  <c r="G709" i="1"/>
  <c r="H709" i="1"/>
  <c r="I709" i="1"/>
  <c r="J709" i="1"/>
  <c r="K709" i="1"/>
  <c r="L709" i="1"/>
  <c r="M709" i="1"/>
  <c r="F710" i="1"/>
  <c r="G710" i="1"/>
  <c r="H710" i="1"/>
  <c r="I710" i="1"/>
  <c r="J710" i="1"/>
  <c r="K710" i="1"/>
  <c r="L710" i="1"/>
  <c r="M710" i="1"/>
  <c r="F711" i="1"/>
  <c r="G711" i="1"/>
  <c r="H711" i="1"/>
  <c r="I711" i="1"/>
  <c r="J711" i="1"/>
  <c r="K711" i="1"/>
  <c r="L711" i="1"/>
  <c r="M711" i="1"/>
  <c r="F712" i="1"/>
  <c r="G712" i="1"/>
  <c r="H712" i="1"/>
  <c r="I712" i="1"/>
  <c r="J712" i="1"/>
  <c r="K712" i="1"/>
  <c r="L712" i="1"/>
  <c r="M712" i="1"/>
  <c r="F713" i="1"/>
  <c r="G713" i="1"/>
  <c r="H713" i="1"/>
  <c r="I713" i="1"/>
  <c r="J713" i="1"/>
  <c r="K713" i="1"/>
  <c r="L713" i="1"/>
  <c r="M713" i="1"/>
  <c r="F714" i="1"/>
  <c r="G714" i="1"/>
  <c r="H714" i="1"/>
  <c r="I714" i="1"/>
  <c r="J714" i="1"/>
  <c r="K714" i="1"/>
  <c r="L714" i="1"/>
  <c r="M714" i="1"/>
  <c r="F715" i="1"/>
  <c r="G715" i="1"/>
  <c r="H715" i="1"/>
  <c r="I715" i="1"/>
  <c r="J715" i="1"/>
  <c r="K715" i="1"/>
  <c r="L715" i="1"/>
  <c r="M715" i="1"/>
  <c r="F716" i="1"/>
  <c r="G716" i="1"/>
  <c r="H716" i="1"/>
  <c r="I716" i="1"/>
  <c r="J716" i="1"/>
  <c r="K716" i="1"/>
  <c r="L716" i="1"/>
  <c r="M716" i="1"/>
  <c r="F717" i="1"/>
  <c r="G717" i="1"/>
  <c r="H717" i="1"/>
  <c r="I717" i="1"/>
  <c r="J717" i="1"/>
  <c r="K717" i="1"/>
  <c r="L717" i="1"/>
  <c r="M717" i="1"/>
  <c r="F718" i="1"/>
  <c r="G718" i="1"/>
  <c r="H718" i="1"/>
  <c r="I718" i="1"/>
  <c r="J718" i="1"/>
  <c r="K718" i="1"/>
  <c r="L718" i="1"/>
  <c r="M718" i="1"/>
  <c r="F719" i="1"/>
  <c r="G719" i="1"/>
  <c r="H719" i="1"/>
  <c r="I719" i="1"/>
  <c r="J719" i="1"/>
  <c r="K719" i="1"/>
  <c r="L719" i="1"/>
  <c r="M719" i="1"/>
  <c r="F720" i="1"/>
  <c r="G720" i="1"/>
  <c r="H720" i="1"/>
  <c r="I720" i="1"/>
  <c r="J720" i="1"/>
  <c r="K720" i="1"/>
  <c r="L720" i="1"/>
  <c r="M720" i="1"/>
  <c r="F721" i="1"/>
  <c r="G721" i="1"/>
  <c r="H721" i="1"/>
  <c r="I721" i="1"/>
  <c r="J721" i="1"/>
  <c r="K721" i="1"/>
  <c r="L721" i="1"/>
  <c r="M721" i="1"/>
  <c r="F722" i="1"/>
  <c r="G722" i="1"/>
  <c r="H722" i="1"/>
  <c r="I722" i="1"/>
  <c r="J722" i="1"/>
  <c r="K722" i="1"/>
  <c r="L722" i="1"/>
  <c r="M722" i="1"/>
  <c r="F723" i="1"/>
  <c r="G723" i="1"/>
  <c r="H723" i="1"/>
  <c r="I723" i="1"/>
  <c r="J723" i="1"/>
  <c r="K723" i="1"/>
  <c r="L723" i="1"/>
  <c r="M723" i="1"/>
  <c r="F724" i="1"/>
  <c r="G724" i="1"/>
  <c r="H724" i="1"/>
  <c r="I724" i="1"/>
  <c r="J724" i="1"/>
  <c r="K724" i="1"/>
  <c r="L724" i="1"/>
  <c r="M724" i="1"/>
  <c r="F725" i="1"/>
  <c r="G725" i="1"/>
  <c r="H725" i="1"/>
  <c r="I725" i="1"/>
  <c r="J725" i="1"/>
  <c r="K725" i="1"/>
  <c r="L725" i="1"/>
  <c r="M725" i="1"/>
  <c r="F726" i="1"/>
  <c r="G726" i="1"/>
  <c r="H726" i="1"/>
  <c r="I726" i="1"/>
  <c r="J726" i="1"/>
  <c r="K726" i="1"/>
  <c r="L726" i="1"/>
  <c r="M726" i="1"/>
  <c r="F727" i="1"/>
  <c r="G727" i="1"/>
  <c r="H727" i="1"/>
  <c r="I727" i="1"/>
  <c r="J727" i="1"/>
  <c r="K727" i="1"/>
  <c r="L727" i="1"/>
  <c r="M727" i="1"/>
  <c r="F728" i="1"/>
  <c r="G728" i="1"/>
  <c r="H728" i="1"/>
  <c r="I728" i="1"/>
  <c r="J728" i="1"/>
  <c r="K728" i="1"/>
  <c r="L728" i="1"/>
  <c r="M728" i="1"/>
  <c r="F729" i="1"/>
  <c r="G729" i="1"/>
  <c r="H729" i="1"/>
  <c r="I729" i="1"/>
  <c r="J729" i="1"/>
  <c r="K729" i="1"/>
  <c r="L729" i="1"/>
  <c r="M729" i="1"/>
  <c r="F730" i="1"/>
  <c r="G730" i="1"/>
  <c r="H730" i="1"/>
  <c r="I730" i="1"/>
  <c r="J730" i="1"/>
  <c r="K730" i="1"/>
  <c r="L730" i="1"/>
  <c r="M730" i="1"/>
  <c r="F731" i="1"/>
  <c r="G731" i="1"/>
  <c r="H731" i="1"/>
  <c r="I731" i="1"/>
  <c r="J731" i="1"/>
  <c r="K731" i="1"/>
  <c r="L731" i="1"/>
  <c r="M731" i="1"/>
  <c r="F732" i="1"/>
  <c r="G732" i="1"/>
  <c r="H732" i="1"/>
  <c r="I732" i="1"/>
  <c r="J732" i="1"/>
  <c r="K732" i="1"/>
  <c r="L732" i="1"/>
  <c r="M732" i="1"/>
  <c r="F733" i="1"/>
  <c r="G733" i="1"/>
  <c r="H733" i="1"/>
  <c r="I733" i="1"/>
  <c r="J733" i="1"/>
  <c r="K733" i="1"/>
  <c r="L733" i="1"/>
  <c r="M733" i="1"/>
  <c r="F734" i="1"/>
  <c r="G734" i="1"/>
  <c r="H734" i="1"/>
  <c r="I734" i="1"/>
  <c r="J734" i="1"/>
  <c r="K734" i="1"/>
  <c r="L734" i="1"/>
  <c r="M734" i="1"/>
  <c r="F735" i="1"/>
  <c r="G735" i="1"/>
  <c r="H735" i="1"/>
  <c r="I735" i="1"/>
  <c r="J735" i="1"/>
  <c r="K735" i="1"/>
  <c r="L735" i="1"/>
  <c r="M735" i="1"/>
  <c r="F736" i="1"/>
  <c r="G736" i="1"/>
  <c r="H736" i="1"/>
  <c r="I736" i="1"/>
  <c r="J736" i="1"/>
  <c r="K736" i="1"/>
  <c r="L736" i="1"/>
  <c r="M736" i="1"/>
  <c r="F737" i="1"/>
  <c r="G737" i="1"/>
  <c r="H737" i="1"/>
  <c r="I737" i="1"/>
  <c r="J737" i="1"/>
  <c r="K737" i="1"/>
  <c r="L737" i="1"/>
  <c r="M737" i="1"/>
  <c r="F738" i="1"/>
  <c r="G738" i="1"/>
  <c r="H738" i="1"/>
  <c r="I738" i="1"/>
  <c r="J738" i="1"/>
  <c r="K738" i="1"/>
  <c r="L738" i="1"/>
  <c r="M738" i="1"/>
  <c r="F739" i="1"/>
  <c r="G739" i="1"/>
  <c r="H739" i="1"/>
  <c r="I739" i="1"/>
  <c r="J739" i="1"/>
  <c r="K739" i="1"/>
  <c r="L739" i="1"/>
  <c r="M739" i="1"/>
  <c r="F740" i="1"/>
  <c r="G740" i="1"/>
  <c r="H740" i="1"/>
  <c r="I740" i="1"/>
  <c r="J740" i="1"/>
  <c r="K740" i="1"/>
  <c r="L740" i="1"/>
  <c r="M740" i="1"/>
  <c r="F741" i="1"/>
  <c r="G741" i="1"/>
  <c r="H741" i="1"/>
  <c r="I741" i="1"/>
  <c r="J741" i="1"/>
  <c r="K741" i="1"/>
  <c r="L741" i="1"/>
  <c r="M741" i="1"/>
  <c r="F742" i="1"/>
  <c r="G742" i="1"/>
  <c r="H742" i="1"/>
  <c r="I742" i="1"/>
  <c r="J742" i="1"/>
  <c r="K742" i="1"/>
  <c r="L742" i="1"/>
  <c r="M742" i="1"/>
  <c r="F743" i="1"/>
  <c r="G743" i="1"/>
  <c r="H743" i="1"/>
  <c r="I743" i="1"/>
  <c r="J743" i="1"/>
  <c r="K743" i="1"/>
  <c r="L743" i="1"/>
  <c r="M743" i="1"/>
  <c r="F744" i="1"/>
  <c r="G744" i="1"/>
  <c r="H744" i="1"/>
  <c r="I744" i="1"/>
  <c r="J744" i="1"/>
  <c r="K744" i="1"/>
  <c r="L744" i="1"/>
  <c r="M744" i="1"/>
  <c r="F745" i="1"/>
  <c r="G745" i="1"/>
  <c r="H745" i="1"/>
  <c r="I745" i="1"/>
  <c r="J745" i="1"/>
  <c r="K745" i="1"/>
  <c r="L745" i="1"/>
  <c r="M745" i="1"/>
  <c r="F746" i="1"/>
  <c r="G746" i="1"/>
  <c r="H746" i="1"/>
  <c r="I746" i="1"/>
  <c r="J746" i="1"/>
  <c r="K746" i="1"/>
  <c r="L746" i="1"/>
  <c r="M746" i="1"/>
  <c r="F747" i="1"/>
  <c r="G747" i="1"/>
  <c r="H747" i="1"/>
  <c r="I747" i="1"/>
  <c r="J747" i="1"/>
  <c r="K747" i="1"/>
  <c r="L747" i="1"/>
  <c r="M747" i="1"/>
  <c r="F748" i="1"/>
  <c r="G748" i="1"/>
  <c r="H748" i="1"/>
  <c r="I748" i="1"/>
  <c r="J748" i="1"/>
  <c r="K748" i="1"/>
  <c r="L748" i="1"/>
  <c r="M748" i="1"/>
  <c r="F749" i="1"/>
  <c r="G749" i="1"/>
  <c r="H749" i="1"/>
  <c r="I749" i="1"/>
  <c r="J749" i="1"/>
  <c r="K749" i="1"/>
  <c r="L749" i="1"/>
  <c r="M749" i="1"/>
  <c r="F750" i="1"/>
  <c r="G750" i="1"/>
  <c r="H750" i="1"/>
  <c r="I750" i="1"/>
  <c r="J750" i="1"/>
  <c r="K750" i="1"/>
  <c r="L750" i="1"/>
  <c r="M750" i="1"/>
  <c r="F751" i="1"/>
  <c r="G751" i="1"/>
  <c r="H751" i="1"/>
  <c r="I751" i="1"/>
  <c r="J751" i="1"/>
  <c r="K751" i="1"/>
  <c r="L751" i="1"/>
  <c r="M751" i="1"/>
  <c r="F752" i="1"/>
  <c r="G752" i="1"/>
  <c r="H752" i="1"/>
  <c r="I752" i="1"/>
  <c r="J752" i="1"/>
  <c r="K752" i="1"/>
  <c r="L752" i="1"/>
  <c r="M752" i="1"/>
  <c r="F753" i="1"/>
  <c r="G753" i="1"/>
  <c r="H753" i="1"/>
  <c r="I753" i="1"/>
  <c r="J753" i="1"/>
  <c r="K753" i="1"/>
  <c r="L753" i="1"/>
  <c r="M753" i="1"/>
  <c r="F754" i="1"/>
  <c r="G754" i="1"/>
  <c r="H754" i="1"/>
  <c r="I754" i="1"/>
  <c r="J754" i="1"/>
  <c r="K754" i="1"/>
  <c r="L754" i="1"/>
  <c r="M754" i="1"/>
  <c r="F755" i="1"/>
  <c r="G755" i="1"/>
  <c r="H755" i="1"/>
  <c r="I755" i="1"/>
  <c r="J755" i="1"/>
  <c r="K755" i="1"/>
  <c r="L755" i="1"/>
  <c r="M755" i="1"/>
  <c r="F756" i="1"/>
  <c r="G756" i="1"/>
  <c r="H756" i="1"/>
  <c r="I756" i="1"/>
  <c r="J756" i="1"/>
  <c r="K756" i="1"/>
  <c r="L756" i="1"/>
  <c r="M756" i="1"/>
  <c r="F757" i="1"/>
  <c r="G757" i="1"/>
  <c r="H757" i="1"/>
  <c r="I757" i="1"/>
  <c r="J757" i="1"/>
  <c r="K757" i="1"/>
  <c r="L757" i="1"/>
  <c r="M757" i="1"/>
  <c r="F758" i="1"/>
  <c r="G758" i="1"/>
  <c r="H758" i="1"/>
  <c r="I758" i="1"/>
  <c r="J758" i="1"/>
  <c r="K758" i="1"/>
  <c r="L758" i="1"/>
  <c r="M758" i="1"/>
  <c r="F759" i="1"/>
  <c r="G759" i="1"/>
  <c r="H759" i="1"/>
  <c r="I759" i="1"/>
  <c r="J759" i="1"/>
  <c r="K759" i="1"/>
  <c r="L759" i="1"/>
  <c r="M759" i="1"/>
  <c r="F760" i="1"/>
  <c r="G760" i="1"/>
  <c r="H760" i="1"/>
  <c r="I760" i="1"/>
  <c r="J760" i="1"/>
  <c r="K760" i="1"/>
  <c r="L760" i="1"/>
  <c r="M760" i="1"/>
  <c r="F761" i="1"/>
  <c r="G761" i="1"/>
  <c r="H761" i="1"/>
  <c r="I761" i="1"/>
  <c r="J761" i="1"/>
  <c r="K761" i="1"/>
  <c r="L761" i="1"/>
  <c r="M761" i="1"/>
  <c r="F762" i="1"/>
  <c r="G762" i="1"/>
  <c r="H762" i="1"/>
  <c r="I762" i="1"/>
  <c r="J762" i="1"/>
  <c r="K762" i="1"/>
  <c r="L762" i="1"/>
  <c r="M762" i="1"/>
  <c r="F763" i="1"/>
  <c r="G763" i="1"/>
  <c r="H763" i="1"/>
  <c r="I763" i="1"/>
  <c r="J763" i="1"/>
  <c r="K763" i="1"/>
  <c r="L763" i="1"/>
  <c r="M763" i="1"/>
  <c r="F764" i="1"/>
  <c r="G764" i="1"/>
  <c r="H764" i="1"/>
  <c r="I764" i="1"/>
  <c r="J764" i="1"/>
  <c r="K764" i="1"/>
  <c r="L764" i="1"/>
  <c r="M764" i="1"/>
  <c r="F765" i="1"/>
  <c r="G765" i="1"/>
  <c r="H765" i="1"/>
  <c r="I765" i="1"/>
  <c r="J765" i="1"/>
  <c r="K765" i="1"/>
  <c r="L765" i="1"/>
  <c r="M765" i="1"/>
  <c r="F766" i="1"/>
  <c r="G766" i="1"/>
  <c r="H766" i="1"/>
  <c r="I766" i="1"/>
  <c r="J766" i="1"/>
  <c r="K766" i="1"/>
  <c r="L766" i="1"/>
  <c r="M766" i="1"/>
  <c r="F767" i="1"/>
  <c r="G767" i="1"/>
  <c r="H767" i="1"/>
  <c r="I767" i="1"/>
  <c r="J767" i="1"/>
  <c r="K767" i="1"/>
  <c r="L767" i="1"/>
  <c r="M767" i="1"/>
  <c r="F768" i="1"/>
  <c r="G768" i="1"/>
  <c r="H768" i="1"/>
  <c r="I768" i="1"/>
  <c r="J768" i="1"/>
  <c r="K768" i="1"/>
  <c r="L768" i="1"/>
  <c r="M768" i="1"/>
  <c r="F769" i="1"/>
  <c r="G769" i="1"/>
  <c r="H769" i="1"/>
  <c r="I769" i="1"/>
  <c r="J769" i="1"/>
  <c r="K769" i="1"/>
  <c r="L769" i="1"/>
  <c r="M769" i="1"/>
  <c r="F770" i="1"/>
  <c r="G770" i="1"/>
  <c r="H770" i="1"/>
  <c r="I770" i="1"/>
  <c r="J770" i="1"/>
  <c r="K770" i="1"/>
  <c r="L770" i="1"/>
  <c r="M770" i="1"/>
  <c r="F771" i="1"/>
  <c r="G771" i="1"/>
  <c r="H771" i="1"/>
  <c r="I771" i="1"/>
  <c r="J771" i="1"/>
  <c r="K771" i="1"/>
  <c r="L771" i="1"/>
  <c r="M771" i="1"/>
  <c r="F772" i="1"/>
  <c r="G772" i="1"/>
  <c r="H772" i="1"/>
  <c r="I772" i="1"/>
  <c r="J772" i="1"/>
  <c r="K772" i="1"/>
  <c r="L772" i="1"/>
  <c r="M772" i="1"/>
  <c r="F773" i="1"/>
  <c r="G773" i="1"/>
  <c r="H773" i="1"/>
  <c r="I773" i="1"/>
  <c r="J773" i="1"/>
  <c r="K773" i="1"/>
  <c r="L773" i="1"/>
  <c r="M773" i="1"/>
  <c r="F774" i="1"/>
  <c r="G774" i="1"/>
  <c r="H774" i="1"/>
  <c r="I774" i="1"/>
  <c r="J774" i="1"/>
  <c r="K774" i="1"/>
  <c r="L774" i="1"/>
  <c r="M774" i="1"/>
  <c r="F775" i="1"/>
  <c r="G775" i="1"/>
  <c r="H775" i="1"/>
  <c r="I775" i="1"/>
  <c r="J775" i="1"/>
  <c r="K775" i="1"/>
  <c r="L775" i="1"/>
  <c r="M775" i="1"/>
  <c r="F776" i="1"/>
  <c r="G776" i="1"/>
  <c r="H776" i="1"/>
  <c r="I776" i="1"/>
  <c r="J776" i="1"/>
  <c r="K776" i="1"/>
  <c r="L776" i="1"/>
  <c r="M776" i="1"/>
  <c r="F777" i="1"/>
  <c r="G777" i="1"/>
  <c r="H777" i="1"/>
  <c r="I777" i="1"/>
  <c r="J777" i="1"/>
  <c r="K777" i="1"/>
  <c r="L777" i="1"/>
  <c r="M777" i="1"/>
  <c r="F778" i="1"/>
  <c r="G778" i="1"/>
  <c r="H778" i="1"/>
  <c r="I778" i="1"/>
  <c r="J778" i="1"/>
  <c r="K778" i="1"/>
  <c r="L778" i="1"/>
  <c r="M778" i="1"/>
  <c r="F779" i="1"/>
  <c r="G779" i="1"/>
  <c r="H779" i="1"/>
  <c r="I779" i="1"/>
  <c r="J779" i="1"/>
  <c r="K779" i="1"/>
  <c r="L779" i="1"/>
  <c r="M779" i="1"/>
  <c r="F780" i="1"/>
  <c r="G780" i="1"/>
  <c r="H780" i="1"/>
  <c r="I780" i="1"/>
  <c r="J780" i="1"/>
  <c r="K780" i="1"/>
  <c r="L780" i="1"/>
  <c r="M780" i="1"/>
  <c r="F781" i="1"/>
  <c r="G781" i="1"/>
  <c r="H781" i="1"/>
  <c r="I781" i="1"/>
  <c r="J781" i="1"/>
  <c r="K781" i="1"/>
  <c r="L781" i="1"/>
  <c r="M781" i="1"/>
  <c r="F782" i="1"/>
  <c r="G782" i="1"/>
  <c r="H782" i="1"/>
  <c r="I782" i="1"/>
  <c r="J782" i="1"/>
  <c r="K782" i="1"/>
  <c r="L782" i="1"/>
  <c r="M782" i="1"/>
  <c r="F783" i="1"/>
  <c r="G783" i="1"/>
  <c r="H783" i="1"/>
  <c r="I783" i="1"/>
  <c r="J783" i="1"/>
  <c r="K783" i="1"/>
  <c r="L783" i="1"/>
  <c r="M783" i="1"/>
  <c r="F784" i="1"/>
  <c r="G784" i="1"/>
  <c r="H784" i="1"/>
  <c r="I784" i="1"/>
  <c r="J784" i="1"/>
  <c r="K784" i="1"/>
  <c r="L784" i="1"/>
  <c r="M784" i="1"/>
  <c r="F785" i="1"/>
  <c r="G785" i="1"/>
  <c r="H785" i="1"/>
  <c r="I785" i="1"/>
  <c r="J785" i="1"/>
  <c r="K785" i="1"/>
  <c r="L785" i="1"/>
  <c r="M785" i="1"/>
  <c r="F786" i="1"/>
  <c r="G786" i="1"/>
  <c r="H786" i="1"/>
  <c r="I786" i="1"/>
  <c r="J786" i="1"/>
  <c r="K786" i="1"/>
  <c r="L786" i="1"/>
  <c r="M786" i="1"/>
  <c r="F787" i="1"/>
  <c r="G787" i="1"/>
  <c r="H787" i="1"/>
  <c r="I787" i="1"/>
  <c r="J787" i="1"/>
  <c r="K787" i="1"/>
  <c r="L787" i="1"/>
  <c r="M787" i="1"/>
  <c r="F788" i="1"/>
  <c r="G788" i="1"/>
  <c r="H788" i="1"/>
  <c r="I788" i="1"/>
  <c r="J788" i="1"/>
  <c r="K788" i="1"/>
  <c r="L788" i="1"/>
  <c r="M788" i="1"/>
  <c r="F789" i="1"/>
  <c r="G789" i="1"/>
  <c r="H789" i="1"/>
  <c r="I789" i="1"/>
  <c r="J789" i="1"/>
  <c r="K789" i="1"/>
  <c r="L789" i="1"/>
  <c r="M789" i="1"/>
  <c r="F790" i="1"/>
  <c r="G790" i="1"/>
  <c r="H790" i="1"/>
  <c r="I790" i="1"/>
  <c r="J790" i="1"/>
  <c r="K790" i="1"/>
  <c r="L790" i="1"/>
  <c r="M790" i="1"/>
  <c r="F791" i="1"/>
  <c r="G791" i="1"/>
  <c r="H791" i="1"/>
  <c r="I791" i="1"/>
  <c r="J791" i="1"/>
  <c r="K791" i="1"/>
  <c r="L791" i="1"/>
  <c r="M791" i="1"/>
  <c r="F792" i="1"/>
  <c r="G792" i="1"/>
  <c r="H792" i="1"/>
  <c r="I792" i="1"/>
  <c r="J792" i="1"/>
  <c r="K792" i="1"/>
  <c r="L792" i="1"/>
  <c r="M792" i="1"/>
  <c r="F793" i="1"/>
  <c r="G793" i="1"/>
  <c r="H793" i="1"/>
  <c r="I793" i="1"/>
  <c r="J793" i="1"/>
  <c r="K793" i="1"/>
  <c r="L793" i="1"/>
  <c r="M793" i="1"/>
  <c r="F794" i="1"/>
  <c r="G794" i="1"/>
  <c r="H794" i="1"/>
  <c r="I794" i="1"/>
  <c r="J794" i="1"/>
  <c r="K794" i="1"/>
  <c r="L794" i="1"/>
  <c r="M794" i="1"/>
  <c r="F795" i="1"/>
  <c r="G795" i="1"/>
  <c r="H795" i="1"/>
  <c r="I795" i="1"/>
  <c r="J795" i="1"/>
  <c r="K795" i="1"/>
  <c r="L795" i="1"/>
  <c r="M795" i="1"/>
  <c r="F796" i="1"/>
  <c r="G796" i="1"/>
  <c r="H796" i="1"/>
  <c r="I796" i="1"/>
  <c r="J796" i="1"/>
  <c r="K796" i="1"/>
  <c r="L796" i="1"/>
  <c r="M796" i="1"/>
  <c r="F797" i="1"/>
  <c r="G797" i="1"/>
  <c r="H797" i="1"/>
  <c r="I797" i="1"/>
  <c r="J797" i="1"/>
  <c r="K797" i="1"/>
  <c r="L797" i="1"/>
  <c r="M797" i="1"/>
  <c r="F798" i="1"/>
  <c r="G798" i="1"/>
  <c r="H798" i="1"/>
  <c r="I798" i="1"/>
  <c r="J798" i="1"/>
  <c r="K798" i="1"/>
  <c r="L798" i="1"/>
  <c r="M798" i="1"/>
  <c r="F799" i="1"/>
  <c r="G799" i="1"/>
  <c r="H799" i="1"/>
  <c r="I799" i="1"/>
  <c r="J799" i="1"/>
  <c r="K799" i="1"/>
  <c r="L799" i="1"/>
  <c r="M799" i="1"/>
  <c r="F800" i="1"/>
  <c r="G800" i="1"/>
  <c r="H800" i="1"/>
  <c r="I800" i="1"/>
  <c r="J800" i="1"/>
  <c r="K800" i="1"/>
  <c r="L800" i="1"/>
  <c r="M800" i="1"/>
  <c r="F801" i="1"/>
  <c r="G801" i="1"/>
  <c r="H801" i="1"/>
  <c r="I801" i="1"/>
  <c r="J801" i="1"/>
  <c r="K801" i="1"/>
  <c r="L801" i="1"/>
  <c r="M801" i="1"/>
  <c r="F802" i="1"/>
  <c r="G802" i="1"/>
  <c r="H802" i="1"/>
  <c r="I802" i="1"/>
  <c r="J802" i="1"/>
  <c r="K802" i="1"/>
  <c r="L802" i="1"/>
  <c r="M802" i="1"/>
  <c r="F803" i="1"/>
  <c r="G803" i="1"/>
  <c r="H803" i="1"/>
  <c r="I803" i="1"/>
  <c r="J803" i="1"/>
  <c r="K803" i="1"/>
  <c r="L803" i="1"/>
  <c r="M803" i="1"/>
  <c r="F804" i="1"/>
  <c r="G804" i="1"/>
  <c r="H804" i="1"/>
  <c r="I804" i="1"/>
  <c r="J804" i="1"/>
  <c r="K804" i="1"/>
  <c r="L804" i="1"/>
  <c r="M804" i="1"/>
  <c r="F805" i="1"/>
  <c r="G805" i="1"/>
  <c r="H805" i="1"/>
  <c r="I805" i="1"/>
  <c r="J805" i="1"/>
  <c r="K805" i="1"/>
  <c r="L805" i="1"/>
  <c r="M805" i="1"/>
  <c r="F806" i="1"/>
  <c r="G806" i="1"/>
  <c r="H806" i="1"/>
  <c r="I806" i="1"/>
  <c r="J806" i="1"/>
  <c r="K806" i="1"/>
  <c r="L806" i="1"/>
  <c r="M806" i="1"/>
  <c r="F807" i="1"/>
  <c r="G807" i="1"/>
  <c r="H807" i="1"/>
  <c r="I807" i="1"/>
  <c r="J807" i="1"/>
  <c r="K807" i="1"/>
  <c r="L807" i="1"/>
  <c r="M807" i="1"/>
  <c r="F808" i="1"/>
  <c r="G808" i="1"/>
  <c r="H808" i="1"/>
  <c r="I808" i="1"/>
  <c r="J808" i="1"/>
  <c r="K808" i="1"/>
  <c r="L808" i="1"/>
  <c r="M808" i="1"/>
  <c r="F809" i="1"/>
  <c r="G809" i="1"/>
  <c r="H809" i="1"/>
  <c r="I809" i="1"/>
  <c r="J809" i="1"/>
  <c r="K809" i="1"/>
  <c r="L809" i="1"/>
  <c r="M809" i="1"/>
  <c r="F810" i="1"/>
  <c r="G810" i="1"/>
  <c r="H810" i="1"/>
  <c r="I810" i="1"/>
  <c r="J810" i="1"/>
  <c r="K810" i="1"/>
  <c r="L810" i="1"/>
  <c r="M810" i="1"/>
  <c r="F811" i="1"/>
  <c r="G811" i="1"/>
  <c r="H811" i="1"/>
  <c r="I811" i="1"/>
  <c r="J811" i="1"/>
  <c r="K811" i="1"/>
  <c r="L811" i="1"/>
  <c r="M811" i="1"/>
  <c r="F812" i="1"/>
  <c r="G812" i="1"/>
  <c r="H812" i="1"/>
  <c r="I812" i="1"/>
  <c r="J812" i="1"/>
  <c r="K812" i="1"/>
  <c r="L812" i="1"/>
  <c r="M812" i="1"/>
  <c r="F813" i="1"/>
  <c r="G813" i="1"/>
  <c r="H813" i="1"/>
  <c r="I813" i="1"/>
  <c r="J813" i="1"/>
  <c r="K813" i="1"/>
  <c r="L813" i="1"/>
  <c r="M813" i="1"/>
  <c r="F814" i="1"/>
  <c r="G814" i="1"/>
  <c r="H814" i="1"/>
  <c r="I814" i="1"/>
  <c r="J814" i="1"/>
  <c r="K814" i="1"/>
  <c r="L814" i="1"/>
  <c r="M814" i="1"/>
  <c r="F815" i="1"/>
  <c r="G815" i="1"/>
  <c r="H815" i="1"/>
  <c r="I815" i="1"/>
  <c r="J815" i="1"/>
  <c r="K815" i="1"/>
  <c r="L815" i="1"/>
  <c r="M815" i="1"/>
  <c r="F816" i="1"/>
  <c r="G816" i="1"/>
  <c r="H816" i="1"/>
  <c r="I816" i="1"/>
  <c r="J816" i="1"/>
  <c r="K816" i="1"/>
  <c r="L816" i="1"/>
  <c r="M816" i="1"/>
  <c r="F817" i="1"/>
  <c r="G817" i="1"/>
  <c r="H817" i="1"/>
  <c r="I817" i="1"/>
  <c r="J817" i="1"/>
  <c r="K817" i="1"/>
  <c r="L817" i="1"/>
  <c r="M817" i="1"/>
  <c r="F818" i="1"/>
  <c r="G818" i="1"/>
  <c r="H818" i="1"/>
  <c r="I818" i="1"/>
  <c r="J818" i="1"/>
  <c r="K818" i="1"/>
  <c r="L818" i="1"/>
  <c r="M818" i="1"/>
  <c r="F819" i="1"/>
  <c r="G819" i="1"/>
  <c r="H819" i="1"/>
  <c r="I819" i="1"/>
  <c r="J819" i="1"/>
  <c r="K819" i="1"/>
  <c r="L819" i="1"/>
  <c r="M819" i="1"/>
  <c r="F820" i="1"/>
  <c r="G820" i="1"/>
  <c r="H820" i="1"/>
  <c r="I820" i="1"/>
  <c r="J820" i="1"/>
  <c r="K820" i="1"/>
  <c r="L820" i="1"/>
  <c r="M820" i="1"/>
  <c r="F821" i="1"/>
  <c r="G821" i="1"/>
  <c r="H821" i="1"/>
  <c r="I821" i="1"/>
  <c r="J821" i="1"/>
  <c r="K821" i="1"/>
  <c r="L821" i="1"/>
  <c r="M821" i="1"/>
  <c r="F822" i="1"/>
  <c r="G822" i="1"/>
  <c r="H822" i="1"/>
  <c r="I822" i="1"/>
  <c r="J822" i="1"/>
  <c r="K822" i="1"/>
  <c r="L822" i="1"/>
  <c r="M822" i="1"/>
  <c r="F823" i="1"/>
  <c r="G823" i="1"/>
  <c r="H823" i="1"/>
  <c r="I823" i="1"/>
  <c r="J823" i="1"/>
  <c r="K823" i="1"/>
  <c r="L823" i="1"/>
  <c r="M823" i="1"/>
  <c r="F824" i="1"/>
  <c r="G824" i="1"/>
  <c r="H824" i="1"/>
  <c r="I824" i="1"/>
  <c r="J824" i="1"/>
  <c r="K824" i="1"/>
  <c r="L824" i="1"/>
  <c r="M824" i="1"/>
  <c r="F825" i="1"/>
  <c r="G825" i="1"/>
  <c r="H825" i="1"/>
  <c r="I825" i="1"/>
  <c r="J825" i="1"/>
  <c r="K825" i="1"/>
  <c r="L825" i="1"/>
  <c r="M825" i="1"/>
  <c r="F826" i="1"/>
  <c r="G826" i="1"/>
  <c r="H826" i="1"/>
  <c r="I826" i="1"/>
  <c r="J826" i="1"/>
  <c r="K826" i="1"/>
  <c r="L826" i="1"/>
  <c r="M826" i="1"/>
  <c r="F827" i="1"/>
  <c r="G827" i="1"/>
  <c r="H827" i="1"/>
  <c r="I827" i="1"/>
  <c r="J827" i="1"/>
  <c r="K827" i="1"/>
  <c r="L827" i="1"/>
  <c r="M827" i="1"/>
  <c r="F828" i="1"/>
  <c r="G828" i="1"/>
  <c r="H828" i="1"/>
  <c r="I828" i="1"/>
  <c r="J828" i="1"/>
  <c r="K828" i="1"/>
  <c r="L828" i="1"/>
  <c r="M828" i="1"/>
  <c r="F829" i="1"/>
  <c r="G829" i="1"/>
  <c r="H829" i="1"/>
  <c r="I829" i="1"/>
  <c r="J829" i="1"/>
  <c r="K829" i="1"/>
  <c r="L829" i="1"/>
  <c r="M829" i="1"/>
  <c r="F830" i="1"/>
  <c r="G830" i="1"/>
  <c r="H830" i="1"/>
  <c r="I830" i="1"/>
  <c r="J830" i="1"/>
  <c r="K830" i="1"/>
  <c r="L830" i="1"/>
  <c r="M830" i="1"/>
  <c r="F831" i="1"/>
  <c r="G831" i="1"/>
  <c r="H831" i="1"/>
  <c r="I831" i="1"/>
  <c r="J831" i="1"/>
  <c r="K831" i="1"/>
  <c r="L831" i="1"/>
  <c r="M831" i="1"/>
  <c r="F832" i="1"/>
  <c r="G832" i="1"/>
  <c r="H832" i="1"/>
  <c r="I832" i="1"/>
  <c r="J832" i="1"/>
  <c r="K832" i="1"/>
  <c r="L832" i="1"/>
  <c r="M832" i="1"/>
  <c r="F833" i="1"/>
  <c r="G833" i="1"/>
  <c r="H833" i="1"/>
  <c r="I833" i="1"/>
  <c r="J833" i="1"/>
  <c r="K833" i="1"/>
  <c r="L833" i="1"/>
  <c r="M833" i="1"/>
  <c r="F834" i="1"/>
  <c r="G834" i="1"/>
  <c r="H834" i="1"/>
  <c r="I834" i="1"/>
  <c r="J834" i="1"/>
  <c r="K834" i="1"/>
  <c r="L834" i="1"/>
  <c r="M834" i="1"/>
  <c r="F835" i="1"/>
  <c r="G835" i="1"/>
  <c r="H835" i="1"/>
  <c r="I835" i="1"/>
  <c r="J835" i="1"/>
  <c r="K835" i="1"/>
  <c r="L835" i="1"/>
  <c r="M835" i="1"/>
  <c r="F836" i="1"/>
  <c r="G836" i="1"/>
  <c r="H836" i="1"/>
  <c r="I836" i="1"/>
  <c r="J836" i="1"/>
  <c r="K836" i="1"/>
  <c r="L836" i="1"/>
  <c r="M836" i="1"/>
  <c r="F837" i="1"/>
  <c r="G837" i="1"/>
  <c r="H837" i="1"/>
  <c r="I837" i="1"/>
  <c r="J837" i="1"/>
  <c r="K837" i="1"/>
  <c r="L837" i="1"/>
  <c r="M837" i="1"/>
  <c r="F838" i="1"/>
  <c r="G838" i="1"/>
  <c r="H838" i="1"/>
  <c r="I838" i="1"/>
  <c r="J838" i="1"/>
  <c r="K838" i="1"/>
  <c r="L838" i="1"/>
  <c r="M838" i="1"/>
  <c r="F839" i="1"/>
  <c r="G839" i="1"/>
  <c r="H839" i="1"/>
  <c r="I839" i="1"/>
  <c r="J839" i="1"/>
  <c r="K839" i="1"/>
  <c r="L839" i="1"/>
  <c r="M839" i="1"/>
  <c r="F840" i="1"/>
  <c r="G840" i="1"/>
  <c r="H840" i="1"/>
  <c r="I840" i="1"/>
  <c r="J840" i="1"/>
  <c r="K840" i="1"/>
  <c r="L840" i="1"/>
  <c r="M840" i="1"/>
  <c r="F841" i="1"/>
  <c r="G841" i="1"/>
  <c r="H841" i="1"/>
  <c r="I841" i="1"/>
  <c r="J841" i="1"/>
  <c r="K841" i="1"/>
  <c r="L841" i="1"/>
  <c r="M841" i="1"/>
  <c r="F842" i="1"/>
  <c r="G842" i="1"/>
  <c r="H842" i="1"/>
  <c r="I842" i="1"/>
  <c r="J842" i="1"/>
  <c r="K842" i="1"/>
  <c r="L842" i="1"/>
  <c r="M842" i="1"/>
  <c r="F843" i="1"/>
  <c r="G843" i="1"/>
  <c r="H843" i="1"/>
  <c r="I843" i="1"/>
  <c r="J843" i="1"/>
  <c r="K843" i="1"/>
  <c r="L843" i="1"/>
  <c r="M843" i="1"/>
  <c r="F844" i="1"/>
  <c r="G844" i="1"/>
  <c r="H844" i="1"/>
  <c r="I844" i="1"/>
  <c r="J844" i="1"/>
  <c r="K844" i="1"/>
  <c r="L844" i="1"/>
  <c r="M844" i="1"/>
  <c r="F845" i="1"/>
  <c r="G845" i="1"/>
  <c r="H845" i="1"/>
  <c r="I845" i="1"/>
  <c r="J845" i="1"/>
  <c r="K845" i="1"/>
  <c r="L845" i="1"/>
  <c r="M845" i="1"/>
  <c r="F846" i="1"/>
  <c r="G846" i="1"/>
  <c r="H846" i="1"/>
  <c r="I846" i="1"/>
  <c r="J846" i="1"/>
  <c r="K846" i="1"/>
  <c r="L846" i="1"/>
  <c r="M846" i="1"/>
  <c r="F847" i="1"/>
  <c r="G847" i="1"/>
  <c r="H847" i="1"/>
  <c r="I847" i="1"/>
  <c r="J847" i="1"/>
  <c r="K847" i="1"/>
  <c r="L847" i="1"/>
  <c r="M847" i="1"/>
  <c r="F848" i="1"/>
  <c r="G848" i="1"/>
  <c r="H848" i="1"/>
  <c r="I848" i="1"/>
  <c r="J848" i="1"/>
  <c r="K848" i="1"/>
  <c r="L848" i="1"/>
  <c r="M848" i="1"/>
  <c r="F849" i="1"/>
  <c r="G849" i="1"/>
  <c r="H849" i="1"/>
  <c r="I849" i="1"/>
  <c r="J849" i="1"/>
  <c r="K849" i="1"/>
  <c r="L849" i="1"/>
  <c r="M849" i="1"/>
  <c r="F850" i="1"/>
  <c r="G850" i="1"/>
  <c r="H850" i="1"/>
  <c r="I850" i="1"/>
  <c r="J850" i="1"/>
  <c r="K850" i="1"/>
  <c r="L850" i="1"/>
  <c r="M850" i="1"/>
  <c r="F851" i="1"/>
  <c r="G851" i="1"/>
  <c r="H851" i="1"/>
  <c r="I851" i="1"/>
  <c r="J851" i="1"/>
  <c r="K851" i="1"/>
  <c r="L851" i="1"/>
  <c r="M851" i="1"/>
  <c r="F852" i="1"/>
  <c r="G852" i="1"/>
  <c r="H852" i="1"/>
  <c r="I852" i="1"/>
  <c r="J852" i="1"/>
  <c r="K852" i="1"/>
  <c r="L852" i="1"/>
  <c r="M852" i="1"/>
  <c r="F853" i="1"/>
  <c r="G853" i="1"/>
  <c r="H853" i="1"/>
  <c r="I853" i="1"/>
  <c r="J853" i="1"/>
  <c r="K853" i="1"/>
  <c r="L853" i="1"/>
  <c r="M853" i="1"/>
  <c r="F854" i="1"/>
  <c r="G854" i="1"/>
  <c r="H854" i="1"/>
  <c r="I854" i="1"/>
  <c r="J854" i="1"/>
  <c r="K854" i="1"/>
  <c r="L854" i="1"/>
  <c r="M854" i="1"/>
  <c r="F855" i="1"/>
  <c r="G855" i="1"/>
  <c r="H855" i="1"/>
  <c r="I855" i="1"/>
  <c r="J855" i="1"/>
  <c r="K855" i="1"/>
  <c r="L855" i="1"/>
  <c r="M855" i="1"/>
  <c r="F856" i="1"/>
  <c r="G856" i="1"/>
  <c r="H856" i="1"/>
  <c r="I856" i="1"/>
  <c r="J856" i="1"/>
  <c r="K856" i="1"/>
  <c r="L856" i="1"/>
  <c r="M856" i="1"/>
  <c r="F857" i="1"/>
  <c r="G857" i="1"/>
  <c r="H857" i="1"/>
  <c r="I857" i="1"/>
  <c r="J857" i="1"/>
  <c r="K857" i="1"/>
  <c r="L857" i="1"/>
  <c r="M857" i="1"/>
  <c r="F858" i="1"/>
  <c r="G858" i="1"/>
  <c r="H858" i="1"/>
  <c r="I858" i="1"/>
  <c r="J858" i="1"/>
  <c r="K858" i="1"/>
  <c r="L858" i="1"/>
  <c r="M858" i="1"/>
  <c r="F859" i="1"/>
  <c r="G859" i="1"/>
  <c r="H859" i="1"/>
  <c r="I859" i="1"/>
  <c r="J859" i="1"/>
  <c r="K859" i="1"/>
  <c r="L859" i="1"/>
  <c r="M859" i="1"/>
  <c r="F860" i="1"/>
  <c r="G860" i="1"/>
  <c r="H860" i="1"/>
  <c r="I860" i="1"/>
  <c r="J860" i="1"/>
  <c r="K860" i="1"/>
  <c r="L860" i="1"/>
  <c r="M860" i="1"/>
  <c r="F861" i="1"/>
  <c r="G861" i="1"/>
  <c r="H861" i="1"/>
  <c r="I861" i="1"/>
  <c r="J861" i="1"/>
  <c r="K861" i="1"/>
  <c r="L861" i="1"/>
  <c r="M861" i="1"/>
  <c r="F862" i="1"/>
  <c r="G862" i="1"/>
  <c r="H862" i="1"/>
  <c r="I862" i="1"/>
  <c r="J862" i="1"/>
  <c r="K862" i="1"/>
  <c r="L862" i="1"/>
  <c r="M862" i="1"/>
  <c r="F863" i="1"/>
  <c r="G863" i="1"/>
  <c r="H863" i="1"/>
  <c r="I863" i="1"/>
  <c r="J863" i="1"/>
  <c r="K863" i="1"/>
  <c r="L863" i="1"/>
  <c r="M863" i="1"/>
  <c r="F864" i="1"/>
  <c r="G864" i="1"/>
  <c r="H864" i="1"/>
  <c r="I864" i="1"/>
  <c r="J864" i="1"/>
  <c r="K864" i="1"/>
  <c r="L864" i="1"/>
  <c r="M864" i="1"/>
  <c r="F865" i="1"/>
  <c r="G865" i="1"/>
  <c r="H865" i="1"/>
  <c r="I865" i="1"/>
  <c r="J865" i="1"/>
  <c r="K865" i="1"/>
  <c r="L865" i="1"/>
  <c r="M865" i="1"/>
  <c r="F866" i="1"/>
  <c r="G866" i="1"/>
  <c r="H866" i="1"/>
  <c r="I866" i="1"/>
  <c r="J866" i="1"/>
  <c r="K866" i="1"/>
  <c r="L866" i="1"/>
  <c r="M866" i="1"/>
  <c r="F867" i="1"/>
  <c r="G867" i="1"/>
  <c r="H867" i="1"/>
  <c r="I867" i="1"/>
  <c r="J867" i="1"/>
  <c r="K867" i="1"/>
  <c r="L867" i="1"/>
  <c r="M867" i="1"/>
  <c r="F868" i="1"/>
  <c r="G868" i="1"/>
  <c r="H868" i="1"/>
  <c r="I868" i="1"/>
  <c r="J868" i="1"/>
  <c r="K868" i="1"/>
  <c r="L868" i="1"/>
  <c r="M868" i="1"/>
  <c r="F869" i="1"/>
  <c r="G869" i="1"/>
  <c r="H869" i="1"/>
  <c r="I869" i="1"/>
  <c r="J869" i="1"/>
  <c r="K869" i="1"/>
  <c r="L869" i="1"/>
  <c r="M869" i="1"/>
  <c r="F870" i="1"/>
  <c r="G870" i="1"/>
  <c r="H870" i="1"/>
  <c r="I870" i="1"/>
  <c r="J870" i="1"/>
  <c r="K870" i="1"/>
  <c r="L870" i="1"/>
  <c r="M870" i="1"/>
  <c r="F871" i="1"/>
  <c r="G871" i="1"/>
  <c r="H871" i="1"/>
  <c r="I871" i="1"/>
  <c r="J871" i="1"/>
  <c r="K871" i="1"/>
  <c r="L871" i="1"/>
  <c r="M871" i="1"/>
  <c r="F872" i="1"/>
  <c r="G872" i="1"/>
  <c r="H872" i="1"/>
  <c r="I872" i="1"/>
  <c r="J872" i="1"/>
  <c r="K872" i="1"/>
  <c r="L872" i="1"/>
  <c r="M872" i="1"/>
  <c r="F873" i="1"/>
  <c r="G873" i="1"/>
  <c r="H873" i="1"/>
  <c r="I873" i="1"/>
  <c r="J873" i="1"/>
  <c r="K873" i="1"/>
  <c r="L873" i="1"/>
  <c r="M873" i="1"/>
  <c r="F874" i="1"/>
  <c r="G874" i="1"/>
  <c r="H874" i="1"/>
  <c r="I874" i="1"/>
  <c r="J874" i="1"/>
  <c r="K874" i="1"/>
  <c r="L874" i="1"/>
  <c r="M874" i="1"/>
  <c r="F875" i="1"/>
  <c r="G875" i="1"/>
  <c r="H875" i="1"/>
  <c r="I875" i="1"/>
  <c r="J875" i="1"/>
  <c r="K875" i="1"/>
  <c r="L875" i="1"/>
  <c r="M875" i="1"/>
  <c r="F876" i="1"/>
  <c r="G876" i="1"/>
  <c r="H876" i="1"/>
  <c r="I876" i="1"/>
  <c r="J876" i="1"/>
  <c r="K876" i="1"/>
  <c r="L876" i="1"/>
  <c r="M876" i="1"/>
  <c r="F877" i="1"/>
  <c r="G877" i="1"/>
  <c r="H877" i="1"/>
  <c r="I877" i="1"/>
  <c r="J877" i="1"/>
  <c r="K877" i="1"/>
  <c r="L877" i="1"/>
  <c r="M877" i="1"/>
  <c r="F878" i="1"/>
  <c r="G878" i="1"/>
  <c r="H878" i="1"/>
  <c r="I878" i="1"/>
  <c r="J878" i="1"/>
  <c r="K878" i="1"/>
  <c r="L878" i="1"/>
  <c r="M878" i="1"/>
  <c r="F879" i="1"/>
  <c r="G879" i="1"/>
  <c r="H879" i="1"/>
  <c r="I879" i="1"/>
  <c r="J879" i="1"/>
  <c r="K879" i="1"/>
  <c r="L879" i="1"/>
  <c r="M879" i="1"/>
  <c r="F880" i="1"/>
  <c r="G880" i="1"/>
  <c r="H880" i="1"/>
  <c r="I880" i="1"/>
  <c r="J880" i="1"/>
  <c r="K880" i="1"/>
  <c r="L880" i="1"/>
  <c r="M880" i="1"/>
  <c r="F881" i="1"/>
  <c r="G881" i="1"/>
  <c r="H881" i="1"/>
  <c r="I881" i="1"/>
  <c r="J881" i="1"/>
  <c r="K881" i="1"/>
  <c r="L881" i="1"/>
  <c r="M881" i="1"/>
  <c r="F882" i="1"/>
  <c r="G882" i="1"/>
  <c r="H882" i="1"/>
  <c r="I882" i="1"/>
  <c r="J882" i="1"/>
  <c r="K882" i="1"/>
  <c r="L882" i="1"/>
  <c r="M882" i="1"/>
  <c r="F883" i="1"/>
  <c r="G883" i="1"/>
  <c r="H883" i="1"/>
  <c r="I883" i="1"/>
  <c r="J883" i="1"/>
  <c r="K883" i="1"/>
  <c r="L883" i="1"/>
  <c r="M883" i="1"/>
  <c r="F884" i="1"/>
  <c r="G884" i="1"/>
  <c r="H884" i="1"/>
  <c r="I884" i="1"/>
  <c r="J884" i="1"/>
  <c r="K884" i="1"/>
  <c r="L884" i="1"/>
  <c r="M884" i="1"/>
  <c r="F885" i="1"/>
  <c r="G885" i="1"/>
  <c r="H885" i="1"/>
  <c r="I885" i="1"/>
  <c r="J885" i="1"/>
  <c r="K885" i="1"/>
  <c r="L885" i="1"/>
  <c r="M885" i="1"/>
  <c r="F886" i="1"/>
  <c r="G886" i="1"/>
  <c r="H886" i="1"/>
  <c r="I886" i="1"/>
  <c r="J886" i="1"/>
  <c r="K886" i="1"/>
  <c r="L886" i="1"/>
  <c r="M886" i="1"/>
  <c r="F887" i="1"/>
  <c r="G887" i="1"/>
  <c r="H887" i="1"/>
  <c r="I887" i="1"/>
  <c r="J887" i="1"/>
  <c r="K887" i="1"/>
  <c r="L887" i="1"/>
  <c r="M887" i="1"/>
  <c r="F888" i="1"/>
  <c r="G888" i="1"/>
  <c r="H888" i="1"/>
  <c r="I888" i="1"/>
  <c r="J888" i="1"/>
  <c r="K888" i="1"/>
  <c r="L888" i="1"/>
  <c r="M888" i="1"/>
  <c r="F889" i="1"/>
  <c r="G889" i="1"/>
  <c r="H889" i="1"/>
  <c r="I889" i="1"/>
  <c r="J889" i="1"/>
  <c r="K889" i="1"/>
  <c r="L889" i="1"/>
  <c r="M889" i="1"/>
  <c r="F890" i="1"/>
  <c r="G890" i="1"/>
  <c r="H890" i="1"/>
  <c r="I890" i="1"/>
  <c r="J890" i="1"/>
  <c r="K890" i="1"/>
  <c r="L890" i="1"/>
  <c r="M890" i="1"/>
  <c r="F891" i="1"/>
  <c r="G891" i="1"/>
  <c r="H891" i="1"/>
  <c r="I891" i="1"/>
  <c r="J891" i="1"/>
  <c r="K891" i="1"/>
  <c r="L891" i="1"/>
  <c r="M891" i="1"/>
  <c r="F892" i="1"/>
  <c r="G892" i="1"/>
  <c r="H892" i="1"/>
  <c r="I892" i="1"/>
  <c r="J892" i="1"/>
  <c r="K892" i="1"/>
  <c r="L892" i="1"/>
  <c r="M892" i="1"/>
  <c r="F893" i="1"/>
  <c r="G893" i="1"/>
  <c r="H893" i="1"/>
  <c r="I893" i="1"/>
  <c r="J893" i="1"/>
  <c r="K893" i="1"/>
  <c r="L893" i="1"/>
  <c r="M893" i="1"/>
  <c r="F894" i="1"/>
  <c r="G894" i="1"/>
  <c r="H894" i="1"/>
  <c r="I894" i="1"/>
  <c r="J894" i="1"/>
  <c r="K894" i="1"/>
  <c r="L894" i="1"/>
  <c r="M894" i="1"/>
  <c r="F895" i="1"/>
  <c r="G895" i="1"/>
  <c r="H895" i="1"/>
  <c r="I895" i="1"/>
  <c r="J895" i="1"/>
  <c r="K895" i="1"/>
  <c r="L895" i="1"/>
  <c r="M895" i="1"/>
  <c r="F896" i="1"/>
  <c r="G896" i="1"/>
  <c r="H896" i="1"/>
  <c r="I896" i="1"/>
  <c r="J896" i="1"/>
  <c r="K896" i="1"/>
  <c r="L896" i="1"/>
  <c r="M896" i="1"/>
  <c r="F897" i="1"/>
  <c r="G897" i="1"/>
  <c r="H897" i="1"/>
  <c r="I897" i="1"/>
  <c r="J897" i="1"/>
  <c r="K897" i="1"/>
  <c r="L897" i="1"/>
  <c r="M897" i="1"/>
  <c r="F898" i="1"/>
  <c r="G898" i="1"/>
  <c r="H898" i="1"/>
  <c r="I898" i="1"/>
  <c r="J898" i="1"/>
  <c r="K898" i="1"/>
  <c r="L898" i="1"/>
  <c r="M898" i="1"/>
  <c r="F899" i="1"/>
  <c r="G899" i="1"/>
  <c r="H899" i="1"/>
  <c r="I899" i="1"/>
  <c r="J899" i="1"/>
  <c r="K899" i="1"/>
  <c r="L899" i="1"/>
  <c r="M899" i="1"/>
  <c r="F900" i="1"/>
  <c r="G900" i="1"/>
  <c r="H900" i="1"/>
  <c r="I900" i="1"/>
  <c r="J900" i="1"/>
  <c r="K900" i="1"/>
  <c r="L900" i="1"/>
  <c r="M900" i="1"/>
  <c r="F901" i="1"/>
  <c r="G901" i="1"/>
  <c r="H901" i="1"/>
  <c r="I901" i="1"/>
  <c r="J901" i="1"/>
  <c r="K901" i="1"/>
  <c r="L901" i="1"/>
  <c r="M901" i="1"/>
  <c r="F902" i="1"/>
  <c r="G902" i="1"/>
  <c r="H902" i="1"/>
  <c r="I902" i="1"/>
  <c r="J902" i="1"/>
  <c r="K902" i="1"/>
  <c r="L902" i="1"/>
  <c r="M902" i="1"/>
  <c r="F903" i="1"/>
  <c r="G903" i="1"/>
  <c r="H903" i="1"/>
  <c r="I903" i="1"/>
  <c r="J903" i="1"/>
  <c r="K903" i="1"/>
  <c r="L903" i="1"/>
  <c r="M903" i="1"/>
  <c r="F904" i="1"/>
  <c r="G904" i="1"/>
  <c r="H904" i="1"/>
  <c r="I904" i="1"/>
  <c r="J904" i="1"/>
  <c r="K904" i="1"/>
  <c r="L904" i="1"/>
  <c r="M904" i="1"/>
  <c r="F905" i="1"/>
  <c r="G905" i="1"/>
  <c r="H905" i="1"/>
  <c r="I905" i="1"/>
  <c r="J905" i="1"/>
  <c r="K905" i="1"/>
  <c r="L905" i="1"/>
  <c r="M905" i="1"/>
  <c r="F906" i="1"/>
  <c r="G906" i="1"/>
  <c r="H906" i="1"/>
  <c r="I906" i="1"/>
  <c r="J906" i="1"/>
  <c r="K906" i="1"/>
  <c r="L906" i="1"/>
  <c r="M906" i="1"/>
  <c r="F907" i="1"/>
  <c r="G907" i="1"/>
  <c r="H907" i="1"/>
  <c r="I907" i="1"/>
  <c r="J907" i="1"/>
  <c r="K907" i="1"/>
  <c r="L907" i="1"/>
  <c r="M907" i="1"/>
  <c r="F908" i="1"/>
  <c r="G908" i="1"/>
  <c r="H908" i="1"/>
  <c r="I908" i="1"/>
  <c r="J908" i="1"/>
  <c r="K908" i="1"/>
  <c r="L908" i="1"/>
  <c r="M908" i="1"/>
  <c r="F909" i="1"/>
  <c r="G909" i="1"/>
  <c r="H909" i="1"/>
  <c r="I909" i="1"/>
  <c r="J909" i="1"/>
  <c r="K909" i="1"/>
  <c r="L909" i="1"/>
  <c r="M909" i="1"/>
  <c r="F910" i="1"/>
  <c r="G910" i="1"/>
  <c r="H910" i="1"/>
  <c r="I910" i="1"/>
  <c r="J910" i="1"/>
  <c r="K910" i="1"/>
  <c r="L910" i="1"/>
  <c r="M910" i="1"/>
  <c r="F911" i="1"/>
  <c r="G911" i="1"/>
  <c r="H911" i="1"/>
  <c r="I911" i="1"/>
  <c r="J911" i="1"/>
  <c r="K911" i="1"/>
  <c r="L911" i="1"/>
  <c r="M911" i="1"/>
  <c r="F912" i="1"/>
  <c r="G912" i="1"/>
  <c r="H912" i="1"/>
  <c r="I912" i="1"/>
  <c r="J912" i="1"/>
  <c r="K912" i="1"/>
  <c r="L912" i="1"/>
  <c r="M912" i="1"/>
  <c r="F913" i="1"/>
  <c r="G913" i="1"/>
  <c r="H913" i="1"/>
  <c r="I913" i="1"/>
  <c r="J913" i="1"/>
  <c r="K913" i="1"/>
  <c r="L913" i="1"/>
  <c r="M913" i="1"/>
  <c r="F914" i="1"/>
  <c r="G914" i="1"/>
  <c r="H914" i="1"/>
  <c r="I914" i="1"/>
  <c r="J914" i="1"/>
  <c r="K914" i="1"/>
  <c r="L914" i="1"/>
  <c r="M914" i="1"/>
  <c r="F915" i="1"/>
  <c r="G915" i="1"/>
  <c r="H915" i="1"/>
  <c r="I915" i="1"/>
  <c r="J915" i="1"/>
  <c r="K915" i="1"/>
  <c r="L915" i="1"/>
  <c r="M915" i="1"/>
  <c r="F916" i="1"/>
  <c r="G916" i="1"/>
  <c r="H916" i="1"/>
  <c r="I916" i="1"/>
  <c r="J916" i="1"/>
  <c r="K916" i="1"/>
  <c r="L916" i="1"/>
  <c r="M916" i="1"/>
  <c r="F917" i="1"/>
  <c r="G917" i="1"/>
  <c r="H917" i="1"/>
  <c r="I917" i="1"/>
  <c r="J917" i="1"/>
  <c r="K917" i="1"/>
  <c r="L917" i="1"/>
  <c r="M917" i="1"/>
  <c r="F918" i="1"/>
  <c r="G918" i="1"/>
  <c r="H918" i="1"/>
  <c r="I918" i="1"/>
  <c r="J918" i="1"/>
  <c r="K918" i="1"/>
  <c r="L918" i="1"/>
  <c r="M918" i="1"/>
  <c r="F919" i="1"/>
  <c r="G919" i="1"/>
  <c r="H919" i="1"/>
  <c r="I919" i="1"/>
  <c r="J919" i="1"/>
  <c r="K919" i="1"/>
  <c r="L919" i="1"/>
  <c r="M919" i="1"/>
  <c r="F920" i="1"/>
  <c r="G920" i="1"/>
  <c r="H920" i="1"/>
  <c r="I920" i="1"/>
  <c r="J920" i="1"/>
  <c r="K920" i="1"/>
  <c r="L920" i="1"/>
  <c r="M920" i="1"/>
  <c r="F921" i="1"/>
  <c r="G921" i="1"/>
  <c r="H921" i="1"/>
  <c r="I921" i="1"/>
  <c r="J921" i="1"/>
  <c r="K921" i="1"/>
  <c r="L921" i="1"/>
  <c r="M921" i="1"/>
  <c r="F922" i="1"/>
  <c r="G922" i="1"/>
  <c r="H922" i="1"/>
  <c r="I922" i="1"/>
  <c r="J922" i="1"/>
  <c r="K922" i="1"/>
  <c r="L922" i="1"/>
  <c r="M922" i="1"/>
  <c r="F923" i="1"/>
  <c r="G923" i="1"/>
  <c r="H923" i="1"/>
  <c r="I923" i="1"/>
  <c r="J923" i="1"/>
  <c r="K923" i="1"/>
  <c r="L923" i="1"/>
  <c r="M923" i="1"/>
  <c r="F924" i="1"/>
  <c r="G924" i="1"/>
  <c r="H924" i="1"/>
  <c r="I924" i="1"/>
  <c r="J924" i="1"/>
  <c r="K924" i="1"/>
  <c r="L924" i="1"/>
  <c r="M924" i="1"/>
  <c r="F925" i="1"/>
  <c r="G925" i="1"/>
  <c r="H925" i="1"/>
  <c r="I925" i="1"/>
  <c r="J925" i="1"/>
  <c r="K925" i="1"/>
  <c r="L925" i="1"/>
  <c r="M925" i="1"/>
  <c r="F926" i="1"/>
  <c r="G926" i="1"/>
  <c r="H926" i="1"/>
  <c r="I926" i="1"/>
  <c r="J926" i="1"/>
  <c r="K926" i="1"/>
  <c r="L926" i="1"/>
  <c r="M926" i="1"/>
  <c r="F927" i="1"/>
  <c r="G927" i="1"/>
  <c r="H927" i="1"/>
  <c r="I927" i="1"/>
  <c r="J927" i="1"/>
  <c r="K927" i="1"/>
  <c r="L927" i="1"/>
  <c r="M927" i="1"/>
  <c r="F928" i="1"/>
  <c r="G928" i="1"/>
  <c r="H928" i="1"/>
  <c r="I928" i="1"/>
  <c r="J928" i="1"/>
  <c r="K928" i="1"/>
  <c r="L928" i="1"/>
  <c r="M928" i="1"/>
  <c r="F929" i="1"/>
  <c r="G929" i="1"/>
  <c r="H929" i="1"/>
  <c r="I929" i="1"/>
  <c r="J929" i="1"/>
  <c r="K929" i="1"/>
  <c r="L929" i="1"/>
  <c r="M929" i="1"/>
  <c r="F930" i="1"/>
  <c r="G930" i="1"/>
  <c r="H930" i="1"/>
  <c r="I930" i="1"/>
  <c r="J930" i="1"/>
  <c r="K930" i="1"/>
  <c r="L930" i="1"/>
  <c r="M930" i="1"/>
  <c r="F931" i="1"/>
  <c r="G931" i="1"/>
  <c r="H931" i="1"/>
  <c r="I931" i="1"/>
  <c r="J931" i="1"/>
  <c r="K931" i="1"/>
  <c r="L931" i="1"/>
  <c r="M931" i="1"/>
  <c r="F932" i="1"/>
  <c r="G932" i="1"/>
  <c r="H932" i="1"/>
  <c r="I932" i="1"/>
  <c r="J932" i="1"/>
  <c r="K932" i="1"/>
  <c r="L932" i="1"/>
  <c r="M932" i="1"/>
  <c r="F933" i="1"/>
  <c r="G933" i="1"/>
  <c r="H933" i="1"/>
  <c r="I933" i="1"/>
  <c r="J933" i="1"/>
  <c r="K933" i="1"/>
  <c r="L933" i="1"/>
  <c r="M933" i="1"/>
  <c r="F934" i="1"/>
  <c r="G934" i="1"/>
  <c r="H934" i="1"/>
  <c r="I934" i="1"/>
  <c r="J934" i="1"/>
  <c r="K934" i="1"/>
  <c r="L934" i="1"/>
  <c r="M934" i="1"/>
  <c r="F935" i="1"/>
  <c r="G935" i="1"/>
  <c r="H935" i="1"/>
  <c r="I935" i="1"/>
  <c r="J935" i="1"/>
  <c r="K935" i="1"/>
  <c r="L935" i="1"/>
  <c r="M935" i="1"/>
  <c r="F936" i="1"/>
  <c r="G936" i="1"/>
  <c r="H936" i="1"/>
  <c r="I936" i="1"/>
  <c r="J936" i="1"/>
  <c r="K936" i="1"/>
  <c r="L936" i="1"/>
  <c r="M936" i="1"/>
  <c r="F937" i="1"/>
  <c r="G937" i="1"/>
  <c r="H937" i="1"/>
  <c r="I937" i="1"/>
  <c r="J937" i="1"/>
  <c r="K937" i="1"/>
  <c r="L937" i="1"/>
  <c r="M937" i="1"/>
  <c r="F938" i="1"/>
  <c r="G938" i="1"/>
  <c r="H938" i="1"/>
  <c r="I938" i="1"/>
  <c r="J938" i="1"/>
  <c r="K938" i="1"/>
  <c r="L938" i="1"/>
  <c r="M938" i="1"/>
  <c r="F939" i="1"/>
  <c r="G939" i="1"/>
  <c r="H939" i="1"/>
  <c r="I939" i="1"/>
  <c r="J939" i="1"/>
  <c r="K939" i="1"/>
  <c r="L939" i="1"/>
  <c r="M939" i="1"/>
  <c r="F940" i="1"/>
  <c r="G940" i="1"/>
  <c r="H940" i="1"/>
  <c r="I940" i="1"/>
  <c r="J940" i="1"/>
  <c r="K940" i="1"/>
  <c r="L940" i="1"/>
  <c r="M940" i="1"/>
  <c r="F941" i="1"/>
  <c r="G941" i="1"/>
  <c r="H941" i="1"/>
  <c r="I941" i="1"/>
  <c r="J941" i="1"/>
  <c r="K941" i="1"/>
  <c r="L941" i="1"/>
  <c r="M941" i="1"/>
  <c r="F942" i="1"/>
  <c r="G942" i="1"/>
  <c r="H942" i="1"/>
  <c r="I942" i="1"/>
  <c r="J942" i="1"/>
  <c r="K942" i="1"/>
  <c r="L942" i="1"/>
  <c r="M942" i="1"/>
  <c r="F943" i="1"/>
  <c r="G943" i="1"/>
  <c r="H943" i="1"/>
  <c r="I943" i="1"/>
  <c r="J943" i="1"/>
  <c r="K943" i="1"/>
  <c r="L943" i="1"/>
  <c r="M943" i="1"/>
  <c r="F944" i="1"/>
  <c r="G944" i="1"/>
  <c r="H944" i="1"/>
  <c r="I944" i="1"/>
  <c r="J944" i="1"/>
  <c r="K944" i="1"/>
  <c r="L944" i="1"/>
  <c r="M944" i="1"/>
  <c r="F945" i="1"/>
  <c r="G945" i="1"/>
  <c r="H945" i="1"/>
  <c r="I945" i="1"/>
  <c r="J945" i="1"/>
  <c r="K945" i="1"/>
  <c r="L945" i="1"/>
  <c r="M945" i="1"/>
  <c r="F946" i="1"/>
  <c r="G946" i="1"/>
  <c r="H946" i="1"/>
  <c r="I946" i="1"/>
  <c r="J946" i="1"/>
  <c r="K946" i="1"/>
  <c r="L946" i="1"/>
  <c r="M946" i="1"/>
  <c r="F947" i="1"/>
  <c r="G947" i="1"/>
  <c r="H947" i="1"/>
  <c r="I947" i="1"/>
  <c r="J947" i="1"/>
  <c r="K947" i="1"/>
  <c r="L947" i="1"/>
  <c r="M947" i="1"/>
  <c r="F948" i="1"/>
  <c r="G948" i="1"/>
  <c r="H948" i="1"/>
  <c r="I948" i="1"/>
  <c r="J948" i="1"/>
  <c r="K948" i="1"/>
  <c r="L948" i="1"/>
  <c r="M948" i="1"/>
  <c r="F949" i="1"/>
  <c r="G949" i="1"/>
  <c r="H949" i="1"/>
  <c r="I949" i="1"/>
  <c r="J949" i="1"/>
  <c r="K949" i="1"/>
  <c r="L949" i="1"/>
  <c r="M949" i="1"/>
  <c r="F950" i="1"/>
  <c r="G950" i="1"/>
  <c r="H950" i="1"/>
  <c r="I950" i="1"/>
  <c r="J950" i="1"/>
  <c r="K950" i="1"/>
  <c r="L950" i="1"/>
  <c r="M950" i="1"/>
  <c r="F951" i="1"/>
  <c r="G951" i="1"/>
  <c r="H951" i="1"/>
  <c r="I951" i="1"/>
  <c r="J951" i="1"/>
  <c r="K951" i="1"/>
  <c r="L951" i="1"/>
  <c r="M951" i="1"/>
  <c r="F952" i="1"/>
  <c r="G952" i="1"/>
  <c r="H952" i="1"/>
  <c r="I952" i="1"/>
  <c r="J952" i="1"/>
  <c r="K952" i="1"/>
  <c r="L952" i="1"/>
  <c r="M952" i="1"/>
  <c r="F953" i="1"/>
  <c r="G953" i="1"/>
  <c r="H953" i="1"/>
  <c r="I953" i="1"/>
  <c r="J953" i="1"/>
  <c r="K953" i="1"/>
  <c r="L953" i="1"/>
  <c r="M953" i="1"/>
  <c r="F954" i="1"/>
  <c r="G954" i="1"/>
  <c r="H954" i="1"/>
  <c r="I954" i="1"/>
  <c r="J954" i="1"/>
  <c r="K954" i="1"/>
  <c r="L954" i="1"/>
  <c r="M954" i="1"/>
  <c r="F955" i="1"/>
  <c r="G955" i="1"/>
  <c r="H955" i="1"/>
  <c r="I955" i="1"/>
  <c r="J955" i="1"/>
  <c r="K955" i="1"/>
  <c r="L955" i="1"/>
  <c r="M955" i="1"/>
  <c r="F956" i="1"/>
  <c r="G956" i="1"/>
  <c r="H956" i="1"/>
  <c r="I956" i="1"/>
  <c r="J956" i="1"/>
  <c r="K956" i="1"/>
  <c r="L956" i="1"/>
  <c r="M956" i="1"/>
  <c r="F957" i="1"/>
  <c r="G957" i="1"/>
  <c r="H957" i="1"/>
  <c r="I957" i="1"/>
  <c r="J957" i="1"/>
  <c r="K957" i="1"/>
  <c r="L957" i="1"/>
  <c r="M957" i="1"/>
  <c r="F958" i="1"/>
  <c r="G958" i="1"/>
  <c r="H958" i="1"/>
  <c r="I958" i="1"/>
  <c r="J958" i="1"/>
  <c r="K958" i="1"/>
  <c r="L958" i="1"/>
  <c r="M958" i="1"/>
  <c r="F959" i="1"/>
  <c r="G959" i="1"/>
  <c r="H959" i="1"/>
  <c r="I959" i="1"/>
  <c r="J959" i="1"/>
  <c r="K959" i="1"/>
  <c r="L959" i="1"/>
  <c r="M959" i="1"/>
  <c r="F960" i="1"/>
  <c r="G960" i="1"/>
  <c r="H960" i="1"/>
  <c r="I960" i="1"/>
  <c r="J960" i="1"/>
  <c r="K960" i="1"/>
  <c r="L960" i="1"/>
  <c r="M960" i="1"/>
  <c r="F961" i="1"/>
  <c r="G961" i="1"/>
  <c r="H961" i="1"/>
  <c r="I961" i="1"/>
  <c r="J961" i="1"/>
  <c r="K961" i="1"/>
  <c r="L961" i="1"/>
  <c r="M961" i="1"/>
  <c r="F962" i="1"/>
  <c r="G962" i="1"/>
  <c r="H962" i="1"/>
  <c r="I962" i="1"/>
  <c r="J962" i="1"/>
  <c r="K962" i="1"/>
  <c r="L962" i="1"/>
  <c r="M962" i="1"/>
  <c r="F963" i="1"/>
  <c r="G963" i="1"/>
  <c r="H963" i="1"/>
  <c r="I963" i="1"/>
  <c r="J963" i="1"/>
  <c r="K963" i="1"/>
  <c r="L963" i="1"/>
  <c r="M963" i="1"/>
  <c r="F964" i="1"/>
  <c r="G964" i="1"/>
  <c r="H964" i="1"/>
  <c r="I964" i="1"/>
  <c r="J964" i="1"/>
  <c r="K964" i="1"/>
  <c r="L964" i="1"/>
  <c r="M964" i="1"/>
  <c r="F965" i="1"/>
  <c r="G965" i="1"/>
  <c r="H965" i="1"/>
  <c r="I965" i="1"/>
  <c r="J965" i="1"/>
  <c r="K965" i="1"/>
  <c r="L965" i="1"/>
  <c r="M965" i="1"/>
  <c r="F966" i="1"/>
  <c r="G966" i="1"/>
  <c r="H966" i="1"/>
  <c r="I966" i="1"/>
  <c r="J966" i="1"/>
  <c r="K966" i="1"/>
  <c r="L966" i="1"/>
  <c r="M966" i="1"/>
  <c r="F967" i="1"/>
  <c r="G967" i="1"/>
  <c r="H967" i="1"/>
  <c r="I967" i="1"/>
  <c r="J967" i="1"/>
  <c r="K967" i="1"/>
  <c r="L967" i="1"/>
  <c r="M967" i="1"/>
  <c r="F968" i="1"/>
  <c r="G968" i="1"/>
  <c r="H968" i="1"/>
  <c r="I968" i="1"/>
  <c r="J968" i="1"/>
  <c r="K968" i="1"/>
  <c r="L968" i="1"/>
  <c r="M968" i="1"/>
  <c r="F969" i="1"/>
  <c r="G969" i="1"/>
  <c r="H969" i="1"/>
  <c r="I969" i="1"/>
  <c r="J969" i="1"/>
  <c r="K969" i="1"/>
  <c r="L969" i="1"/>
  <c r="M969" i="1"/>
  <c r="F970" i="1"/>
  <c r="G970" i="1"/>
  <c r="H970" i="1"/>
  <c r="I970" i="1"/>
  <c r="J970" i="1"/>
  <c r="K970" i="1"/>
  <c r="L970" i="1"/>
  <c r="M970" i="1"/>
  <c r="F971" i="1"/>
  <c r="G971" i="1"/>
  <c r="H971" i="1"/>
  <c r="I971" i="1"/>
  <c r="J971" i="1"/>
  <c r="K971" i="1"/>
  <c r="L971" i="1"/>
  <c r="M971" i="1"/>
  <c r="F972" i="1"/>
  <c r="G972" i="1"/>
  <c r="H972" i="1"/>
  <c r="I972" i="1"/>
  <c r="J972" i="1"/>
  <c r="K972" i="1"/>
  <c r="L972" i="1"/>
  <c r="M972" i="1"/>
  <c r="F973" i="1"/>
  <c r="G973" i="1"/>
  <c r="H973" i="1"/>
  <c r="I973" i="1"/>
  <c r="J973" i="1"/>
  <c r="K973" i="1"/>
  <c r="L973" i="1"/>
  <c r="M973" i="1"/>
  <c r="F974" i="1"/>
  <c r="G974" i="1"/>
  <c r="H974" i="1"/>
  <c r="I974" i="1"/>
  <c r="J974" i="1"/>
  <c r="K974" i="1"/>
  <c r="L974" i="1"/>
  <c r="M974" i="1"/>
  <c r="F975" i="1"/>
  <c r="G975" i="1"/>
  <c r="H975" i="1"/>
  <c r="I975" i="1"/>
  <c r="J975" i="1"/>
  <c r="K975" i="1"/>
  <c r="L975" i="1"/>
  <c r="M975" i="1"/>
  <c r="F976" i="1"/>
  <c r="G976" i="1"/>
  <c r="H976" i="1"/>
  <c r="I976" i="1"/>
  <c r="J976" i="1"/>
  <c r="K976" i="1"/>
  <c r="L976" i="1"/>
  <c r="M976" i="1"/>
  <c r="F977" i="1"/>
  <c r="G977" i="1"/>
  <c r="H977" i="1"/>
  <c r="I977" i="1"/>
  <c r="J977" i="1"/>
  <c r="K977" i="1"/>
  <c r="L977" i="1"/>
  <c r="M977" i="1"/>
  <c r="F978" i="1"/>
  <c r="G978" i="1"/>
  <c r="H978" i="1"/>
  <c r="I978" i="1"/>
  <c r="J978" i="1"/>
  <c r="K978" i="1"/>
  <c r="L978" i="1"/>
  <c r="M978" i="1"/>
  <c r="F979" i="1"/>
  <c r="G979" i="1"/>
  <c r="H979" i="1"/>
  <c r="I979" i="1"/>
  <c r="J979" i="1"/>
  <c r="K979" i="1"/>
  <c r="L979" i="1"/>
  <c r="M979" i="1"/>
  <c r="F980" i="1"/>
  <c r="G980" i="1"/>
  <c r="H980" i="1"/>
  <c r="I980" i="1"/>
  <c r="J980" i="1"/>
  <c r="K980" i="1"/>
  <c r="L980" i="1"/>
  <c r="M980" i="1"/>
  <c r="F981" i="1"/>
  <c r="G981" i="1"/>
  <c r="H981" i="1"/>
  <c r="I981" i="1"/>
  <c r="J981" i="1"/>
  <c r="K981" i="1"/>
  <c r="L981" i="1"/>
  <c r="M981" i="1"/>
  <c r="F982" i="1"/>
  <c r="G982" i="1"/>
  <c r="H982" i="1"/>
  <c r="I982" i="1"/>
  <c r="J982" i="1"/>
  <c r="K982" i="1"/>
  <c r="L982" i="1"/>
  <c r="M982" i="1"/>
  <c r="F983" i="1"/>
  <c r="G983" i="1"/>
  <c r="H983" i="1"/>
  <c r="I983" i="1"/>
  <c r="J983" i="1"/>
  <c r="K983" i="1"/>
  <c r="L983" i="1"/>
  <c r="M983" i="1"/>
  <c r="F984" i="1"/>
  <c r="G984" i="1"/>
  <c r="H984" i="1"/>
  <c r="I984" i="1"/>
  <c r="J984" i="1"/>
  <c r="K984" i="1"/>
  <c r="L984" i="1"/>
  <c r="M984" i="1"/>
  <c r="F985" i="1"/>
  <c r="G985" i="1"/>
  <c r="H985" i="1"/>
  <c r="I985" i="1"/>
  <c r="J985" i="1"/>
  <c r="K985" i="1"/>
  <c r="L985" i="1"/>
  <c r="M985" i="1"/>
  <c r="F986" i="1"/>
  <c r="G986" i="1"/>
  <c r="H986" i="1"/>
  <c r="I986" i="1"/>
  <c r="J986" i="1"/>
  <c r="K986" i="1"/>
  <c r="L986" i="1"/>
  <c r="M986" i="1"/>
  <c r="F987" i="1"/>
  <c r="G987" i="1"/>
  <c r="H987" i="1"/>
  <c r="I987" i="1"/>
  <c r="J987" i="1"/>
  <c r="K987" i="1"/>
  <c r="L987" i="1"/>
  <c r="M987" i="1"/>
  <c r="F988" i="1"/>
  <c r="G988" i="1"/>
  <c r="H988" i="1"/>
  <c r="I988" i="1"/>
  <c r="J988" i="1"/>
  <c r="K988" i="1"/>
  <c r="L988" i="1"/>
  <c r="M988" i="1"/>
  <c r="F989" i="1"/>
  <c r="G989" i="1"/>
  <c r="H989" i="1"/>
  <c r="I989" i="1"/>
  <c r="J989" i="1"/>
  <c r="K989" i="1"/>
  <c r="L989" i="1"/>
  <c r="M989" i="1"/>
  <c r="F990" i="1"/>
  <c r="G990" i="1"/>
  <c r="H990" i="1"/>
  <c r="I990" i="1"/>
  <c r="J990" i="1"/>
  <c r="K990" i="1"/>
  <c r="L990" i="1"/>
  <c r="M990" i="1"/>
  <c r="F991" i="1"/>
  <c r="G991" i="1"/>
  <c r="H991" i="1"/>
  <c r="I991" i="1"/>
  <c r="J991" i="1"/>
  <c r="K991" i="1"/>
  <c r="L991" i="1"/>
  <c r="M991" i="1"/>
  <c r="F992" i="1"/>
  <c r="G992" i="1"/>
  <c r="H992" i="1"/>
  <c r="I992" i="1"/>
  <c r="J992" i="1"/>
  <c r="K992" i="1"/>
  <c r="L992" i="1"/>
  <c r="M992" i="1"/>
  <c r="F993" i="1"/>
  <c r="G993" i="1"/>
  <c r="H993" i="1"/>
  <c r="I993" i="1"/>
  <c r="J993" i="1"/>
  <c r="K993" i="1"/>
  <c r="L993" i="1"/>
  <c r="M993" i="1"/>
  <c r="F994" i="1"/>
  <c r="G994" i="1"/>
  <c r="H994" i="1"/>
  <c r="I994" i="1"/>
  <c r="J994" i="1"/>
  <c r="K994" i="1"/>
  <c r="L994" i="1"/>
  <c r="M994" i="1"/>
  <c r="F995" i="1"/>
  <c r="G995" i="1"/>
  <c r="H995" i="1"/>
  <c r="I995" i="1"/>
  <c r="J995" i="1"/>
  <c r="K995" i="1"/>
  <c r="L995" i="1"/>
  <c r="M995" i="1"/>
  <c r="F996" i="1"/>
  <c r="G996" i="1"/>
  <c r="H996" i="1"/>
  <c r="I996" i="1"/>
  <c r="J996" i="1"/>
  <c r="K996" i="1"/>
  <c r="L996" i="1"/>
  <c r="M996" i="1"/>
  <c r="F997" i="1"/>
  <c r="G997" i="1"/>
  <c r="H997" i="1"/>
  <c r="I997" i="1"/>
  <c r="J997" i="1"/>
  <c r="K997" i="1"/>
  <c r="L997" i="1"/>
  <c r="M997" i="1"/>
  <c r="F998" i="1"/>
  <c r="G998" i="1"/>
  <c r="H998" i="1"/>
  <c r="I998" i="1"/>
  <c r="J998" i="1"/>
  <c r="K998" i="1"/>
  <c r="L998" i="1"/>
  <c r="M998" i="1"/>
  <c r="F999" i="1"/>
  <c r="G999" i="1"/>
  <c r="H999" i="1"/>
  <c r="I999" i="1"/>
  <c r="J999" i="1"/>
  <c r="K999" i="1"/>
  <c r="L999" i="1"/>
  <c r="M999" i="1"/>
  <c r="F1000" i="1"/>
  <c r="G1000" i="1"/>
  <c r="H1000" i="1"/>
  <c r="I1000" i="1"/>
  <c r="J1000" i="1"/>
  <c r="K1000" i="1"/>
  <c r="L1000" i="1"/>
  <c r="M1000" i="1"/>
  <c r="F1001" i="1"/>
  <c r="G1001" i="1"/>
  <c r="H1001" i="1"/>
  <c r="I1001" i="1"/>
  <c r="J1001" i="1"/>
  <c r="K1001" i="1"/>
  <c r="L1001" i="1"/>
  <c r="M1001" i="1"/>
  <c r="F1002" i="1"/>
  <c r="G1002" i="1"/>
  <c r="H1002" i="1"/>
  <c r="I1002" i="1"/>
  <c r="J1002" i="1"/>
  <c r="K1002" i="1"/>
  <c r="L1002" i="1"/>
  <c r="M1002" i="1"/>
  <c r="F1003" i="1"/>
  <c r="G1003" i="1"/>
  <c r="H1003" i="1"/>
  <c r="I1003" i="1"/>
  <c r="J1003" i="1"/>
  <c r="K1003" i="1"/>
  <c r="L1003" i="1"/>
  <c r="M1003" i="1"/>
  <c r="F1004" i="1"/>
  <c r="G1004" i="1"/>
  <c r="H1004" i="1"/>
  <c r="I1004" i="1"/>
  <c r="J1004" i="1"/>
  <c r="K1004" i="1"/>
  <c r="L1004" i="1"/>
  <c r="M1004" i="1"/>
  <c r="F1005" i="1"/>
  <c r="G1005" i="1"/>
  <c r="H1005" i="1"/>
  <c r="I1005" i="1"/>
  <c r="J1005" i="1"/>
  <c r="K1005" i="1"/>
  <c r="L1005" i="1"/>
  <c r="M1005" i="1"/>
  <c r="F1006" i="1"/>
  <c r="G1006" i="1"/>
  <c r="H1006" i="1"/>
  <c r="I1006" i="1"/>
  <c r="J1006" i="1"/>
  <c r="K1006" i="1"/>
  <c r="L1006" i="1"/>
  <c r="M1006" i="1"/>
  <c r="F1007" i="1"/>
  <c r="G1007" i="1"/>
  <c r="H1007" i="1"/>
  <c r="I1007" i="1"/>
  <c r="J1007" i="1"/>
  <c r="K1007" i="1"/>
  <c r="L1007" i="1"/>
  <c r="M1007" i="1"/>
  <c r="F1008" i="1"/>
  <c r="G1008" i="1"/>
  <c r="H1008" i="1"/>
  <c r="I1008" i="1"/>
  <c r="J1008" i="1"/>
  <c r="K1008" i="1"/>
  <c r="L1008" i="1"/>
  <c r="M1008" i="1"/>
  <c r="F1009" i="1"/>
  <c r="G1009" i="1"/>
  <c r="H1009" i="1"/>
  <c r="I1009" i="1"/>
  <c r="J1009" i="1"/>
  <c r="K1009" i="1"/>
  <c r="L1009" i="1"/>
  <c r="M1009" i="1"/>
  <c r="F1010" i="1"/>
  <c r="G1010" i="1"/>
  <c r="H1010" i="1"/>
  <c r="I1010" i="1"/>
  <c r="J1010" i="1"/>
  <c r="K1010" i="1"/>
  <c r="L1010" i="1"/>
  <c r="M1010" i="1"/>
  <c r="F1011" i="1"/>
  <c r="G1011" i="1"/>
  <c r="H1011" i="1"/>
  <c r="I1011" i="1"/>
  <c r="J1011" i="1"/>
  <c r="K1011" i="1"/>
  <c r="L1011" i="1"/>
  <c r="M1011" i="1"/>
  <c r="F1012" i="1"/>
  <c r="G1012" i="1"/>
  <c r="H1012" i="1"/>
  <c r="I1012" i="1"/>
  <c r="J1012" i="1"/>
  <c r="K1012" i="1"/>
  <c r="L1012" i="1"/>
  <c r="M1012" i="1"/>
  <c r="F1013" i="1"/>
  <c r="G1013" i="1"/>
  <c r="H1013" i="1"/>
  <c r="I1013" i="1"/>
  <c r="J1013" i="1"/>
  <c r="K1013" i="1"/>
  <c r="L1013" i="1"/>
  <c r="M1013" i="1"/>
  <c r="F1014" i="1"/>
  <c r="G1014" i="1"/>
  <c r="H1014" i="1"/>
  <c r="I1014" i="1"/>
  <c r="J1014" i="1"/>
  <c r="K1014" i="1"/>
  <c r="L1014" i="1"/>
  <c r="M1014" i="1"/>
  <c r="F1015" i="1"/>
  <c r="G1015" i="1"/>
  <c r="H1015" i="1"/>
  <c r="I1015" i="1"/>
  <c r="J1015" i="1"/>
  <c r="K1015" i="1"/>
  <c r="L1015" i="1"/>
  <c r="M1015" i="1"/>
  <c r="F1016" i="1"/>
  <c r="G1016" i="1"/>
  <c r="H1016" i="1"/>
  <c r="I1016" i="1"/>
  <c r="J1016" i="1"/>
  <c r="K1016" i="1"/>
  <c r="L1016" i="1"/>
  <c r="M1016" i="1"/>
  <c r="F1017" i="1"/>
  <c r="G1017" i="1"/>
  <c r="H1017" i="1"/>
  <c r="I1017" i="1"/>
  <c r="J1017" i="1"/>
  <c r="K1017" i="1"/>
  <c r="L1017" i="1"/>
  <c r="M1017" i="1"/>
  <c r="F1018" i="1"/>
  <c r="G1018" i="1"/>
  <c r="H1018" i="1"/>
  <c r="I1018" i="1"/>
  <c r="J1018" i="1"/>
  <c r="K1018" i="1"/>
  <c r="L1018" i="1"/>
  <c r="M1018" i="1"/>
  <c r="F1019" i="1"/>
  <c r="G1019" i="1"/>
  <c r="H1019" i="1"/>
  <c r="I1019" i="1"/>
  <c r="J1019" i="1"/>
  <c r="K1019" i="1"/>
  <c r="L1019" i="1"/>
  <c r="M1019" i="1"/>
  <c r="F1020" i="1"/>
  <c r="G1020" i="1"/>
  <c r="H1020" i="1"/>
  <c r="I1020" i="1"/>
  <c r="J1020" i="1"/>
  <c r="K1020" i="1"/>
  <c r="L1020" i="1"/>
  <c r="M1020" i="1"/>
  <c r="F1021" i="1"/>
  <c r="G1021" i="1"/>
  <c r="H1021" i="1"/>
  <c r="I1021" i="1"/>
  <c r="J1021" i="1"/>
  <c r="K1021" i="1"/>
  <c r="L1021" i="1"/>
  <c r="M1021" i="1"/>
  <c r="F1022" i="1"/>
  <c r="G1022" i="1"/>
  <c r="H1022" i="1"/>
  <c r="I1022" i="1"/>
  <c r="J1022" i="1"/>
  <c r="K1022" i="1"/>
  <c r="L1022" i="1"/>
  <c r="M1022" i="1"/>
  <c r="F1023" i="1"/>
  <c r="G1023" i="1"/>
  <c r="H1023" i="1"/>
  <c r="I1023" i="1"/>
  <c r="J1023" i="1"/>
  <c r="K1023" i="1"/>
  <c r="L1023" i="1"/>
  <c r="M1023" i="1"/>
  <c r="F1024" i="1"/>
  <c r="G1024" i="1"/>
  <c r="H1024" i="1"/>
  <c r="I1024" i="1"/>
  <c r="J1024" i="1"/>
  <c r="K1024" i="1"/>
  <c r="L1024" i="1"/>
  <c r="M1024" i="1"/>
  <c r="F1025" i="1"/>
  <c r="G1025" i="1"/>
  <c r="H1025" i="1"/>
  <c r="I1025" i="1"/>
  <c r="J1025" i="1"/>
  <c r="K1025" i="1"/>
  <c r="L1025" i="1"/>
  <c r="M1025" i="1"/>
  <c r="F1026" i="1"/>
  <c r="G1026" i="1"/>
  <c r="H1026" i="1"/>
  <c r="I1026" i="1"/>
  <c r="J1026" i="1"/>
  <c r="K1026" i="1"/>
  <c r="L1026" i="1"/>
  <c r="M1026" i="1"/>
  <c r="F1027" i="1"/>
  <c r="G1027" i="1"/>
  <c r="H1027" i="1"/>
  <c r="I1027" i="1"/>
  <c r="J1027" i="1"/>
  <c r="K1027" i="1"/>
  <c r="L1027" i="1"/>
  <c r="M1027" i="1"/>
  <c r="F1028" i="1"/>
  <c r="G1028" i="1"/>
  <c r="H1028" i="1"/>
  <c r="I1028" i="1"/>
  <c r="J1028" i="1"/>
  <c r="K1028" i="1"/>
  <c r="L1028" i="1"/>
  <c r="M1028" i="1"/>
  <c r="F1029" i="1"/>
  <c r="G1029" i="1"/>
  <c r="H1029" i="1"/>
  <c r="I1029" i="1"/>
  <c r="J1029" i="1"/>
  <c r="K1029" i="1"/>
  <c r="L1029" i="1"/>
  <c r="M1029" i="1"/>
  <c r="F1030" i="1"/>
  <c r="G1030" i="1"/>
  <c r="H1030" i="1"/>
  <c r="I1030" i="1"/>
  <c r="J1030" i="1"/>
  <c r="K1030" i="1"/>
  <c r="L1030" i="1"/>
  <c r="M1030" i="1"/>
  <c r="F1031" i="1"/>
  <c r="G1031" i="1"/>
  <c r="H1031" i="1"/>
  <c r="I1031" i="1"/>
  <c r="J1031" i="1"/>
  <c r="K1031" i="1"/>
  <c r="L1031" i="1"/>
  <c r="M1031" i="1"/>
  <c r="F1032" i="1"/>
  <c r="G1032" i="1"/>
  <c r="H1032" i="1"/>
  <c r="I1032" i="1"/>
  <c r="J1032" i="1"/>
  <c r="K1032" i="1"/>
  <c r="L1032" i="1"/>
  <c r="M1032" i="1"/>
  <c r="F1033" i="1"/>
  <c r="G1033" i="1"/>
  <c r="H1033" i="1"/>
  <c r="I1033" i="1"/>
  <c r="J1033" i="1"/>
  <c r="K1033" i="1"/>
  <c r="L1033" i="1"/>
  <c r="M1033" i="1"/>
  <c r="F1034" i="1"/>
  <c r="G1034" i="1"/>
  <c r="H1034" i="1"/>
  <c r="I1034" i="1"/>
  <c r="J1034" i="1"/>
  <c r="K1034" i="1"/>
  <c r="L1034" i="1"/>
  <c r="M1034" i="1"/>
  <c r="F1035" i="1"/>
  <c r="G1035" i="1"/>
  <c r="H1035" i="1"/>
  <c r="I1035" i="1"/>
  <c r="J1035" i="1"/>
  <c r="K1035" i="1"/>
  <c r="L1035" i="1"/>
  <c r="M1035" i="1"/>
  <c r="F1036" i="1"/>
  <c r="G1036" i="1"/>
  <c r="H1036" i="1"/>
  <c r="I1036" i="1"/>
  <c r="J1036" i="1"/>
  <c r="K1036" i="1"/>
  <c r="L1036" i="1"/>
  <c r="M1036" i="1"/>
  <c r="F1037" i="1"/>
  <c r="G1037" i="1"/>
  <c r="H1037" i="1"/>
  <c r="I1037" i="1"/>
  <c r="J1037" i="1"/>
  <c r="K1037" i="1"/>
  <c r="L1037" i="1"/>
  <c r="M1037" i="1"/>
  <c r="F1038" i="1"/>
  <c r="G1038" i="1"/>
  <c r="H1038" i="1"/>
  <c r="I1038" i="1"/>
  <c r="J1038" i="1"/>
  <c r="K1038" i="1"/>
  <c r="L1038" i="1"/>
  <c r="M1038" i="1"/>
  <c r="F1039" i="1"/>
  <c r="G1039" i="1"/>
  <c r="H1039" i="1"/>
  <c r="I1039" i="1"/>
  <c r="J1039" i="1"/>
  <c r="K1039" i="1"/>
  <c r="L1039" i="1"/>
  <c r="M1039" i="1"/>
  <c r="F1040" i="1"/>
  <c r="G1040" i="1"/>
  <c r="H1040" i="1"/>
  <c r="I1040" i="1"/>
  <c r="J1040" i="1"/>
  <c r="K1040" i="1"/>
  <c r="L1040" i="1"/>
  <c r="M1040" i="1"/>
  <c r="F1041" i="1"/>
  <c r="G1041" i="1"/>
  <c r="H1041" i="1"/>
  <c r="I1041" i="1"/>
  <c r="J1041" i="1"/>
  <c r="K1041" i="1"/>
  <c r="L1041" i="1"/>
  <c r="M1041" i="1"/>
  <c r="F1042" i="1"/>
  <c r="G1042" i="1"/>
  <c r="H1042" i="1"/>
  <c r="I1042" i="1"/>
  <c r="J1042" i="1"/>
  <c r="K1042" i="1"/>
  <c r="L1042" i="1"/>
  <c r="M1042" i="1"/>
  <c r="F1043" i="1"/>
  <c r="G1043" i="1"/>
  <c r="H1043" i="1"/>
  <c r="I1043" i="1"/>
  <c r="J1043" i="1"/>
  <c r="K1043" i="1"/>
  <c r="L1043" i="1"/>
  <c r="M1043" i="1"/>
  <c r="F1044" i="1"/>
  <c r="G1044" i="1"/>
  <c r="H1044" i="1"/>
  <c r="I1044" i="1"/>
  <c r="J1044" i="1"/>
  <c r="K1044" i="1"/>
  <c r="L1044" i="1"/>
  <c r="M1044" i="1"/>
  <c r="F1045" i="1"/>
  <c r="G1045" i="1"/>
  <c r="H1045" i="1"/>
  <c r="I1045" i="1"/>
  <c r="J1045" i="1"/>
  <c r="K1045" i="1"/>
  <c r="L1045" i="1"/>
  <c r="M1045" i="1"/>
  <c r="F1046" i="1"/>
  <c r="G1046" i="1"/>
  <c r="H1046" i="1"/>
  <c r="I1046" i="1"/>
  <c r="J1046" i="1"/>
  <c r="K1046" i="1"/>
  <c r="L1046" i="1"/>
  <c r="M1046" i="1"/>
  <c r="F1047" i="1"/>
  <c r="G1047" i="1"/>
  <c r="H1047" i="1"/>
  <c r="I1047" i="1"/>
  <c r="J1047" i="1"/>
  <c r="K1047" i="1"/>
  <c r="L1047" i="1"/>
  <c r="M1047" i="1"/>
  <c r="F1048" i="1"/>
  <c r="G1048" i="1"/>
  <c r="H1048" i="1"/>
  <c r="I1048" i="1"/>
  <c r="J1048" i="1"/>
  <c r="K1048" i="1"/>
  <c r="L1048" i="1"/>
  <c r="M1048" i="1"/>
  <c r="F1049" i="1"/>
  <c r="G1049" i="1"/>
  <c r="H1049" i="1"/>
  <c r="I1049" i="1"/>
  <c r="J1049" i="1"/>
  <c r="K1049" i="1"/>
  <c r="L1049" i="1"/>
  <c r="M1049" i="1"/>
  <c r="F1050" i="1"/>
  <c r="G1050" i="1"/>
  <c r="H1050" i="1"/>
  <c r="I1050" i="1"/>
  <c r="J1050" i="1"/>
  <c r="K1050" i="1"/>
  <c r="L1050" i="1"/>
  <c r="M1050" i="1"/>
  <c r="F1051" i="1"/>
  <c r="G1051" i="1"/>
  <c r="H1051" i="1"/>
  <c r="I1051" i="1"/>
  <c r="J1051" i="1"/>
  <c r="K1051" i="1"/>
  <c r="L1051" i="1"/>
  <c r="M1051" i="1"/>
  <c r="F1052" i="1"/>
  <c r="G1052" i="1"/>
  <c r="H1052" i="1"/>
  <c r="I1052" i="1"/>
  <c r="J1052" i="1"/>
  <c r="K1052" i="1"/>
  <c r="L1052" i="1"/>
  <c r="M1052" i="1"/>
  <c r="F1053" i="1"/>
  <c r="G1053" i="1"/>
  <c r="H1053" i="1"/>
  <c r="I1053" i="1"/>
  <c r="J1053" i="1"/>
  <c r="K1053" i="1"/>
  <c r="L1053" i="1"/>
  <c r="M1053" i="1"/>
  <c r="F1054" i="1"/>
  <c r="G1054" i="1"/>
  <c r="H1054" i="1"/>
  <c r="I1054" i="1"/>
  <c r="J1054" i="1"/>
  <c r="K1054" i="1"/>
  <c r="L1054" i="1"/>
  <c r="M1054" i="1"/>
  <c r="F1055" i="1"/>
  <c r="G1055" i="1"/>
  <c r="H1055" i="1"/>
  <c r="I1055" i="1"/>
  <c r="J1055" i="1"/>
  <c r="K1055" i="1"/>
  <c r="L1055" i="1"/>
  <c r="M1055" i="1"/>
  <c r="F1056" i="1"/>
  <c r="G1056" i="1"/>
  <c r="H1056" i="1"/>
  <c r="I1056" i="1"/>
  <c r="J1056" i="1"/>
  <c r="K1056" i="1"/>
  <c r="L1056" i="1"/>
  <c r="M1056" i="1"/>
  <c r="F1057" i="1"/>
  <c r="G1057" i="1"/>
  <c r="H1057" i="1"/>
  <c r="I1057" i="1"/>
  <c r="J1057" i="1"/>
  <c r="K1057" i="1"/>
  <c r="L1057" i="1"/>
  <c r="M1057" i="1"/>
  <c r="F1058" i="1"/>
  <c r="G1058" i="1"/>
  <c r="H1058" i="1"/>
  <c r="I1058" i="1"/>
  <c r="J1058" i="1"/>
  <c r="K1058" i="1"/>
  <c r="L1058" i="1"/>
  <c r="M1058" i="1"/>
  <c r="F1059" i="1"/>
  <c r="G1059" i="1"/>
  <c r="H1059" i="1"/>
  <c r="I1059" i="1"/>
  <c r="J1059" i="1"/>
  <c r="K1059" i="1"/>
  <c r="L1059" i="1"/>
  <c r="M1059" i="1"/>
  <c r="F1060" i="1"/>
  <c r="G1060" i="1"/>
  <c r="H1060" i="1"/>
  <c r="I1060" i="1"/>
  <c r="J1060" i="1"/>
  <c r="K1060" i="1"/>
  <c r="L1060" i="1"/>
  <c r="M1060" i="1"/>
  <c r="F1061" i="1"/>
  <c r="G1061" i="1"/>
  <c r="H1061" i="1"/>
  <c r="I1061" i="1"/>
  <c r="J1061" i="1"/>
  <c r="K1061" i="1"/>
  <c r="L1061" i="1"/>
  <c r="M1061" i="1"/>
  <c r="F1062" i="1"/>
  <c r="G1062" i="1"/>
  <c r="H1062" i="1"/>
  <c r="I1062" i="1"/>
  <c r="J1062" i="1"/>
  <c r="K1062" i="1"/>
  <c r="L1062" i="1"/>
  <c r="M1062" i="1"/>
  <c r="F1063" i="1"/>
  <c r="G1063" i="1"/>
  <c r="H1063" i="1"/>
  <c r="I1063" i="1"/>
  <c r="J1063" i="1"/>
  <c r="K1063" i="1"/>
  <c r="L1063" i="1"/>
  <c r="M1063" i="1"/>
  <c r="F1064" i="1"/>
  <c r="G1064" i="1"/>
  <c r="H1064" i="1"/>
  <c r="I1064" i="1"/>
  <c r="J1064" i="1"/>
  <c r="K1064" i="1"/>
  <c r="L1064" i="1"/>
  <c r="M1064" i="1"/>
  <c r="F1065" i="1"/>
  <c r="G1065" i="1"/>
  <c r="H1065" i="1"/>
  <c r="I1065" i="1"/>
  <c r="J1065" i="1"/>
  <c r="K1065" i="1"/>
  <c r="L1065" i="1"/>
  <c r="M1065" i="1"/>
  <c r="F1066" i="1"/>
  <c r="G1066" i="1"/>
  <c r="H1066" i="1"/>
  <c r="I1066" i="1"/>
  <c r="J1066" i="1"/>
  <c r="K1066" i="1"/>
  <c r="L1066" i="1"/>
  <c r="M1066" i="1"/>
  <c r="F1067" i="1"/>
  <c r="G1067" i="1"/>
  <c r="H1067" i="1"/>
  <c r="I1067" i="1"/>
  <c r="J1067" i="1"/>
  <c r="K1067" i="1"/>
  <c r="L1067" i="1"/>
  <c r="M1067" i="1"/>
  <c r="F1068" i="1"/>
  <c r="G1068" i="1"/>
  <c r="H1068" i="1"/>
  <c r="I1068" i="1"/>
  <c r="J1068" i="1"/>
  <c r="K1068" i="1"/>
  <c r="L1068" i="1"/>
  <c r="M1068" i="1"/>
  <c r="F1069" i="1"/>
  <c r="G1069" i="1"/>
  <c r="H1069" i="1"/>
  <c r="I1069" i="1"/>
  <c r="J1069" i="1"/>
  <c r="K1069" i="1"/>
  <c r="L1069" i="1"/>
  <c r="M1069" i="1"/>
  <c r="F1070" i="1"/>
  <c r="G1070" i="1"/>
  <c r="H1070" i="1"/>
  <c r="I1070" i="1"/>
  <c r="J1070" i="1"/>
  <c r="K1070" i="1"/>
  <c r="L1070" i="1"/>
  <c r="M1070" i="1"/>
  <c r="F1071" i="1"/>
  <c r="G1071" i="1"/>
  <c r="H1071" i="1"/>
  <c r="I1071" i="1"/>
  <c r="J1071" i="1"/>
  <c r="K1071" i="1"/>
  <c r="L1071" i="1"/>
  <c r="M1071" i="1"/>
  <c r="F1072" i="1"/>
  <c r="G1072" i="1"/>
  <c r="H1072" i="1"/>
  <c r="I1072" i="1"/>
  <c r="J1072" i="1"/>
  <c r="K1072" i="1"/>
  <c r="L1072" i="1"/>
  <c r="M1072" i="1"/>
  <c r="F1073" i="1"/>
  <c r="G1073" i="1"/>
  <c r="H1073" i="1"/>
  <c r="I1073" i="1"/>
  <c r="J1073" i="1"/>
  <c r="K1073" i="1"/>
  <c r="L1073" i="1"/>
  <c r="M1073" i="1"/>
  <c r="F1074" i="1"/>
  <c r="G1074" i="1"/>
  <c r="H1074" i="1"/>
  <c r="I1074" i="1"/>
  <c r="J1074" i="1"/>
  <c r="K1074" i="1"/>
  <c r="L1074" i="1"/>
  <c r="M1074" i="1"/>
  <c r="F1075" i="1"/>
  <c r="G1075" i="1"/>
  <c r="H1075" i="1"/>
  <c r="I1075" i="1"/>
  <c r="J1075" i="1"/>
  <c r="K1075" i="1"/>
  <c r="L1075" i="1"/>
  <c r="M1075" i="1"/>
  <c r="F1076" i="1"/>
  <c r="G1076" i="1"/>
  <c r="H1076" i="1"/>
  <c r="I1076" i="1"/>
  <c r="J1076" i="1"/>
  <c r="K1076" i="1"/>
  <c r="L1076" i="1"/>
  <c r="M1076" i="1"/>
  <c r="F1077" i="1"/>
  <c r="G1077" i="1"/>
  <c r="H1077" i="1"/>
  <c r="I1077" i="1"/>
  <c r="J1077" i="1"/>
  <c r="K1077" i="1"/>
  <c r="L1077" i="1"/>
  <c r="M1077" i="1"/>
  <c r="F1078" i="1"/>
  <c r="G1078" i="1"/>
  <c r="H1078" i="1"/>
  <c r="I1078" i="1"/>
  <c r="J1078" i="1"/>
  <c r="K1078" i="1"/>
  <c r="L1078" i="1"/>
  <c r="M1078" i="1"/>
  <c r="F1079" i="1"/>
  <c r="G1079" i="1"/>
  <c r="H1079" i="1"/>
  <c r="I1079" i="1"/>
  <c r="J1079" i="1"/>
  <c r="K1079" i="1"/>
  <c r="L1079" i="1"/>
  <c r="M1079" i="1"/>
  <c r="F1080" i="1"/>
  <c r="G1080" i="1"/>
  <c r="H1080" i="1"/>
  <c r="I1080" i="1"/>
  <c r="J1080" i="1"/>
  <c r="K1080" i="1"/>
  <c r="L1080" i="1"/>
  <c r="M1080" i="1"/>
  <c r="F1081" i="1"/>
  <c r="G1081" i="1"/>
  <c r="H1081" i="1"/>
  <c r="I1081" i="1"/>
  <c r="J1081" i="1"/>
  <c r="K1081" i="1"/>
  <c r="L1081" i="1"/>
  <c r="M1081" i="1"/>
  <c r="F1082" i="1"/>
  <c r="G1082" i="1"/>
  <c r="H1082" i="1"/>
  <c r="I1082" i="1"/>
  <c r="J1082" i="1"/>
  <c r="K1082" i="1"/>
  <c r="L1082" i="1"/>
  <c r="M1082" i="1"/>
  <c r="F1083" i="1"/>
  <c r="G1083" i="1"/>
  <c r="H1083" i="1"/>
  <c r="I1083" i="1"/>
  <c r="J1083" i="1"/>
  <c r="K1083" i="1"/>
  <c r="L1083" i="1"/>
  <c r="M1083" i="1"/>
  <c r="F1084" i="1"/>
  <c r="G1084" i="1"/>
  <c r="H1084" i="1"/>
  <c r="I1084" i="1"/>
  <c r="J1084" i="1"/>
  <c r="K1084" i="1"/>
  <c r="L1084" i="1"/>
  <c r="M1084" i="1"/>
  <c r="F1085" i="1"/>
  <c r="G1085" i="1"/>
  <c r="H1085" i="1"/>
  <c r="I1085" i="1"/>
  <c r="J1085" i="1"/>
  <c r="K1085" i="1"/>
  <c r="L1085" i="1"/>
  <c r="M1085" i="1"/>
  <c r="F1086" i="1"/>
  <c r="G1086" i="1"/>
  <c r="H1086" i="1"/>
  <c r="I1086" i="1"/>
  <c r="J1086" i="1"/>
  <c r="K1086" i="1"/>
  <c r="L1086" i="1"/>
  <c r="M1086" i="1"/>
  <c r="F1087" i="1"/>
  <c r="G1087" i="1"/>
  <c r="H1087" i="1"/>
  <c r="I1087" i="1"/>
  <c r="J1087" i="1"/>
  <c r="K1087" i="1"/>
  <c r="L1087" i="1"/>
  <c r="M1087" i="1"/>
  <c r="F1088" i="1"/>
  <c r="G1088" i="1"/>
  <c r="H1088" i="1"/>
  <c r="I1088" i="1"/>
  <c r="J1088" i="1"/>
  <c r="K1088" i="1"/>
  <c r="L1088" i="1"/>
  <c r="M1088" i="1"/>
  <c r="F1089" i="1"/>
  <c r="G1089" i="1"/>
  <c r="H1089" i="1"/>
  <c r="I1089" i="1"/>
  <c r="J1089" i="1"/>
  <c r="K1089" i="1"/>
  <c r="L1089" i="1"/>
  <c r="M1089" i="1"/>
  <c r="F1090" i="1"/>
  <c r="G1090" i="1"/>
  <c r="H1090" i="1"/>
  <c r="I1090" i="1"/>
  <c r="J1090" i="1"/>
  <c r="K1090" i="1"/>
  <c r="L1090" i="1"/>
  <c r="M1090" i="1"/>
  <c r="F1091" i="1"/>
  <c r="G1091" i="1"/>
  <c r="H1091" i="1"/>
  <c r="I1091" i="1"/>
  <c r="J1091" i="1"/>
  <c r="K1091" i="1"/>
  <c r="L1091" i="1"/>
  <c r="M1091" i="1"/>
  <c r="F1092" i="1"/>
  <c r="G1092" i="1"/>
  <c r="H1092" i="1"/>
  <c r="I1092" i="1"/>
  <c r="J1092" i="1"/>
  <c r="K1092" i="1"/>
  <c r="L1092" i="1"/>
  <c r="M1092" i="1"/>
  <c r="F1093" i="1"/>
  <c r="G1093" i="1"/>
  <c r="H1093" i="1"/>
  <c r="I1093" i="1"/>
  <c r="J1093" i="1"/>
  <c r="K1093" i="1"/>
  <c r="L1093" i="1"/>
  <c r="M1093" i="1"/>
  <c r="F1094" i="1"/>
  <c r="G1094" i="1"/>
  <c r="H1094" i="1"/>
  <c r="I1094" i="1"/>
  <c r="J1094" i="1"/>
  <c r="K1094" i="1"/>
  <c r="L1094" i="1"/>
  <c r="M1094" i="1"/>
  <c r="F1095" i="1"/>
  <c r="G1095" i="1"/>
  <c r="H1095" i="1"/>
  <c r="I1095" i="1"/>
  <c r="J1095" i="1"/>
  <c r="K1095" i="1"/>
  <c r="L1095" i="1"/>
  <c r="M1095" i="1"/>
  <c r="F1096" i="1"/>
  <c r="G1096" i="1"/>
  <c r="H1096" i="1"/>
  <c r="I1096" i="1"/>
  <c r="J1096" i="1"/>
  <c r="K1096" i="1"/>
  <c r="L1096" i="1"/>
  <c r="M1096" i="1"/>
  <c r="F1097" i="1"/>
  <c r="G1097" i="1"/>
  <c r="H1097" i="1"/>
  <c r="I1097" i="1"/>
  <c r="J1097" i="1"/>
  <c r="K1097" i="1"/>
  <c r="L1097" i="1"/>
  <c r="M1097" i="1"/>
  <c r="F1098" i="1"/>
  <c r="G1098" i="1"/>
  <c r="H1098" i="1"/>
  <c r="I1098" i="1"/>
  <c r="J1098" i="1"/>
  <c r="K1098" i="1"/>
  <c r="L1098" i="1"/>
  <c r="M1098" i="1"/>
  <c r="F1099" i="1"/>
  <c r="G1099" i="1"/>
  <c r="H1099" i="1"/>
  <c r="I1099" i="1"/>
  <c r="J1099" i="1"/>
  <c r="K1099" i="1"/>
  <c r="L1099" i="1"/>
  <c r="M1099" i="1"/>
  <c r="F1100" i="1"/>
  <c r="G1100" i="1"/>
  <c r="H1100" i="1"/>
  <c r="I1100" i="1"/>
  <c r="J1100" i="1"/>
  <c r="K1100" i="1"/>
  <c r="L1100" i="1"/>
  <c r="M1100" i="1"/>
  <c r="F1101" i="1"/>
  <c r="G1101" i="1"/>
  <c r="H1101" i="1"/>
  <c r="I1101" i="1"/>
  <c r="J1101" i="1"/>
  <c r="K1101" i="1"/>
  <c r="L1101" i="1"/>
  <c r="M1101" i="1"/>
  <c r="F1102" i="1"/>
  <c r="G1102" i="1"/>
  <c r="H1102" i="1"/>
  <c r="I1102" i="1"/>
  <c r="J1102" i="1"/>
  <c r="K1102" i="1"/>
  <c r="L1102" i="1"/>
  <c r="M1102" i="1"/>
  <c r="F1103" i="1"/>
  <c r="G1103" i="1"/>
  <c r="H1103" i="1"/>
  <c r="I1103" i="1"/>
  <c r="J1103" i="1"/>
  <c r="K1103" i="1"/>
  <c r="L1103" i="1"/>
  <c r="M1103" i="1"/>
  <c r="F1104" i="1"/>
  <c r="G1104" i="1"/>
  <c r="H1104" i="1"/>
  <c r="I1104" i="1"/>
  <c r="J1104" i="1"/>
  <c r="K1104" i="1"/>
  <c r="L1104" i="1"/>
  <c r="M1104" i="1"/>
  <c r="F1105" i="1"/>
  <c r="G1105" i="1"/>
  <c r="H1105" i="1"/>
  <c r="I1105" i="1"/>
  <c r="J1105" i="1"/>
  <c r="K1105" i="1"/>
  <c r="L1105" i="1"/>
  <c r="M1105" i="1"/>
  <c r="F1106" i="1"/>
  <c r="G1106" i="1"/>
  <c r="H1106" i="1"/>
  <c r="I1106" i="1"/>
  <c r="J1106" i="1"/>
  <c r="K1106" i="1"/>
  <c r="L1106" i="1"/>
  <c r="M1106" i="1"/>
  <c r="F1107" i="1"/>
  <c r="G1107" i="1"/>
  <c r="H1107" i="1"/>
  <c r="I1107" i="1"/>
  <c r="J1107" i="1"/>
  <c r="K1107" i="1"/>
  <c r="L1107" i="1"/>
  <c r="M1107" i="1"/>
  <c r="F1108" i="1"/>
  <c r="G1108" i="1"/>
  <c r="H1108" i="1"/>
  <c r="I1108" i="1"/>
  <c r="J1108" i="1"/>
  <c r="K1108" i="1"/>
  <c r="L1108" i="1"/>
  <c r="M1108" i="1"/>
  <c r="F1109" i="1"/>
  <c r="G1109" i="1"/>
  <c r="H1109" i="1"/>
  <c r="I1109" i="1"/>
  <c r="J1109" i="1"/>
  <c r="K1109" i="1"/>
  <c r="L1109" i="1"/>
  <c r="M1109" i="1"/>
  <c r="F1110" i="1"/>
  <c r="G1110" i="1"/>
  <c r="H1110" i="1"/>
  <c r="I1110" i="1"/>
  <c r="J1110" i="1"/>
  <c r="K1110" i="1"/>
  <c r="L1110" i="1"/>
  <c r="M1110" i="1"/>
  <c r="F1111" i="1"/>
  <c r="G1111" i="1"/>
  <c r="H1111" i="1"/>
  <c r="I1111" i="1"/>
  <c r="J1111" i="1"/>
  <c r="K1111" i="1"/>
  <c r="L1111" i="1"/>
  <c r="M1111" i="1"/>
  <c r="F1112" i="1"/>
  <c r="G1112" i="1"/>
  <c r="H1112" i="1"/>
  <c r="I1112" i="1"/>
  <c r="J1112" i="1"/>
  <c r="K1112" i="1"/>
  <c r="L1112" i="1"/>
  <c r="M1112" i="1"/>
  <c r="F1113" i="1"/>
  <c r="G1113" i="1"/>
  <c r="H1113" i="1"/>
  <c r="I1113" i="1"/>
  <c r="J1113" i="1"/>
  <c r="K1113" i="1"/>
  <c r="L1113" i="1"/>
  <c r="M1113" i="1"/>
  <c r="F1114" i="1"/>
  <c r="G1114" i="1"/>
  <c r="H1114" i="1"/>
  <c r="I1114" i="1"/>
  <c r="J1114" i="1"/>
  <c r="K1114" i="1"/>
  <c r="L1114" i="1"/>
  <c r="M1114" i="1"/>
  <c r="F1115" i="1"/>
  <c r="G1115" i="1"/>
  <c r="H1115" i="1"/>
  <c r="I1115" i="1"/>
  <c r="J1115" i="1"/>
  <c r="K1115" i="1"/>
  <c r="L1115" i="1"/>
  <c r="M1115" i="1"/>
  <c r="F1116" i="1"/>
  <c r="G1116" i="1"/>
  <c r="H1116" i="1"/>
  <c r="I1116" i="1"/>
  <c r="J1116" i="1"/>
  <c r="K1116" i="1"/>
  <c r="L1116" i="1"/>
  <c r="M1116" i="1"/>
  <c r="F1117" i="1"/>
  <c r="G1117" i="1"/>
  <c r="H1117" i="1"/>
  <c r="I1117" i="1"/>
  <c r="J1117" i="1"/>
  <c r="K1117" i="1"/>
  <c r="L1117" i="1"/>
  <c r="M1117" i="1"/>
  <c r="F1118" i="1"/>
  <c r="G1118" i="1"/>
  <c r="H1118" i="1"/>
  <c r="I1118" i="1"/>
  <c r="J1118" i="1"/>
  <c r="K1118" i="1"/>
  <c r="L1118" i="1"/>
  <c r="M1118" i="1"/>
  <c r="F1119" i="1"/>
  <c r="G1119" i="1"/>
  <c r="H1119" i="1"/>
  <c r="I1119" i="1"/>
  <c r="J1119" i="1"/>
  <c r="K1119" i="1"/>
  <c r="L1119" i="1"/>
  <c r="M1119" i="1"/>
  <c r="F1120" i="1"/>
  <c r="G1120" i="1"/>
  <c r="H1120" i="1"/>
  <c r="I1120" i="1"/>
  <c r="J1120" i="1"/>
  <c r="K1120" i="1"/>
  <c r="L1120" i="1"/>
  <c r="M1120" i="1"/>
  <c r="F1121" i="1"/>
  <c r="G1121" i="1"/>
  <c r="H1121" i="1"/>
  <c r="I1121" i="1"/>
  <c r="J1121" i="1"/>
  <c r="K1121" i="1"/>
  <c r="L1121" i="1"/>
  <c r="M1121" i="1"/>
  <c r="F1122" i="1"/>
  <c r="G1122" i="1"/>
  <c r="H1122" i="1"/>
  <c r="I1122" i="1"/>
  <c r="J1122" i="1"/>
  <c r="K1122" i="1"/>
  <c r="L1122" i="1"/>
  <c r="M1122" i="1"/>
  <c r="F1123" i="1"/>
  <c r="G1123" i="1"/>
  <c r="H1123" i="1"/>
  <c r="I1123" i="1"/>
  <c r="J1123" i="1"/>
  <c r="K1123" i="1"/>
  <c r="L1123" i="1"/>
  <c r="M1123" i="1"/>
  <c r="F1124" i="1"/>
  <c r="G1124" i="1"/>
  <c r="H1124" i="1"/>
  <c r="I1124" i="1"/>
  <c r="J1124" i="1"/>
  <c r="K1124" i="1"/>
  <c r="L1124" i="1"/>
  <c r="M1124" i="1"/>
  <c r="F1125" i="1"/>
  <c r="G1125" i="1"/>
  <c r="H1125" i="1"/>
  <c r="I1125" i="1"/>
  <c r="J1125" i="1"/>
  <c r="K1125" i="1"/>
  <c r="L1125" i="1"/>
  <c r="M1125" i="1"/>
  <c r="F1126" i="1"/>
  <c r="G1126" i="1"/>
  <c r="H1126" i="1"/>
  <c r="I1126" i="1"/>
  <c r="J1126" i="1"/>
  <c r="K1126" i="1"/>
  <c r="L1126" i="1"/>
  <c r="M1126" i="1"/>
  <c r="F1127" i="1"/>
  <c r="G1127" i="1"/>
  <c r="H1127" i="1"/>
  <c r="I1127" i="1"/>
  <c r="J1127" i="1"/>
  <c r="K1127" i="1"/>
  <c r="L1127" i="1"/>
  <c r="M1127" i="1"/>
  <c r="F1128" i="1"/>
  <c r="G1128" i="1"/>
  <c r="H1128" i="1"/>
  <c r="I1128" i="1"/>
  <c r="J1128" i="1"/>
  <c r="K1128" i="1"/>
  <c r="L1128" i="1"/>
  <c r="M1128" i="1"/>
  <c r="F1129" i="1"/>
  <c r="G1129" i="1"/>
  <c r="H1129" i="1"/>
  <c r="I1129" i="1"/>
  <c r="J1129" i="1"/>
  <c r="K1129" i="1"/>
  <c r="L1129" i="1"/>
  <c r="M1129" i="1"/>
  <c r="F1130" i="1"/>
  <c r="G1130" i="1"/>
  <c r="H1130" i="1"/>
  <c r="I1130" i="1"/>
  <c r="J1130" i="1"/>
  <c r="K1130" i="1"/>
  <c r="L1130" i="1"/>
  <c r="M1130" i="1"/>
  <c r="F1131" i="1"/>
  <c r="G1131" i="1"/>
  <c r="H1131" i="1"/>
  <c r="I1131" i="1"/>
  <c r="J1131" i="1"/>
  <c r="K1131" i="1"/>
  <c r="L1131" i="1"/>
  <c r="M1131" i="1"/>
  <c r="F1132" i="1"/>
  <c r="G1132" i="1"/>
  <c r="H1132" i="1"/>
  <c r="I1132" i="1"/>
  <c r="J1132" i="1"/>
  <c r="K1132" i="1"/>
  <c r="L1132" i="1"/>
  <c r="M1132" i="1"/>
  <c r="F1133" i="1"/>
  <c r="G1133" i="1"/>
  <c r="H1133" i="1"/>
  <c r="I1133" i="1"/>
  <c r="J1133" i="1"/>
  <c r="K1133" i="1"/>
  <c r="L1133" i="1"/>
  <c r="M1133" i="1"/>
  <c r="F1134" i="1"/>
  <c r="G1134" i="1"/>
  <c r="H1134" i="1"/>
  <c r="I1134" i="1"/>
  <c r="J1134" i="1"/>
  <c r="K1134" i="1"/>
  <c r="L1134" i="1"/>
  <c r="M1134" i="1"/>
  <c r="F1135" i="1"/>
  <c r="G1135" i="1"/>
  <c r="H1135" i="1"/>
  <c r="I1135" i="1"/>
  <c r="J1135" i="1"/>
  <c r="K1135" i="1"/>
  <c r="L1135" i="1"/>
  <c r="M1135" i="1"/>
  <c r="F1136" i="1"/>
  <c r="G1136" i="1"/>
  <c r="H1136" i="1"/>
  <c r="I1136" i="1"/>
  <c r="J1136" i="1"/>
  <c r="K1136" i="1"/>
  <c r="L1136" i="1"/>
  <c r="M1136" i="1"/>
  <c r="F1137" i="1"/>
  <c r="G1137" i="1"/>
  <c r="H1137" i="1"/>
  <c r="I1137" i="1"/>
  <c r="J1137" i="1"/>
  <c r="K1137" i="1"/>
  <c r="L1137" i="1"/>
  <c r="M1137" i="1"/>
  <c r="F1138" i="1"/>
  <c r="G1138" i="1"/>
  <c r="H1138" i="1"/>
  <c r="I1138" i="1"/>
  <c r="J1138" i="1"/>
  <c r="K1138" i="1"/>
  <c r="L1138" i="1"/>
  <c r="M1138" i="1"/>
  <c r="F1139" i="1"/>
  <c r="G1139" i="1"/>
  <c r="H1139" i="1"/>
  <c r="I1139" i="1"/>
  <c r="J1139" i="1"/>
  <c r="K1139" i="1"/>
  <c r="L1139" i="1"/>
  <c r="M1139" i="1"/>
  <c r="F1140" i="1"/>
  <c r="G1140" i="1"/>
  <c r="H1140" i="1"/>
  <c r="I1140" i="1"/>
  <c r="J1140" i="1"/>
  <c r="K1140" i="1"/>
  <c r="L1140" i="1"/>
  <c r="M1140" i="1"/>
  <c r="F1141" i="1"/>
  <c r="G1141" i="1"/>
  <c r="H1141" i="1"/>
  <c r="I1141" i="1"/>
  <c r="J1141" i="1"/>
  <c r="K1141" i="1"/>
  <c r="L1141" i="1"/>
  <c r="M1141" i="1"/>
  <c r="F1142" i="1"/>
  <c r="G1142" i="1"/>
  <c r="H1142" i="1"/>
  <c r="I1142" i="1"/>
  <c r="J1142" i="1"/>
  <c r="K1142" i="1"/>
  <c r="L1142" i="1"/>
  <c r="M1142" i="1"/>
  <c r="F1143" i="1"/>
  <c r="G1143" i="1"/>
  <c r="H1143" i="1"/>
  <c r="I1143" i="1"/>
  <c r="J1143" i="1"/>
  <c r="K1143" i="1"/>
  <c r="L1143" i="1"/>
  <c r="M1143" i="1"/>
  <c r="F1144" i="1"/>
  <c r="G1144" i="1"/>
  <c r="H1144" i="1"/>
  <c r="I1144" i="1"/>
  <c r="J1144" i="1"/>
  <c r="K1144" i="1"/>
  <c r="L1144" i="1"/>
  <c r="M1144" i="1"/>
  <c r="F1145" i="1"/>
  <c r="G1145" i="1"/>
  <c r="H1145" i="1"/>
  <c r="I1145" i="1"/>
  <c r="J1145" i="1"/>
  <c r="K1145" i="1"/>
  <c r="L1145" i="1"/>
  <c r="M1145" i="1"/>
  <c r="F1146" i="1"/>
  <c r="G1146" i="1"/>
  <c r="H1146" i="1"/>
  <c r="I1146" i="1"/>
  <c r="J1146" i="1"/>
  <c r="K1146" i="1"/>
  <c r="L1146" i="1"/>
  <c r="M1146" i="1"/>
  <c r="F1147" i="1"/>
  <c r="G1147" i="1"/>
  <c r="H1147" i="1"/>
  <c r="I1147" i="1"/>
  <c r="J1147" i="1"/>
  <c r="K1147" i="1"/>
  <c r="L1147" i="1"/>
  <c r="M1147" i="1"/>
  <c r="F1148" i="1"/>
  <c r="G1148" i="1"/>
  <c r="H1148" i="1"/>
  <c r="I1148" i="1"/>
  <c r="J1148" i="1"/>
  <c r="K1148" i="1"/>
  <c r="L1148" i="1"/>
  <c r="M1148" i="1"/>
  <c r="F1149" i="1"/>
  <c r="G1149" i="1"/>
  <c r="H1149" i="1"/>
  <c r="I1149" i="1"/>
  <c r="J1149" i="1"/>
  <c r="K1149" i="1"/>
  <c r="L1149" i="1"/>
  <c r="M1149" i="1"/>
  <c r="F1150" i="1"/>
  <c r="G1150" i="1"/>
  <c r="H1150" i="1"/>
  <c r="I1150" i="1"/>
  <c r="J1150" i="1"/>
  <c r="K1150" i="1"/>
  <c r="L1150" i="1"/>
  <c r="M1150" i="1"/>
  <c r="F1151" i="1"/>
  <c r="G1151" i="1"/>
  <c r="H1151" i="1"/>
  <c r="I1151" i="1"/>
  <c r="J1151" i="1"/>
  <c r="K1151" i="1"/>
  <c r="L1151" i="1"/>
  <c r="M1151" i="1"/>
  <c r="F1152" i="1"/>
  <c r="G1152" i="1"/>
  <c r="H1152" i="1"/>
  <c r="I1152" i="1"/>
  <c r="J1152" i="1"/>
  <c r="K1152" i="1"/>
  <c r="L1152" i="1"/>
  <c r="M1152" i="1"/>
  <c r="F1153" i="1"/>
  <c r="G1153" i="1"/>
  <c r="H1153" i="1"/>
  <c r="I1153" i="1"/>
  <c r="J1153" i="1"/>
  <c r="K1153" i="1"/>
  <c r="L1153" i="1"/>
  <c r="M1153" i="1"/>
  <c r="F1154" i="1"/>
  <c r="G1154" i="1"/>
  <c r="H1154" i="1"/>
  <c r="I1154" i="1"/>
  <c r="J1154" i="1"/>
  <c r="K1154" i="1"/>
  <c r="L1154" i="1"/>
  <c r="M1154" i="1"/>
  <c r="F1155" i="1"/>
  <c r="G1155" i="1"/>
  <c r="H1155" i="1"/>
  <c r="I1155" i="1"/>
  <c r="J1155" i="1"/>
  <c r="K1155" i="1"/>
  <c r="L1155" i="1"/>
  <c r="M1155" i="1"/>
  <c r="F1156" i="1"/>
  <c r="G1156" i="1"/>
  <c r="H1156" i="1"/>
  <c r="I1156" i="1"/>
  <c r="J1156" i="1"/>
  <c r="K1156" i="1"/>
  <c r="L1156" i="1"/>
  <c r="M1156" i="1"/>
  <c r="F1157" i="1"/>
  <c r="G1157" i="1"/>
  <c r="H1157" i="1"/>
  <c r="I1157" i="1"/>
  <c r="J1157" i="1"/>
  <c r="K1157" i="1"/>
  <c r="L1157" i="1"/>
  <c r="M1157" i="1"/>
  <c r="F1158" i="1"/>
  <c r="G1158" i="1"/>
  <c r="H1158" i="1"/>
  <c r="I1158" i="1"/>
  <c r="J1158" i="1"/>
  <c r="K1158" i="1"/>
  <c r="L1158" i="1"/>
  <c r="M1158" i="1"/>
  <c r="F1159" i="1"/>
  <c r="G1159" i="1"/>
  <c r="H1159" i="1"/>
  <c r="I1159" i="1"/>
  <c r="J1159" i="1"/>
  <c r="K1159" i="1"/>
  <c r="L1159" i="1"/>
  <c r="M1159" i="1"/>
  <c r="F1160" i="1"/>
  <c r="G1160" i="1"/>
  <c r="H1160" i="1"/>
  <c r="I1160" i="1"/>
  <c r="J1160" i="1"/>
  <c r="K1160" i="1"/>
  <c r="L1160" i="1"/>
  <c r="M1160" i="1"/>
  <c r="F1161" i="1"/>
  <c r="G1161" i="1"/>
  <c r="H1161" i="1"/>
  <c r="I1161" i="1"/>
  <c r="J1161" i="1"/>
  <c r="K1161" i="1"/>
  <c r="L1161" i="1"/>
  <c r="M1161" i="1"/>
  <c r="F1162" i="1"/>
  <c r="G1162" i="1"/>
  <c r="H1162" i="1"/>
  <c r="I1162" i="1"/>
  <c r="J1162" i="1"/>
  <c r="K1162" i="1"/>
  <c r="L1162" i="1"/>
  <c r="M1162" i="1"/>
  <c r="F1163" i="1"/>
  <c r="G1163" i="1"/>
  <c r="H1163" i="1"/>
  <c r="I1163" i="1"/>
  <c r="J1163" i="1"/>
  <c r="K1163" i="1"/>
  <c r="L1163" i="1"/>
  <c r="M1163" i="1"/>
  <c r="F1164" i="1"/>
  <c r="G1164" i="1"/>
  <c r="H1164" i="1"/>
  <c r="I1164" i="1"/>
  <c r="J1164" i="1"/>
  <c r="K1164" i="1"/>
  <c r="L1164" i="1"/>
  <c r="M1164" i="1"/>
  <c r="F1165" i="1"/>
  <c r="G1165" i="1"/>
  <c r="H1165" i="1"/>
  <c r="I1165" i="1"/>
  <c r="J1165" i="1"/>
  <c r="K1165" i="1"/>
  <c r="L1165" i="1"/>
  <c r="M1165" i="1"/>
  <c r="F1166" i="1"/>
  <c r="G1166" i="1"/>
  <c r="H1166" i="1"/>
  <c r="I1166" i="1"/>
  <c r="J1166" i="1"/>
  <c r="K1166" i="1"/>
  <c r="L1166" i="1"/>
  <c r="M1166" i="1"/>
  <c r="F1167" i="1"/>
  <c r="G1167" i="1"/>
  <c r="H1167" i="1"/>
  <c r="I1167" i="1"/>
  <c r="J1167" i="1"/>
  <c r="K1167" i="1"/>
  <c r="L1167" i="1"/>
  <c r="M1167" i="1"/>
  <c r="F1168" i="1"/>
  <c r="G1168" i="1"/>
  <c r="H1168" i="1"/>
  <c r="I1168" i="1"/>
  <c r="J1168" i="1"/>
  <c r="K1168" i="1"/>
  <c r="L1168" i="1"/>
  <c r="M1168" i="1"/>
  <c r="F1169" i="1"/>
  <c r="G1169" i="1"/>
  <c r="H1169" i="1"/>
  <c r="I1169" i="1"/>
  <c r="J1169" i="1"/>
  <c r="K1169" i="1"/>
  <c r="L1169" i="1"/>
  <c r="M1169" i="1"/>
  <c r="F1170" i="1"/>
  <c r="G1170" i="1"/>
  <c r="H1170" i="1"/>
  <c r="I1170" i="1"/>
  <c r="J1170" i="1"/>
  <c r="K1170" i="1"/>
  <c r="L1170" i="1"/>
  <c r="M1170" i="1"/>
  <c r="F1171" i="1"/>
  <c r="G1171" i="1"/>
  <c r="H1171" i="1"/>
  <c r="I1171" i="1"/>
  <c r="J1171" i="1"/>
  <c r="K1171" i="1"/>
  <c r="L1171" i="1"/>
  <c r="M1171" i="1"/>
  <c r="F1172" i="1"/>
  <c r="G1172" i="1"/>
  <c r="H1172" i="1"/>
  <c r="I1172" i="1"/>
  <c r="J1172" i="1"/>
  <c r="K1172" i="1"/>
  <c r="L1172" i="1"/>
  <c r="M1172" i="1"/>
  <c r="F1173" i="1"/>
  <c r="G1173" i="1"/>
  <c r="H1173" i="1"/>
  <c r="I1173" i="1"/>
  <c r="J1173" i="1"/>
  <c r="K1173" i="1"/>
  <c r="L1173" i="1"/>
  <c r="M1173" i="1"/>
  <c r="F1174" i="1"/>
  <c r="G1174" i="1"/>
  <c r="H1174" i="1"/>
  <c r="I1174" i="1"/>
  <c r="J1174" i="1"/>
  <c r="K1174" i="1"/>
  <c r="L1174" i="1"/>
  <c r="M1174" i="1"/>
  <c r="F1175" i="1"/>
  <c r="G1175" i="1"/>
  <c r="H1175" i="1"/>
  <c r="I1175" i="1"/>
  <c r="J1175" i="1"/>
  <c r="K1175" i="1"/>
  <c r="L1175" i="1"/>
  <c r="M1175" i="1"/>
  <c r="F1176" i="1"/>
  <c r="G1176" i="1"/>
  <c r="H1176" i="1"/>
  <c r="I1176" i="1"/>
  <c r="J1176" i="1"/>
  <c r="K1176" i="1"/>
  <c r="L1176" i="1"/>
  <c r="M1176" i="1"/>
  <c r="F1177" i="1"/>
  <c r="G1177" i="1"/>
  <c r="H1177" i="1"/>
  <c r="I1177" i="1"/>
  <c r="J1177" i="1"/>
  <c r="K1177" i="1"/>
  <c r="L1177" i="1"/>
  <c r="M1177" i="1"/>
  <c r="F1178" i="1"/>
  <c r="G1178" i="1"/>
  <c r="H1178" i="1"/>
  <c r="I1178" i="1"/>
  <c r="J1178" i="1"/>
  <c r="K1178" i="1"/>
  <c r="L1178" i="1"/>
  <c r="M1178" i="1"/>
  <c r="F1179" i="1"/>
  <c r="G1179" i="1"/>
  <c r="H1179" i="1"/>
  <c r="I1179" i="1"/>
  <c r="J1179" i="1"/>
  <c r="K1179" i="1"/>
  <c r="L1179" i="1"/>
  <c r="M1179" i="1"/>
  <c r="F1180" i="1"/>
  <c r="G1180" i="1"/>
  <c r="H1180" i="1"/>
  <c r="I1180" i="1"/>
  <c r="J1180" i="1"/>
  <c r="K1180" i="1"/>
  <c r="L1180" i="1"/>
  <c r="M1180" i="1"/>
  <c r="F1181" i="1"/>
  <c r="G1181" i="1"/>
  <c r="H1181" i="1"/>
  <c r="I1181" i="1"/>
  <c r="J1181" i="1"/>
  <c r="K1181" i="1"/>
  <c r="L1181" i="1"/>
  <c r="M1181" i="1"/>
  <c r="F1182" i="1"/>
  <c r="G1182" i="1"/>
  <c r="H1182" i="1"/>
  <c r="I1182" i="1"/>
  <c r="J1182" i="1"/>
  <c r="K1182" i="1"/>
  <c r="L1182" i="1"/>
  <c r="M1182" i="1"/>
  <c r="F1183" i="1"/>
  <c r="G1183" i="1"/>
  <c r="H1183" i="1"/>
  <c r="I1183" i="1"/>
  <c r="J1183" i="1"/>
  <c r="K1183" i="1"/>
  <c r="L1183" i="1"/>
  <c r="M1183" i="1"/>
  <c r="F1184" i="1"/>
  <c r="G1184" i="1"/>
  <c r="H1184" i="1"/>
  <c r="I1184" i="1"/>
  <c r="J1184" i="1"/>
  <c r="K1184" i="1"/>
  <c r="L1184" i="1"/>
  <c r="M1184" i="1"/>
  <c r="F1185" i="1"/>
  <c r="G1185" i="1"/>
  <c r="H1185" i="1"/>
  <c r="I1185" i="1"/>
  <c r="J1185" i="1"/>
  <c r="K1185" i="1"/>
  <c r="L1185" i="1"/>
  <c r="M1185" i="1"/>
  <c r="F1186" i="1"/>
  <c r="G1186" i="1"/>
  <c r="H1186" i="1"/>
  <c r="I1186" i="1"/>
  <c r="J1186" i="1"/>
  <c r="K1186" i="1"/>
  <c r="L1186" i="1"/>
  <c r="M1186" i="1"/>
  <c r="F1187" i="1"/>
  <c r="G1187" i="1"/>
  <c r="H1187" i="1"/>
  <c r="I1187" i="1"/>
  <c r="J1187" i="1"/>
  <c r="K1187" i="1"/>
  <c r="L1187" i="1"/>
  <c r="M1187" i="1"/>
  <c r="F1188" i="1"/>
  <c r="G1188" i="1"/>
  <c r="H1188" i="1"/>
  <c r="I1188" i="1"/>
  <c r="J1188" i="1"/>
  <c r="K1188" i="1"/>
  <c r="L1188" i="1"/>
  <c r="M1188" i="1"/>
  <c r="F1189" i="1"/>
  <c r="G1189" i="1"/>
  <c r="H1189" i="1"/>
  <c r="I1189" i="1"/>
  <c r="J1189" i="1"/>
  <c r="K1189" i="1"/>
  <c r="L1189" i="1"/>
  <c r="M1189" i="1"/>
  <c r="F1190" i="1"/>
  <c r="G1190" i="1"/>
  <c r="H1190" i="1"/>
  <c r="I1190" i="1"/>
  <c r="J1190" i="1"/>
  <c r="K1190" i="1"/>
  <c r="L1190" i="1"/>
  <c r="M1190" i="1"/>
  <c r="F1191" i="1"/>
  <c r="G1191" i="1"/>
  <c r="H1191" i="1"/>
  <c r="I1191" i="1"/>
  <c r="J1191" i="1"/>
  <c r="K1191" i="1"/>
  <c r="L1191" i="1"/>
  <c r="M1191" i="1"/>
  <c r="F1192" i="1"/>
  <c r="G1192" i="1"/>
  <c r="H1192" i="1"/>
  <c r="I1192" i="1"/>
  <c r="J1192" i="1"/>
  <c r="K1192" i="1"/>
  <c r="L1192" i="1"/>
  <c r="M1192" i="1"/>
  <c r="F1193" i="1"/>
  <c r="G1193" i="1"/>
  <c r="H1193" i="1"/>
  <c r="I1193" i="1"/>
  <c r="J1193" i="1"/>
  <c r="K1193" i="1"/>
  <c r="L1193" i="1"/>
  <c r="M1193" i="1"/>
  <c r="F1194" i="1"/>
  <c r="G1194" i="1"/>
  <c r="H1194" i="1"/>
  <c r="I1194" i="1"/>
  <c r="J1194" i="1"/>
  <c r="K1194" i="1"/>
  <c r="L1194" i="1"/>
  <c r="M1194" i="1"/>
  <c r="F1195" i="1"/>
  <c r="G1195" i="1"/>
  <c r="H1195" i="1"/>
  <c r="I1195" i="1"/>
  <c r="J1195" i="1"/>
  <c r="K1195" i="1"/>
  <c r="L1195" i="1"/>
  <c r="M1195" i="1"/>
  <c r="F1196" i="1"/>
  <c r="G1196" i="1"/>
  <c r="H1196" i="1"/>
  <c r="I1196" i="1"/>
  <c r="J1196" i="1"/>
  <c r="K1196" i="1"/>
  <c r="L1196" i="1"/>
  <c r="M1196" i="1"/>
  <c r="F1197" i="1"/>
  <c r="G1197" i="1"/>
  <c r="H1197" i="1"/>
  <c r="I1197" i="1"/>
  <c r="J1197" i="1"/>
  <c r="K1197" i="1"/>
  <c r="L1197" i="1"/>
  <c r="M1197" i="1"/>
  <c r="F1198" i="1"/>
  <c r="G1198" i="1"/>
  <c r="H1198" i="1"/>
  <c r="I1198" i="1"/>
  <c r="J1198" i="1"/>
  <c r="K1198" i="1"/>
  <c r="L1198" i="1"/>
  <c r="M1198" i="1"/>
  <c r="F1199" i="1"/>
  <c r="G1199" i="1"/>
  <c r="H1199" i="1"/>
  <c r="I1199" i="1"/>
  <c r="J1199" i="1"/>
  <c r="K1199" i="1"/>
  <c r="L1199" i="1"/>
  <c r="M1199" i="1"/>
  <c r="F1200" i="1"/>
  <c r="G1200" i="1"/>
  <c r="H1200" i="1"/>
  <c r="I1200" i="1"/>
  <c r="J1200" i="1"/>
  <c r="K1200" i="1"/>
  <c r="L1200" i="1"/>
  <c r="M1200" i="1"/>
  <c r="F1201" i="1"/>
  <c r="G1201" i="1"/>
  <c r="H1201" i="1"/>
  <c r="I1201" i="1"/>
  <c r="J1201" i="1"/>
  <c r="K1201" i="1"/>
  <c r="L1201" i="1"/>
  <c r="M1201" i="1"/>
  <c r="F1202" i="1"/>
  <c r="G1202" i="1"/>
  <c r="H1202" i="1"/>
  <c r="I1202" i="1"/>
  <c r="J1202" i="1"/>
  <c r="K1202" i="1"/>
  <c r="L1202" i="1"/>
  <c r="M1202" i="1"/>
  <c r="F1203" i="1"/>
  <c r="G1203" i="1"/>
  <c r="H1203" i="1"/>
  <c r="I1203" i="1"/>
  <c r="J1203" i="1"/>
  <c r="K1203" i="1"/>
  <c r="L1203" i="1"/>
  <c r="M1203" i="1"/>
  <c r="F1204" i="1"/>
  <c r="G1204" i="1"/>
  <c r="H1204" i="1"/>
  <c r="I1204" i="1"/>
  <c r="J1204" i="1"/>
  <c r="K1204" i="1"/>
  <c r="L1204" i="1"/>
  <c r="M1204" i="1"/>
  <c r="F1205" i="1"/>
  <c r="G1205" i="1"/>
  <c r="H1205" i="1"/>
  <c r="I1205" i="1"/>
  <c r="J1205" i="1"/>
  <c r="K1205" i="1"/>
  <c r="L1205" i="1"/>
  <c r="M1205" i="1"/>
  <c r="F1206" i="1"/>
  <c r="G1206" i="1"/>
  <c r="H1206" i="1"/>
  <c r="I1206" i="1"/>
  <c r="J1206" i="1"/>
  <c r="K1206" i="1"/>
  <c r="L1206" i="1"/>
  <c r="M1206" i="1"/>
  <c r="F1207" i="1"/>
  <c r="G1207" i="1"/>
  <c r="H1207" i="1"/>
  <c r="I1207" i="1"/>
  <c r="J1207" i="1"/>
  <c r="K1207" i="1"/>
  <c r="L1207" i="1"/>
  <c r="M1207" i="1"/>
  <c r="F1208" i="1"/>
  <c r="G1208" i="1"/>
  <c r="H1208" i="1"/>
  <c r="I1208" i="1"/>
  <c r="J1208" i="1"/>
  <c r="K1208" i="1"/>
  <c r="L1208" i="1"/>
  <c r="M1208" i="1"/>
  <c r="F1209" i="1"/>
  <c r="G1209" i="1"/>
  <c r="H1209" i="1"/>
  <c r="I1209" i="1"/>
  <c r="J1209" i="1"/>
  <c r="K1209" i="1"/>
  <c r="L1209" i="1"/>
  <c r="M1209" i="1"/>
  <c r="F1210" i="1"/>
  <c r="G1210" i="1"/>
  <c r="H1210" i="1"/>
  <c r="I1210" i="1"/>
  <c r="J1210" i="1"/>
  <c r="K1210" i="1"/>
  <c r="L1210" i="1"/>
  <c r="M1210" i="1"/>
  <c r="F1211" i="1"/>
  <c r="G1211" i="1"/>
  <c r="H1211" i="1"/>
  <c r="I1211" i="1"/>
  <c r="J1211" i="1"/>
  <c r="K1211" i="1"/>
  <c r="L1211" i="1"/>
  <c r="M1211" i="1"/>
  <c r="F1212" i="1"/>
  <c r="G1212" i="1"/>
  <c r="H1212" i="1"/>
  <c r="I1212" i="1"/>
  <c r="J1212" i="1"/>
  <c r="K1212" i="1"/>
  <c r="L1212" i="1"/>
  <c r="M1212" i="1"/>
  <c r="F1213" i="1"/>
  <c r="G1213" i="1"/>
  <c r="H1213" i="1"/>
  <c r="I1213" i="1"/>
  <c r="J1213" i="1"/>
  <c r="K1213" i="1"/>
  <c r="L1213" i="1"/>
  <c r="M1213" i="1"/>
  <c r="F1214" i="1"/>
  <c r="G1214" i="1"/>
  <c r="H1214" i="1"/>
  <c r="I1214" i="1"/>
  <c r="J1214" i="1"/>
  <c r="K1214" i="1"/>
  <c r="L1214" i="1"/>
  <c r="M1214" i="1"/>
  <c r="F1215" i="1"/>
  <c r="G1215" i="1"/>
  <c r="H1215" i="1"/>
  <c r="I1215" i="1"/>
  <c r="J1215" i="1"/>
  <c r="K1215" i="1"/>
  <c r="L1215" i="1"/>
  <c r="M1215" i="1"/>
  <c r="F1216" i="1"/>
  <c r="G1216" i="1"/>
  <c r="H1216" i="1"/>
  <c r="I1216" i="1"/>
  <c r="J1216" i="1"/>
  <c r="K1216" i="1"/>
  <c r="L1216" i="1"/>
  <c r="M1216" i="1"/>
  <c r="F1217" i="1"/>
  <c r="G1217" i="1"/>
  <c r="H1217" i="1"/>
  <c r="I1217" i="1"/>
  <c r="J1217" i="1"/>
  <c r="K1217" i="1"/>
  <c r="L1217" i="1"/>
  <c r="M1217" i="1"/>
  <c r="F1218" i="1"/>
  <c r="G1218" i="1"/>
  <c r="H1218" i="1"/>
  <c r="I1218" i="1"/>
  <c r="J1218" i="1"/>
  <c r="K1218" i="1"/>
  <c r="L1218" i="1"/>
  <c r="M1218" i="1"/>
  <c r="F1219" i="1"/>
  <c r="G1219" i="1"/>
  <c r="H1219" i="1"/>
  <c r="I1219" i="1"/>
  <c r="J1219" i="1"/>
  <c r="K1219" i="1"/>
  <c r="L1219" i="1"/>
  <c r="M1219" i="1"/>
  <c r="F1220" i="1"/>
  <c r="G1220" i="1"/>
  <c r="H1220" i="1"/>
  <c r="I1220" i="1"/>
  <c r="J1220" i="1"/>
  <c r="K1220" i="1"/>
  <c r="L1220" i="1"/>
  <c r="M1220" i="1"/>
  <c r="F1221" i="1"/>
  <c r="G1221" i="1"/>
  <c r="H1221" i="1"/>
  <c r="I1221" i="1"/>
  <c r="J1221" i="1"/>
  <c r="K1221" i="1"/>
  <c r="L1221" i="1"/>
  <c r="M1221" i="1"/>
  <c r="F1222" i="1"/>
  <c r="G1222" i="1"/>
  <c r="H1222" i="1"/>
  <c r="I1222" i="1"/>
  <c r="J1222" i="1"/>
  <c r="K1222" i="1"/>
  <c r="L1222" i="1"/>
  <c r="M1222" i="1"/>
  <c r="F1223" i="1"/>
  <c r="G1223" i="1"/>
  <c r="H1223" i="1"/>
  <c r="I1223" i="1"/>
  <c r="J1223" i="1"/>
  <c r="K1223" i="1"/>
  <c r="L1223" i="1"/>
  <c r="M1223" i="1"/>
  <c r="F1224" i="1"/>
  <c r="G1224" i="1"/>
  <c r="H1224" i="1"/>
  <c r="I1224" i="1"/>
  <c r="J1224" i="1"/>
  <c r="K1224" i="1"/>
  <c r="L1224" i="1"/>
  <c r="M1224" i="1"/>
  <c r="F1225" i="1"/>
  <c r="G1225" i="1"/>
  <c r="H1225" i="1"/>
  <c r="I1225" i="1"/>
  <c r="J1225" i="1"/>
  <c r="K1225" i="1"/>
  <c r="L1225" i="1"/>
  <c r="M1225" i="1"/>
  <c r="F1226" i="1"/>
  <c r="G1226" i="1"/>
  <c r="H1226" i="1"/>
  <c r="I1226" i="1"/>
  <c r="J1226" i="1"/>
  <c r="K1226" i="1"/>
  <c r="L1226" i="1"/>
  <c r="M1226" i="1"/>
  <c r="F1227" i="1"/>
  <c r="G1227" i="1"/>
  <c r="H1227" i="1"/>
  <c r="I1227" i="1"/>
  <c r="J1227" i="1"/>
  <c r="K1227" i="1"/>
  <c r="L1227" i="1"/>
  <c r="M1227" i="1"/>
  <c r="F1228" i="1"/>
  <c r="G1228" i="1"/>
  <c r="H1228" i="1"/>
  <c r="I1228" i="1"/>
  <c r="J1228" i="1"/>
  <c r="K1228" i="1"/>
  <c r="L1228" i="1"/>
  <c r="M1228" i="1"/>
  <c r="F1229" i="1"/>
  <c r="G1229" i="1"/>
  <c r="H1229" i="1"/>
  <c r="I1229" i="1"/>
  <c r="J1229" i="1"/>
  <c r="K1229" i="1"/>
  <c r="L1229" i="1"/>
  <c r="M1229" i="1"/>
  <c r="F1230" i="1"/>
  <c r="G1230" i="1"/>
  <c r="H1230" i="1"/>
  <c r="I1230" i="1"/>
  <c r="J1230" i="1"/>
  <c r="K1230" i="1"/>
  <c r="L1230" i="1"/>
  <c r="M1230" i="1"/>
  <c r="F1231" i="1"/>
  <c r="G1231" i="1"/>
  <c r="H1231" i="1"/>
  <c r="I1231" i="1"/>
  <c r="J1231" i="1"/>
  <c r="K1231" i="1"/>
  <c r="L1231" i="1"/>
  <c r="M1231" i="1"/>
  <c r="F1232" i="1"/>
  <c r="G1232" i="1"/>
  <c r="H1232" i="1"/>
  <c r="I1232" i="1"/>
  <c r="J1232" i="1"/>
  <c r="K1232" i="1"/>
  <c r="L1232" i="1"/>
  <c r="M1232" i="1"/>
  <c r="F1233" i="1"/>
  <c r="G1233" i="1"/>
  <c r="H1233" i="1"/>
  <c r="I1233" i="1"/>
  <c r="J1233" i="1"/>
  <c r="K1233" i="1"/>
  <c r="L1233" i="1"/>
  <c r="M1233" i="1"/>
  <c r="F1234" i="1"/>
  <c r="G1234" i="1"/>
  <c r="H1234" i="1"/>
  <c r="I1234" i="1"/>
  <c r="J1234" i="1"/>
  <c r="K1234" i="1"/>
  <c r="L1234" i="1"/>
  <c r="M1234" i="1"/>
  <c r="F1235" i="1"/>
  <c r="G1235" i="1"/>
  <c r="H1235" i="1"/>
  <c r="I1235" i="1"/>
  <c r="J1235" i="1"/>
  <c r="K1235" i="1"/>
  <c r="L1235" i="1"/>
  <c r="M1235" i="1"/>
  <c r="F1236" i="1"/>
  <c r="G1236" i="1"/>
  <c r="H1236" i="1"/>
  <c r="I1236" i="1"/>
  <c r="J1236" i="1"/>
  <c r="K1236" i="1"/>
  <c r="L1236" i="1"/>
  <c r="M1236" i="1"/>
  <c r="F1237" i="1"/>
  <c r="G1237" i="1"/>
  <c r="H1237" i="1"/>
  <c r="I1237" i="1"/>
  <c r="J1237" i="1"/>
  <c r="K1237" i="1"/>
  <c r="L1237" i="1"/>
  <c r="M1237" i="1"/>
  <c r="F1238" i="1"/>
  <c r="G1238" i="1"/>
  <c r="H1238" i="1"/>
  <c r="I1238" i="1"/>
  <c r="J1238" i="1"/>
  <c r="K1238" i="1"/>
  <c r="L1238" i="1"/>
  <c r="M1238" i="1"/>
  <c r="F1239" i="1"/>
  <c r="G1239" i="1"/>
  <c r="H1239" i="1"/>
  <c r="I1239" i="1"/>
  <c r="J1239" i="1"/>
  <c r="K1239" i="1"/>
  <c r="L1239" i="1"/>
  <c r="M1239" i="1"/>
  <c r="F1240" i="1"/>
  <c r="G1240" i="1"/>
  <c r="H1240" i="1"/>
  <c r="I1240" i="1"/>
  <c r="J1240" i="1"/>
  <c r="K1240" i="1"/>
  <c r="L1240" i="1"/>
  <c r="M1240" i="1"/>
  <c r="F1241" i="1"/>
  <c r="G1241" i="1"/>
  <c r="H1241" i="1"/>
  <c r="I1241" i="1"/>
  <c r="J1241" i="1"/>
  <c r="K1241" i="1"/>
  <c r="L1241" i="1"/>
  <c r="M1241" i="1"/>
  <c r="F1242" i="1"/>
  <c r="G1242" i="1"/>
  <c r="H1242" i="1"/>
  <c r="I1242" i="1"/>
  <c r="J1242" i="1"/>
  <c r="K1242" i="1"/>
  <c r="L1242" i="1"/>
  <c r="M1242" i="1"/>
  <c r="F1243" i="1"/>
  <c r="G1243" i="1"/>
  <c r="H1243" i="1"/>
  <c r="I1243" i="1"/>
  <c r="J1243" i="1"/>
  <c r="K1243" i="1"/>
  <c r="L1243" i="1"/>
  <c r="M1243" i="1"/>
  <c r="F1244" i="1"/>
  <c r="G1244" i="1"/>
  <c r="H1244" i="1"/>
  <c r="I1244" i="1"/>
  <c r="J1244" i="1"/>
  <c r="K1244" i="1"/>
  <c r="L1244" i="1"/>
  <c r="M1244" i="1"/>
  <c r="F1245" i="1"/>
  <c r="G1245" i="1"/>
  <c r="H1245" i="1"/>
  <c r="I1245" i="1"/>
  <c r="J1245" i="1"/>
  <c r="K1245" i="1"/>
  <c r="L1245" i="1"/>
  <c r="M1245" i="1"/>
  <c r="F1246" i="1"/>
  <c r="G1246" i="1"/>
  <c r="H1246" i="1"/>
  <c r="I1246" i="1"/>
  <c r="J1246" i="1"/>
  <c r="K1246" i="1"/>
  <c r="L1246" i="1"/>
  <c r="M1246" i="1"/>
  <c r="F1247" i="1"/>
  <c r="G1247" i="1"/>
  <c r="H1247" i="1"/>
  <c r="I1247" i="1"/>
  <c r="J1247" i="1"/>
  <c r="K1247" i="1"/>
  <c r="L1247" i="1"/>
  <c r="M1247" i="1"/>
  <c r="F1248" i="1"/>
  <c r="G1248" i="1"/>
  <c r="H1248" i="1"/>
  <c r="I1248" i="1"/>
  <c r="J1248" i="1"/>
  <c r="K1248" i="1"/>
  <c r="L1248" i="1"/>
  <c r="M1248" i="1"/>
  <c r="F1249" i="1"/>
  <c r="G1249" i="1"/>
  <c r="H1249" i="1"/>
  <c r="I1249" i="1"/>
  <c r="J1249" i="1"/>
  <c r="K1249" i="1"/>
  <c r="L1249" i="1"/>
  <c r="M1249" i="1"/>
  <c r="F1250" i="1"/>
  <c r="G1250" i="1"/>
  <c r="H1250" i="1"/>
  <c r="I1250" i="1"/>
  <c r="J1250" i="1"/>
  <c r="K1250" i="1"/>
  <c r="L1250" i="1"/>
  <c r="M1250" i="1"/>
  <c r="F1251" i="1"/>
  <c r="G1251" i="1"/>
  <c r="H1251" i="1"/>
  <c r="I1251" i="1"/>
  <c r="J1251" i="1"/>
  <c r="K1251" i="1"/>
  <c r="L1251" i="1"/>
  <c r="M1251" i="1"/>
  <c r="F1252" i="1"/>
  <c r="G1252" i="1"/>
  <c r="H1252" i="1"/>
  <c r="I1252" i="1"/>
  <c r="J1252" i="1"/>
  <c r="K1252" i="1"/>
  <c r="L1252" i="1"/>
  <c r="M1252" i="1"/>
  <c r="F1253" i="1"/>
  <c r="G1253" i="1"/>
  <c r="H1253" i="1"/>
  <c r="I1253" i="1"/>
  <c r="J1253" i="1"/>
  <c r="K1253" i="1"/>
  <c r="L1253" i="1"/>
  <c r="M1253" i="1"/>
  <c r="F1254" i="1"/>
  <c r="G1254" i="1"/>
  <c r="H1254" i="1"/>
  <c r="I1254" i="1"/>
  <c r="J1254" i="1"/>
  <c r="K1254" i="1"/>
  <c r="L1254" i="1"/>
  <c r="M1254" i="1"/>
  <c r="F1255" i="1"/>
  <c r="G1255" i="1"/>
  <c r="H1255" i="1"/>
  <c r="I1255" i="1"/>
  <c r="J1255" i="1"/>
  <c r="K1255" i="1"/>
  <c r="L1255" i="1"/>
  <c r="M1255" i="1"/>
  <c r="F1256" i="1"/>
  <c r="G1256" i="1"/>
  <c r="H1256" i="1"/>
  <c r="I1256" i="1"/>
  <c r="J1256" i="1"/>
  <c r="K1256" i="1"/>
  <c r="L1256" i="1"/>
  <c r="M1256" i="1"/>
  <c r="F1257" i="1"/>
  <c r="G1257" i="1"/>
  <c r="H1257" i="1"/>
  <c r="I1257" i="1"/>
  <c r="J1257" i="1"/>
  <c r="K1257" i="1"/>
  <c r="L1257" i="1"/>
  <c r="M1257" i="1"/>
  <c r="F1258" i="1"/>
  <c r="G1258" i="1"/>
  <c r="H1258" i="1"/>
  <c r="I1258" i="1"/>
  <c r="J1258" i="1"/>
  <c r="K1258" i="1"/>
  <c r="L1258" i="1"/>
  <c r="M1258" i="1"/>
  <c r="F1259" i="1"/>
  <c r="G1259" i="1"/>
  <c r="H1259" i="1"/>
  <c r="I1259" i="1"/>
  <c r="J1259" i="1"/>
  <c r="K1259" i="1"/>
  <c r="L1259" i="1"/>
  <c r="M1259" i="1"/>
  <c r="F1260" i="1"/>
  <c r="G1260" i="1"/>
  <c r="H1260" i="1"/>
  <c r="I1260" i="1"/>
  <c r="J1260" i="1"/>
  <c r="K1260" i="1"/>
  <c r="L1260" i="1"/>
  <c r="M1260" i="1"/>
  <c r="F1261" i="1"/>
  <c r="G1261" i="1"/>
  <c r="H1261" i="1"/>
  <c r="I1261" i="1"/>
  <c r="J1261" i="1"/>
  <c r="K1261" i="1"/>
  <c r="L1261" i="1"/>
  <c r="M1261" i="1"/>
  <c r="F1262" i="1"/>
  <c r="G1262" i="1"/>
  <c r="H1262" i="1"/>
  <c r="I1262" i="1"/>
  <c r="J1262" i="1"/>
  <c r="K1262" i="1"/>
  <c r="L1262" i="1"/>
  <c r="M1262" i="1"/>
  <c r="F1263" i="1"/>
  <c r="G1263" i="1"/>
  <c r="H1263" i="1"/>
  <c r="I1263" i="1"/>
  <c r="J1263" i="1"/>
  <c r="K1263" i="1"/>
  <c r="L1263" i="1"/>
  <c r="M1263" i="1"/>
  <c r="F1264" i="1"/>
  <c r="G1264" i="1"/>
  <c r="H1264" i="1"/>
  <c r="I1264" i="1"/>
  <c r="J1264" i="1"/>
  <c r="K1264" i="1"/>
  <c r="L1264" i="1"/>
  <c r="M1264" i="1"/>
  <c r="F1265" i="1"/>
  <c r="G1265" i="1"/>
  <c r="H1265" i="1"/>
  <c r="I1265" i="1"/>
  <c r="J1265" i="1"/>
  <c r="K1265" i="1"/>
  <c r="L1265" i="1"/>
  <c r="M1265" i="1"/>
  <c r="F1266" i="1"/>
  <c r="G1266" i="1"/>
  <c r="H1266" i="1"/>
  <c r="I1266" i="1"/>
  <c r="J1266" i="1"/>
  <c r="K1266" i="1"/>
  <c r="L1266" i="1"/>
  <c r="M1266" i="1"/>
  <c r="F1267" i="1"/>
  <c r="G1267" i="1"/>
  <c r="H1267" i="1"/>
  <c r="I1267" i="1"/>
  <c r="J1267" i="1"/>
  <c r="K1267" i="1"/>
  <c r="L1267" i="1"/>
  <c r="M1267" i="1"/>
  <c r="F1268" i="1"/>
  <c r="G1268" i="1"/>
  <c r="H1268" i="1"/>
  <c r="I1268" i="1"/>
  <c r="J1268" i="1"/>
  <c r="K1268" i="1"/>
  <c r="L1268" i="1"/>
  <c r="M1268" i="1"/>
  <c r="F1269" i="1"/>
  <c r="G1269" i="1"/>
  <c r="H1269" i="1"/>
  <c r="I1269" i="1"/>
  <c r="J1269" i="1"/>
  <c r="K1269" i="1"/>
  <c r="L1269" i="1"/>
  <c r="M1269" i="1"/>
  <c r="F1270" i="1"/>
  <c r="G1270" i="1"/>
  <c r="H1270" i="1"/>
  <c r="I1270" i="1"/>
  <c r="J1270" i="1"/>
  <c r="K1270" i="1"/>
  <c r="L1270" i="1"/>
  <c r="M1270" i="1"/>
  <c r="F1271" i="1"/>
  <c r="G1271" i="1"/>
  <c r="H1271" i="1"/>
  <c r="I1271" i="1"/>
  <c r="J1271" i="1"/>
  <c r="K1271" i="1"/>
  <c r="L1271" i="1"/>
  <c r="M1271" i="1"/>
  <c r="F1272" i="1"/>
  <c r="G1272" i="1"/>
  <c r="H1272" i="1"/>
  <c r="I1272" i="1"/>
  <c r="J1272" i="1"/>
  <c r="K1272" i="1"/>
  <c r="L1272" i="1"/>
  <c r="M1272" i="1"/>
  <c r="F1273" i="1"/>
  <c r="G1273" i="1"/>
  <c r="H1273" i="1"/>
  <c r="I1273" i="1"/>
  <c r="J1273" i="1"/>
  <c r="K1273" i="1"/>
  <c r="L1273" i="1"/>
  <c r="M1273" i="1"/>
  <c r="F1274" i="1"/>
  <c r="G1274" i="1"/>
  <c r="H1274" i="1"/>
  <c r="I1274" i="1"/>
  <c r="J1274" i="1"/>
  <c r="K1274" i="1"/>
  <c r="L1274" i="1"/>
  <c r="M1274" i="1"/>
  <c r="F1275" i="1"/>
  <c r="G1275" i="1"/>
  <c r="H1275" i="1"/>
  <c r="I1275" i="1"/>
  <c r="J1275" i="1"/>
  <c r="K1275" i="1"/>
  <c r="L1275" i="1"/>
  <c r="M1275" i="1"/>
  <c r="F1276" i="1"/>
  <c r="G1276" i="1"/>
  <c r="H1276" i="1"/>
  <c r="I1276" i="1"/>
  <c r="J1276" i="1"/>
  <c r="K1276" i="1"/>
  <c r="L1276" i="1"/>
  <c r="M1276" i="1"/>
  <c r="F1277" i="1"/>
  <c r="G1277" i="1"/>
  <c r="H1277" i="1"/>
  <c r="I1277" i="1"/>
  <c r="J1277" i="1"/>
  <c r="K1277" i="1"/>
  <c r="L1277" i="1"/>
  <c r="M1277" i="1"/>
  <c r="F1278" i="1"/>
  <c r="G1278" i="1"/>
  <c r="H1278" i="1"/>
  <c r="I1278" i="1"/>
  <c r="J1278" i="1"/>
  <c r="K1278" i="1"/>
  <c r="L1278" i="1"/>
  <c r="M1278" i="1"/>
  <c r="F1279" i="1"/>
  <c r="G1279" i="1"/>
  <c r="H1279" i="1"/>
  <c r="I1279" i="1"/>
  <c r="J1279" i="1"/>
  <c r="K1279" i="1"/>
  <c r="L1279" i="1"/>
  <c r="M1279" i="1"/>
  <c r="F1280" i="1"/>
  <c r="G1280" i="1"/>
  <c r="H1280" i="1"/>
  <c r="I1280" i="1"/>
  <c r="J1280" i="1"/>
  <c r="K1280" i="1"/>
  <c r="L1280" i="1"/>
  <c r="M1280" i="1"/>
  <c r="F1281" i="1"/>
  <c r="G1281" i="1"/>
  <c r="H1281" i="1"/>
  <c r="I1281" i="1"/>
  <c r="J1281" i="1"/>
  <c r="K1281" i="1"/>
  <c r="L1281" i="1"/>
  <c r="M1281" i="1"/>
  <c r="F1282" i="1"/>
  <c r="G1282" i="1"/>
  <c r="H1282" i="1"/>
  <c r="I1282" i="1"/>
  <c r="J1282" i="1"/>
  <c r="K1282" i="1"/>
  <c r="L1282" i="1"/>
  <c r="M1282" i="1"/>
  <c r="F1283" i="1"/>
  <c r="G1283" i="1"/>
  <c r="H1283" i="1"/>
  <c r="I1283" i="1"/>
  <c r="J1283" i="1"/>
  <c r="K1283" i="1"/>
  <c r="L1283" i="1"/>
  <c r="M1283" i="1"/>
  <c r="F1284" i="1"/>
  <c r="G1284" i="1"/>
  <c r="H1284" i="1"/>
  <c r="I1284" i="1"/>
  <c r="J1284" i="1"/>
  <c r="K1284" i="1"/>
  <c r="L1284" i="1"/>
  <c r="M1284" i="1"/>
  <c r="F1285" i="1"/>
  <c r="G1285" i="1"/>
  <c r="H1285" i="1"/>
  <c r="I1285" i="1"/>
  <c r="J1285" i="1"/>
  <c r="K1285" i="1"/>
  <c r="L1285" i="1"/>
  <c r="M1285" i="1"/>
  <c r="F1286" i="1"/>
  <c r="G1286" i="1"/>
  <c r="H1286" i="1"/>
  <c r="I1286" i="1"/>
  <c r="J1286" i="1"/>
  <c r="K1286" i="1"/>
  <c r="L1286" i="1"/>
  <c r="M1286" i="1"/>
  <c r="F1287" i="1"/>
  <c r="G1287" i="1"/>
  <c r="H1287" i="1"/>
  <c r="I1287" i="1"/>
  <c r="J1287" i="1"/>
  <c r="K1287" i="1"/>
  <c r="L1287" i="1"/>
  <c r="M1287" i="1"/>
  <c r="F1288" i="1"/>
  <c r="G1288" i="1"/>
  <c r="H1288" i="1"/>
  <c r="I1288" i="1"/>
  <c r="J1288" i="1"/>
  <c r="K1288" i="1"/>
  <c r="L1288" i="1"/>
  <c r="M1288" i="1"/>
  <c r="F1289" i="1"/>
  <c r="G1289" i="1"/>
  <c r="H1289" i="1"/>
  <c r="I1289" i="1"/>
  <c r="J1289" i="1"/>
  <c r="K1289" i="1"/>
  <c r="L1289" i="1"/>
  <c r="M1289" i="1"/>
  <c r="F1290" i="1"/>
  <c r="G1290" i="1"/>
  <c r="H1290" i="1"/>
  <c r="I1290" i="1"/>
  <c r="J1290" i="1"/>
  <c r="K1290" i="1"/>
  <c r="L1290" i="1"/>
  <c r="M1290" i="1"/>
  <c r="F1291" i="1"/>
  <c r="G1291" i="1"/>
  <c r="H1291" i="1"/>
  <c r="I1291" i="1"/>
  <c r="J1291" i="1"/>
  <c r="K1291" i="1"/>
  <c r="L1291" i="1"/>
  <c r="M1291" i="1"/>
  <c r="F1292" i="1"/>
  <c r="G1292" i="1"/>
  <c r="H1292" i="1"/>
  <c r="I1292" i="1"/>
  <c r="J1292" i="1"/>
  <c r="K1292" i="1"/>
  <c r="L1292" i="1"/>
  <c r="M1292" i="1"/>
  <c r="F1293" i="1"/>
  <c r="G1293" i="1"/>
  <c r="H1293" i="1"/>
  <c r="I1293" i="1"/>
  <c r="J1293" i="1"/>
  <c r="K1293" i="1"/>
  <c r="L1293" i="1"/>
  <c r="M1293" i="1"/>
  <c r="F1294" i="1"/>
  <c r="G1294" i="1"/>
  <c r="H1294" i="1"/>
  <c r="I1294" i="1"/>
  <c r="J1294" i="1"/>
  <c r="K1294" i="1"/>
  <c r="L1294" i="1"/>
  <c r="M1294" i="1"/>
  <c r="F1295" i="1"/>
  <c r="G1295" i="1"/>
  <c r="H1295" i="1"/>
  <c r="I1295" i="1"/>
  <c r="J1295" i="1"/>
  <c r="K1295" i="1"/>
  <c r="L1295" i="1"/>
  <c r="M1295" i="1"/>
  <c r="F1296" i="1"/>
  <c r="G1296" i="1"/>
  <c r="H1296" i="1"/>
  <c r="I1296" i="1"/>
  <c r="J1296" i="1"/>
  <c r="K1296" i="1"/>
  <c r="L1296" i="1"/>
  <c r="M1296" i="1"/>
  <c r="F1297" i="1"/>
  <c r="G1297" i="1"/>
  <c r="H1297" i="1"/>
  <c r="I1297" i="1"/>
  <c r="J1297" i="1"/>
  <c r="K1297" i="1"/>
  <c r="L1297" i="1"/>
  <c r="M1297" i="1"/>
  <c r="F1298" i="1"/>
  <c r="G1298" i="1"/>
  <c r="H1298" i="1"/>
  <c r="I1298" i="1"/>
  <c r="J1298" i="1"/>
  <c r="K1298" i="1"/>
  <c r="L1298" i="1"/>
  <c r="M1298" i="1"/>
  <c r="F1299" i="1"/>
  <c r="G1299" i="1"/>
  <c r="H1299" i="1"/>
  <c r="I1299" i="1"/>
  <c r="J1299" i="1"/>
  <c r="K1299" i="1"/>
  <c r="L1299" i="1"/>
  <c r="M1299" i="1"/>
  <c r="F1300" i="1"/>
  <c r="G1300" i="1"/>
  <c r="H1300" i="1"/>
  <c r="I1300" i="1"/>
  <c r="J1300" i="1"/>
  <c r="K1300" i="1"/>
  <c r="L1300" i="1"/>
  <c r="M1300" i="1"/>
  <c r="F1301" i="1"/>
  <c r="G1301" i="1"/>
  <c r="H1301" i="1"/>
  <c r="I1301" i="1"/>
  <c r="J1301" i="1"/>
  <c r="K1301" i="1"/>
  <c r="L1301" i="1"/>
  <c r="M1301" i="1"/>
  <c r="F1302" i="1"/>
  <c r="G1302" i="1"/>
  <c r="H1302" i="1"/>
  <c r="I1302" i="1"/>
  <c r="J1302" i="1"/>
  <c r="K1302" i="1"/>
  <c r="L1302" i="1"/>
  <c r="M1302" i="1"/>
  <c r="F1303" i="1"/>
  <c r="G1303" i="1"/>
  <c r="H1303" i="1"/>
  <c r="I1303" i="1"/>
  <c r="J1303" i="1"/>
  <c r="K1303" i="1"/>
  <c r="L1303" i="1"/>
  <c r="M1303" i="1"/>
  <c r="F1304" i="1"/>
  <c r="G1304" i="1"/>
  <c r="H1304" i="1"/>
  <c r="I1304" i="1"/>
  <c r="J1304" i="1"/>
  <c r="K1304" i="1"/>
  <c r="L1304" i="1"/>
  <c r="M1304" i="1"/>
  <c r="F1305" i="1"/>
  <c r="G1305" i="1"/>
  <c r="H1305" i="1"/>
  <c r="I1305" i="1"/>
  <c r="J1305" i="1"/>
  <c r="K1305" i="1"/>
  <c r="L1305" i="1"/>
  <c r="M1305" i="1"/>
  <c r="F1306" i="1"/>
  <c r="G1306" i="1"/>
  <c r="H1306" i="1"/>
  <c r="I1306" i="1"/>
  <c r="J1306" i="1"/>
  <c r="K1306" i="1"/>
  <c r="L1306" i="1"/>
  <c r="M1306" i="1"/>
  <c r="F1307" i="1"/>
  <c r="G1307" i="1"/>
  <c r="H1307" i="1"/>
  <c r="I1307" i="1"/>
  <c r="J1307" i="1"/>
  <c r="K1307" i="1"/>
  <c r="L1307" i="1"/>
  <c r="M1307" i="1"/>
  <c r="F1308" i="1"/>
  <c r="G1308" i="1"/>
  <c r="H1308" i="1"/>
  <c r="I1308" i="1"/>
  <c r="J1308" i="1"/>
  <c r="K1308" i="1"/>
  <c r="L1308" i="1"/>
  <c r="M1308" i="1"/>
  <c r="F1309" i="1"/>
  <c r="G1309" i="1"/>
  <c r="H1309" i="1"/>
  <c r="I1309" i="1"/>
  <c r="J1309" i="1"/>
  <c r="K1309" i="1"/>
  <c r="L1309" i="1"/>
  <c r="M1309" i="1"/>
  <c r="F1310" i="1"/>
  <c r="G1310" i="1"/>
  <c r="H1310" i="1"/>
  <c r="I1310" i="1"/>
  <c r="J1310" i="1"/>
  <c r="K1310" i="1"/>
  <c r="L1310" i="1"/>
  <c r="M1310" i="1"/>
  <c r="F1311" i="1"/>
  <c r="G1311" i="1"/>
  <c r="H1311" i="1"/>
  <c r="I1311" i="1"/>
  <c r="J1311" i="1"/>
  <c r="K1311" i="1"/>
  <c r="L1311" i="1"/>
  <c r="M1311" i="1"/>
  <c r="F1312" i="1"/>
  <c r="G1312" i="1"/>
  <c r="H1312" i="1"/>
  <c r="I1312" i="1"/>
  <c r="J1312" i="1"/>
  <c r="K1312" i="1"/>
  <c r="L1312" i="1"/>
  <c r="M1312" i="1"/>
  <c r="F1313" i="1"/>
  <c r="G1313" i="1"/>
  <c r="H1313" i="1"/>
  <c r="I1313" i="1"/>
  <c r="J1313" i="1"/>
  <c r="K1313" i="1"/>
  <c r="L1313" i="1"/>
  <c r="M1313" i="1"/>
  <c r="F1314" i="1"/>
  <c r="G1314" i="1"/>
  <c r="H1314" i="1"/>
  <c r="I1314" i="1"/>
  <c r="J1314" i="1"/>
  <c r="K1314" i="1"/>
  <c r="L1314" i="1"/>
  <c r="M1314" i="1"/>
  <c r="F1315" i="1"/>
  <c r="G1315" i="1"/>
  <c r="H1315" i="1"/>
  <c r="I1315" i="1"/>
  <c r="J1315" i="1"/>
  <c r="K1315" i="1"/>
  <c r="L1315" i="1"/>
  <c r="M1315" i="1"/>
  <c r="F1316" i="1"/>
  <c r="G1316" i="1"/>
  <c r="H1316" i="1"/>
  <c r="I1316" i="1"/>
  <c r="J1316" i="1"/>
  <c r="K1316" i="1"/>
  <c r="L1316" i="1"/>
  <c r="M1316" i="1"/>
  <c r="F1317" i="1"/>
  <c r="G1317" i="1"/>
  <c r="H1317" i="1"/>
  <c r="I1317" i="1"/>
  <c r="J1317" i="1"/>
  <c r="K1317" i="1"/>
  <c r="L1317" i="1"/>
  <c r="M1317" i="1"/>
  <c r="F1318" i="1"/>
  <c r="G1318" i="1"/>
  <c r="H1318" i="1"/>
  <c r="I1318" i="1"/>
  <c r="J1318" i="1"/>
  <c r="K1318" i="1"/>
  <c r="L1318" i="1"/>
  <c r="M1318" i="1"/>
  <c r="F1319" i="1"/>
  <c r="G1319" i="1"/>
  <c r="H1319" i="1"/>
  <c r="I1319" i="1"/>
  <c r="J1319" i="1"/>
  <c r="K1319" i="1"/>
  <c r="L1319" i="1"/>
  <c r="M1319" i="1"/>
  <c r="F1320" i="1"/>
  <c r="G1320" i="1"/>
  <c r="H1320" i="1"/>
  <c r="I1320" i="1"/>
  <c r="J1320" i="1"/>
  <c r="K1320" i="1"/>
  <c r="L1320" i="1"/>
  <c r="M1320" i="1"/>
  <c r="F1321" i="1"/>
  <c r="G1321" i="1"/>
  <c r="H1321" i="1"/>
  <c r="I1321" i="1"/>
  <c r="J1321" i="1"/>
  <c r="K1321" i="1"/>
  <c r="L1321" i="1"/>
  <c r="M1321" i="1"/>
  <c r="F1322" i="1"/>
  <c r="G1322" i="1"/>
  <c r="H1322" i="1"/>
  <c r="I1322" i="1"/>
  <c r="J1322" i="1"/>
  <c r="K1322" i="1"/>
  <c r="L1322" i="1"/>
  <c r="M1322" i="1"/>
  <c r="F1323" i="1"/>
  <c r="G1323" i="1"/>
  <c r="H1323" i="1"/>
  <c r="I1323" i="1"/>
  <c r="J1323" i="1"/>
  <c r="K1323" i="1"/>
  <c r="L1323" i="1"/>
  <c r="M1323" i="1"/>
  <c r="F1324" i="1"/>
  <c r="G1324" i="1"/>
  <c r="H1324" i="1"/>
  <c r="I1324" i="1"/>
  <c r="J1324" i="1"/>
  <c r="K1324" i="1"/>
  <c r="L1324" i="1"/>
  <c r="M1324" i="1"/>
  <c r="F1325" i="1"/>
  <c r="G1325" i="1"/>
  <c r="H1325" i="1"/>
  <c r="I1325" i="1"/>
  <c r="J1325" i="1"/>
  <c r="K1325" i="1"/>
  <c r="L1325" i="1"/>
  <c r="M1325" i="1"/>
  <c r="F1326" i="1"/>
  <c r="G1326" i="1"/>
  <c r="H1326" i="1"/>
  <c r="I1326" i="1"/>
  <c r="J1326" i="1"/>
  <c r="K1326" i="1"/>
  <c r="L1326" i="1"/>
  <c r="M1326" i="1"/>
  <c r="F1327" i="1"/>
  <c r="G1327" i="1"/>
  <c r="H1327" i="1"/>
  <c r="I1327" i="1"/>
  <c r="J1327" i="1"/>
  <c r="K1327" i="1"/>
  <c r="L1327" i="1"/>
  <c r="M1327" i="1"/>
  <c r="F1328" i="1"/>
  <c r="G1328" i="1"/>
  <c r="H1328" i="1"/>
  <c r="I1328" i="1"/>
  <c r="J1328" i="1"/>
  <c r="K1328" i="1"/>
  <c r="L1328" i="1"/>
  <c r="M1328" i="1"/>
  <c r="F1329" i="1"/>
  <c r="G1329" i="1"/>
  <c r="H1329" i="1"/>
  <c r="I1329" i="1"/>
  <c r="J1329" i="1"/>
  <c r="K1329" i="1"/>
  <c r="L1329" i="1"/>
  <c r="M1329" i="1"/>
  <c r="F1330" i="1"/>
  <c r="G1330" i="1"/>
  <c r="H1330" i="1"/>
  <c r="I1330" i="1"/>
  <c r="J1330" i="1"/>
  <c r="K1330" i="1"/>
  <c r="L1330" i="1"/>
  <c r="M1330" i="1"/>
  <c r="F1331" i="1"/>
  <c r="G1331" i="1"/>
  <c r="H1331" i="1"/>
  <c r="I1331" i="1"/>
  <c r="J1331" i="1"/>
  <c r="K1331" i="1"/>
  <c r="L1331" i="1"/>
  <c r="M1331" i="1"/>
  <c r="F1332" i="1"/>
  <c r="G1332" i="1"/>
  <c r="H1332" i="1"/>
  <c r="I1332" i="1"/>
  <c r="J1332" i="1"/>
  <c r="K1332" i="1"/>
  <c r="L1332" i="1"/>
  <c r="M1332" i="1"/>
  <c r="F1333" i="1"/>
  <c r="G1333" i="1"/>
  <c r="H1333" i="1"/>
  <c r="I1333" i="1"/>
  <c r="J1333" i="1"/>
  <c r="K1333" i="1"/>
  <c r="L1333" i="1"/>
  <c r="M1333" i="1"/>
  <c r="F1334" i="1"/>
  <c r="G1334" i="1"/>
  <c r="H1334" i="1"/>
  <c r="I1334" i="1"/>
  <c r="J1334" i="1"/>
  <c r="K1334" i="1"/>
  <c r="L1334" i="1"/>
  <c r="M1334" i="1"/>
  <c r="F1335" i="1"/>
  <c r="G1335" i="1"/>
  <c r="H1335" i="1"/>
  <c r="I1335" i="1"/>
  <c r="J1335" i="1"/>
  <c r="K1335" i="1"/>
  <c r="L1335" i="1"/>
  <c r="M1335" i="1"/>
  <c r="F1336" i="1"/>
  <c r="G1336" i="1"/>
  <c r="H1336" i="1"/>
  <c r="I1336" i="1"/>
  <c r="J1336" i="1"/>
  <c r="K1336" i="1"/>
  <c r="L1336" i="1"/>
  <c r="M1336" i="1"/>
  <c r="F1337" i="1"/>
  <c r="G1337" i="1"/>
  <c r="H1337" i="1"/>
  <c r="I1337" i="1"/>
  <c r="J1337" i="1"/>
  <c r="K1337" i="1"/>
  <c r="L1337" i="1"/>
  <c r="M1337" i="1"/>
  <c r="F1338" i="1"/>
  <c r="G1338" i="1"/>
  <c r="H1338" i="1"/>
  <c r="I1338" i="1"/>
  <c r="J1338" i="1"/>
  <c r="K1338" i="1"/>
  <c r="L1338" i="1"/>
  <c r="M1338" i="1"/>
  <c r="F1339" i="1"/>
  <c r="G1339" i="1"/>
  <c r="H1339" i="1"/>
  <c r="I1339" i="1"/>
  <c r="J1339" i="1"/>
  <c r="K1339" i="1"/>
  <c r="L1339" i="1"/>
  <c r="M1339" i="1"/>
  <c r="F1340" i="1"/>
  <c r="G1340" i="1"/>
  <c r="H1340" i="1"/>
  <c r="I1340" i="1"/>
  <c r="J1340" i="1"/>
  <c r="K1340" i="1"/>
  <c r="L1340" i="1"/>
  <c r="M1340" i="1"/>
  <c r="F1341" i="1"/>
  <c r="G1341" i="1"/>
  <c r="H1341" i="1"/>
  <c r="I1341" i="1"/>
  <c r="J1341" i="1"/>
  <c r="K1341" i="1"/>
  <c r="L1341" i="1"/>
  <c r="M1341" i="1"/>
  <c r="F1342" i="1"/>
  <c r="G1342" i="1"/>
  <c r="H1342" i="1"/>
  <c r="I1342" i="1"/>
  <c r="J1342" i="1"/>
  <c r="K1342" i="1"/>
  <c r="L1342" i="1"/>
  <c r="M1342" i="1"/>
  <c r="F1343" i="1"/>
  <c r="G1343" i="1"/>
  <c r="H1343" i="1"/>
  <c r="I1343" i="1"/>
  <c r="J1343" i="1"/>
  <c r="K1343" i="1"/>
  <c r="L1343" i="1"/>
  <c r="M1343" i="1"/>
  <c r="F1344" i="1"/>
  <c r="G1344" i="1"/>
  <c r="H1344" i="1"/>
  <c r="I1344" i="1"/>
  <c r="J1344" i="1"/>
  <c r="K1344" i="1"/>
  <c r="L1344" i="1"/>
  <c r="M1344" i="1"/>
  <c r="F1345" i="1"/>
  <c r="G1345" i="1"/>
  <c r="H1345" i="1"/>
  <c r="I1345" i="1"/>
  <c r="J1345" i="1"/>
  <c r="K1345" i="1"/>
  <c r="L1345" i="1"/>
  <c r="M1345" i="1"/>
  <c r="F1346" i="1"/>
  <c r="G1346" i="1"/>
  <c r="H1346" i="1"/>
  <c r="I1346" i="1"/>
  <c r="J1346" i="1"/>
  <c r="K1346" i="1"/>
  <c r="L1346" i="1"/>
  <c r="M1346" i="1"/>
  <c r="F1347" i="1"/>
  <c r="G1347" i="1"/>
  <c r="H1347" i="1"/>
  <c r="I1347" i="1"/>
  <c r="J1347" i="1"/>
  <c r="K1347" i="1"/>
  <c r="L1347" i="1"/>
  <c r="M1347" i="1"/>
  <c r="F1348" i="1"/>
  <c r="G1348" i="1"/>
  <c r="H1348" i="1"/>
  <c r="I1348" i="1"/>
  <c r="J1348" i="1"/>
  <c r="K1348" i="1"/>
  <c r="L1348" i="1"/>
  <c r="M1348" i="1"/>
  <c r="F1349" i="1"/>
  <c r="G1349" i="1"/>
  <c r="H1349" i="1"/>
  <c r="I1349" i="1"/>
  <c r="J1349" i="1"/>
  <c r="K1349" i="1"/>
  <c r="L1349" i="1"/>
  <c r="M1349" i="1"/>
  <c r="F1350" i="1"/>
  <c r="G1350" i="1"/>
  <c r="H1350" i="1"/>
  <c r="I1350" i="1"/>
  <c r="J1350" i="1"/>
  <c r="K1350" i="1"/>
  <c r="L1350" i="1"/>
  <c r="M1350" i="1"/>
  <c r="F1351" i="1"/>
  <c r="G1351" i="1"/>
  <c r="H1351" i="1"/>
  <c r="I1351" i="1"/>
  <c r="J1351" i="1"/>
  <c r="K1351" i="1"/>
  <c r="L1351" i="1"/>
  <c r="M1351" i="1"/>
  <c r="F1352" i="1"/>
  <c r="G1352" i="1"/>
  <c r="H1352" i="1"/>
  <c r="I1352" i="1"/>
  <c r="J1352" i="1"/>
  <c r="K1352" i="1"/>
  <c r="L1352" i="1"/>
  <c r="M1352" i="1"/>
  <c r="F1353" i="1"/>
  <c r="G1353" i="1"/>
  <c r="H1353" i="1"/>
  <c r="I1353" i="1"/>
  <c r="J1353" i="1"/>
  <c r="K1353" i="1"/>
  <c r="L1353" i="1"/>
  <c r="M1353" i="1"/>
  <c r="F1354" i="1"/>
  <c r="G1354" i="1"/>
  <c r="H1354" i="1"/>
  <c r="I1354" i="1"/>
  <c r="J1354" i="1"/>
  <c r="K1354" i="1"/>
  <c r="L1354" i="1"/>
  <c r="M1354" i="1"/>
  <c r="F1355" i="1"/>
  <c r="G1355" i="1"/>
  <c r="H1355" i="1"/>
  <c r="I1355" i="1"/>
  <c r="J1355" i="1"/>
  <c r="K1355" i="1"/>
  <c r="L1355" i="1"/>
  <c r="M1355" i="1"/>
  <c r="F1356" i="1"/>
  <c r="G1356" i="1"/>
  <c r="H1356" i="1"/>
  <c r="I1356" i="1"/>
  <c r="J1356" i="1"/>
  <c r="K1356" i="1"/>
  <c r="L1356" i="1"/>
  <c r="M1356" i="1"/>
  <c r="F1357" i="1"/>
  <c r="G1357" i="1"/>
  <c r="H1357" i="1"/>
  <c r="I1357" i="1"/>
  <c r="J1357" i="1"/>
  <c r="K1357" i="1"/>
  <c r="L1357" i="1"/>
  <c r="M1357" i="1"/>
  <c r="F1358" i="1"/>
  <c r="G1358" i="1"/>
  <c r="H1358" i="1"/>
  <c r="I1358" i="1"/>
  <c r="J1358" i="1"/>
  <c r="K1358" i="1"/>
  <c r="L1358" i="1"/>
  <c r="M1358" i="1"/>
  <c r="F1359" i="1"/>
  <c r="G1359" i="1"/>
  <c r="H1359" i="1"/>
  <c r="I1359" i="1"/>
  <c r="J1359" i="1"/>
  <c r="K1359" i="1"/>
  <c r="L1359" i="1"/>
  <c r="M1359" i="1"/>
  <c r="F1360" i="1"/>
  <c r="G1360" i="1"/>
  <c r="H1360" i="1"/>
  <c r="I1360" i="1"/>
  <c r="J1360" i="1"/>
  <c r="K1360" i="1"/>
  <c r="L1360" i="1"/>
  <c r="M1360" i="1"/>
  <c r="F1361" i="1"/>
  <c r="G1361" i="1"/>
  <c r="H1361" i="1"/>
  <c r="I1361" i="1"/>
  <c r="J1361" i="1"/>
  <c r="K1361" i="1"/>
  <c r="L1361" i="1"/>
  <c r="M1361" i="1"/>
  <c r="F1362" i="1"/>
  <c r="G1362" i="1"/>
  <c r="H1362" i="1"/>
  <c r="I1362" i="1"/>
  <c r="J1362" i="1"/>
  <c r="K1362" i="1"/>
  <c r="L1362" i="1"/>
  <c r="M1362" i="1"/>
  <c r="F1363" i="1"/>
  <c r="G1363" i="1"/>
  <c r="H1363" i="1"/>
  <c r="I1363" i="1"/>
  <c r="J1363" i="1"/>
  <c r="K1363" i="1"/>
  <c r="L1363" i="1"/>
  <c r="M1363" i="1"/>
  <c r="F1364" i="1"/>
  <c r="G1364" i="1"/>
  <c r="H1364" i="1"/>
  <c r="I1364" i="1"/>
  <c r="J1364" i="1"/>
  <c r="K1364" i="1"/>
  <c r="L1364" i="1"/>
  <c r="M1364" i="1"/>
  <c r="F1365" i="1"/>
  <c r="G1365" i="1"/>
  <c r="H1365" i="1"/>
  <c r="I1365" i="1"/>
  <c r="J1365" i="1"/>
  <c r="K1365" i="1"/>
  <c r="L1365" i="1"/>
  <c r="M1365" i="1"/>
  <c r="F1366" i="1"/>
  <c r="G1366" i="1"/>
  <c r="H1366" i="1"/>
  <c r="I1366" i="1"/>
  <c r="J1366" i="1"/>
  <c r="K1366" i="1"/>
  <c r="L1366" i="1"/>
  <c r="M1366" i="1"/>
  <c r="F1367" i="1"/>
  <c r="G1367" i="1"/>
  <c r="H1367" i="1"/>
  <c r="I1367" i="1"/>
  <c r="J1367" i="1"/>
  <c r="K1367" i="1"/>
  <c r="L1367" i="1"/>
  <c r="M1367" i="1"/>
  <c r="F1368" i="1"/>
  <c r="G1368" i="1"/>
  <c r="H1368" i="1"/>
  <c r="I1368" i="1"/>
  <c r="J1368" i="1"/>
  <c r="K1368" i="1"/>
  <c r="L1368" i="1"/>
  <c r="M1368" i="1"/>
  <c r="F1369" i="1"/>
  <c r="G1369" i="1"/>
  <c r="H1369" i="1"/>
  <c r="I1369" i="1"/>
  <c r="J1369" i="1"/>
  <c r="K1369" i="1"/>
  <c r="L1369" i="1"/>
  <c r="M1369" i="1"/>
  <c r="F1370" i="1"/>
  <c r="G1370" i="1"/>
  <c r="H1370" i="1"/>
  <c r="I1370" i="1"/>
  <c r="J1370" i="1"/>
  <c r="K1370" i="1"/>
  <c r="L1370" i="1"/>
  <c r="M1370" i="1"/>
  <c r="F1371" i="1"/>
  <c r="G1371" i="1"/>
  <c r="H1371" i="1"/>
  <c r="I1371" i="1"/>
  <c r="J1371" i="1"/>
  <c r="K1371" i="1"/>
  <c r="L1371" i="1"/>
  <c r="M1371" i="1"/>
  <c r="F1372" i="1"/>
  <c r="G1372" i="1"/>
  <c r="H1372" i="1"/>
  <c r="I1372" i="1"/>
  <c r="J1372" i="1"/>
  <c r="K1372" i="1"/>
  <c r="L1372" i="1"/>
  <c r="M1372" i="1"/>
  <c r="F1373" i="1"/>
  <c r="G1373" i="1"/>
  <c r="H1373" i="1"/>
  <c r="I1373" i="1"/>
  <c r="J1373" i="1"/>
  <c r="K1373" i="1"/>
  <c r="L1373" i="1"/>
  <c r="M1373" i="1"/>
  <c r="F1374" i="1"/>
  <c r="G1374" i="1"/>
  <c r="H1374" i="1"/>
  <c r="I1374" i="1"/>
  <c r="J1374" i="1"/>
  <c r="K1374" i="1"/>
  <c r="L1374" i="1"/>
  <c r="M1374" i="1"/>
  <c r="F1375" i="1"/>
  <c r="G1375" i="1"/>
  <c r="H1375" i="1"/>
  <c r="I1375" i="1"/>
  <c r="J1375" i="1"/>
  <c r="K1375" i="1"/>
  <c r="L1375" i="1"/>
  <c r="M1375" i="1"/>
  <c r="F1376" i="1"/>
  <c r="G1376" i="1"/>
  <c r="H1376" i="1"/>
  <c r="I1376" i="1"/>
  <c r="J1376" i="1"/>
  <c r="K1376" i="1"/>
  <c r="L1376" i="1"/>
  <c r="M1376" i="1"/>
  <c r="F1377" i="1"/>
  <c r="G1377" i="1"/>
  <c r="H1377" i="1"/>
  <c r="I1377" i="1"/>
  <c r="J1377" i="1"/>
  <c r="K1377" i="1"/>
  <c r="L1377" i="1"/>
  <c r="M1377" i="1"/>
  <c r="F1378" i="1"/>
  <c r="G1378" i="1"/>
  <c r="H1378" i="1"/>
  <c r="I1378" i="1"/>
  <c r="J1378" i="1"/>
  <c r="K1378" i="1"/>
  <c r="L1378" i="1"/>
  <c r="M1378" i="1"/>
  <c r="F1379" i="1"/>
  <c r="G1379" i="1"/>
  <c r="H1379" i="1"/>
  <c r="I1379" i="1"/>
  <c r="J1379" i="1"/>
  <c r="K1379" i="1"/>
  <c r="L1379" i="1"/>
  <c r="M1379" i="1"/>
  <c r="F1380" i="1"/>
  <c r="G1380" i="1"/>
  <c r="H1380" i="1"/>
  <c r="I1380" i="1"/>
  <c r="J1380" i="1"/>
  <c r="K1380" i="1"/>
  <c r="L1380" i="1"/>
  <c r="M1380" i="1"/>
  <c r="F1381" i="1"/>
  <c r="G1381" i="1"/>
  <c r="H1381" i="1"/>
  <c r="I1381" i="1"/>
  <c r="J1381" i="1"/>
  <c r="K1381" i="1"/>
  <c r="L1381" i="1"/>
  <c r="M1381" i="1"/>
  <c r="F1382" i="1"/>
  <c r="G1382" i="1"/>
  <c r="H1382" i="1"/>
  <c r="I1382" i="1"/>
  <c r="J1382" i="1"/>
  <c r="K1382" i="1"/>
  <c r="L1382" i="1"/>
  <c r="M1382" i="1"/>
  <c r="F1383" i="1"/>
  <c r="G1383" i="1"/>
  <c r="H1383" i="1"/>
  <c r="I1383" i="1"/>
  <c r="J1383" i="1"/>
  <c r="K1383" i="1"/>
  <c r="L1383" i="1"/>
  <c r="M1383" i="1"/>
  <c r="F1384" i="1"/>
  <c r="G1384" i="1"/>
  <c r="H1384" i="1"/>
  <c r="I1384" i="1"/>
  <c r="J1384" i="1"/>
  <c r="K1384" i="1"/>
  <c r="L1384" i="1"/>
  <c r="M1384" i="1"/>
  <c r="F1385" i="1"/>
  <c r="G1385" i="1"/>
  <c r="H1385" i="1"/>
  <c r="I1385" i="1"/>
  <c r="J1385" i="1"/>
  <c r="K1385" i="1"/>
  <c r="L1385" i="1"/>
  <c r="M1385" i="1"/>
  <c r="F1386" i="1"/>
  <c r="G1386" i="1"/>
  <c r="H1386" i="1"/>
  <c r="I1386" i="1"/>
  <c r="J1386" i="1"/>
  <c r="K1386" i="1"/>
  <c r="L1386" i="1"/>
  <c r="M1386" i="1"/>
  <c r="F1387" i="1"/>
  <c r="G1387" i="1"/>
  <c r="H1387" i="1"/>
  <c r="I1387" i="1"/>
  <c r="J1387" i="1"/>
  <c r="K1387" i="1"/>
  <c r="L1387" i="1"/>
  <c r="M1387" i="1"/>
  <c r="F1388" i="1"/>
  <c r="G1388" i="1"/>
  <c r="H1388" i="1"/>
  <c r="I1388" i="1"/>
  <c r="J1388" i="1"/>
  <c r="K1388" i="1"/>
  <c r="L1388" i="1"/>
  <c r="M1388" i="1"/>
  <c r="F1389" i="1"/>
  <c r="G1389" i="1"/>
  <c r="H1389" i="1"/>
  <c r="I1389" i="1"/>
  <c r="J1389" i="1"/>
  <c r="K1389" i="1"/>
  <c r="L1389" i="1"/>
  <c r="M1389" i="1"/>
  <c r="F1390" i="1"/>
  <c r="G1390" i="1"/>
  <c r="H1390" i="1"/>
  <c r="I1390" i="1"/>
  <c r="J1390" i="1"/>
  <c r="K1390" i="1"/>
  <c r="L1390" i="1"/>
  <c r="M1390" i="1"/>
  <c r="F1391" i="1"/>
  <c r="G1391" i="1"/>
  <c r="H1391" i="1"/>
  <c r="I1391" i="1"/>
  <c r="J1391" i="1"/>
  <c r="K1391" i="1"/>
  <c r="L1391" i="1"/>
  <c r="M1391" i="1"/>
  <c r="F1392" i="1"/>
  <c r="G1392" i="1"/>
  <c r="H1392" i="1"/>
  <c r="I1392" i="1"/>
  <c r="J1392" i="1"/>
  <c r="K1392" i="1"/>
  <c r="L1392" i="1"/>
  <c r="M1392" i="1"/>
  <c r="F1393" i="1"/>
  <c r="G1393" i="1"/>
  <c r="H1393" i="1"/>
  <c r="I1393" i="1"/>
  <c r="J1393" i="1"/>
  <c r="K1393" i="1"/>
  <c r="L1393" i="1"/>
  <c r="M1393" i="1"/>
  <c r="F1394" i="1"/>
  <c r="G1394" i="1"/>
  <c r="H1394" i="1"/>
  <c r="I1394" i="1"/>
  <c r="J1394" i="1"/>
  <c r="K1394" i="1"/>
  <c r="L1394" i="1"/>
  <c r="M1394" i="1"/>
  <c r="F1395" i="1"/>
  <c r="G1395" i="1"/>
  <c r="H1395" i="1"/>
  <c r="I1395" i="1"/>
  <c r="J1395" i="1"/>
  <c r="K1395" i="1"/>
  <c r="L1395" i="1"/>
  <c r="M1395" i="1"/>
  <c r="F1396" i="1"/>
  <c r="G1396" i="1"/>
  <c r="H1396" i="1"/>
  <c r="I1396" i="1"/>
  <c r="J1396" i="1"/>
  <c r="K1396" i="1"/>
  <c r="L1396" i="1"/>
  <c r="M1396" i="1"/>
  <c r="F1397" i="1"/>
  <c r="G1397" i="1"/>
  <c r="H1397" i="1"/>
  <c r="I1397" i="1"/>
  <c r="J1397" i="1"/>
  <c r="K1397" i="1"/>
  <c r="L1397" i="1"/>
  <c r="M1397" i="1"/>
  <c r="F1398" i="1"/>
  <c r="G1398" i="1"/>
  <c r="H1398" i="1"/>
  <c r="I1398" i="1"/>
  <c r="J1398" i="1"/>
  <c r="K1398" i="1"/>
  <c r="L1398" i="1"/>
  <c r="M1398" i="1"/>
  <c r="F1399" i="1"/>
  <c r="G1399" i="1"/>
  <c r="H1399" i="1"/>
  <c r="I1399" i="1"/>
  <c r="J1399" i="1"/>
  <c r="K1399" i="1"/>
  <c r="L1399" i="1"/>
  <c r="M1399" i="1"/>
  <c r="F1400" i="1"/>
  <c r="G1400" i="1"/>
  <c r="H1400" i="1"/>
  <c r="I1400" i="1"/>
  <c r="J1400" i="1"/>
  <c r="K1400" i="1"/>
  <c r="L1400" i="1"/>
  <c r="M1400" i="1"/>
  <c r="F1401" i="1"/>
  <c r="G1401" i="1"/>
  <c r="H1401" i="1"/>
  <c r="I1401" i="1"/>
  <c r="J1401" i="1"/>
  <c r="K1401" i="1"/>
  <c r="L1401" i="1"/>
  <c r="M1401" i="1"/>
  <c r="F1402" i="1"/>
  <c r="G1402" i="1"/>
  <c r="H1402" i="1"/>
  <c r="I1402" i="1"/>
  <c r="J1402" i="1"/>
  <c r="K1402" i="1"/>
  <c r="L1402" i="1"/>
  <c r="M1402" i="1"/>
  <c r="F1403" i="1"/>
  <c r="G1403" i="1"/>
  <c r="H1403" i="1"/>
  <c r="I1403" i="1"/>
  <c r="J1403" i="1"/>
  <c r="K1403" i="1"/>
  <c r="L1403" i="1"/>
  <c r="M1403" i="1"/>
  <c r="F1404" i="1"/>
  <c r="G1404" i="1"/>
  <c r="H1404" i="1"/>
  <c r="I1404" i="1"/>
  <c r="J1404" i="1"/>
  <c r="K1404" i="1"/>
  <c r="L1404" i="1"/>
  <c r="M1404" i="1"/>
  <c r="F1405" i="1"/>
  <c r="G1405" i="1"/>
  <c r="H1405" i="1"/>
  <c r="I1405" i="1"/>
  <c r="J1405" i="1"/>
  <c r="K1405" i="1"/>
  <c r="L1405" i="1"/>
  <c r="M1405" i="1"/>
  <c r="F1406" i="1"/>
  <c r="G1406" i="1"/>
  <c r="H1406" i="1"/>
  <c r="I1406" i="1"/>
  <c r="J1406" i="1"/>
  <c r="K1406" i="1"/>
  <c r="L1406" i="1"/>
  <c r="M1406" i="1"/>
  <c r="F1407" i="1"/>
  <c r="G1407" i="1"/>
  <c r="H1407" i="1"/>
  <c r="I1407" i="1"/>
  <c r="J1407" i="1"/>
  <c r="K1407" i="1"/>
  <c r="L1407" i="1"/>
  <c r="M1407" i="1"/>
  <c r="F1408" i="1"/>
  <c r="G1408" i="1"/>
  <c r="H1408" i="1"/>
  <c r="I1408" i="1"/>
  <c r="J1408" i="1"/>
  <c r="K1408" i="1"/>
  <c r="L1408" i="1"/>
  <c r="M1408" i="1"/>
  <c r="F1409" i="1"/>
  <c r="G1409" i="1"/>
  <c r="H1409" i="1"/>
  <c r="I1409" i="1"/>
  <c r="J1409" i="1"/>
  <c r="K1409" i="1"/>
  <c r="L1409" i="1"/>
  <c r="M1409" i="1"/>
  <c r="F1410" i="1"/>
  <c r="G1410" i="1"/>
  <c r="H1410" i="1"/>
  <c r="I1410" i="1"/>
  <c r="J1410" i="1"/>
  <c r="K1410" i="1"/>
  <c r="L1410" i="1"/>
  <c r="M1410" i="1"/>
  <c r="F1411" i="1"/>
  <c r="G1411" i="1"/>
  <c r="H1411" i="1"/>
  <c r="I1411" i="1"/>
  <c r="J1411" i="1"/>
  <c r="K1411" i="1"/>
  <c r="L1411" i="1"/>
  <c r="M1411" i="1"/>
  <c r="F1412" i="1"/>
  <c r="G1412" i="1"/>
  <c r="H1412" i="1"/>
  <c r="I1412" i="1"/>
  <c r="J1412" i="1"/>
  <c r="K1412" i="1"/>
  <c r="L1412" i="1"/>
  <c r="M1412" i="1"/>
  <c r="F1413" i="1"/>
  <c r="G1413" i="1"/>
  <c r="H1413" i="1"/>
  <c r="I1413" i="1"/>
  <c r="J1413" i="1"/>
  <c r="K1413" i="1"/>
  <c r="L1413" i="1"/>
  <c r="M1413" i="1"/>
  <c r="F1414" i="1"/>
  <c r="G1414" i="1"/>
  <c r="H1414" i="1"/>
  <c r="I1414" i="1"/>
  <c r="J1414" i="1"/>
  <c r="K1414" i="1"/>
  <c r="L1414" i="1"/>
  <c r="M1414" i="1"/>
  <c r="F1415" i="1"/>
  <c r="G1415" i="1"/>
  <c r="H1415" i="1"/>
  <c r="I1415" i="1"/>
  <c r="J1415" i="1"/>
  <c r="K1415" i="1"/>
  <c r="L1415" i="1"/>
  <c r="M1415" i="1"/>
  <c r="F1416" i="1"/>
  <c r="G1416" i="1"/>
  <c r="H1416" i="1"/>
  <c r="I1416" i="1"/>
  <c r="J1416" i="1"/>
  <c r="K1416" i="1"/>
  <c r="L1416" i="1"/>
  <c r="M1416" i="1"/>
  <c r="F1417" i="1"/>
  <c r="G1417" i="1"/>
  <c r="H1417" i="1"/>
  <c r="I1417" i="1"/>
  <c r="J1417" i="1"/>
  <c r="K1417" i="1"/>
  <c r="L1417" i="1"/>
  <c r="M1417" i="1"/>
  <c r="F1418" i="1"/>
  <c r="G1418" i="1"/>
  <c r="H1418" i="1"/>
  <c r="I1418" i="1"/>
  <c r="J1418" i="1"/>
  <c r="K1418" i="1"/>
  <c r="L1418" i="1"/>
  <c r="M1418" i="1"/>
  <c r="F1419" i="1"/>
  <c r="G1419" i="1"/>
  <c r="H1419" i="1"/>
  <c r="I1419" i="1"/>
  <c r="J1419" i="1"/>
  <c r="K1419" i="1"/>
  <c r="L1419" i="1"/>
  <c r="M1419" i="1"/>
  <c r="F1420" i="1"/>
  <c r="G1420" i="1"/>
  <c r="H1420" i="1"/>
  <c r="I1420" i="1"/>
  <c r="J1420" i="1"/>
  <c r="K1420" i="1"/>
  <c r="L1420" i="1"/>
  <c r="M1420" i="1"/>
  <c r="F1421" i="1"/>
  <c r="G1421" i="1"/>
  <c r="H1421" i="1"/>
  <c r="I1421" i="1"/>
  <c r="J1421" i="1"/>
  <c r="K1421" i="1"/>
  <c r="L1421" i="1"/>
  <c r="M1421" i="1"/>
  <c r="F1422" i="1"/>
  <c r="G1422" i="1"/>
  <c r="H1422" i="1"/>
  <c r="I1422" i="1"/>
  <c r="J1422" i="1"/>
  <c r="K1422" i="1"/>
  <c r="L1422" i="1"/>
  <c r="M1422" i="1"/>
  <c r="F1423" i="1"/>
  <c r="G1423" i="1"/>
  <c r="H1423" i="1"/>
  <c r="I1423" i="1"/>
  <c r="J1423" i="1"/>
  <c r="K1423" i="1"/>
  <c r="L1423" i="1"/>
  <c r="M1423" i="1"/>
  <c r="F1424" i="1"/>
  <c r="G1424" i="1"/>
  <c r="H1424" i="1"/>
  <c r="I1424" i="1"/>
  <c r="J1424" i="1"/>
  <c r="K1424" i="1"/>
  <c r="L1424" i="1"/>
  <c r="M1424" i="1"/>
  <c r="F1425" i="1"/>
  <c r="G1425" i="1"/>
  <c r="H1425" i="1"/>
  <c r="I1425" i="1"/>
  <c r="J1425" i="1"/>
  <c r="K1425" i="1"/>
  <c r="L1425" i="1"/>
  <c r="M1425" i="1"/>
  <c r="F1426" i="1"/>
  <c r="G1426" i="1"/>
  <c r="H1426" i="1"/>
  <c r="I1426" i="1"/>
  <c r="J1426" i="1"/>
  <c r="K1426" i="1"/>
  <c r="L1426" i="1"/>
  <c r="M1426" i="1"/>
  <c r="F1427" i="1"/>
  <c r="G1427" i="1"/>
  <c r="H1427" i="1"/>
  <c r="I1427" i="1"/>
  <c r="J1427" i="1"/>
  <c r="K1427" i="1"/>
  <c r="L1427" i="1"/>
  <c r="M1427" i="1"/>
  <c r="F1428" i="1"/>
  <c r="G1428" i="1"/>
  <c r="H1428" i="1"/>
  <c r="I1428" i="1"/>
  <c r="J1428" i="1"/>
  <c r="K1428" i="1"/>
  <c r="L1428" i="1"/>
  <c r="M1428" i="1"/>
  <c r="F1429" i="1"/>
  <c r="G1429" i="1"/>
  <c r="H1429" i="1"/>
  <c r="I1429" i="1"/>
  <c r="J1429" i="1"/>
  <c r="K1429" i="1"/>
  <c r="L1429" i="1"/>
  <c r="M1429" i="1"/>
  <c r="F1430" i="1"/>
  <c r="G1430" i="1"/>
  <c r="H1430" i="1"/>
  <c r="I1430" i="1"/>
  <c r="J1430" i="1"/>
  <c r="K1430" i="1"/>
  <c r="L1430" i="1"/>
  <c r="M1430" i="1"/>
  <c r="F1431" i="1"/>
  <c r="G1431" i="1"/>
  <c r="H1431" i="1"/>
  <c r="I1431" i="1"/>
  <c r="J1431" i="1"/>
  <c r="K1431" i="1"/>
  <c r="L1431" i="1"/>
  <c r="M1431" i="1"/>
  <c r="F1432" i="1"/>
  <c r="G1432" i="1"/>
  <c r="H1432" i="1"/>
  <c r="I1432" i="1"/>
  <c r="J1432" i="1"/>
  <c r="K1432" i="1"/>
  <c r="L1432" i="1"/>
  <c r="M1432" i="1"/>
  <c r="F1433" i="1"/>
  <c r="G1433" i="1"/>
  <c r="H1433" i="1"/>
  <c r="I1433" i="1"/>
  <c r="J1433" i="1"/>
  <c r="K1433" i="1"/>
  <c r="L1433" i="1"/>
  <c r="M1433" i="1"/>
  <c r="F1434" i="1"/>
  <c r="G1434" i="1"/>
  <c r="H1434" i="1"/>
  <c r="I1434" i="1"/>
  <c r="J1434" i="1"/>
  <c r="K1434" i="1"/>
  <c r="L1434" i="1"/>
  <c r="M1434" i="1"/>
  <c r="F1435" i="1"/>
  <c r="G1435" i="1"/>
  <c r="H1435" i="1"/>
  <c r="I1435" i="1"/>
  <c r="J1435" i="1"/>
  <c r="K1435" i="1"/>
  <c r="L1435" i="1"/>
  <c r="M1435" i="1"/>
  <c r="F1436" i="1"/>
  <c r="G1436" i="1"/>
  <c r="H1436" i="1"/>
  <c r="I1436" i="1"/>
  <c r="J1436" i="1"/>
  <c r="K1436" i="1"/>
  <c r="L1436" i="1"/>
  <c r="M1436" i="1"/>
  <c r="F1437" i="1"/>
  <c r="G1437" i="1"/>
  <c r="H1437" i="1"/>
  <c r="I1437" i="1"/>
  <c r="J1437" i="1"/>
  <c r="K1437" i="1"/>
  <c r="L1437" i="1"/>
  <c r="M1437" i="1"/>
  <c r="F1438" i="1"/>
  <c r="G1438" i="1"/>
  <c r="H1438" i="1"/>
  <c r="I1438" i="1"/>
  <c r="J1438" i="1"/>
  <c r="K1438" i="1"/>
  <c r="L1438" i="1"/>
  <c r="M1438" i="1"/>
  <c r="F1439" i="1"/>
  <c r="G1439" i="1"/>
  <c r="H1439" i="1"/>
  <c r="I1439" i="1"/>
  <c r="J1439" i="1"/>
  <c r="K1439" i="1"/>
  <c r="L1439" i="1"/>
  <c r="M1439" i="1"/>
  <c r="F1440" i="1"/>
  <c r="G1440" i="1"/>
  <c r="H1440" i="1"/>
  <c r="I1440" i="1"/>
  <c r="J1440" i="1"/>
  <c r="K1440" i="1"/>
  <c r="L1440" i="1"/>
  <c r="M1440" i="1"/>
  <c r="F1441" i="1"/>
  <c r="G1441" i="1"/>
  <c r="H1441" i="1"/>
  <c r="I1441" i="1"/>
  <c r="J1441" i="1"/>
  <c r="K1441" i="1"/>
  <c r="L1441" i="1"/>
  <c r="M1441" i="1"/>
  <c r="F1442" i="1"/>
  <c r="G1442" i="1"/>
  <c r="H1442" i="1"/>
  <c r="I1442" i="1"/>
  <c r="J1442" i="1"/>
  <c r="K1442" i="1"/>
  <c r="L1442" i="1"/>
  <c r="M1442" i="1"/>
  <c r="F1443" i="1"/>
  <c r="G1443" i="1"/>
  <c r="H1443" i="1"/>
  <c r="I1443" i="1"/>
  <c r="J1443" i="1"/>
  <c r="K1443" i="1"/>
  <c r="L1443" i="1"/>
  <c r="M1443" i="1"/>
  <c r="F1444" i="1"/>
  <c r="G1444" i="1"/>
  <c r="H1444" i="1"/>
  <c r="I1444" i="1"/>
  <c r="J1444" i="1"/>
  <c r="K1444" i="1"/>
  <c r="L1444" i="1"/>
  <c r="M1444" i="1"/>
  <c r="F1445" i="1"/>
  <c r="G1445" i="1"/>
  <c r="H1445" i="1"/>
  <c r="I1445" i="1"/>
  <c r="J1445" i="1"/>
  <c r="K1445" i="1"/>
  <c r="L1445" i="1"/>
  <c r="M1445" i="1"/>
  <c r="F1446" i="1"/>
  <c r="G1446" i="1"/>
  <c r="H1446" i="1"/>
  <c r="I1446" i="1"/>
  <c r="J1446" i="1"/>
  <c r="K1446" i="1"/>
  <c r="L1446" i="1"/>
  <c r="M1446" i="1"/>
  <c r="F1447" i="1"/>
  <c r="G1447" i="1"/>
  <c r="H1447" i="1"/>
  <c r="I1447" i="1"/>
  <c r="J1447" i="1"/>
  <c r="K1447" i="1"/>
  <c r="L1447" i="1"/>
  <c r="M1447" i="1"/>
  <c r="F1448" i="1"/>
  <c r="G1448" i="1"/>
  <c r="H1448" i="1"/>
  <c r="I1448" i="1"/>
  <c r="J1448" i="1"/>
  <c r="K1448" i="1"/>
  <c r="L1448" i="1"/>
  <c r="M1448" i="1"/>
  <c r="F1449" i="1"/>
  <c r="G1449" i="1"/>
  <c r="H1449" i="1"/>
  <c r="I1449" i="1"/>
  <c r="J1449" i="1"/>
  <c r="K1449" i="1"/>
  <c r="L1449" i="1"/>
  <c r="M1449" i="1"/>
  <c r="F1450" i="1"/>
  <c r="G1450" i="1"/>
  <c r="H1450" i="1"/>
  <c r="I1450" i="1"/>
  <c r="J1450" i="1"/>
  <c r="K1450" i="1"/>
  <c r="L1450" i="1"/>
  <c r="M1450" i="1"/>
  <c r="F1451" i="1"/>
  <c r="G1451" i="1"/>
  <c r="H1451" i="1"/>
  <c r="I1451" i="1"/>
  <c r="J1451" i="1"/>
  <c r="K1451" i="1"/>
  <c r="L1451" i="1"/>
  <c r="M1451" i="1"/>
  <c r="F1452" i="1"/>
  <c r="G1452" i="1"/>
  <c r="H1452" i="1"/>
  <c r="I1452" i="1"/>
  <c r="J1452" i="1"/>
  <c r="K1452" i="1"/>
  <c r="L1452" i="1"/>
  <c r="M1452" i="1"/>
  <c r="F1453" i="1"/>
  <c r="G1453" i="1"/>
  <c r="H1453" i="1"/>
  <c r="I1453" i="1"/>
  <c r="J1453" i="1"/>
  <c r="K1453" i="1"/>
  <c r="L1453" i="1"/>
  <c r="M1453" i="1"/>
  <c r="F1454" i="1"/>
  <c r="G1454" i="1"/>
  <c r="H1454" i="1"/>
  <c r="I1454" i="1"/>
  <c r="J1454" i="1"/>
  <c r="K1454" i="1"/>
  <c r="L1454" i="1"/>
  <c r="M1454" i="1"/>
  <c r="F1455" i="1"/>
  <c r="G1455" i="1"/>
  <c r="H1455" i="1"/>
  <c r="I1455" i="1"/>
  <c r="J1455" i="1"/>
  <c r="K1455" i="1"/>
  <c r="L1455" i="1"/>
  <c r="M1455" i="1"/>
  <c r="F1456" i="1"/>
  <c r="G1456" i="1"/>
  <c r="H1456" i="1"/>
  <c r="I1456" i="1"/>
  <c r="J1456" i="1"/>
  <c r="K1456" i="1"/>
  <c r="L1456" i="1"/>
  <c r="M1456" i="1"/>
  <c r="F1457" i="1"/>
  <c r="G1457" i="1"/>
  <c r="H1457" i="1"/>
  <c r="I1457" i="1"/>
  <c r="J1457" i="1"/>
  <c r="K1457" i="1"/>
  <c r="L1457" i="1"/>
  <c r="M1457" i="1"/>
  <c r="F1458" i="1"/>
  <c r="G1458" i="1"/>
  <c r="H1458" i="1"/>
  <c r="I1458" i="1"/>
  <c r="J1458" i="1"/>
  <c r="K1458" i="1"/>
  <c r="L1458" i="1"/>
  <c r="M1458" i="1"/>
  <c r="F1459" i="1"/>
  <c r="G1459" i="1"/>
  <c r="H1459" i="1"/>
  <c r="I1459" i="1"/>
  <c r="J1459" i="1"/>
  <c r="K1459" i="1"/>
  <c r="L1459" i="1"/>
  <c r="M1459" i="1"/>
  <c r="F1460" i="1"/>
  <c r="G1460" i="1"/>
  <c r="H1460" i="1"/>
  <c r="I1460" i="1"/>
  <c r="J1460" i="1"/>
  <c r="K1460" i="1"/>
  <c r="L1460" i="1"/>
  <c r="M1460" i="1"/>
  <c r="F1461" i="1"/>
  <c r="G1461" i="1"/>
  <c r="H1461" i="1"/>
  <c r="I1461" i="1"/>
  <c r="J1461" i="1"/>
  <c r="K1461" i="1"/>
  <c r="L1461" i="1"/>
  <c r="M1461" i="1"/>
  <c r="F1462" i="1"/>
  <c r="G1462" i="1"/>
  <c r="H1462" i="1"/>
  <c r="I1462" i="1"/>
  <c r="J1462" i="1"/>
  <c r="K1462" i="1"/>
  <c r="L1462" i="1"/>
  <c r="M1462" i="1"/>
  <c r="F1463" i="1"/>
  <c r="G1463" i="1"/>
  <c r="H1463" i="1"/>
  <c r="I1463" i="1"/>
  <c r="J1463" i="1"/>
  <c r="K1463" i="1"/>
  <c r="L1463" i="1"/>
  <c r="M1463" i="1"/>
  <c r="F1464" i="1"/>
  <c r="G1464" i="1"/>
  <c r="H1464" i="1"/>
  <c r="I1464" i="1"/>
  <c r="J1464" i="1"/>
  <c r="K1464" i="1"/>
  <c r="L1464" i="1"/>
  <c r="M1464" i="1"/>
  <c r="F1465" i="1"/>
  <c r="G1465" i="1"/>
  <c r="H1465" i="1"/>
  <c r="I1465" i="1"/>
  <c r="J1465" i="1"/>
  <c r="K1465" i="1"/>
  <c r="L1465" i="1"/>
  <c r="M1465" i="1"/>
  <c r="F1466" i="1"/>
  <c r="G1466" i="1"/>
  <c r="H1466" i="1"/>
  <c r="I1466" i="1"/>
  <c r="J1466" i="1"/>
  <c r="K1466" i="1"/>
  <c r="L1466" i="1"/>
  <c r="M1466" i="1"/>
  <c r="F1467" i="1"/>
  <c r="G1467" i="1"/>
  <c r="H1467" i="1"/>
  <c r="I1467" i="1"/>
  <c r="J1467" i="1"/>
  <c r="K1467" i="1"/>
  <c r="L1467" i="1"/>
  <c r="M1467" i="1"/>
  <c r="F1468" i="1"/>
  <c r="G1468" i="1"/>
  <c r="H1468" i="1"/>
  <c r="I1468" i="1"/>
  <c r="J1468" i="1"/>
  <c r="K1468" i="1"/>
  <c r="L1468" i="1"/>
  <c r="M1468" i="1"/>
  <c r="F1469" i="1"/>
  <c r="G1469" i="1"/>
  <c r="H1469" i="1"/>
  <c r="I1469" i="1"/>
  <c r="J1469" i="1"/>
  <c r="K1469" i="1"/>
  <c r="L1469" i="1"/>
  <c r="M1469" i="1"/>
  <c r="F1470" i="1"/>
  <c r="G1470" i="1"/>
  <c r="H1470" i="1"/>
  <c r="I1470" i="1"/>
  <c r="J1470" i="1"/>
  <c r="K1470" i="1"/>
  <c r="L1470" i="1"/>
  <c r="M1470" i="1"/>
  <c r="F1471" i="1"/>
  <c r="G1471" i="1"/>
  <c r="H1471" i="1"/>
  <c r="I1471" i="1"/>
  <c r="J1471" i="1"/>
  <c r="K1471" i="1"/>
  <c r="L1471" i="1"/>
  <c r="M1471" i="1"/>
  <c r="F1472" i="1"/>
  <c r="G1472" i="1"/>
  <c r="H1472" i="1"/>
  <c r="I1472" i="1"/>
  <c r="J1472" i="1"/>
  <c r="K1472" i="1"/>
  <c r="L1472" i="1"/>
  <c r="M1472" i="1"/>
  <c r="F1473" i="1"/>
  <c r="G1473" i="1"/>
  <c r="H1473" i="1"/>
  <c r="I1473" i="1"/>
  <c r="J1473" i="1"/>
  <c r="K1473" i="1"/>
  <c r="L1473" i="1"/>
  <c r="M1473" i="1"/>
  <c r="F1474" i="1"/>
  <c r="G1474" i="1"/>
  <c r="H1474" i="1"/>
  <c r="I1474" i="1"/>
  <c r="J1474" i="1"/>
  <c r="K1474" i="1"/>
  <c r="L1474" i="1"/>
  <c r="M1474" i="1"/>
  <c r="F1475" i="1"/>
  <c r="G1475" i="1"/>
  <c r="H1475" i="1"/>
  <c r="I1475" i="1"/>
  <c r="J1475" i="1"/>
  <c r="K1475" i="1"/>
  <c r="L1475" i="1"/>
  <c r="M1475" i="1"/>
  <c r="F1476" i="1"/>
  <c r="G1476" i="1"/>
  <c r="H1476" i="1"/>
  <c r="I1476" i="1"/>
  <c r="J1476" i="1"/>
  <c r="K1476" i="1"/>
  <c r="L1476" i="1"/>
  <c r="M1476" i="1"/>
  <c r="F1477" i="1"/>
  <c r="G1477" i="1"/>
  <c r="H1477" i="1"/>
  <c r="I1477" i="1"/>
  <c r="J1477" i="1"/>
  <c r="K1477" i="1"/>
  <c r="L1477" i="1"/>
  <c r="M1477" i="1"/>
  <c r="F1478" i="1"/>
  <c r="G1478" i="1"/>
  <c r="H1478" i="1"/>
  <c r="I1478" i="1"/>
  <c r="J1478" i="1"/>
  <c r="K1478" i="1"/>
  <c r="L1478" i="1"/>
  <c r="M1478" i="1"/>
  <c r="F1479" i="1"/>
  <c r="G1479" i="1"/>
  <c r="H1479" i="1"/>
  <c r="I1479" i="1"/>
  <c r="J1479" i="1"/>
  <c r="K1479" i="1"/>
  <c r="L1479" i="1"/>
  <c r="M1479" i="1"/>
  <c r="F1480" i="1"/>
  <c r="G1480" i="1"/>
  <c r="H1480" i="1"/>
  <c r="I1480" i="1"/>
  <c r="J1480" i="1"/>
  <c r="K1480" i="1"/>
  <c r="L1480" i="1"/>
  <c r="M1480" i="1"/>
  <c r="F1481" i="1"/>
  <c r="G1481" i="1"/>
  <c r="H1481" i="1"/>
  <c r="I1481" i="1"/>
  <c r="J1481" i="1"/>
  <c r="K1481" i="1"/>
  <c r="L1481" i="1"/>
  <c r="M1481" i="1"/>
  <c r="F1482" i="1"/>
  <c r="G1482" i="1"/>
  <c r="H1482" i="1"/>
  <c r="I1482" i="1"/>
  <c r="J1482" i="1"/>
  <c r="K1482" i="1"/>
  <c r="L1482" i="1"/>
  <c r="M1482" i="1"/>
  <c r="F1483" i="1"/>
  <c r="G1483" i="1"/>
  <c r="H1483" i="1"/>
  <c r="I1483" i="1"/>
  <c r="J1483" i="1"/>
  <c r="K1483" i="1"/>
  <c r="L1483" i="1"/>
  <c r="M1483" i="1"/>
  <c r="F1484" i="1"/>
  <c r="G1484" i="1"/>
  <c r="H1484" i="1"/>
  <c r="I1484" i="1"/>
  <c r="J1484" i="1"/>
  <c r="K1484" i="1"/>
  <c r="L1484" i="1"/>
  <c r="M1484" i="1"/>
  <c r="F1485" i="1"/>
  <c r="G1485" i="1"/>
  <c r="H1485" i="1"/>
  <c r="I1485" i="1"/>
  <c r="J1485" i="1"/>
  <c r="K1485" i="1"/>
  <c r="L1485" i="1"/>
  <c r="M1485" i="1"/>
  <c r="F1486" i="1"/>
  <c r="G1486" i="1"/>
  <c r="H1486" i="1"/>
  <c r="I1486" i="1"/>
  <c r="J1486" i="1"/>
  <c r="K1486" i="1"/>
  <c r="L1486" i="1"/>
  <c r="M1486" i="1"/>
  <c r="F1487" i="1"/>
  <c r="G1487" i="1"/>
  <c r="H1487" i="1"/>
  <c r="I1487" i="1"/>
  <c r="J1487" i="1"/>
  <c r="K1487" i="1"/>
  <c r="L1487" i="1"/>
  <c r="M1487" i="1"/>
  <c r="F1488" i="1"/>
  <c r="G1488" i="1"/>
  <c r="H1488" i="1"/>
  <c r="I1488" i="1"/>
  <c r="J1488" i="1"/>
  <c r="K1488" i="1"/>
  <c r="L1488" i="1"/>
  <c r="M1488" i="1"/>
  <c r="F1489" i="1"/>
  <c r="G1489" i="1"/>
  <c r="H1489" i="1"/>
  <c r="I1489" i="1"/>
  <c r="J1489" i="1"/>
  <c r="K1489" i="1"/>
  <c r="L1489" i="1"/>
  <c r="M1489" i="1"/>
  <c r="F1490" i="1"/>
  <c r="G1490" i="1"/>
  <c r="H1490" i="1"/>
  <c r="I1490" i="1"/>
  <c r="J1490" i="1"/>
  <c r="K1490" i="1"/>
  <c r="L1490" i="1"/>
  <c r="M1490" i="1"/>
  <c r="F1491" i="1"/>
  <c r="G1491" i="1"/>
  <c r="H1491" i="1"/>
  <c r="I1491" i="1"/>
  <c r="J1491" i="1"/>
  <c r="K1491" i="1"/>
  <c r="L1491" i="1"/>
  <c r="M1491" i="1"/>
  <c r="F1492" i="1"/>
  <c r="G1492" i="1"/>
  <c r="H1492" i="1"/>
  <c r="I1492" i="1"/>
  <c r="J1492" i="1"/>
  <c r="K1492" i="1"/>
  <c r="L1492" i="1"/>
  <c r="M1492" i="1"/>
  <c r="F1493" i="1"/>
  <c r="G1493" i="1"/>
  <c r="H1493" i="1"/>
  <c r="I1493" i="1"/>
  <c r="J1493" i="1"/>
  <c r="K1493" i="1"/>
  <c r="L1493" i="1"/>
  <c r="M1493" i="1"/>
  <c r="F1494" i="1"/>
  <c r="G1494" i="1"/>
  <c r="H1494" i="1"/>
  <c r="I1494" i="1"/>
  <c r="J1494" i="1"/>
  <c r="K1494" i="1"/>
  <c r="L1494" i="1"/>
  <c r="M1494" i="1"/>
  <c r="F1495" i="1"/>
  <c r="G1495" i="1"/>
  <c r="H1495" i="1"/>
  <c r="I1495" i="1"/>
  <c r="J1495" i="1"/>
  <c r="K1495" i="1"/>
  <c r="L1495" i="1"/>
  <c r="M1495" i="1"/>
  <c r="F1496" i="1"/>
  <c r="G1496" i="1"/>
  <c r="H1496" i="1"/>
  <c r="I1496" i="1"/>
  <c r="J1496" i="1"/>
  <c r="K1496" i="1"/>
  <c r="L1496" i="1"/>
  <c r="M1496" i="1"/>
  <c r="F1497" i="1"/>
  <c r="G1497" i="1"/>
  <c r="H1497" i="1"/>
  <c r="I1497" i="1"/>
  <c r="J1497" i="1"/>
  <c r="K1497" i="1"/>
  <c r="L1497" i="1"/>
  <c r="M1497" i="1"/>
  <c r="F1498" i="1"/>
  <c r="G1498" i="1"/>
  <c r="H1498" i="1"/>
  <c r="I1498" i="1"/>
  <c r="J1498" i="1"/>
  <c r="K1498" i="1"/>
  <c r="L1498" i="1"/>
  <c r="M1498" i="1"/>
  <c r="F1499" i="1"/>
  <c r="G1499" i="1"/>
  <c r="H1499" i="1"/>
  <c r="I1499" i="1"/>
  <c r="J1499" i="1"/>
  <c r="K1499" i="1"/>
  <c r="L1499" i="1"/>
  <c r="M1499" i="1"/>
  <c r="F1500" i="1"/>
  <c r="G1500" i="1"/>
  <c r="H1500" i="1"/>
  <c r="I1500" i="1"/>
  <c r="J1500" i="1"/>
  <c r="K1500" i="1"/>
  <c r="L1500" i="1"/>
  <c r="M1500" i="1"/>
  <c r="F1501" i="1"/>
  <c r="G1501" i="1"/>
  <c r="H1501" i="1"/>
  <c r="I1501" i="1"/>
  <c r="J1501" i="1"/>
  <c r="K1501" i="1"/>
  <c r="L1501" i="1"/>
  <c r="M1501" i="1"/>
  <c r="F1502" i="1"/>
  <c r="G1502" i="1"/>
  <c r="H1502" i="1"/>
  <c r="I1502" i="1"/>
  <c r="J1502" i="1"/>
  <c r="K1502" i="1"/>
  <c r="L1502" i="1"/>
  <c r="M1502" i="1"/>
  <c r="F1503" i="1"/>
  <c r="G1503" i="1"/>
  <c r="H1503" i="1"/>
  <c r="I1503" i="1"/>
  <c r="J1503" i="1"/>
  <c r="K1503" i="1"/>
  <c r="L1503" i="1"/>
  <c r="M1503" i="1"/>
  <c r="F1504" i="1"/>
  <c r="G1504" i="1"/>
  <c r="H1504" i="1"/>
  <c r="I1504" i="1"/>
  <c r="J1504" i="1"/>
  <c r="K1504" i="1"/>
  <c r="L1504" i="1"/>
  <c r="M1504" i="1"/>
  <c r="F1505" i="1"/>
  <c r="G1505" i="1"/>
  <c r="H1505" i="1"/>
  <c r="I1505" i="1"/>
  <c r="J1505" i="1"/>
  <c r="K1505" i="1"/>
  <c r="L1505" i="1"/>
  <c r="M1505" i="1"/>
  <c r="F1506" i="1"/>
  <c r="G1506" i="1"/>
  <c r="H1506" i="1"/>
  <c r="I1506" i="1"/>
  <c r="J1506" i="1"/>
  <c r="K1506" i="1"/>
  <c r="L1506" i="1"/>
  <c r="M1506" i="1"/>
  <c r="F1507" i="1"/>
  <c r="G1507" i="1"/>
  <c r="H1507" i="1"/>
  <c r="I1507" i="1"/>
  <c r="J1507" i="1"/>
  <c r="K1507" i="1"/>
  <c r="L1507" i="1"/>
  <c r="M1507" i="1"/>
  <c r="F1508" i="1"/>
  <c r="G1508" i="1"/>
  <c r="H1508" i="1"/>
  <c r="I1508" i="1"/>
  <c r="J1508" i="1"/>
  <c r="K1508" i="1"/>
  <c r="L1508" i="1"/>
  <c r="M1508" i="1"/>
  <c r="F1509" i="1"/>
  <c r="G1509" i="1"/>
  <c r="H1509" i="1"/>
  <c r="I1509" i="1"/>
  <c r="J1509" i="1"/>
  <c r="K1509" i="1"/>
  <c r="L1509" i="1"/>
  <c r="M1509" i="1"/>
  <c r="F1510" i="1"/>
  <c r="G1510" i="1"/>
  <c r="H1510" i="1"/>
  <c r="I1510" i="1"/>
  <c r="J1510" i="1"/>
  <c r="K1510" i="1"/>
  <c r="L1510" i="1"/>
  <c r="M1510" i="1"/>
  <c r="F1511" i="1"/>
  <c r="G1511" i="1"/>
  <c r="H1511" i="1"/>
  <c r="I1511" i="1"/>
  <c r="J1511" i="1"/>
  <c r="K1511" i="1"/>
  <c r="L1511" i="1"/>
  <c r="M1511" i="1"/>
  <c r="F1512" i="1"/>
  <c r="G1512" i="1"/>
  <c r="H1512" i="1"/>
  <c r="I1512" i="1"/>
  <c r="J1512" i="1"/>
  <c r="K1512" i="1"/>
  <c r="L1512" i="1"/>
  <c r="M1512" i="1"/>
  <c r="F1513" i="1"/>
  <c r="G1513" i="1"/>
  <c r="H1513" i="1"/>
  <c r="I1513" i="1"/>
  <c r="J1513" i="1"/>
  <c r="K1513" i="1"/>
  <c r="L1513" i="1"/>
  <c r="M1513" i="1"/>
  <c r="F1514" i="1"/>
  <c r="G1514" i="1"/>
  <c r="H1514" i="1"/>
  <c r="I1514" i="1"/>
  <c r="J1514" i="1"/>
  <c r="K1514" i="1"/>
  <c r="L1514" i="1"/>
  <c r="M1514" i="1"/>
  <c r="F1515" i="1"/>
  <c r="G1515" i="1"/>
  <c r="H1515" i="1"/>
  <c r="I1515" i="1"/>
  <c r="J1515" i="1"/>
  <c r="K1515" i="1"/>
  <c r="L1515" i="1"/>
  <c r="M1515" i="1"/>
  <c r="F1516" i="1"/>
  <c r="G1516" i="1"/>
  <c r="H1516" i="1"/>
  <c r="I1516" i="1"/>
  <c r="J1516" i="1"/>
  <c r="K1516" i="1"/>
  <c r="L1516" i="1"/>
  <c r="M1516" i="1"/>
  <c r="F1517" i="1"/>
  <c r="G1517" i="1"/>
  <c r="H1517" i="1"/>
  <c r="I1517" i="1"/>
  <c r="J1517" i="1"/>
  <c r="K1517" i="1"/>
  <c r="L1517" i="1"/>
  <c r="M1517" i="1"/>
  <c r="F1518" i="1"/>
  <c r="G1518" i="1"/>
  <c r="H1518" i="1"/>
  <c r="I1518" i="1"/>
  <c r="J1518" i="1"/>
  <c r="K1518" i="1"/>
  <c r="L1518" i="1"/>
  <c r="M1518" i="1"/>
  <c r="F1519" i="1"/>
  <c r="G1519" i="1"/>
  <c r="H1519" i="1"/>
  <c r="I1519" i="1"/>
  <c r="J1519" i="1"/>
  <c r="K1519" i="1"/>
  <c r="L1519" i="1"/>
  <c r="M1519" i="1"/>
  <c r="F1520" i="1"/>
  <c r="G1520" i="1"/>
  <c r="H1520" i="1"/>
  <c r="I1520" i="1"/>
  <c r="J1520" i="1"/>
  <c r="K1520" i="1"/>
  <c r="L1520" i="1"/>
  <c r="M1520" i="1"/>
  <c r="F1521" i="1"/>
  <c r="G1521" i="1"/>
  <c r="H1521" i="1"/>
  <c r="I1521" i="1"/>
  <c r="J1521" i="1"/>
  <c r="K1521" i="1"/>
  <c r="L1521" i="1"/>
  <c r="M1521" i="1"/>
  <c r="F1522" i="1"/>
  <c r="G1522" i="1"/>
  <c r="H1522" i="1"/>
  <c r="I1522" i="1"/>
  <c r="J1522" i="1"/>
  <c r="K1522" i="1"/>
  <c r="L1522" i="1"/>
  <c r="M1522" i="1"/>
  <c r="F1523" i="1"/>
  <c r="G1523" i="1"/>
  <c r="H1523" i="1"/>
  <c r="I1523" i="1"/>
  <c r="J1523" i="1"/>
  <c r="K1523" i="1"/>
  <c r="L1523" i="1"/>
  <c r="M1523" i="1"/>
  <c r="F1524" i="1"/>
  <c r="G1524" i="1"/>
  <c r="H1524" i="1"/>
  <c r="I1524" i="1"/>
  <c r="J1524" i="1"/>
  <c r="K1524" i="1"/>
  <c r="L1524" i="1"/>
  <c r="M1524" i="1"/>
  <c r="F1525" i="1"/>
  <c r="G1525" i="1"/>
  <c r="H1525" i="1"/>
  <c r="I1525" i="1"/>
  <c r="J1525" i="1"/>
  <c r="K1525" i="1"/>
  <c r="L1525" i="1"/>
  <c r="M1525" i="1"/>
  <c r="F1526" i="1"/>
  <c r="G1526" i="1"/>
  <c r="H1526" i="1"/>
  <c r="I1526" i="1"/>
  <c r="J1526" i="1"/>
  <c r="K1526" i="1"/>
  <c r="L1526" i="1"/>
  <c r="M1526" i="1"/>
  <c r="F1527" i="1"/>
  <c r="G1527" i="1"/>
  <c r="H1527" i="1"/>
  <c r="I1527" i="1"/>
  <c r="J1527" i="1"/>
  <c r="K1527" i="1"/>
  <c r="L1527" i="1"/>
  <c r="M1527" i="1"/>
  <c r="F1528" i="1"/>
  <c r="G1528" i="1"/>
  <c r="H1528" i="1"/>
  <c r="I1528" i="1"/>
  <c r="J1528" i="1"/>
  <c r="K1528" i="1"/>
  <c r="L1528" i="1"/>
  <c r="M1528" i="1"/>
  <c r="F1529" i="1"/>
  <c r="G1529" i="1"/>
  <c r="H1529" i="1"/>
  <c r="I1529" i="1"/>
  <c r="J1529" i="1"/>
  <c r="K1529" i="1"/>
  <c r="L1529" i="1"/>
  <c r="M1529" i="1"/>
  <c r="F1530" i="1"/>
  <c r="G1530" i="1"/>
  <c r="H1530" i="1"/>
  <c r="I1530" i="1"/>
  <c r="J1530" i="1"/>
  <c r="K1530" i="1"/>
  <c r="L1530" i="1"/>
  <c r="M1530" i="1"/>
  <c r="F1531" i="1"/>
  <c r="G1531" i="1"/>
  <c r="H1531" i="1"/>
  <c r="I1531" i="1"/>
  <c r="J1531" i="1"/>
  <c r="K1531" i="1"/>
  <c r="L1531" i="1"/>
  <c r="M1531" i="1"/>
  <c r="F1532" i="1"/>
  <c r="G1532" i="1"/>
  <c r="H1532" i="1"/>
  <c r="I1532" i="1"/>
  <c r="J1532" i="1"/>
  <c r="K1532" i="1"/>
  <c r="L1532" i="1"/>
  <c r="M1532" i="1"/>
  <c r="F1533" i="1"/>
  <c r="G1533" i="1"/>
  <c r="H1533" i="1"/>
  <c r="I1533" i="1"/>
  <c r="J1533" i="1"/>
  <c r="K1533" i="1"/>
  <c r="L1533" i="1"/>
  <c r="M1533" i="1"/>
  <c r="F1534" i="1"/>
  <c r="G1534" i="1"/>
  <c r="H1534" i="1"/>
  <c r="I1534" i="1"/>
  <c r="J1534" i="1"/>
  <c r="K1534" i="1"/>
  <c r="L1534" i="1"/>
  <c r="M1534" i="1"/>
  <c r="F1535" i="1"/>
  <c r="G1535" i="1"/>
  <c r="H1535" i="1"/>
  <c r="I1535" i="1"/>
  <c r="J1535" i="1"/>
  <c r="K1535" i="1"/>
  <c r="L1535" i="1"/>
  <c r="M1535" i="1"/>
  <c r="F1536" i="1"/>
  <c r="G1536" i="1"/>
  <c r="H1536" i="1"/>
  <c r="I1536" i="1"/>
  <c r="J1536" i="1"/>
  <c r="K1536" i="1"/>
  <c r="L1536" i="1"/>
  <c r="M1536" i="1"/>
  <c r="F1537" i="1"/>
  <c r="G1537" i="1"/>
  <c r="H1537" i="1"/>
  <c r="I1537" i="1"/>
  <c r="J1537" i="1"/>
  <c r="K1537" i="1"/>
  <c r="L1537" i="1"/>
  <c r="M1537" i="1"/>
  <c r="F1538" i="1"/>
  <c r="G1538" i="1"/>
  <c r="H1538" i="1"/>
  <c r="I1538" i="1"/>
  <c r="J1538" i="1"/>
  <c r="K1538" i="1"/>
  <c r="L1538" i="1"/>
  <c r="M1538" i="1"/>
  <c r="F1539" i="1"/>
  <c r="G1539" i="1"/>
  <c r="H1539" i="1"/>
  <c r="I1539" i="1"/>
  <c r="J1539" i="1"/>
  <c r="K1539" i="1"/>
  <c r="L1539" i="1"/>
  <c r="M1539" i="1"/>
  <c r="F1540" i="1"/>
  <c r="G1540" i="1"/>
  <c r="H1540" i="1"/>
  <c r="I1540" i="1"/>
  <c r="J1540" i="1"/>
  <c r="K1540" i="1"/>
  <c r="L1540" i="1"/>
  <c r="M1540" i="1"/>
  <c r="F1541" i="1"/>
  <c r="G1541" i="1"/>
  <c r="H1541" i="1"/>
  <c r="I1541" i="1"/>
  <c r="J1541" i="1"/>
  <c r="K1541" i="1"/>
  <c r="L1541" i="1"/>
  <c r="M1541" i="1"/>
  <c r="F1542" i="1"/>
  <c r="G1542" i="1"/>
  <c r="H1542" i="1"/>
  <c r="I1542" i="1"/>
  <c r="J1542" i="1"/>
  <c r="K1542" i="1"/>
  <c r="L1542" i="1"/>
  <c r="M1542" i="1"/>
  <c r="F1543" i="1"/>
  <c r="G1543" i="1"/>
  <c r="H1543" i="1"/>
  <c r="I1543" i="1"/>
  <c r="J1543" i="1"/>
  <c r="K1543" i="1"/>
  <c r="L1543" i="1"/>
  <c r="M1543" i="1"/>
  <c r="F1544" i="1"/>
  <c r="G1544" i="1"/>
  <c r="H1544" i="1"/>
  <c r="I1544" i="1"/>
  <c r="J1544" i="1"/>
  <c r="K1544" i="1"/>
  <c r="L1544" i="1"/>
  <c r="M1544" i="1"/>
  <c r="F1545" i="1"/>
  <c r="G1545" i="1"/>
  <c r="H1545" i="1"/>
  <c r="I1545" i="1"/>
  <c r="J1545" i="1"/>
  <c r="K1545" i="1"/>
  <c r="L1545" i="1"/>
  <c r="M1545" i="1"/>
  <c r="F1546" i="1"/>
  <c r="G1546" i="1"/>
  <c r="H1546" i="1"/>
  <c r="I1546" i="1"/>
  <c r="J1546" i="1"/>
  <c r="K1546" i="1"/>
  <c r="L1546" i="1"/>
  <c r="M1546" i="1"/>
  <c r="F1547" i="1"/>
  <c r="G1547" i="1"/>
  <c r="H1547" i="1"/>
  <c r="I1547" i="1"/>
  <c r="J1547" i="1"/>
  <c r="K1547" i="1"/>
  <c r="L1547" i="1"/>
  <c r="M1547" i="1"/>
  <c r="F1548" i="1"/>
  <c r="G1548" i="1"/>
  <c r="H1548" i="1"/>
  <c r="I1548" i="1"/>
  <c r="J1548" i="1"/>
  <c r="K1548" i="1"/>
  <c r="L1548" i="1"/>
  <c r="M1548" i="1"/>
  <c r="F1549" i="1"/>
  <c r="G1549" i="1"/>
  <c r="H1549" i="1"/>
  <c r="I1549" i="1"/>
  <c r="J1549" i="1"/>
  <c r="K1549" i="1"/>
  <c r="L1549" i="1"/>
  <c r="M1549" i="1"/>
  <c r="F1550" i="1"/>
  <c r="G1550" i="1"/>
  <c r="H1550" i="1"/>
  <c r="I1550" i="1"/>
  <c r="J1550" i="1"/>
  <c r="K1550" i="1"/>
  <c r="L1550" i="1"/>
  <c r="M1550" i="1"/>
  <c r="F1551" i="1"/>
  <c r="G1551" i="1"/>
  <c r="H1551" i="1"/>
  <c r="I1551" i="1"/>
  <c r="J1551" i="1"/>
  <c r="K1551" i="1"/>
  <c r="L1551" i="1"/>
  <c r="M1551" i="1"/>
  <c r="F1552" i="1"/>
  <c r="G1552" i="1"/>
  <c r="H1552" i="1"/>
  <c r="I1552" i="1"/>
  <c r="J1552" i="1"/>
  <c r="K1552" i="1"/>
  <c r="L1552" i="1"/>
  <c r="M1552" i="1"/>
  <c r="F1553" i="1"/>
  <c r="G1553" i="1"/>
  <c r="H1553" i="1"/>
  <c r="I1553" i="1"/>
  <c r="J1553" i="1"/>
  <c r="K1553" i="1"/>
  <c r="L1553" i="1"/>
  <c r="M1553" i="1"/>
  <c r="F1554" i="1"/>
  <c r="G1554" i="1"/>
  <c r="H1554" i="1"/>
  <c r="I1554" i="1"/>
  <c r="J1554" i="1"/>
  <c r="K1554" i="1"/>
  <c r="L1554" i="1"/>
  <c r="M1554" i="1"/>
  <c r="F1555" i="1"/>
  <c r="G1555" i="1"/>
  <c r="H1555" i="1"/>
  <c r="I1555" i="1"/>
  <c r="J1555" i="1"/>
  <c r="K1555" i="1"/>
  <c r="L1555" i="1"/>
  <c r="M1555" i="1"/>
  <c r="F1556" i="1"/>
  <c r="G1556" i="1"/>
  <c r="H1556" i="1"/>
  <c r="I1556" i="1"/>
  <c r="J1556" i="1"/>
  <c r="K1556" i="1"/>
  <c r="L1556" i="1"/>
  <c r="M1556" i="1"/>
  <c r="F1557" i="1"/>
  <c r="G1557" i="1"/>
  <c r="H1557" i="1"/>
  <c r="I1557" i="1"/>
  <c r="J1557" i="1"/>
  <c r="K1557" i="1"/>
  <c r="L1557" i="1"/>
  <c r="M1557" i="1"/>
  <c r="F1558" i="1"/>
  <c r="G1558" i="1"/>
  <c r="H1558" i="1"/>
  <c r="I1558" i="1"/>
  <c r="J1558" i="1"/>
  <c r="K1558" i="1"/>
  <c r="L1558" i="1"/>
  <c r="M1558" i="1"/>
  <c r="F1559" i="1"/>
  <c r="G1559" i="1"/>
  <c r="H1559" i="1"/>
  <c r="I1559" i="1"/>
  <c r="J1559" i="1"/>
  <c r="K1559" i="1"/>
  <c r="L1559" i="1"/>
  <c r="M1559" i="1"/>
  <c r="F1560" i="1"/>
  <c r="G1560" i="1"/>
  <c r="H1560" i="1"/>
  <c r="I1560" i="1"/>
  <c r="J1560" i="1"/>
  <c r="K1560" i="1"/>
  <c r="L1560" i="1"/>
  <c r="M1560" i="1"/>
  <c r="F1561" i="1"/>
  <c r="G1561" i="1"/>
  <c r="H1561" i="1"/>
  <c r="I1561" i="1"/>
  <c r="J1561" i="1"/>
  <c r="K1561" i="1"/>
  <c r="L1561" i="1"/>
  <c r="M1561" i="1"/>
  <c r="F1562" i="1"/>
  <c r="G1562" i="1"/>
  <c r="H1562" i="1"/>
  <c r="I1562" i="1"/>
  <c r="J1562" i="1"/>
  <c r="K1562" i="1"/>
  <c r="L1562" i="1"/>
  <c r="M1562" i="1"/>
  <c r="F1563" i="1"/>
  <c r="G1563" i="1"/>
  <c r="H1563" i="1"/>
  <c r="I1563" i="1"/>
  <c r="J1563" i="1"/>
  <c r="K1563" i="1"/>
  <c r="L1563" i="1"/>
  <c r="M1563" i="1"/>
  <c r="F1564" i="1"/>
  <c r="G1564" i="1"/>
  <c r="H1564" i="1"/>
  <c r="I1564" i="1"/>
  <c r="J1564" i="1"/>
  <c r="K1564" i="1"/>
  <c r="L1564" i="1"/>
  <c r="M1564" i="1"/>
  <c r="F1565" i="1"/>
  <c r="G1565" i="1"/>
  <c r="H1565" i="1"/>
  <c r="I1565" i="1"/>
  <c r="J1565" i="1"/>
  <c r="K1565" i="1"/>
  <c r="L1565" i="1"/>
  <c r="M1565" i="1"/>
  <c r="F1566" i="1"/>
  <c r="G1566" i="1"/>
  <c r="H1566" i="1"/>
  <c r="I1566" i="1"/>
  <c r="J1566" i="1"/>
  <c r="K1566" i="1"/>
  <c r="L1566" i="1"/>
  <c r="M1566" i="1"/>
  <c r="F1567" i="1"/>
  <c r="G1567" i="1"/>
  <c r="H1567" i="1"/>
  <c r="I1567" i="1"/>
  <c r="J1567" i="1"/>
  <c r="K1567" i="1"/>
  <c r="L1567" i="1"/>
  <c r="M1567" i="1"/>
  <c r="F1568" i="1"/>
  <c r="G1568" i="1"/>
  <c r="H1568" i="1"/>
  <c r="I1568" i="1"/>
  <c r="J1568" i="1"/>
  <c r="K1568" i="1"/>
  <c r="L1568" i="1"/>
  <c r="M1568" i="1"/>
  <c r="F1569" i="1"/>
  <c r="G1569" i="1"/>
  <c r="H1569" i="1"/>
  <c r="I1569" i="1"/>
  <c r="J1569" i="1"/>
  <c r="K1569" i="1"/>
  <c r="L1569" i="1"/>
  <c r="M1569" i="1"/>
  <c r="F1570" i="1"/>
  <c r="G1570" i="1"/>
  <c r="H1570" i="1"/>
  <c r="I1570" i="1"/>
  <c r="J1570" i="1"/>
  <c r="K1570" i="1"/>
  <c r="L1570" i="1"/>
  <c r="M1570" i="1"/>
  <c r="F1571" i="1"/>
  <c r="G1571" i="1"/>
  <c r="H1571" i="1"/>
  <c r="I1571" i="1"/>
  <c r="J1571" i="1"/>
  <c r="K1571" i="1"/>
  <c r="L1571" i="1"/>
  <c r="M1571" i="1"/>
  <c r="F1572" i="1"/>
  <c r="G1572" i="1"/>
  <c r="H1572" i="1"/>
  <c r="I1572" i="1"/>
  <c r="J1572" i="1"/>
  <c r="K1572" i="1"/>
  <c r="L1572" i="1"/>
  <c r="M1572" i="1"/>
  <c r="F1573" i="1"/>
  <c r="G1573" i="1"/>
  <c r="H1573" i="1"/>
  <c r="I1573" i="1"/>
  <c r="J1573" i="1"/>
  <c r="K1573" i="1"/>
  <c r="L1573" i="1"/>
  <c r="M1573" i="1"/>
  <c r="F1574" i="1"/>
  <c r="G1574" i="1"/>
  <c r="H1574" i="1"/>
  <c r="I1574" i="1"/>
  <c r="J1574" i="1"/>
  <c r="K1574" i="1"/>
  <c r="L1574" i="1"/>
  <c r="M1574" i="1"/>
  <c r="F1575" i="1"/>
  <c r="G1575" i="1"/>
  <c r="H1575" i="1"/>
  <c r="I1575" i="1"/>
  <c r="J1575" i="1"/>
  <c r="K1575" i="1"/>
  <c r="L1575" i="1"/>
  <c r="M1575" i="1"/>
  <c r="F1576" i="1"/>
  <c r="G1576" i="1"/>
  <c r="H1576" i="1"/>
  <c r="I1576" i="1"/>
  <c r="J1576" i="1"/>
  <c r="K1576" i="1"/>
  <c r="L1576" i="1"/>
  <c r="M1576" i="1"/>
  <c r="F1577" i="1"/>
  <c r="G1577" i="1"/>
  <c r="H1577" i="1"/>
  <c r="I1577" i="1"/>
  <c r="J1577" i="1"/>
  <c r="K1577" i="1"/>
  <c r="L1577" i="1"/>
  <c r="M1577" i="1"/>
  <c r="F1578" i="1"/>
  <c r="G1578" i="1"/>
  <c r="H1578" i="1"/>
  <c r="I1578" i="1"/>
  <c r="J1578" i="1"/>
  <c r="K1578" i="1"/>
  <c r="L1578" i="1"/>
  <c r="M1578" i="1"/>
  <c r="F1579" i="1"/>
  <c r="G1579" i="1"/>
  <c r="H1579" i="1"/>
  <c r="I1579" i="1"/>
  <c r="J1579" i="1"/>
  <c r="K1579" i="1"/>
  <c r="L1579" i="1"/>
  <c r="M1579" i="1"/>
  <c r="F1580" i="1"/>
  <c r="G1580" i="1"/>
  <c r="H1580" i="1"/>
  <c r="I1580" i="1"/>
  <c r="J1580" i="1"/>
  <c r="K1580" i="1"/>
  <c r="L1580" i="1"/>
  <c r="M1580" i="1"/>
  <c r="F1581" i="1"/>
  <c r="G1581" i="1"/>
  <c r="H1581" i="1"/>
  <c r="I1581" i="1"/>
  <c r="J1581" i="1"/>
  <c r="K1581" i="1"/>
  <c r="L1581" i="1"/>
  <c r="M1581" i="1"/>
  <c r="F1582" i="1"/>
  <c r="G1582" i="1"/>
  <c r="H1582" i="1"/>
  <c r="I1582" i="1"/>
  <c r="J1582" i="1"/>
  <c r="K1582" i="1"/>
  <c r="L1582" i="1"/>
  <c r="M1582" i="1"/>
  <c r="F1583" i="1"/>
  <c r="G1583" i="1"/>
  <c r="H1583" i="1"/>
  <c r="I1583" i="1"/>
  <c r="J1583" i="1"/>
  <c r="K1583" i="1"/>
  <c r="L1583" i="1"/>
  <c r="M1583" i="1"/>
  <c r="F1584" i="1"/>
  <c r="G1584" i="1"/>
  <c r="H1584" i="1"/>
  <c r="I1584" i="1"/>
  <c r="J1584" i="1"/>
  <c r="K1584" i="1"/>
  <c r="L1584" i="1"/>
  <c r="M1584" i="1"/>
  <c r="F1585" i="1"/>
  <c r="G1585" i="1"/>
  <c r="H1585" i="1"/>
  <c r="I1585" i="1"/>
  <c r="J1585" i="1"/>
  <c r="K1585" i="1"/>
  <c r="L1585" i="1"/>
  <c r="M1585" i="1"/>
  <c r="F1586" i="1"/>
  <c r="G1586" i="1"/>
  <c r="H1586" i="1"/>
  <c r="I1586" i="1"/>
  <c r="J1586" i="1"/>
  <c r="K1586" i="1"/>
  <c r="L1586" i="1"/>
  <c r="M1586" i="1"/>
  <c r="F1587" i="1"/>
  <c r="G1587" i="1"/>
  <c r="H1587" i="1"/>
  <c r="I1587" i="1"/>
  <c r="J1587" i="1"/>
  <c r="K1587" i="1"/>
  <c r="L1587" i="1"/>
  <c r="M1587" i="1"/>
  <c r="F1588" i="1"/>
  <c r="G1588" i="1"/>
  <c r="H1588" i="1"/>
  <c r="I1588" i="1"/>
  <c r="J1588" i="1"/>
  <c r="K1588" i="1"/>
  <c r="L1588" i="1"/>
  <c r="M1588" i="1"/>
  <c r="F1589" i="1"/>
  <c r="G1589" i="1"/>
  <c r="H1589" i="1"/>
  <c r="I1589" i="1"/>
  <c r="J1589" i="1"/>
  <c r="K1589" i="1"/>
  <c r="L1589" i="1"/>
  <c r="M1589" i="1"/>
  <c r="F1590" i="1"/>
  <c r="G1590" i="1"/>
  <c r="H1590" i="1"/>
  <c r="I1590" i="1"/>
  <c r="J1590" i="1"/>
  <c r="K1590" i="1"/>
  <c r="L1590" i="1"/>
  <c r="M1590" i="1"/>
  <c r="F1591" i="1"/>
  <c r="G1591" i="1"/>
  <c r="H1591" i="1"/>
  <c r="I1591" i="1"/>
  <c r="J1591" i="1"/>
  <c r="K1591" i="1"/>
  <c r="L1591" i="1"/>
  <c r="M1591" i="1"/>
  <c r="F1592" i="1"/>
  <c r="G1592" i="1"/>
  <c r="H1592" i="1"/>
  <c r="I1592" i="1"/>
  <c r="J1592" i="1"/>
  <c r="K1592" i="1"/>
  <c r="L1592" i="1"/>
  <c r="M1592" i="1"/>
  <c r="F1593" i="1"/>
  <c r="G1593" i="1"/>
  <c r="H1593" i="1"/>
  <c r="I1593" i="1"/>
  <c r="J1593" i="1"/>
  <c r="K1593" i="1"/>
  <c r="L1593" i="1"/>
  <c r="M1593" i="1"/>
  <c r="F1594" i="1"/>
  <c r="G1594" i="1"/>
  <c r="H1594" i="1"/>
  <c r="I1594" i="1"/>
  <c r="J1594" i="1"/>
  <c r="K1594" i="1"/>
  <c r="L1594" i="1"/>
  <c r="M1594" i="1"/>
  <c r="F1595" i="1"/>
  <c r="G1595" i="1"/>
  <c r="H1595" i="1"/>
  <c r="I1595" i="1"/>
  <c r="J1595" i="1"/>
  <c r="K1595" i="1"/>
  <c r="L1595" i="1"/>
  <c r="M1595" i="1"/>
  <c r="F1596" i="1"/>
  <c r="G1596" i="1"/>
  <c r="H1596" i="1"/>
  <c r="I1596" i="1"/>
  <c r="J1596" i="1"/>
  <c r="K1596" i="1"/>
  <c r="L1596" i="1"/>
  <c r="M1596" i="1"/>
  <c r="F1597" i="1"/>
  <c r="G1597" i="1"/>
  <c r="H1597" i="1"/>
  <c r="I1597" i="1"/>
  <c r="J1597" i="1"/>
  <c r="K1597" i="1"/>
  <c r="L1597" i="1"/>
  <c r="M1597" i="1"/>
  <c r="F1598" i="1"/>
  <c r="G1598" i="1"/>
  <c r="H1598" i="1"/>
  <c r="I1598" i="1"/>
  <c r="J1598" i="1"/>
  <c r="K1598" i="1"/>
  <c r="L1598" i="1"/>
  <c r="M1598" i="1"/>
  <c r="F1599" i="1"/>
  <c r="G1599" i="1"/>
  <c r="H1599" i="1"/>
  <c r="I1599" i="1"/>
  <c r="J1599" i="1"/>
  <c r="K1599" i="1"/>
  <c r="L1599" i="1"/>
  <c r="M1599" i="1"/>
  <c r="F1600" i="1"/>
  <c r="G1600" i="1"/>
  <c r="H1600" i="1"/>
  <c r="I1600" i="1"/>
  <c r="J1600" i="1"/>
  <c r="K1600" i="1"/>
  <c r="L1600" i="1"/>
  <c r="M1600" i="1"/>
  <c r="F1601" i="1"/>
  <c r="G1601" i="1"/>
  <c r="H1601" i="1"/>
  <c r="I1601" i="1"/>
  <c r="J1601" i="1"/>
  <c r="K1601" i="1"/>
  <c r="L1601" i="1"/>
  <c r="M1601" i="1"/>
  <c r="F1602" i="1"/>
  <c r="G1602" i="1"/>
  <c r="H1602" i="1"/>
  <c r="I1602" i="1"/>
  <c r="J1602" i="1"/>
  <c r="K1602" i="1"/>
  <c r="L1602" i="1"/>
  <c r="M1602" i="1"/>
  <c r="F1603" i="1"/>
  <c r="G1603" i="1"/>
  <c r="H1603" i="1"/>
  <c r="I1603" i="1"/>
  <c r="J1603" i="1"/>
  <c r="K1603" i="1"/>
  <c r="L1603" i="1"/>
  <c r="M1603" i="1"/>
  <c r="F1604" i="1"/>
  <c r="G1604" i="1"/>
  <c r="H1604" i="1"/>
  <c r="I1604" i="1"/>
  <c r="J1604" i="1"/>
  <c r="K1604" i="1"/>
  <c r="L1604" i="1"/>
  <c r="M1604" i="1"/>
  <c r="F1605" i="1"/>
  <c r="G1605" i="1"/>
  <c r="H1605" i="1"/>
  <c r="I1605" i="1"/>
  <c r="J1605" i="1"/>
  <c r="K1605" i="1"/>
  <c r="L1605" i="1"/>
  <c r="M1605" i="1"/>
  <c r="F1606" i="1"/>
  <c r="G1606" i="1"/>
  <c r="H1606" i="1"/>
  <c r="I1606" i="1"/>
  <c r="J1606" i="1"/>
  <c r="K1606" i="1"/>
  <c r="L1606" i="1"/>
  <c r="M1606" i="1"/>
  <c r="F1607" i="1"/>
  <c r="G1607" i="1"/>
  <c r="H1607" i="1"/>
  <c r="I1607" i="1"/>
  <c r="J1607" i="1"/>
  <c r="K1607" i="1"/>
  <c r="L1607" i="1"/>
  <c r="M1607" i="1"/>
  <c r="F1608" i="1"/>
  <c r="G1608" i="1"/>
  <c r="H1608" i="1"/>
  <c r="I1608" i="1"/>
  <c r="J1608" i="1"/>
  <c r="K1608" i="1"/>
  <c r="L1608" i="1"/>
  <c r="M1608" i="1"/>
  <c r="F1609" i="1"/>
  <c r="G1609" i="1"/>
  <c r="H1609" i="1"/>
  <c r="I1609" i="1"/>
  <c r="J1609" i="1"/>
  <c r="K1609" i="1"/>
  <c r="L1609" i="1"/>
  <c r="M1609" i="1"/>
  <c r="F1610" i="1"/>
  <c r="G1610" i="1"/>
  <c r="H1610" i="1"/>
  <c r="I1610" i="1"/>
  <c r="J1610" i="1"/>
  <c r="K1610" i="1"/>
  <c r="L1610" i="1"/>
  <c r="M1610" i="1"/>
  <c r="F1611" i="1"/>
  <c r="G1611" i="1"/>
  <c r="H1611" i="1"/>
  <c r="I1611" i="1"/>
  <c r="J1611" i="1"/>
  <c r="K1611" i="1"/>
  <c r="M1611" i="1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J6" i="8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J3" i="8" l="1"/>
  <c r="J4" i="8"/>
  <c r="J5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K2" i="8" l="1"/>
  <c r="K139" i="8" l="1"/>
  <c r="K127" i="8"/>
  <c r="K115" i="8"/>
  <c r="K103" i="8"/>
  <c r="K91" i="8"/>
  <c r="K79" i="8"/>
  <c r="K67" i="8"/>
  <c r="K55" i="8"/>
  <c r="K43" i="8"/>
  <c r="K138" i="8"/>
  <c r="K126" i="8"/>
  <c r="K114" i="8"/>
  <c r="K102" i="8"/>
  <c r="K90" i="8"/>
  <c r="K78" i="8"/>
  <c r="K66" i="8"/>
  <c r="K54" i="8"/>
  <c r="K42" i="8"/>
  <c r="K137" i="8"/>
  <c r="K125" i="8"/>
  <c r="K113" i="8"/>
  <c r="K101" i="8"/>
  <c r="K89" i="8"/>
  <c r="K77" i="8"/>
  <c r="K65" i="8"/>
  <c r="K53" i="8"/>
  <c r="K41" i="8"/>
  <c r="K136" i="8"/>
  <c r="K124" i="8"/>
  <c r="K112" i="8"/>
  <c r="K100" i="8"/>
  <c r="K88" i="8"/>
  <c r="K76" i="8"/>
  <c r="K64" i="8"/>
  <c r="K52" i="8"/>
  <c r="K40" i="8"/>
  <c r="K30" i="8"/>
  <c r="K24" i="8"/>
  <c r="K18" i="8"/>
  <c r="K12" i="8"/>
  <c r="K6" i="8"/>
  <c r="K135" i="8"/>
  <c r="K123" i="8"/>
  <c r="K111" i="8"/>
  <c r="K99" i="8"/>
  <c r="K87" i="8"/>
  <c r="K75" i="8"/>
  <c r="K63" i="8"/>
  <c r="K51" i="8"/>
  <c r="K39" i="8"/>
  <c r="K146" i="8"/>
  <c r="K134" i="8"/>
  <c r="K122" i="8"/>
  <c r="K110" i="8"/>
  <c r="K98" i="8"/>
  <c r="K86" i="8"/>
  <c r="K74" i="8"/>
  <c r="K62" i="8"/>
  <c r="K50" i="8"/>
  <c r="K38" i="8"/>
  <c r="K145" i="8"/>
  <c r="K133" i="8"/>
  <c r="K121" i="8"/>
  <c r="K109" i="8"/>
  <c r="K97" i="8"/>
  <c r="K85" i="8"/>
  <c r="K73" i="8"/>
  <c r="K61" i="8"/>
  <c r="K49" i="8"/>
  <c r="K37" i="8"/>
  <c r="K144" i="8"/>
  <c r="K132" i="8"/>
  <c r="K120" i="8"/>
  <c r="K108" i="8"/>
  <c r="K96" i="8"/>
  <c r="K84" i="8"/>
  <c r="K72" i="8"/>
  <c r="K60" i="8"/>
  <c r="K48" i="8"/>
  <c r="K36" i="8"/>
  <c r="K28" i="8"/>
  <c r="K22" i="8"/>
  <c r="K16" i="8"/>
  <c r="K10" i="8"/>
  <c r="K4" i="8"/>
  <c r="K143" i="8"/>
  <c r="K131" i="8"/>
  <c r="K119" i="8"/>
  <c r="K107" i="8"/>
  <c r="K95" i="8"/>
  <c r="K83" i="8"/>
  <c r="K71" i="8"/>
  <c r="K59" i="8"/>
  <c r="K47" i="8"/>
  <c r="K35" i="8"/>
  <c r="K142" i="8"/>
  <c r="K130" i="8"/>
  <c r="K118" i="8"/>
  <c r="K106" i="8"/>
  <c r="K94" i="8"/>
  <c r="K82" i="8"/>
  <c r="K70" i="8"/>
  <c r="K58" i="8"/>
  <c r="K46" i="8"/>
  <c r="K34" i="8"/>
  <c r="K141" i="8"/>
  <c r="K129" i="8"/>
  <c r="K117" i="8"/>
  <c r="K105" i="8"/>
  <c r="K93" i="8"/>
  <c r="K81" i="8"/>
  <c r="K69" i="8"/>
  <c r="K57" i="8"/>
  <c r="K45" i="8"/>
  <c r="K33" i="8"/>
  <c r="K140" i="8"/>
  <c r="K128" i="8"/>
  <c r="K116" i="8"/>
  <c r="K104" i="8"/>
  <c r="K92" i="8"/>
  <c r="K80" i="8"/>
  <c r="K68" i="8"/>
  <c r="K56" i="8"/>
  <c r="K44" i="8"/>
  <c r="K32" i="8"/>
  <c r="K26" i="8"/>
  <c r="K20" i="8"/>
  <c r="K14" i="8"/>
  <c r="K8" i="8"/>
  <c r="K31" i="8"/>
  <c r="K29" i="8"/>
  <c r="K27" i="8"/>
  <c r="K25" i="8"/>
  <c r="K23" i="8"/>
  <c r="K21" i="8"/>
  <c r="K19" i="8"/>
  <c r="K17" i="8"/>
  <c r="K15" i="8"/>
  <c r="K13" i="8"/>
  <c r="K11" i="8"/>
  <c r="K9" i="8"/>
  <c r="K7" i="8"/>
  <c r="K5" i="8"/>
  <c r="K3" i="8"/>
</calcChain>
</file>

<file path=xl/sharedStrings.xml><?xml version="1.0" encoding="utf-8"?>
<sst xmlns="http://schemas.openxmlformats.org/spreadsheetml/2006/main" count="10967" uniqueCount="1678">
  <si>
    <t>TS_NAME</t>
  </si>
  <si>
    <t>CS NORTH MINAHASA</t>
  </si>
  <si>
    <t>SE_NAME</t>
  </si>
  <si>
    <t>1-179956096674</t>
  </si>
  <si>
    <t>1-179957288290</t>
  </si>
  <si>
    <t>1-179957290903</t>
  </si>
  <si>
    <t>RETAILER_NAME</t>
  </si>
  <si>
    <t>RETAILER_QR CODE</t>
  </si>
  <si>
    <t>RETAILER_TYPE</t>
  </si>
  <si>
    <t>DIPAN CELL</t>
  </si>
  <si>
    <t>Outlet Regular</t>
  </si>
  <si>
    <t>Juniver cell</t>
  </si>
  <si>
    <t>Ansi cell</t>
  </si>
  <si>
    <t>Qian Qian Cell</t>
  </si>
  <si>
    <t>C2w cell</t>
  </si>
  <si>
    <t>Outlet Non-Telco</t>
  </si>
  <si>
    <t>CGS CELL</t>
  </si>
  <si>
    <t>KLABAT JAYA CELL</t>
  </si>
  <si>
    <t>JESIKA CELL</t>
  </si>
  <si>
    <t>TRIPLE M CELL</t>
  </si>
  <si>
    <t>Doax Cell</t>
  </si>
  <si>
    <t>Johanis Cell</t>
  </si>
  <si>
    <t>Ike CELL</t>
  </si>
  <si>
    <t>Outlet KRO</t>
  </si>
  <si>
    <t>AUDREY CELL</t>
  </si>
  <si>
    <t>Acox Pulsa</t>
  </si>
  <si>
    <t>Kios Mba Rati</t>
  </si>
  <si>
    <t>Acox Link</t>
  </si>
  <si>
    <t>The The Cell</t>
  </si>
  <si>
    <t>Shield Cell</t>
  </si>
  <si>
    <t>jefik cell</t>
  </si>
  <si>
    <t>Nab cell 1</t>
  </si>
  <si>
    <t>Blesing cell</t>
  </si>
  <si>
    <t>Dipan Cell Matungkas</t>
  </si>
  <si>
    <t>CHA CHA CELL MATUNGKAS</t>
  </si>
  <si>
    <t>JMW CELL</t>
  </si>
  <si>
    <t>Fai cell 2</t>
  </si>
  <si>
    <t>ALIBABA CELL</t>
  </si>
  <si>
    <t>DR CELL</t>
  </si>
  <si>
    <t>BERKAT INDAH CELL</t>
  </si>
  <si>
    <t>QALBI  CELL</t>
  </si>
  <si>
    <t>Loni cell</t>
  </si>
  <si>
    <t>BALERINNA CELL</t>
  </si>
  <si>
    <t>KIOS NADYA</t>
  </si>
  <si>
    <t>Dinda Celll</t>
  </si>
  <si>
    <t>Hikma ponsel</t>
  </si>
  <si>
    <t>Mitra A2</t>
  </si>
  <si>
    <t>ALEYA CELL</t>
  </si>
  <si>
    <t>KIOS TASYA</t>
  </si>
  <si>
    <t>Bless Cell</t>
  </si>
  <si>
    <t>Ribby Cell</t>
  </si>
  <si>
    <t>DENTHA CELL</t>
  </si>
  <si>
    <t>keren moren cell</t>
  </si>
  <si>
    <t>KLABAT  CELL</t>
  </si>
  <si>
    <t>Blessed cell</t>
  </si>
  <si>
    <t>aurel cell</t>
  </si>
  <si>
    <t>DZIKRA CELL</t>
  </si>
  <si>
    <t>marques cell</t>
  </si>
  <si>
    <t>Mantari Cell</t>
  </si>
  <si>
    <t>Kuffy Cell</t>
  </si>
  <si>
    <t>Ayang Cell</t>
  </si>
  <si>
    <t>KEENAN CELL</t>
  </si>
  <si>
    <t>NIZMA CELL</t>
  </si>
  <si>
    <t>Alchris Cell</t>
  </si>
  <si>
    <t>Kios Saudara 03 Cell</t>
  </si>
  <si>
    <t>Sweet Cell</t>
  </si>
  <si>
    <t>bellvaido cell</t>
  </si>
  <si>
    <t>Crisilia Cell</t>
  </si>
  <si>
    <t>PELANGI CELL</t>
  </si>
  <si>
    <t>SH004093</t>
  </si>
  <si>
    <t>QALBI 2 CELL</t>
  </si>
  <si>
    <t>SH007991</t>
  </si>
  <si>
    <t>SH010548</t>
  </si>
  <si>
    <t>DZIKRA CELL KAUDITAN</t>
  </si>
  <si>
    <t>SH011477</t>
  </si>
  <si>
    <t>Club cell</t>
  </si>
  <si>
    <t>Zall Cell</t>
  </si>
  <si>
    <t>Niks cell</t>
  </si>
  <si>
    <t>DAP CELL</t>
  </si>
  <si>
    <t>Dhivaa cell</t>
  </si>
  <si>
    <t>Ria Cell</t>
  </si>
  <si>
    <t>Mandiri jaya cell</t>
  </si>
  <si>
    <t>ALhafiz cell</t>
  </si>
  <si>
    <t>Purple Cell</t>
  </si>
  <si>
    <t>Jefone cell</t>
  </si>
  <si>
    <t>Atan cell</t>
  </si>
  <si>
    <t>Fred cell</t>
  </si>
  <si>
    <t>NYOMAN CELL</t>
  </si>
  <si>
    <t>3 V</t>
  </si>
  <si>
    <t>PRIMA CELL</t>
  </si>
  <si>
    <t>Monalisa Cell</t>
  </si>
  <si>
    <t>Naldy cell</t>
  </si>
  <si>
    <t>COCO CELL</t>
  </si>
  <si>
    <t>Rey Cell</t>
  </si>
  <si>
    <t>HAWE Cell</t>
  </si>
  <si>
    <t>Yunita Cell</t>
  </si>
  <si>
    <t>Eliana Cell</t>
  </si>
  <si>
    <t>INDRA CELL</t>
  </si>
  <si>
    <t>Djeiske cell</t>
  </si>
  <si>
    <t>Bontel Cell</t>
  </si>
  <si>
    <t>nyox cell</t>
  </si>
  <si>
    <t>hermon cell</t>
  </si>
  <si>
    <t>kios honey cell</t>
  </si>
  <si>
    <t>MilanQueen</t>
  </si>
  <si>
    <t>FR3S Cell</t>
  </si>
  <si>
    <t>2 putra</t>
  </si>
  <si>
    <t>carter cell</t>
  </si>
  <si>
    <t>Floria cell</t>
  </si>
  <si>
    <t>CRP Cell</t>
  </si>
  <si>
    <t>KK STORE</t>
  </si>
  <si>
    <t>Prisilia Cell</t>
  </si>
  <si>
    <t>EL333 cell</t>
  </si>
  <si>
    <t>Asia Jaya Cell</t>
  </si>
  <si>
    <t>SH009121</t>
  </si>
  <si>
    <t>Sellin Sp 3GB</t>
  </si>
  <si>
    <t>OSA KPI</t>
  </si>
  <si>
    <t>Outlet Code</t>
  </si>
  <si>
    <t>Outlet Name</t>
  </si>
  <si>
    <t>SSO Biometric</t>
  </si>
  <si>
    <t>Hit 1.5 Jam Outlet Promotor</t>
  </si>
  <si>
    <t>Baseline</t>
  </si>
  <si>
    <t>Incremental</t>
  </si>
  <si>
    <t>DSE Code</t>
  </si>
  <si>
    <t>Visit 1,5 Jam</t>
  </si>
  <si>
    <t>Target Sellin SP3GB</t>
  </si>
  <si>
    <t>Sellin SP3GB LMTD</t>
  </si>
  <si>
    <t>OSA KPI LMTD</t>
  </si>
  <si>
    <t>Sellin SP3GB MTD</t>
  </si>
  <si>
    <t>OSA KPI MTD</t>
  </si>
  <si>
    <t>BIO LMTD</t>
  </si>
  <si>
    <t>BIO MTD</t>
  </si>
  <si>
    <t>Target INCREMENTAL</t>
  </si>
  <si>
    <t>Target VISIT</t>
  </si>
  <si>
    <t>3pcs</t>
  </si>
  <si>
    <t>Selisih</t>
  </si>
  <si>
    <t>RUS</t>
  </si>
  <si>
    <t>1-154939061873</t>
  </si>
  <si>
    <t>2-0012322494</t>
  </si>
  <si>
    <t>SH008954</t>
  </si>
  <si>
    <t>TS NAME</t>
  </si>
  <si>
    <t>1-136038373036</t>
  </si>
  <si>
    <t>1-172128413157</t>
  </si>
  <si>
    <t>1-181212542181</t>
  </si>
  <si>
    <t>1-181214637141</t>
  </si>
  <si>
    <t>2-0012322492</t>
  </si>
  <si>
    <t>2-0012322582</t>
  </si>
  <si>
    <t>2-0012322596</t>
  </si>
  <si>
    <t>1-136031887438</t>
  </si>
  <si>
    <t>1-136031887490</t>
  </si>
  <si>
    <t>1-136038372880</t>
  </si>
  <si>
    <t>1-136038372906</t>
  </si>
  <si>
    <t>1-136038372984</t>
  </si>
  <si>
    <t>1-28825219535</t>
  </si>
  <si>
    <t>1-28825219539</t>
  </si>
  <si>
    <t>1-28825219541</t>
  </si>
  <si>
    <t>1-28825219547</t>
  </si>
  <si>
    <t>1-28825219551</t>
  </si>
  <si>
    <t>1-28825219555</t>
  </si>
  <si>
    <t>2-0012322602</t>
  </si>
  <si>
    <t>TIAN CELL</t>
  </si>
  <si>
    <t>Kairos cell</t>
  </si>
  <si>
    <t>Christ Cell</t>
  </si>
  <si>
    <t>Imanuel Cell</t>
  </si>
  <si>
    <t>Twins Cell</t>
  </si>
  <si>
    <t>PUTRI CELL</t>
  </si>
  <si>
    <t>Bella Cell</t>
  </si>
  <si>
    <t>Daniel Cell</t>
  </si>
  <si>
    <t>mey cell</t>
  </si>
  <si>
    <t>Savior Cell</t>
  </si>
  <si>
    <t>RANIA CELL</t>
  </si>
  <si>
    <t>ESTER CELL</t>
  </si>
  <si>
    <t>SEAN CELL</t>
  </si>
  <si>
    <t>KENZO CELL</t>
  </si>
  <si>
    <t>77 cell</t>
  </si>
  <si>
    <t>MARIA CELL</t>
  </si>
  <si>
    <t>BLESSING CELL</t>
  </si>
  <si>
    <t>Mikha Cell</t>
  </si>
  <si>
    <t>SELIN CELL</t>
  </si>
  <si>
    <t>ICHA CELL</t>
  </si>
  <si>
    <t>MICHAELA CELL</t>
  </si>
  <si>
    <t>M3T CELL</t>
  </si>
  <si>
    <t>CLEMENT CELL</t>
  </si>
  <si>
    <t>KARUNIA JAYA</t>
  </si>
  <si>
    <t>Arsyil Cell</t>
  </si>
  <si>
    <t>CHINO STAR</t>
  </si>
  <si>
    <t>TIMOR CELL</t>
  </si>
  <si>
    <t>Eleanata cell</t>
  </si>
  <si>
    <t>chantik cell</t>
  </si>
  <si>
    <t>Vania Cell</t>
  </si>
  <si>
    <t>WARUNG LOLOMBULAN 02</t>
  </si>
  <si>
    <t>WARUNG LOLOMBULAN 1</t>
  </si>
  <si>
    <t>AR CELL</t>
  </si>
  <si>
    <t>FRISKA CELL</t>
  </si>
  <si>
    <t>Eleanor</t>
  </si>
  <si>
    <t>Glo cell</t>
  </si>
  <si>
    <t>SYALOM CELL</t>
  </si>
  <si>
    <t>INFINITE CELL</t>
  </si>
  <si>
    <t>zheand cell</t>
  </si>
  <si>
    <t>BGL Cell</t>
  </si>
  <si>
    <t>Simpangan Cell</t>
  </si>
  <si>
    <t>JEIN CELL</t>
  </si>
  <si>
    <t>MICHELLA CELL</t>
  </si>
  <si>
    <t>Bersinar Pulsa</t>
  </si>
  <si>
    <t>MICHA CELL</t>
  </si>
  <si>
    <t>FRONA CELL</t>
  </si>
  <si>
    <t>MIMING CELL</t>
  </si>
  <si>
    <t>Anugerah Cell 2</t>
  </si>
  <si>
    <t>Swift Cell</t>
  </si>
  <si>
    <t>Jayden cell 2</t>
  </si>
  <si>
    <t>MARC  CELL</t>
  </si>
  <si>
    <t>Slank Cell</t>
  </si>
  <si>
    <t>Blessia cell</t>
  </si>
  <si>
    <t>FIOR CELL</t>
  </si>
  <si>
    <t>Eva Cell</t>
  </si>
  <si>
    <t>Queensha cell</t>
  </si>
  <si>
    <t>Nortje cell</t>
  </si>
  <si>
    <t>2 PUTRA CELL</t>
  </si>
  <si>
    <t>NFC CELL</t>
  </si>
  <si>
    <t>Jonathan Cell</t>
  </si>
  <si>
    <t>Jocelin Cell</t>
  </si>
  <si>
    <t>Praisy Cell</t>
  </si>
  <si>
    <t>ESTERLITA CELL</t>
  </si>
  <si>
    <t>OKSPEL CELL</t>
  </si>
  <si>
    <t>klip cell</t>
  </si>
  <si>
    <t>Kaken Cell</t>
  </si>
  <si>
    <t>ARC Cell</t>
  </si>
  <si>
    <t>cathline cell</t>
  </si>
  <si>
    <t>cantia cell</t>
  </si>
  <si>
    <t>KENKIN CELL</t>
  </si>
  <si>
    <t>invininite 88 cell</t>
  </si>
  <si>
    <t>ELVIRA CELL</t>
  </si>
  <si>
    <t>nayabi cell</t>
  </si>
  <si>
    <t>VR cell</t>
  </si>
  <si>
    <t>STELLA CELL</t>
  </si>
  <si>
    <t>Arayna cell</t>
  </si>
  <si>
    <t>Gef cell</t>
  </si>
  <si>
    <t>kaim cell</t>
  </si>
  <si>
    <t>wewene 1</t>
  </si>
  <si>
    <t>Tuama 2</t>
  </si>
  <si>
    <t>wewene 2</t>
  </si>
  <si>
    <t>ElviRoy Cell</t>
  </si>
  <si>
    <t>fong cell</t>
  </si>
  <si>
    <t>ELJIRO CELL</t>
  </si>
  <si>
    <t>Tiga Matuari cell</t>
  </si>
  <si>
    <t>SANDRA CELL</t>
  </si>
  <si>
    <t>Kecia Cell</t>
  </si>
  <si>
    <t>BERKAT CELL</t>
  </si>
  <si>
    <t>LATISHA CELL</t>
  </si>
  <si>
    <t>PSC Cell</t>
  </si>
  <si>
    <t>Kimberly Cell</t>
  </si>
  <si>
    <t>Novel Cell</t>
  </si>
  <si>
    <t>DUA PUTRI CELL</t>
  </si>
  <si>
    <t>eca cell</t>
  </si>
  <si>
    <t>omecos cell</t>
  </si>
  <si>
    <t>KIM Cell</t>
  </si>
  <si>
    <t>Annisa cell</t>
  </si>
  <si>
    <t>Nippon Cell</t>
  </si>
  <si>
    <t>Ikha cell</t>
  </si>
  <si>
    <t>RFF CELL</t>
  </si>
  <si>
    <t>ROFY CELL</t>
  </si>
  <si>
    <t>Nyx Cell</t>
  </si>
  <si>
    <t>Kerisa Cell</t>
  </si>
  <si>
    <t>Double M Cell</t>
  </si>
  <si>
    <t>RGL Cell</t>
  </si>
  <si>
    <t>Garean Cell</t>
  </si>
  <si>
    <t>WILLI CELL</t>
  </si>
  <si>
    <t>MERLINA CELL</t>
  </si>
  <si>
    <t>ENJOY CELL</t>
  </si>
  <si>
    <t>VENVEN CELL</t>
  </si>
  <si>
    <t>SEBATIK CELL</t>
  </si>
  <si>
    <t>ACSEL CELL</t>
  </si>
  <si>
    <t>Christian Cell</t>
  </si>
  <si>
    <t>GRACIA CELL</t>
  </si>
  <si>
    <t>Prime Cell</t>
  </si>
  <si>
    <t>Mika Cell</t>
  </si>
  <si>
    <t>Meisya Cell</t>
  </si>
  <si>
    <t>Ezra Cell</t>
  </si>
  <si>
    <t>Intan Lestari</t>
  </si>
  <si>
    <t>ABIAN CELL</t>
  </si>
  <si>
    <t>ASO CELL</t>
  </si>
  <si>
    <t>FITRI CELL</t>
  </si>
  <si>
    <t>aisyah</t>
  </si>
  <si>
    <t>alpin cell</t>
  </si>
  <si>
    <t>Celluna Cell</t>
  </si>
  <si>
    <t>azel cell</t>
  </si>
  <si>
    <t>Yunita 1 Cell</t>
  </si>
  <si>
    <t>FATIYAH CELL</t>
  </si>
  <si>
    <t>BOBI CELL</t>
  </si>
  <si>
    <t>WAHID 1 CELL</t>
  </si>
  <si>
    <t>DEWA CELL</t>
  </si>
  <si>
    <t>Michel cell</t>
  </si>
  <si>
    <t>RIZKY CELL LEMBEH</t>
  </si>
  <si>
    <t>KHIAZ CELL</t>
  </si>
  <si>
    <t>MADURA CELL</t>
  </si>
  <si>
    <t>MARINA CELL</t>
  </si>
  <si>
    <t>AHMAD CELL</t>
  </si>
  <si>
    <t>HAZEL</t>
  </si>
  <si>
    <t>FAULA CELL</t>
  </si>
  <si>
    <t>RAVHEENA CELL</t>
  </si>
  <si>
    <t>M23 Cell</t>
  </si>
  <si>
    <t>alfa cell</t>
  </si>
  <si>
    <t>syane cell</t>
  </si>
  <si>
    <t>sucai cell</t>
  </si>
  <si>
    <t>AFIFAH LEMBEH</t>
  </si>
  <si>
    <t>Baim cell</t>
  </si>
  <si>
    <t>Hazel 2 cell</t>
  </si>
  <si>
    <t>Cermita  cell</t>
  </si>
  <si>
    <t>Arrayan cell</t>
  </si>
  <si>
    <t>Dinan cel</t>
  </si>
  <si>
    <t>Indira cell</t>
  </si>
  <si>
    <t>ALFIAN CELL</t>
  </si>
  <si>
    <t>Paceda Cell</t>
  </si>
  <si>
    <t>Xp Cell</t>
  </si>
  <si>
    <t>MARCEL cell</t>
  </si>
  <si>
    <t>Baitel Cell</t>
  </si>
  <si>
    <t>Bonek Cell</t>
  </si>
  <si>
    <t>Jefry Cell</t>
  </si>
  <si>
    <t>Arbie cell</t>
  </si>
  <si>
    <t>Riri Cell</t>
  </si>
  <si>
    <t>GBU Cell</t>
  </si>
  <si>
    <t>KENSHINE CELL</t>
  </si>
  <si>
    <t>filea grace</t>
  </si>
  <si>
    <t>gerson</t>
  </si>
  <si>
    <t>stenly cell</t>
  </si>
  <si>
    <t>Chim cell</t>
  </si>
  <si>
    <t>EXEL CELL</t>
  </si>
  <si>
    <t>ISMI ISTI 2 CELL</t>
  </si>
  <si>
    <t>acha cell</t>
  </si>
  <si>
    <t>INDO RIAN CELL</t>
  </si>
  <si>
    <t>AVILL CELL</t>
  </si>
  <si>
    <t>AIRA CELL</t>
  </si>
  <si>
    <t>BU LEK SISKA</t>
  </si>
  <si>
    <t>PETARUNG CELL</t>
  </si>
  <si>
    <t>Fatimah cell</t>
  </si>
  <si>
    <t>KIFLY CELL</t>
  </si>
  <si>
    <t>Rahmatia Cell</t>
  </si>
  <si>
    <t>INCEN CELL</t>
  </si>
  <si>
    <t>R7 Cell</t>
  </si>
  <si>
    <t>SUMBER BERKAT CELL</t>
  </si>
  <si>
    <t>kios fitri</t>
  </si>
  <si>
    <t>JAPAR CELL</t>
  </si>
  <si>
    <t>Shaw cell</t>
  </si>
  <si>
    <t>Gween Cell</t>
  </si>
  <si>
    <t>Fail Cell</t>
  </si>
  <si>
    <t>alhamid</t>
  </si>
  <si>
    <t>dewi ling cell</t>
  </si>
  <si>
    <t>Fathir Cell</t>
  </si>
  <si>
    <t>Zheila Cell</t>
  </si>
  <si>
    <t>Al Qadry Cell</t>
  </si>
  <si>
    <t>Goan Cell</t>
  </si>
  <si>
    <t>bitung mart</t>
  </si>
  <si>
    <t>meily cell</t>
  </si>
  <si>
    <t>JANET CELL</t>
  </si>
  <si>
    <t>Fitrihani Cell</t>
  </si>
  <si>
    <t>BLUE RED CELL</t>
  </si>
  <si>
    <t>TERSERAH CELL</t>
  </si>
  <si>
    <t>UD CHRISTA</t>
  </si>
  <si>
    <t>Pabo Cell</t>
  </si>
  <si>
    <t>Aaron cell</t>
  </si>
  <si>
    <t>bali</t>
  </si>
  <si>
    <t>Nella cell</t>
  </si>
  <si>
    <t>Abet cell</t>
  </si>
  <si>
    <t>shanjeeda cell</t>
  </si>
  <si>
    <t>ZHAFRAN</t>
  </si>
  <si>
    <t>IKRAM CELL</t>
  </si>
  <si>
    <t>ANGGI GILAN</t>
  </si>
  <si>
    <t>CHENZIRA CELL</t>
  </si>
  <si>
    <t>KACONK CELL</t>
  </si>
  <si>
    <t>KIOS AL</t>
  </si>
  <si>
    <t>RAHMADANI CELL</t>
  </si>
  <si>
    <t>CHELAN CELL</t>
  </si>
  <si>
    <t>Pokemon Cell</t>
  </si>
  <si>
    <t>ZAZKIAH CELL</t>
  </si>
  <si>
    <t>KLIN CELL</t>
  </si>
  <si>
    <t>Ukhy Cell</t>
  </si>
  <si>
    <t>Ade 2 Cell</t>
  </si>
  <si>
    <t>Chyntia Cell</t>
  </si>
  <si>
    <t>AIDHIL CELL</t>
  </si>
  <si>
    <t>VIREEN CELL</t>
  </si>
  <si>
    <t>Alfarizi Cell</t>
  </si>
  <si>
    <t>Rahmatillah Cell</t>
  </si>
  <si>
    <t>KEALQIN CELL</t>
  </si>
  <si>
    <t>Pogogopita Cell</t>
  </si>
  <si>
    <t>Rendy Cell</t>
  </si>
  <si>
    <t>april cell</t>
  </si>
  <si>
    <t>bikers cell</t>
  </si>
  <si>
    <t>wahdini cell</t>
  </si>
  <si>
    <t>Pamomontoa 5</t>
  </si>
  <si>
    <t>AFANIN CELL</t>
  </si>
  <si>
    <t>Haard02 Cell</t>
  </si>
  <si>
    <t>SH026434</t>
  </si>
  <si>
    <t>Ati jelita</t>
  </si>
  <si>
    <t>Insil Cell</t>
  </si>
  <si>
    <t>Nation Cell</t>
  </si>
  <si>
    <t>Chika 01 Cell</t>
  </si>
  <si>
    <t>Eri 01 Cell</t>
  </si>
  <si>
    <t>Afsar Cell</t>
  </si>
  <si>
    <t>Manna Cell</t>
  </si>
  <si>
    <t>Cerilia Cell</t>
  </si>
  <si>
    <t>Arifky cell</t>
  </si>
  <si>
    <t>Harli cell</t>
  </si>
  <si>
    <t>RAFKA cell</t>
  </si>
  <si>
    <t>wahbi cell</t>
  </si>
  <si>
    <t>Marzha cell</t>
  </si>
  <si>
    <t>Ambang 01</t>
  </si>
  <si>
    <t>Razhki</t>
  </si>
  <si>
    <t>DAFIYA21 CELL</t>
  </si>
  <si>
    <t>KANARU CELL</t>
  </si>
  <si>
    <t>RADHIN CELL</t>
  </si>
  <si>
    <t>Abidzah Cell</t>
  </si>
  <si>
    <t>atara</t>
  </si>
  <si>
    <t>kios evon</t>
  </si>
  <si>
    <t>NIVA Cell</t>
  </si>
  <si>
    <t>SH026177</t>
  </si>
  <si>
    <t>Bojan 01 Cell</t>
  </si>
  <si>
    <t>SH027205</t>
  </si>
  <si>
    <t>SH029700</t>
  </si>
  <si>
    <t>Toraut cell</t>
  </si>
  <si>
    <t>Bonawang Cell</t>
  </si>
  <si>
    <t>BRILINK ATK</t>
  </si>
  <si>
    <t>NAKULA RELOAD 1</t>
  </si>
  <si>
    <t>NAKULA RELOAD 2</t>
  </si>
  <si>
    <t>ARTHA CELL</t>
  </si>
  <si>
    <t>Tiga Putry Cell</t>
  </si>
  <si>
    <t>Mopuya Cell</t>
  </si>
  <si>
    <t>Dumoga Utara</t>
  </si>
  <si>
    <t>Qanita cell</t>
  </si>
  <si>
    <t>Ibolian cell</t>
  </si>
  <si>
    <t>Dumoga tengah cell</t>
  </si>
  <si>
    <t>Marni cell</t>
  </si>
  <si>
    <t>serambi cell</t>
  </si>
  <si>
    <t>mekaruo cell</t>
  </si>
  <si>
    <t>chelsea cell</t>
  </si>
  <si>
    <t>kosio jaya cell</t>
  </si>
  <si>
    <t>bersinar cell</t>
  </si>
  <si>
    <t>sewi cell</t>
  </si>
  <si>
    <t>HP celluler</t>
  </si>
  <si>
    <t>TANOYAN CELL</t>
  </si>
  <si>
    <t>Bakan 02 cell</t>
  </si>
  <si>
    <t>Tansel</t>
  </si>
  <si>
    <t>MOPUSI 01</t>
  </si>
  <si>
    <t>YANA CELL</t>
  </si>
  <si>
    <t>lolayan cell</t>
  </si>
  <si>
    <t>agri cell</t>
  </si>
  <si>
    <t>all star</t>
  </si>
  <si>
    <t>WULAN CELL 02</t>
  </si>
  <si>
    <t>JADDEN 01 cell</t>
  </si>
  <si>
    <t>BOGANI CELL</t>
  </si>
  <si>
    <t>KIOS PUTRA</t>
  </si>
  <si>
    <t>ACA CELL</t>
  </si>
  <si>
    <t>Jadden cell</t>
  </si>
  <si>
    <t>Arta cel 01</t>
  </si>
  <si>
    <t>Lidya Cell</t>
  </si>
  <si>
    <t>SH029468</t>
  </si>
  <si>
    <t>SH029481</t>
  </si>
  <si>
    <t>DIVA  RIVA</t>
  </si>
  <si>
    <t>GASANNY CELL</t>
  </si>
  <si>
    <t>Andika Cell</t>
  </si>
  <si>
    <t>kinza cell</t>
  </si>
  <si>
    <t>GALLY CELL</t>
  </si>
  <si>
    <t>BMR CELL</t>
  </si>
  <si>
    <t>QEAN CELL</t>
  </si>
  <si>
    <t>EV cell</t>
  </si>
  <si>
    <t>ALFA GADGET KOTAMOBAGU</t>
  </si>
  <si>
    <t>NATAN CELL</t>
  </si>
  <si>
    <t>Gobel cell</t>
  </si>
  <si>
    <t>Adelina cell</t>
  </si>
  <si>
    <t>Wilra cell</t>
  </si>
  <si>
    <t>Cewiyah cell</t>
  </si>
  <si>
    <t>Za Shop Cell</t>
  </si>
  <si>
    <t>IVHA CELL</t>
  </si>
  <si>
    <t>Moribatuk aksesoris</t>
  </si>
  <si>
    <t>safea cell</t>
  </si>
  <si>
    <t>Bagi Cell</t>
  </si>
  <si>
    <t>naufalin cell</t>
  </si>
  <si>
    <t>irski new</t>
  </si>
  <si>
    <t>RADAR CELL</t>
  </si>
  <si>
    <t>VINSA CELL</t>
  </si>
  <si>
    <t>yesa cell</t>
  </si>
  <si>
    <t>Cevily cell</t>
  </si>
  <si>
    <t>sifa tronik cell</t>
  </si>
  <si>
    <t>jahira cll</t>
  </si>
  <si>
    <t>salsa cell</t>
  </si>
  <si>
    <t>SH003008</t>
  </si>
  <si>
    <t>Azhaya Cell</t>
  </si>
  <si>
    <t>Pardin Cell 2</t>
  </si>
  <si>
    <t>Faiha Cell</t>
  </si>
  <si>
    <t>Fanny Cell</t>
  </si>
  <si>
    <t>NAEEM CELL</t>
  </si>
  <si>
    <t>ENING CELL</t>
  </si>
  <si>
    <t>AMAT CELL</t>
  </si>
  <si>
    <t>GAME CELL</t>
  </si>
  <si>
    <t>D2 CELL KOTAMOBAGU</t>
  </si>
  <si>
    <t>RAFA CELL</t>
  </si>
  <si>
    <t>indi cell</t>
  </si>
  <si>
    <t>Farais cell</t>
  </si>
  <si>
    <t>Anggrek cell</t>
  </si>
  <si>
    <t>yamin cell</t>
  </si>
  <si>
    <t>talenta cell</t>
  </si>
  <si>
    <t>nasita cell</t>
  </si>
  <si>
    <t>RC CELLULAR</t>
  </si>
  <si>
    <t>Zonanyaman Cell</t>
  </si>
  <si>
    <t>FNM CELL</t>
  </si>
  <si>
    <t>Tata cell 02</t>
  </si>
  <si>
    <t>WINNING CELL</t>
  </si>
  <si>
    <t>kota barat 02</t>
  </si>
  <si>
    <t>Double K</t>
  </si>
  <si>
    <t>Alghifari cell</t>
  </si>
  <si>
    <t>Rofkha cell</t>
  </si>
  <si>
    <t>R27 Cell</t>
  </si>
  <si>
    <t>Hanna cell</t>
  </si>
  <si>
    <t>nova cinta</t>
  </si>
  <si>
    <t>KIOS ALISHA</t>
  </si>
  <si>
    <t>Radar Cell Biga</t>
  </si>
  <si>
    <t>Serambi 2</t>
  </si>
  <si>
    <t>Krisjati Cell</t>
  </si>
  <si>
    <t>NN CELL</t>
  </si>
  <si>
    <t>kios rofka</t>
  </si>
  <si>
    <t>778 cell</t>
  </si>
  <si>
    <t>Lestari Cell 01</t>
  </si>
  <si>
    <t>mom cell</t>
  </si>
  <si>
    <t>RALV CELL</t>
  </si>
  <si>
    <t>WANA CELL</t>
  </si>
  <si>
    <t>INATON CELL</t>
  </si>
  <si>
    <t>Nisa cell new</t>
  </si>
  <si>
    <t>Syahdan  cell</t>
  </si>
  <si>
    <t>ILAA CELL</t>
  </si>
  <si>
    <t>N28 CELL</t>
  </si>
  <si>
    <t>BREVI CELL</t>
  </si>
  <si>
    <t>LINKTECH CELL</t>
  </si>
  <si>
    <t>EMPHOTO CELL</t>
  </si>
  <si>
    <t>ATAR CELL</t>
  </si>
  <si>
    <t>MLB CELL new</t>
  </si>
  <si>
    <t>ZONA PULSA CELULLER</t>
  </si>
  <si>
    <t>ZEINA CELL</t>
  </si>
  <si>
    <t>KIOS RAIFA CELL</t>
  </si>
  <si>
    <t>babussalam</t>
  </si>
  <si>
    <t>Rhafan Cell</t>
  </si>
  <si>
    <t>kota cell</t>
  </si>
  <si>
    <t>Myqha cell</t>
  </si>
  <si>
    <t>Aufar cell</t>
  </si>
  <si>
    <t>Ayura cell</t>
  </si>
  <si>
    <t>gangga nia</t>
  </si>
  <si>
    <t>judah cell</t>
  </si>
  <si>
    <t>CHAKIRA CELL</t>
  </si>
  <si>
    <t>Rio new</t>
  </si>
  <si>
    <t>Denta cell</t>
  </si>
  <si>
    <t>Tata raya Cell</t>
  </si>
  <si>
    <t>SH024099</t>
  </si>
  <si>
    <t>HANAF CELL</t>
  </si>
  <si>
    <t>DILAPANGA CELL</t>
  </si>
  <si>
    <t>gabriela cell</t>
  </si>
  <si>
    <t>AYILIN CELL</t>
  </si>
  <si>
    <t>ELSYAFI CELL</t>
  </si>
  <si>
    <t>ZAYN CELL</t>
  </si>
  <si>
    <t>Isco Cell</t>
  </si>
  <si>
    <t>SARINA CELL</t>
  </si>
  <si>
    <t>ARFYA CELL</t>
  </si>
  <si>
    <t>Ayeesha cell</t>
  </si>
  <si>
    <t>RESMEY CELL</t>
  </si>
  <si>
    <t>el amin cell</t>
  </si>
  <si>
    <t>HDM CELL</t>
  </si>
  <si>
    <t>Al qorni cell</t>
  </si>
  <si>
    <t>HADYAN CELL</t>
  </si>
  <si>
    <t>ADAM CELL</t>
  </si>
  <si>
    <t>Sispay Cell</t>
  </si>
  <si>
    <t>chafa cell</t>
  </si>
  <si>
    <t>Riana cell</t>
  </si>
  <si>
    <t>Anggi cell 2</t>
  </si>
  <si>
    <t>Rosita cell</t>
  </si>
  <si>
    <t>Fi3 cell</t>
  </si>
  <si>
    <t>RR S cell</t>
  </si>
  <si>
    <t>Hitam putih</t>
  </si>
  <si>
    <t>Alaska cell</t>
  </si>
  <si>
    <t>IMCL</t>
  </si>
  <si>
    <t>Enya cell</t>
  </si>
  <si>
    <t>Algina cell</t>
  </si>
  <si>
    <t>tiga sudara</t>
  </si>
  <si>
    <t>zalotpay</t>
  </si>
  <si>
    <t>Putry Yumna cell</t>
  </si>
  <si>
    <t>Fana cell</t>
  </si>
  <si>
    <t>Rabil topup</t>
  </si>
  <si>
    <t>FAHRI CELL</t>
  </si>
  <si>
    <t>RAFFI CELL</t>
  </si>
  <si>
    <t>Naning Cell</t>
  </si>
  <si>
    <t>KIOS ADUL</t>
  </si>
  <si>
    <t>KIOS RAUDHA</t>
  </si>
  <si>
    <t>KIOS AIRA</t>
  </si>
  <si>
    <t>NDITA CELL</t>
  </si>
  <si>
    <t>N97 cell</t>
  </si>
  <si>
    <t>zhafa cell</t>
  </si>
  <si>
    <t>Mba Erni Cell</t>
  </si>
  <si>
    <t>zaidan barokkah</t>
  </si>
  <si>
    <t>micelle cell</t>
  </si>
  <si>
    <t>kayan cell</t>
  </si>
  <si>
    <t>Kios Sendy</t>
  </si>
  <si>
    <t>AA Kios</t>
  </si>
  <si>
    <t>Wazeng Cell</t>
  </si>
  <si>
    <t>cHo Cell</t>
  </si>
  <si>
    <t>arick cell</t>
  </si>
  <si>
    <t>Cibi Cell</t>
  </si>
  <si>
    <t>KIOS 46 CELL</t>
  </si>
  <si>
    <t>galuh cell</t>
  </si>
  <si>
    <t>Central Cell</t>
  </si>
  <si>
    <t>DARTI CELL</t>
  </si>
  <si>
    <t>Aluna Cell</t>
  </si>
  <si>
    <t>zeva cell</t>
  </si>
  <si>
    <t>venesia cell</t>
  </si>
  <si>
    <t>chintia cell</t>
  </si>
  <si>
    <t>Chapin Cell</t>
  </si>
  <si>
    <t>Ikamva cell</t>
  </si>
  <si>
    <t>Esly Cell</t>
  </si>
  <si>
    <t>HOA CELL</t>
  </si>
  <si>
    <t>agus jaya</t>
  </si>
  <si>
    <t>salsabilah</t>
  </si>
  <si>
    <t>Infela</t>
  </si>
  <si>
    <t>Kayzia cell</t>
  </si>
  <si>
    <t>perkamil cell</t>
  </si>
  <si>
    <t>XAVIER CELL</t>
  </si>
  <si>
    <t>Gerald Cell</t>
  </si>
  <si>
    <t>flowrencia</t>
  </si>
  <si>
    <t>Agin Cell</t>
  </si>
  <si>
    <t>ZAHRA CELL</t>
  </si>
  <si>
    <t>YING SHUCell</t>
  </si>
  <si>
    <t>SH010918</t>
  </si>
  <si>
    <t>Felove Cell</t>
  </si>
  <si>
    <t>Retha Shop</t>
  </si>
  <si>
    <t>Saat Cell</t>
  </si>
  <si>
    <t>Prily Cell</t>
  </si>
  <si>
    <t>Mishuel Shop</t>
  </si>
  <si>
    <t>ERIELLA CELL</t>
  </si>
  <si>
    <t>BOBO CELL</t>
  </si>
  <si>
    <t>RONI CELL</t>
  </si>
  <si>
    <t>Deki</t>
  </si>
  <si>
    <t>Rassya Cell</t>
  </si>
  <si>
    <t>Qibri</t>
  </si>
  <si>
    <t>depot anugerah cell</t>
  </si>
  <si>
    <t>Berkat Kembar Cell</t>
  </si>
  <si>
    <t>KIOS JOIS NIRMALA</t>
  </si>
  <si>
    <t>LOTHAR CELL</t>
  </si>
  <si>
    <t>febry sau</t>
  </si>
  <si>
    <t>irfan cell</t>
  </si>
  <si>
    <t>Meity cell</t>
  </si>
  <si>
    <t>X Dame Cell</t>
  </si>
  <si>
    <t>karya murni</t>
  </si>
  <si>
    <t>FAZRIEL CELL</t>
  </si>
  <si>
    <t>INGRIT CELL</t>
  </si>
  <si>
    <t>ELYAH</t>
  </si>
  <si>
    <t>Kios Claylo</t>
  </si>
  <si>
    <t>TRIVA 3 Cell</t>
  </si>
  <si>
    <t>Celcius cell</t>
  </si>
  <si>
    <t>Yabes cell</t>
  </si>
  <si>
    <t>kimsen cell</t>
  </si>
  <si>
    <t>Kyrel Cell</t>
  </si>
  <si>
    <t>Chintya Cell</t>
  </si>
  <si>
    <t>Alika Perdana</t>
  </si>
  <si>
    <t>DIMAS II CELL</t>
  </si>
  <si>
    <t>GI CELL</t>
  </si>
  <si>
    <t>Afisha Cell</t>
  </si>
  <si>
    <t>Lexa cell</t>
  </si>
  <si>
    <t>GLHF CELL</t>
  </si>
  <si>
    <t>vier cell</t>
  </si>
  <si>
    <t>ENAD CELL</t>
  </si>
  <si>
    <t>Billy Cell</t>
  </si>
  <si>
    <t>LINCE CELL</t>
  </si>
  <si>
    <t>Echa cell</t>
  </si>
  <si>
    <t>Bantik Cell</t>
  </si>
  <si>
    <t>ACL Cell</t>
  </si>
  <si>
    <t>KALASEY CELL</t>
  </si>
  <si>
    <t>FORTUNE 88 CELL</t>
  </si>
  <si>
    <t>Karunia 3 Cell</t>
  </si>
  <si>
    <t>SHEYLA CELL</t>
  </si>
  <si>
    <t>ARINI CELL</t>
  </si>
  <si>
    <t>GLAVIO CELL</t>
  </si>
  <si>
    <t>RUTIN CELL</t>
  </si>
  <si>
    <t>winangun cell</t>
  </si>
  <si>
    <t>Ebot cell</t>
  </si>
  <si>
    <t>Member cell</t>
  </si>
  <si>
    <t>Jhony Kampus</t>
  </si>
  <si>
    <t>LIONEL SHOPP</t>
  </si>
  <si>
    <t>New RJ Cell</t>
  </si>
  <si>
    <t>SH008176</t>
  </si>
  <si>
    <t>Kios Nes</t>
  </si>
  <si>
    <t>SH014183</t>
  </si>
  <si>
    <t>SH016679</t>
  </si>
  <si>
    <t>Dave Cell</t>
  </si>
  <si>
    <t>Ebhi Cell</t>
  </si>
  <si>
    <t>Kios Wahyu</t>
  </si>
  <si>
    <t>Finny Cell</t>
  </si>
  <si>
    <t>Adinda   Cell</t>
  </si>
  <si>
    <t>DAVID CELL</t>
  </si>
  <si>
    <t>Riskha ariyanti</t>
  </si>
  <si>
    <t>NAZWA CELL</t>
  </si>
  <si>
    <t>Kios Elvano</t>
  </si>
  <si>
    <t>Toko Berkat</t>
  </si>
  <si>
    <t>Anthy Cell</t>
  </si>
  <si>
    <t>AHSANA CELL</t>
  </si>
  <si>
    <t>KIOS GALANG</t>
  </si>
  <si>
    <t>FIKAR CELL</t>
  </si>
  <si>
    <t>Yan Mor Cell</t>
  </si>
  <si>
    <t>WILLY CELL</t>
  </si>
  <si>
    <t>Matuari Cell</t>
  </si>
  <si>
    <t>SH017659</t>
  </si>
  <si>
    <t>Madura Pride</t>
  </si>
  <si>
    <t>SH024480</t>
  </si>
  <si>
    <t>Femmy cell</t>
  </si>
  <si>
    <t>Smile Cell</t>
  </si>
  <si>
    <t>Mana Mana Jo cell</t>
  </si>
  <si>
    <t>Join 2 Cell</t>
  </si>
  <si>
    <t>RAL CEll</t>
  </si>
  <si>
    <t>RHYNEL CELL</t>
  </si>
  <si>
    <t>Tyo  Cell</t>
  </si>
  <si>
    <t>Amelia  Cell</t>
  </si>
  <si>
    <t>LILY CELL</t>
  </si>
  <si>
    <t>Toki Doki</t>
  </si>
  <si>
    <t>FUJI CELL</t>
  </si>
  <si>
    <t>HANA CELL</t>
  </si>
  <si>
    <t>NIKITA CELL</t>
  </si>
  <si>
    <t>DEKAT RUMAH CELL</t>
  </si>
  <si>
    <t>raffan cell</t>
  </si>
  <si>
    <t>roman cell</t>
  </si>
  <si>
    <t>2 putry cell</t>
  </si>
  <si>
    <t>Combos cell 2</t>
  </si>
  <si>
    <t>DAMAI CELL</t>
  </si>
  <si>
    <t>TRITAN CELL</t>
  </si>
  <si>
    <t>ZHYLAND CELL</t>
  </si>
  <si>
    <t>R1 Cell</t>
  </si>
  <si>
    <t>anthy</t>
  </si>
  <si>
    <t>Mariyanti Cell</t>
  </si>
  <si>
    <t>faldi Cwll</t>
  </si>
  <si>
    <t>Ahnaf Cell</t>
  </si>
  <si>
    <t>Algis Cell</t>
  </si>
  <si>
    <t>yagub cell</t>
  </si>
  <si>
    <t>Bunda Cell</t>
  </si>
  <si>
    <t>dualima cell</t>
  </si>
  <si>
    <t>3R Cell</t>
  </si>
  <si>
    <t>syahran cell</t>
  </si>
  <si>
    <t>TronikZone</t>
  </si>
  <si>
    <t>Nedved cell</t>
  </si>
  <si>
    <t>Arva cell 2</t>
  </si>
  <si>
    <t>INCEL CELL GPI</t>
  </si>
  <si>
    <t>EULOGIA CELL</t>
  </si>
  <si>
    <t>Nongz Cell</t>
  </si>
  <si>
    <t>Brave Cell</t>
  </si>
  <si>
    <t>KEIKEN CELL</t>
  </si>
  <si>
    <t>Tristan Cell</t>
  </si>
  <si>
    <t>CAHAYA INTI CELL</t>
  </si>
  <si>
    <t>TAMANG CELL</t>
  </si>
  <si>
    <t>Kios Gibran</t>
  </si>
  <si>
    <t>ALEGRA CELL</t>
  </si>
  <si>
    <t>Triple A</t>
  </si>
  <si>
    <t>GracioNET</t>
  </si>
  <si>
    <t>YEMIMA CELL</t>
  </si>
  <si>
    <t>HIKARU CELL</t>
  </si>
  <si>
    <t>kios raghdan</t>
  </si>
  <si>
    <t>onic cell</t>
  </si>
  <si>
    <t>epifania cell</t>
  </si>
  <si>
    <t>miland cell</t>
  </si>
  <si>
    <t>SH016734</t>
  </si>
  <si>
    <t>Kios CBR Cell</t>
  </si>
  <si>
    <t>SH022501</t>
  </si>
  <si>
    <t>SH024821</t>
  </si>
  <si>
    <t>RDL CELL</t>
  </si>
  <si>
    <t>Davin cell</t>
  </si>
  <si>
    <t>Refly Cell</t>
  </si>
  <si>
    <t>GodSpeed</t>
  </si>
  <si>
    <t>Kios Qui</t>
  </si>
  <si>
    <t>kios Rai</t>
  </si>
  <si>
    <t>Kios Kenzo</t>
  </si>
  <si>
    <t>Franko Cell</t>
  </si>
  <si>
    <t>GENJIKENSI CELL</t>
  </si>
  <si>
    <t>Keyko Cell</t>
  </si>
  <si>
    <t>JOAN CELL</t>
  </si>
  <si>
    <t>GIVEN CELL</t>
  </si>
  <si>
    <t>SAYMEN CELL</t>
  </si>
  <si>
    <t>GRI CELL</t>
  </si>
  <si>
    <t>ando cell</t>
  </si>
  <si>
    <t>HANNAH CELL</t>
  </si>
  <si>
    <t>THIO CELL</t>
  </si>
  <si>
    <t>IMEL CELL</t>
  </si>
  <si>
    <t>vicky cell</t>
  </si>
  <si>
    <t>LAVENIA CELL</t>
  </si>
  <si>
    <t>Raisel Cell</t>
  </si>
  <si>
    <t>Louis Cell</t>
  </si>
  <si>
    <t>Selvi Cell</t>
  </si>
  <si>
    <t>Meiki Cell</t>
  </si>
  <si>
    <t>CIACINDA CELL</t>
  </si>
  <si>
    <t>KIOS KEMBAR CELL</t>
  </si>
  <si>
    <t>RAMIN</t>
  </si>
  <si>
    <t>Nighel</t>
  </si>
  <si>
    <t>Journey Cell</t>
  </si>
  <si>
    <t>R JENNY CELL</t>
  </si>
  <si>
    <t>RYZEN CELL</t>
  </si>
  <si>
    <t>Jenieef cell</t>
  </si>
  <si>
    <t>Eirene Cell</t>
  </si>
  <si>
    <t>RUTH CELL</t>
  </si>
  <si>
    <t>Jiennely Cell</t>
  </si>
  <si>
    <t>KIOS TOMBANGAN</t>
  </si>
  <si>
    <t>AISHLEEN CELL</t>
  </si>
  <si>
    <t>Fay Cell</t>
  </si>
  <si>
    <t>J and J Cell</t>
  </si>
  <si>
    <t>Gloria cell 1</t>
  </si>
  <si>
    <t>Owen Cell</t>
  </si>
  <si>
    <t>Shinta Cell</t>
  </si>
  <si>
    <t>SH023940</t>
  </si>
  <si>
    <t>EL BRV CELL</t>
  </si>
  <si>
    <t>SH024422</t>
  </si>
  <si>
    <t>ELSHADAI CELL</t>
  </si>
  <si>
    <t>Glowy Cell</t>
  </si>
  <si>
    <t>Cherry Cell</t>
  </si>
  <si>
    <t>YUNITA2 CELL</t>
  </si>
  <si>
    <t>IVONE CELL</t>
  </si>
  <si>
    <t>genesis CELL</t>
  </si>
  <si>
    <t>MAMALOORAN Cell</t>
  </si>
  <si>
    <t>Grashela Cell</t>
  </si>
  <si>
    <t>FEYFEY CELL</t>
  </si>
  <si>
    <t>EKLESIA CELL</t>
  </si>
  <si>
    <t>JERRI CELL</t>
  </si>
  <si>
    <t>kiawa cell</t>
  </si>
  <si>
    <t>DOUBLE MO CELL</t>
  </si>
  <si>
    <t>RIO ROY CELL</t>
  </si>
  <si>
    <t>LIXTHEN CELL</t>
  </si>
  <si>
    <t>AnVi Cell</t>
  </si>
  <si>
    <t>MEMEY CELL</t>
  </si>
  <si>
    <t>LENDA CELL</t>
  </si>
  <si>
    <t>Triple R</t>
  </si>
  <si>
    <t>indri cell 2</t>
  </si>
  <si>
    <t>Richardo CELL</t>
  </si>
  <si>
    <t>chingu cell</t>
  </si>
  <si>
    <t>CHIA CELL</t>
  </si>
  <si>
    <t>SONNY CELL</t>
  </si>
  <si>
    <t>Grace R cell</t>
  </si>
  <si>
    <t>Tria cell</t>
  </si>
  <si>
    <t>Prince given cell</t>
  </si>
  <si>
    <t>Double i cell</t>
  </si>
  <si>
    <t>Queenong Cell</t>
  </si>
  <si>
    <t>Angelica Cell</t>
  </si>
  <si>
    <t>Elrey cell</t>
  </si>
  <si>
    <t>Keni cell</t>
  </si>
  <si>
    <t>Trackz Cell</t>
  </si>
  <si>
    <t>Kios MoR</t>
  </si>
  <si>
    <t>Gracio Cell</t>
  </si>
  <si>
    <t>Reva Rava Cell</t>
  </si>
  <si>
    <t>Twinz Cell</t>
  </si>
  <si>
    <t>Aiko Hanako Cell</t>
  </si>
  <si>
    <t>Dokomo Cell</t>
  </si>
  <si>
    <t>SH002860</t>
  </si>
  <si>
    <t>Geoff Cell</t>
  </si>
  <si>
    <t>Milenium Cell 1</t>
  </si>
  <si>
    <t>Waraney Cell</t>
  </si>
  <si>
    <t>PAUL CELL</t>
  </si>
  <si>
    <t>KIOS TWINZ JO</t>
  </si>
  <si>
    <t>Feysya cell</t>
  </si>
  <si>
    <t>AMOREIZA CELL</t>
  </si>
  <si>
    <t>Hakaye Cell</t>
  </si>
  <si>
    <t>JAMAN CELL</t>
  </si>
  <si>
    <t>Kios Sea</t>
  </si>
  <si>
    <t>Vino Vano Cell</t>
  </si>
  <si>
    <t>wakas cell 1</t>
  </si>
  <si>
    <t>ML CELL</t>
  </si>
  <si>
    <t>J and J pinaras Cell</t>
  </si>
  <si>
    <t>Leya Cell</t>
  </si>
  <si>
    <t>Djubaida Cell</t>
  </si>
  <si>
    <t>UN CELL</t>
  </si>
  <si>
    <t>NOFI CELL</t>
  </si>
  <si>
    <t>Vily Cell</t>
  </si>
  <si>
    <t>Monica Cell</t>
  </si>
  <si>
    <t>RINI CELL</t>
  </si>
  <si>
    <t>Mawar Sharon</t>
  </si>
  <si>
    <t>GUNNERS CELL</t>
  </si>
  <si>
    <t>Christy cell</t>
  </si>
  <si>
    <t>Rivelino Cell</t>
  </si>
  <si>
    <t>Cennie Cell</t>
  </si>
  <si>
    <t>AML Cell</t>
  </si>
  <si>
    <t>HANAKO CELL</t>
  </si>
  <si>
    <t>kios fibraa</t>
  </si>
  <si>
    <t>putra jaya cell</t>
  </si>
  <si>
    <t>NGK CELL</t>
  </si>
  <si>
    <t>CHcollection Cell</t>
  </si>
  <si>
    <t>CBMK CELL</t>
  </si>
  <si>
    <t>EDDY Cell</t>
  </si>
  <si>
    <t>Risdy Cell</t>
  </si>
  <si>
    <t>Deisy cell</t>
  </si>
  <si>
    <t>Parafon Cell</t>
  </si>
  <si>
    <t>SH021805</t>
  </si>
  <si>
    <t>Solafide Cell</t>
  </si>
  <si>
    <t>SH025826</t>
  </si>
  <si>
    <t>Veinshi Cell</t>
  </si>
  <si>
    <t>Endvy cell</t>
  </si>
  <si>
    <t>KEITARO SHOP</t>
  </si>
  <si>
    <t>VEYBE CELL</t>
  </si>
  <si>
    <t>GEVARIEL CELL</t>
  </si>
  <si>
    <t>GWENCO CELL</t>
  </si>
  <si>
    <t>Vanesa Cell</t>
  </si>
  <si>
    <t>AA CELL</t>
  </si>
  <si>
    <t>Ken Ken Cell</t>
  </si>
  <si>
    <t>Sky Cell</t>
  </si>
  <si>
    <t>LOURDES CELL</t>
  </si>
  <si>
    <t>FYP Cell</t>
  </si>
  <si>
    <t>Selvie Cell</t>
  </si>
  <si>
    <t>CRISTALIOKEN CELL</t>
  </si>
  <si>
    <t>MEILING CELL</t>
  </si>
  <si>
    <t>Yansen Cell</t>
  </si>
  <si>
    <t>D TWINS</t>
  </si>
  <si>
    <t>Aswin Cell</t>
  </si>
  <si>
    <t>Villa Cell</t>
  </si>
  <si>
    <t>26 cell</t>
  </si>
  <si>
    <t>Narendra Cell</t>
  </si>
  <si>
    <t>Rosye cell</t>
  </si>
  <si>
    <t>Dean cell</t>
  </si>
  <si>
    <t>Jerico cell</t>
  </si>
  <si>
    <t>keymit cell</t>
  </si>
  <si>
    <t>WINER CELL</t>
  </si>
  <si>
    <t>afni cell</t>
  </si>
  <si>
    <t>MEY MEY CELL</t>
  </si>
  <si>
    <t>Y2 Cell 1</t>
  </si>
  <si>
    <t>Fieschi Cell</t>
  </si>
  <si>
    <t>Kios RM</t>
  </si>
  <si>
    <t>EPC Cell</t>
  </si>
  <si>
    <t>Rivaldo Cell</t>
  </si>
  <si>
    <t>Craig Cell</t>
  </si>
  <si>
    <t>OASIS CELL</t>
  </si>
  <si>
    <t>Xclue Cell</t>
  </si>
  <si>
    <t>Alberto Cell</t>
  </si>
  <si>
    <t>Kios Asik</t>
  </si>
  <si>
    <t>Darren cell</t>
  </si>
  <si>
    <t>K2 cell</t>
  </si>
  <si>
    <t>VANZIE CELL</t>
  </si>
  <si>
    <t>1908 CELL</t>
  </si>
  <si>
    <t>joe pulsa</t>
  </si>
  <si>
    <t>WAYNE CELL</t>
  </si>
  <si>
    <t>Merfi Cell</t>
  </si>
  <si>
    <t>HOKKY CELL</t>
  </si>
  <si>
    <t>TERMINAL PULSA</t>
  </si>
  <si>
    <t>Anabel Cell</t>
  </si>
  <si>
    <t>VIEL CELL</t>
  </si>
  <si>
    <t>leonel cell</t>
  </si>
  <si>
    <t>NATANIA CELL</t>
  </si>
  <si>
    <t>JustGita Cell</t>
  </si>
  <si>
    <t>Chelo Cell</t>
  </si>
  <si>
    <t>Nesanevan Cell</t>
  </si>
  <si>
    <t>LF CELL</t>
  </si>
  <si>
    <t>Nazia</t>
  </si>
  <si>
    <t>TRI CELL</t>
  </si>
  <si>
    <t>MANUEL CELL</t>
  </si>
  <si>
    <t>Achiera Cell</t>
  </si>
  <si>
    <t>GENTLE CELL</t>
  </si>
  <si>
    <t>Kios akzel</t>
  </si>
  <si>
    <t>Stryper</t>
  </si>
  <si>
    <t>KeyRo CELL</t>
  </si>
  <si>
    <t>REX PACIS</t>
  </si>
  <si>
    <t>MELYA CELL</t>
  </si>
  <si>
    <t>YANSI CELL</t>
  </si>
  <si>
    <t>D2 CELL</t>
  </si>
  <si>
    <t>Anggalia Cell</t>
  </si>
  <si>
    <t>Reky Cell</t>
  </si>
  <si>
    <t>Fransisco Cell</t>
  </si>
  <si>
    <t>Rangga Cell</t>
  </si>
  <si>
    <t>Trinity Cell</t>
  </si>
  <si>
    <t>Orange Cell</t>
  </si>
  <si>
    <t>Tiberias2 Cell</t>
  </si>
  <si>
    <t>Genny Cell</t>
  </si>
  <si>
    <t>justin cell</t>
  </si>
  <si>
    <t>RUTHE Cell</t>
  </si>
  <si>
    <t>SH010158</t>
  </si>
  <si>
    <t>MEYTHA</t>
  </si>
  <si>
    <t>SH021484</t>
  </si>
  <si>
    <t>SH024792</t>
  </si>
  <si>
    <t>Santje Cell</t>
  </si>
  <si>
    <t>REL ME CELL</t>
  </si>
  <si>
    <t>GEOVI MART</t>
  </si>
  <si>
    <t>WOLOAN JAYA</t>
  </si>
  <si>
    <t>ROCKSTAR</t>
  </si>
  <si>
    <t>JEZ MART</t>
  </si>
  <si>
    <t>ACM Cell</t>
  </si>
  <si>
    <t>Jibul Cell</t>
  </si>
  <si>
    <t>GAM Cell</t>
  </si>
  <si>
    <t>KINGS CELL</t>
  </si>
  <si>
    <t>Kios Alvaro</t>
  </si>
  <si>
    <t>Vera Cell</t>
  </si>
  <si>
    <t>VERONICA CELL</t>
  </si>
  <si>
    <t>Agatha Cell</t>
  </si>
  <si>
    <t>BEBY CELL</t>
  </si>
  <si>
    <t>ANTIKA CELL</t>
  </si>
  <si>
    <t>NOVELI CELL</t>
  </si>
  <si>
    <t>KIOS RR</t>
  </si>
  <si>
    <t>Alters Cell</t>
  </si>
  <si>
    <t>sinar cell</t>
  </si>
  <si>
    <t>RY Cell</t>
  </si>
  <si>
    <t>ElJoy Cell</t>
  </si>
  <si>
    <t>Mando Cell</t>
  </si>
  <si>
    <t>Greand Cell</t>
  </si>
  <si>
    <t>BE Cell</t>
  </si>
  <si>
    <t>RISKY CELL</t>
  </si>
  <si>
    <t>Kios Donald</t>
  </si>
  <si>
    <t>Kios Amoi</t>
  </si>
  <si>
    <t>Chrysan cell</t>
  </si>
  <si>
    <t>Yugo Cell</t>
  </si>
  <si>
    <t>global kilo 7</t>
  </si>
  <si>
    <t>2L cell</t>
  </si>
  <si>
    <t>Yohana Cell</t>
  </si>
  <si>
    <t>Githa Cell</t>
  </si>
  <si>
    <t>Telaga Cell</t>
  </si>
  <si>
    <t>Archa Cell</t>
  </si>
  <si>
    <t>Kimmi Cell</t>
  </si>
  <si>
    <t>Esa Genangku</t>
  </si>
  <si>
    <t>Nancy Cell</t>
  </si>
  <si>
    <t>SH002833</t>
  </si>
  <si>
    <t>SH006831</t>
  </si>
  <si>
    <t>Niel Cell</t>
  </si>
  <si>
    <t>SH025095</t>
  </si>
  <si>
    <t>A.A CELL</t>
  </si>
  <si>
    <t>SH025158</t>
  </si>
  <si>
    <t>SIRA CELL</t>
  </si>
  <si>
    <t>SH025919</t>
  </si>
  <si>
    <t>KIOS JHON</t>
  </si>
  <si>
    <t>SH025928</t>
  </si>
  <si>
    <t>SH026610</t>
  </si>
  <si>
    <t>KnC Cell</t>
  </si>
  <si>
    <t>SH026926</t>
  </si>
  <si>
    <t>VILLAZIO CELL</t>
  </si>
  <si>
    <t>Kimtan Cell</t>
  </si>
  <si>
    <t>TABITA CELL</t>
  </si>
  <si>
    <t>4GR Cell</t>
  </si>
  <si>
    <t>NAKAMA CELL</t>
  </si>
  <si>
    <t>Blessing Store</t>
  </si>
  <si>
    <t>Callysta Cell</t>
  </si>
  <si>
    <t>Blessings Cell</t>
  </si>
  <si>
    <t>M2 Cell</t>
  </si>
  <si>
    <t>M Cell</t>
  </si>
  <si>
    <t>HANANIA CELL</t>
  </si>
  <si>
    <t>Florentina cell</t>
  </si>
  <si>
    <t>MEG CELL</t>
  </si>
  <si>
    <t>REX CELL</t>
  </si>
  <si>
    <t>Galang Gilang Cell</t>
  </si>
  <si>
    <t>KASI CELL</t>
  </si>
  <si>
    <t>KIOS 4 SAUDARA CELL</t>
  </si>
  <si>
    <t>KIOS IBRANI</t>
  </si>
  <si>
    <t>double J</t>
  </si>
  <si>
    <t>Britney CELL</t>
  </si>
  <si>
    <t>Braver Cell</t>
  </si>
  <si>
    <t>CYBERPUNK CELL</t>
  </si>
  <si>
    <t>Pulsa Corner</t>
  </si>
  <si>
    <t>Christo Cell</t>
  </si>
  <si>
    <t>Syaloom cell</t>
  </si>
  <si>
    <t>Junior cell</t>
  </si>
  <si>
    <t>Emrick Cell</t>
  </si>
  <si>
    <t>Gav Cell</t>
  </si>
  <si>
    <t>fandy 2 Cell</t>
  </si>
  <si>
    <t>J Pierre Cell</t>
  </si>
  <si>
    <t>VENOM STORE</t>
  </si>
  <si>
    <t>ACCECORIS CELL</t>
  </si>
  <si>
    <t>VANRA CELL</t>
  </si>
  <si>
    <t>Rerewokan Cell</t>
  </si>
  <si>
    <t>Toko Kinamang</t>
  </si>
  <si>
    <t>Giunia Cell</t>
  </si>
  <si>
    <t>My Queen Cell</t>
  </si>
  <si>
    <t>YULIE CELL</t>
  </si>
  <si>
    <t>Delta Cell</t>
  </si>
  <si>
    <t>Nix Cell</t>
  </si>
  <si>
    <t>Rolanti Cell</t>
  </si>
  <si>
    <t>Kikan Cell</t>
  </si>
  <si>
    <t>Ian Cell</t>
  </si>
  <si>
    <t>Sejati Cell</t>
  </si>
  <si>
    <t>Mer Cell</t>
  </si>
  <si>
    <t>Danti cell</t>
  </si>
  <si>
    <t>DILA CELL</t>
  </si>
  <si>
    <t>DJ Bagaskara Cell</t>
  </si>
  <si>
    <t>kios chellotisha</t>
  </si>
  <si>
    <t>SH006807</t>
  </si>
  <si>
    <t>LMTD OSA KPI</t>
  </si>
  <si>
    <t>LMTD Sellin Sp 3GB</t>
  </si>
  <si>
    <t>SH003483</t>
  </si>
  <si>
    <t xml:space="preserve"> -   </t>
  </si>
  <si>
    <t>JULI</t>
  </si>
  <si>
    <t>Bintang cell</t>
  </si>
  <si>
    <t>Rainbow Cell</t>
  </si>
  <si>
    <t>Promo Cell</t>
  </si>
  <si>
    <t>Yani cell</t>
  </si>
  <si>
    <t>Aster cell</t>
  </si>
  <si>
    <t>Putri cell 1</t>
  </si>
  <si>
    <t>Jesika cell</t>
  </si>
  <si>
    <t>Hikmah Cell</t>
  </si>
  <si>
    <t>coco cell</t>
  </si>
  <si>
    <t>TUTI CELL</t>
  </si>
  <si>
    <t>Queen cell</t>
  </si>
  <si>
    <t>Nia Cell</t>
  </si>
  <si>
    <t>Alibaba cell</t>
  </si>
  <si>
    <t>AYU CELL</t>
  </si>
  <si>
    <t>INTAN CELL</t>
  </si>
  <si>
    <t>W3 CELL</t>
  </si>
  <si>
    <t>Cici Cell</t>
  </si>
  <si>
    <t>Arjuna cell</t>
  </si>
  <si>
    <t>Berry Cell</t>
  </si>
  <si>
    <t>Kenzie cell</t>
  </si>
  <si>
    <t>Zanna Cell</t>
  </si>
  <si>
    <t>46 cell</t>
  </si>
  <si>
    <t>Michael cell</t>
  </si>
  <si>
    <t>Gaul Cell</t>
  </si>
  <si>
    <t>Zidan Cell</t>
  </si>
  <si>
    <t>pandi Cell</t>
  </si>
  <si>
    <t>JIHAN Cell</t>
  </si>
  <si>
    <t>King Cell</t>
  </si>
  <si>
    <t>MJ CELL</t>
  </si>
  <si>
    <t>ani cell</t>
  </si>
  <si>
    <t>Pink Cell</t>
  </si>
  <si>
    <t>Rio cell</t>
  </si>
  <si>
    <t>Denny Cell</t>
  </si>
  <si>
    <t>Dina cell</t>
  </si>
  <si>
    <t>Zaini cell</t>
  </si>
  <si>
    <t>One Cell</t>
  </si>
  <si>
    <t>JA Cell</t>
  </si>
  <si>
    <t>JOY CELL</t>
  </si>
  <si>
    <t>prima ponsel</t>
  </si>
  <si>
    <t>Tiara Cell</t>
  </si>
  <si>
    <t>BLESS CELL</t>
  </si>
  <si>
    <t>KJ Cell</t>
  </si>
  <si>
    <t>Abadi Cell</t>
  </si>
  <si>
    <t>Monalisa cell</t>
  </si>
  <si>
    <t>SIGIT Cell</t>
  </si>
  <si>
    <t>Def Cell</t>
  </si>
  <si>
    <t>Ff cell</t>
  </si>
  <si>
    <t>Tasya Cell</t>
  </si>
  <si>
    <t>Anugerah Cell</t>
  </si>
  <si>
    <t>Ria cell</t>
  </si>
  <si>
    <t>Arya Cell</t>
  </si>
  <si>
    <t>Kiran Cell</t>
  </si>
  <si>
    <t>YUKE CELL</t>
  </si>
  <si>
    <t>Pelangi cell</t>
  </si>
  <si>
    <t>Aug</t>
  </si>
  <si>
    <t>Cacha Cell</t>
  </si>
  <si>
    <t>AW Cell</t>
  </si>
  <si>
    <t>samuel cell</t>
  </si>
  <si>
    <t>olive cell</t>
  </si>
  <si>
    <t>andika cell</t>
  </si>
  <si>
    <t>dans cell</t>
  </si>
  <si>
    <t>2-0012322600</t>
  </si>
  <si>
    <t>FISYA CELL</t>
  </si>
  <si>
    <t>ramadhan cell</t>
  </si>
  <si>
    <t>in cell</t>
  </si>
  <si>
    <t>2-0012322591</t>
  </si>
  <si>
    <t>Putri Cell</t>
  </si>
  <si>
    <t>Azka Cell</t>
  </si>
  <si>
    <t>livita celk</t>
  </si>
  <si>
    <t>suci cell</t>
  </si>
  <si>
    <t>Asri Cell</t>
  </si>
  <si>
    <t>Vinanda cell</t>
  </si>
  <si>
    <t>Gabriel Cell</t>
  </si>
  <si>
    <t>lisa cell</t>
  </si>
  <si>
    <t>MICHELLE CELL</t>
  </si>
  <si>
    <t>Nanda cell</t>
  </si>
  <si>
    <t>ALGIBRAN CELL</t>
  </si>
  <si>
    <t>Zayan Cell</t>
  </si>
  <si>
    <t>Vicky cell</t>
  </si>
  <si>
    <t>PUTRA CELL</t>
  </si>
  <si>
    <t>angel cell</t>
  </si>
  <si>
    <t>fiorenza cell</t>
  </si>
  <si>
    <t>KAIROS CELL</t>
  </si>
  <si>
    <t>F2 Cell</t>
  </si>
  <si>
    <t>Garden Cell</t>
  </si>
  <si>
    <t>Afdal Cell</t>
  </si>
  <si>
    <t>jingga cell</t>
  </si>
  <si>
    <t>BRAYEN CELL</t>
  </si>
  <si>
    <t>A2 CELL</t>
  </si>
  <si>
    <t>Nafa Cell</t>
  </si>
  <si>
    <t>indah cell</t>
  </si>
  <si>
    <t>OKE PONSEL</t>
  </si>
  <si>
    <t>Orzora Cell</t>
  </si>
  <si>
    <t>cahaya cell</t>
  </si>
  <si>
    <t>rajawali Cell</t>
  </si>
  <si>
    <t>Star Cell</t>
  </si>
  <si>
    <t>ARASELI CELL</t>
  </si>
  <si>
    <t>Bintang Cell</t>
  </si>
  <si>
    <t>EKIN CELL</t>
  </si>
  <si>
    <t>gery cell</t>
  </si>
  <si>
    <t>Blessing Cell</t>
  </si>
  <si>
    <t>Nirwana cell</t>
  </si>
  <si>
    <t>RAVA CELL</t>
  </si>
  <si>
    <t>rumoong cell</t>
  </si>
  <si>
    <t>I Cell</t>
  </si>
  <si>
    <t>syaqira cell</t>
  </si>
  <si>
    <t>KIMMY CELL</t>
  </si>
  <si>
    <t>PS cell</t>
  </si>
  <si>
    <t>Sera Cell</t>
  </si>
  <si>
    <t>Duta Cell</t>
  </si>
  <si>
    <t>EL Cell</t>
  </si>
  <si>
    <t>FELICIA CELL</t>
  </si>
  <si>
    <t>Madu Cell</t>
  </si>
  <si>
    <t>King CELL</t>
  </si>
  <si>
    <t>Suci cell</t>
  </si>
  <si>
    <t>V3 Cell</t>
  </si>
  <si>
    <t>Tata cell</t>
  </si>
  <si>
    <t>Audy Cell</t>
  </si>
  <si>
    <t>MANDIRI JAYA</t>
  </si>
  <si>
    <t>kenjiro Cell</t>
  </si>
  <si>
    <t>Zona Cell</t>
  </si>
  <si>
    <t>GLORIA CELL</t>
  </si>
  <si>
    <t>waty cell</t>
  </si>
  <si>
    <t>SMILE CELL</t>
  </si>
  <si>
    <t>A2Z CELL</t>
  </si>
  <si>
    <t>GEA CELL</t>
  </si>
  <si>
    <t>DAN CELL</t>
  </si>
  <si>
    <t>Chelsea Cell</t>
  </si>
  <si>
    <t>CLAIEL Cell</t>
  </si>
  <si>
    <t>Queen Cell</t>
  </si>
  <si>
    <t>lio cell</t>
  </si>
  <si>
    <t>Melinda cell</t>
  </si>
  <si>
    <t>Kairos Cell</t>
  </si>
  <si>
    <t>Angel cell</t>
  </si>
  <si>
    <t>IRMA CELL</t>
  </si>
  <si>
    <t>Honey Cell</t>
  </si>
  <si>
    <t>me cell</t>
  </si>
  <si>
    <t>Cordelia Cell</t>
  </si>
  <si>
    <t>Amor cell</t>
  </si>
  <si>
    <t>ROY CELL</t>
  </si>
  <si>
    <t>emas cell</t>
  </si>
  <si>
    <t>GABRIEL CELL</t>
  </si>
  <si>
    <t>imel cell</t>
  </si>
  <si>
    <t>Maria cell</t>
  </si>
  <si>
    <t>laura</t>
  </si>
  <si>
    <t>Nael Niel Cell</t>
  </si>
  <si>
    <t>Karunia Cell</t>
  </si>
  <si>
    <t>ALANA CELL</t>
  </si>
  <si>
    <t>JW Cell</t>
  </si>
  <si>
    <t>Mugiwara Cell</t>
  </si>
  <si>
    <t>clau cell</t>
  </si>
  <si>
    <t>Duaputra Cell tababo</t>
  </si>
  <si>
    <t>virgo cell</t>
  </si>
  <si>
    <t>RAJAWALI CELL 2</t>
  </si>
  <si>
    <t>Askar Cell</t>
  </si>
  <si>
    <t>Jonathan cell</t>
  </si>
  <si>
    <t>MAMAT CELL</t>
  </si>
  <si>
    <t>Seven cell</t>
  </si>
  <si>
    <t>NAJWA CELL</t>
  </si>
  <si>
    <t>nirwana cell</t>
  </si>
  <si>
    <t>ELL cell</t>
  </si>
  <si>
    <t>RAHMA CELL</t>
  </si>
  <si>
    <t>ATHALLAH cell</t>
  </si>
  <si>
    <t>RARA CELL</t>
  </si>
  <si>
    <t>KARYA SEJATI</t>
  </si>
  <si>
    <t>ANGGIE CELL</t>
  </si>
  <si>
    <t>DITA CELL</t>
  </si>
  <si>
    <t>Berkat cell</t>
  </si>
  <si>
    <t>Naya cell</t>
  </si>
  <si>
    <t>Randi Cell</t>
  </si>
  <si>
    <t>ARSYIL CELL</t>
  </si>
  <si>
    <t>SAVIOR CELL</t>
  </si>
  <si>
    <t>KIM CELL</t>
  </si>
  <si>
    <t>amanah cell</t>
  </si>
  <si>
    <t>tio cell</t>
  </si>
  <si>
    <t>DnD cell</t>
  </si>
  <si>
    <t>KING Cell</t>
  </si>
  <si>
    <t>global cell</t>
  </si>
  <si>
    <t>naldo cell</t>
  </si>
  <si>
    <t>VICKY CELL</t>
  </si>
  <si>
    <t>Aura Cell</t>
  </si>
  <si>
    <t>GG CELL</t>
  </si>
  <si>
    <t>Raline cell</t>
  </si>
  <si>
    <t>Edy Cell</t>
  </si>
  <si>
    <t>sofyan cell</t>
  </si>
  <si>
    <t>Rava cell</t>
  </si>
  <si>
    <t>Hartil Cell</t>
  </si>
  <si>
    <t>ABIL CELL</t>
  </si>
  <si>
    <t>Arya cell</t>
  </si>
  <si>
    <t>Lea Cell</t>
  </si>
  <si>
    <t>MICHEL CELL</t>
  </si>
  <si>
    <t>AGA CELL</t>
  </si>
  <si>
    <t>Wijaya Cell</t>
  </si>
  <si>
    <t>yumna cell 2</t>
  </si>
  <si>
    <t>DIVA CELL</t>
  </si>
  <si>
    <t>Alya cell</t>
  </si>
  <si>
    <t>Ubay cell</t>
  </si>
  <si>
    <t>NAYLA CELL</t>
  </si>
  <si>
    <t>mifta cell</t>
  </si>
  <si>
    <t>DELLA CELL</t>
  </si>
  <si>
    <t>KAYLA CELL</t>
  </si>
  <si>
    <t>JUVENTUS CELL</t>
  </si>
  <si>
    <t>arsila cell</t>
  </si>
  <si>
    <t>Razqa cell</t>
  </si>
  <si>
    <t>Samuel cell</t>
  </si>
  <si>
    <t>nania cell</t>
  </si>
  <si>
    <t>Gisela Cell</t>
  </si>
  <si>
    <t>TAAR ERA</t>
  </si>
  <si>
    <t>Cahaya Cell</t>
  </si>
  <si>
    <t>Rumah ponsel</t>
  </si>
  <si>
    <t>Barca Cell</t>
  </si>
  <si>
    <t>FATIH CELL</t>
  </si>
  <si>
    <t>Solo cell</t>
  </si>
  <si>
    <t>Naomi Cell</t>
  </si>
  <si>
    <t>Prayer cell</t>
  </si>
  <si>
    <t>indra Cell</t>
  </si>
  <si>
    <t>Divo Cell</t>
  </si>
  <si>
    <t>billy cell</t>
  </si>
  <si>
    <t>Evan Cell</t>
  </si>
  <si>
    <t>Celine cell</t>
  </si>
  <si>
    <t>Cinta cell</t>
  </si>
  <si>
    <t>SENANG CELL</t>
  </si>
  <si>
    <t>Mandiri Cell</t>
  </si>
  <si>
    <t>Melano Cell</t>
  </si>
  <si>
    <t>Friska cell</t>
  </si>
  <si>
    <t>ECHA CELL</t>
  </si>
  <si>
    <t>Jisella Cell</t>
  </si>
  <si>
    <t>AISYAH CELL</t>
  </si>
  <si>
    <t>ewin cell</t>
  </si>
  <si>
    <t>Ammar cell</t>
  </si>
  <si>
    <t>Double R Cell</t>
  </si>
  <si>
    <t>Kios Pulsa id</t>
  </si>
  <si>
    <t>clay Cell</t>
  </si>
  <si>
    <t>DREW CELL</t>
  </si>
  <si>
    <t>riska cell</t>
  </si>
  <si>
    <t>Husna Cell</t>
  </si>
  <si>
    <t>NOVITA Cell</t>
  </si>
  <si>
    <t>RAZKA CELL</t>
  </si>
  <si>
    <t>elfatih cell</t>
  </si>
  <si>
    <t>HANNA CELL</t>
  </si>
  <si>
    <t>Titin cell</t>
  </si>
  <si>
    <t>ERIN CELL</t>
  </si>
  <si>
    <t>Z Dan R</t>
  </si>
  <si>
    <t>Ayu Cell</t>
  </si>
  <si>
    <t>BELLA cell</t>
  </si>
  <si>
    <t>Faith cell</t>
  </si>
  <si>
    <t>AZZAHRA CELL</t>
  </si>
  <si>
    <t>Felicia Cell</t>
  </si>
  <si>
    <t>ACHIERA CELL</t>
  </si>
  <si>
    <t>arsyad cell</t>
  </si>
  <si>
    <t>WIWI CELL</t>
  </si>
  <si>
    <t>Ain cell</t>
  </si>
  <si>
    <t>TIRTA CELL</t>
  </si>
  <si>
    <t>Sandra Cell</t>
  </si>
  <si>
    <t>aurelia cell</t>
  </si>
  <si>
    <t>Candy Cell</t>
  </si>
  <si>
    <t>pelita cell</t>
  </si>
  <si>
    <t>ASNI CELL</t>
  </si>
  <si>
    <t>Nira Cell</t>
  </si>
  <si>
    <t>Rina Cell</t>
  </si>
  <si>
    <t>Lily Cell</t>
  </si>
  <si>
    <t>NIVEL CELL</t>
  </si>
  <si>
    <t>PS PLATINUM CELL</t>
  </si>
  <si>
    <t>MUTIARA CELL</t>
  </si>
  <si>
    <t>JOGJA CELL</t>
  </si>
  <si>
    <t>Paschal Cell</t>
  </si>
  <si>
    <t>MR Cell</t>
  </si>
  <si>
    <t>GJ CELL</t>
  </si>
  <si>
    <t>KK CELL</t>
  </si>
  <si>
    <t>LINDA CELL</t>
  </si>
  <si>
    <t>FAHRUL CELL</t>
  </si>
  <si>
    <t>SIVRA CELL</t>
  </si>
  <si>
    <t>Star Cell 1</t>
  </si>
  <si>
    <t>GG Cell</t>
  </si>
  <si>
    <t>KEIN CELL</t>
  </si>
  <si>
    <t>WARANEY</t>
  </si>
  <si>
    <t>Marsha Cell</t>
  </si>
  <si>
    <t>A2 cell</t>
  </si>
  <si>
    <t>visa cell</t>
  </si>
  <si>
    <t>NATA CELL</t>
  </si>
  <si>
    <t>TIRSYA CELL</t>
  </si>
  <si>
    <t>Fatih Cell</t>
  </si>
  <si>
    <t>BILAL CELL</t>
  </si>
  <si>
    <t>Mitra Cell Ratahan</t>
  </si>
  <si>
    <t>EZRA CELL</t>
  </si>
  <si>
    <t>YOGA CELL</t>
  </si>
  <si>
    <t>TIGA PUTRI CELL</t>
  </si>
  <si>
    <t>Ela cell</t>
  </si>
  <si>
    <t>Dea cell</t>
  </si>
  <si>
    <t>Shaniasell</t>
  </si>
  <si>
    <t>Miracle Cell</t>
  </si>
  <si>
    <t>Natan cell</t>
  </si>
  <si>
    <t>Lia Cell</t>
  </si>
  <si>
    <t>Adi Cell</t>
  </si>
  <si>
    <t>Nusantara Cell</t>
  </si>
  <si>
    <t>Bella cell</t>
  </si>
  <si>
    <t>Dirgahayu Cell</t>
  </si>
  <si>
    <t>CHRISTIAN CELL</t>
  </si>
  <si>
    <t>Airah Cell</t>
  </si>
  <si>
    <t>A3CELL</t>
  </si>
  <si>
    <t>Dua putra cell</t>
  </si>
  <si>
    <t>Reza Cell</t>
  </si>
  <si>
    <t>Cindy cell</t>
  </si>
  <si>
    <t>LINO CELL</t>
  </si>
  <si>
    <t>Zio Cell</t>
  </si>
  <si>
    <t>INDO CELL</t>
  </si>
  <si>
    <t>CUAN CELL</t>
  </si>
  <si>
    <t>RADIT CELL</t>
  </si>
  <si>
    <t>Yuli cell</t>
  </si>
  <si>
    <t>Rian cell</t>
  </si>
  <si>
    <t>TUTI Cell</t>
  </si>
  <si>
    <t>ANK CELL</t>
  </si>
  <si>
    <t>RA Cell</t>
  </si>
  <si>
    <t>Yumna cell</t>
  </si>
  <si>
    <t>Usman Cell</t>
  </si>
  <si>
    <t>CHELSEA CELL</t>
  </si>
  <si>
    <t>TESA CELL</t>
  </si>
  <si>
    <t>SULTAN CELL</t>
  </si>
  <si>
    <t>INDAH CELL</t>
  </si>
  <si>
    <t>FD CELL</t>
  </si>
  <si>
    <t>ABDUL CELL</t>
  </si>
  <si>
    <t>ZIFHA CELL</t>
  </si>
  <si>
    <t>Sinta cell</t>
  </si>
  <si>
    <t>puput Cell</t>
  </si>
  <si>
    <t>Twins cell</t>
  </si>
  <si>
    <t>Real cell</t>
  </si>
  <si>
    <t>Lestari Cell</t>
  </si>
  <si>
    <t>Regina Cell</t>
  </si>
  <si>
    <t>JJ CELL</t>
  </si>
  <si>
    <t>HAWA CELL</t>
  </si>
  <si>
    <t>Zidane Cell</t>
  </si>
  <si>
    <t>mita cell</t>
  </si>
  <si>
    <t>FADIL CELL</t>
  </si>
  <si>
    <t>Fika cell</t>
  </si>
  <si>
    <t>X kubur 5 cell</t>
  </si>
  <si>
    <t>STAR CELL</t>
  </si>
  <si>
    <t>Kios Mauren</t>
  </si>
  <si>
    <t>ceria</t>
  </si>
  <si>
    <t>Marisa Cell</t>
  </si>
  <si>
    <t>FARIDA CELL</t>
  </si>
  <si>
    <t>LISDA CELL</t>
  </si>
  <si>
    <t>andre cell</t>
  </si>
  <si>
    <t>Nizam cell</t>
  </si>
  <si>
    <t>Mey Cell</t>
  </si>
  <si>
    <t>Iman Cell</t>
  </si>
  <si>
    <t>Abdillah Cell</t>
  </si>
  <si>
    <t>THE ORANGE</t>
  </si>
  <si>
    <t>Fitra Cell</t>
  </si>
  <si>
    <t>Aulya Cell</t>
  </si>
  <si>
    <t>VIRAN CELL</t>
  </si>
  <si>
    <t>ENI CELL</t>
  </si>
  <si>
    <t>Hagel</t>
  </si>
  <si>
    <t>Jelita Cell</t>
  </si>
  <si>
    <t>DAFFA CELULER</t>
  </si>
  <si>
    <t>Giska Cell</t>
  </si>
  <si>
    <t>Rena Cell</t>
  </si>
  <si>
    <t>Fice Cell</t>
  </si>
  <si>
    <t>Rino Cell</t>
  </si>
  <si>
    <t>Glory cell</t>
  </si>
  <si>
    <t>Panda Cell</t>
  </si>
  <si>
    <t>fitry cell</t>
  </si>
  <si>
    <t>Surya cell</t>
  </si>
  <si>
    <t>rachel cell</t>
  </si>
  <si>
    <t>Ezzy Cell</t>
  </si>
  <si>
    <t>Rens Cell</t>
  </si>
  <si>
    <t>REMI CELL</t>
  </si>
  <si>
    <t>TIEVENZIE CELL</t>
  </si>
  <si>
    <t>IMANUEL CELL</t>
  </si>
  <si>
    <t>META CELL</t>
  </si>
  <si>
    <t>MM cell</t>
  </si>
  <si>
    <t>Elsha Cell</t>
  </si>
  <si>
    <t>Gio Cell</t>
  </si>
  <si>
    <t>jaya cell</t>
  </si>
  <si>
    <t>emy cell</t>
  </si>
  <si>
    <t>Azreel cell</t>
  </si>
  <si>
    <t>Alky Cell</t>
  </si>
  <si>
    <t>Noel Cell</t>
  </si>
  <si>
    <t>ROLI CELL</t>
  </si>
  <si>
    <t>Ariel cell</t>
  </si>
  <si>
    <t>Freya Cell</t>
  </si>
  <si>
    <t>Chlea Cell</t>
  </si>
  <si>
    <t>DY Cell</t>
  </si>
  <si>
    <t>MIMEY CELL</t>
  </si>
  <si>
    <t>LIDIA CELL</t>
  </si>
  <si>
    <t>centro cell</t>
  </si>
  <si>
    <t>HILL CELL</t>
  </si>
  <si>
    <t>TEN Cell</t>
  </si>
  <si>
    <t>buds cell</t>
  </si>
  <si>
    <t>KHARLLY CELL</t>
  </si>
  <si>
    <t>Anasya Cell</t>
  </si>
  <si>
    <t>Vitha Cell</t>
  </si>
  <si>
    <t>dhea cell</t>
  </si>
  <si>
    <t>AB CELL</t>
  </si>
  <si>
    <t>tian cell</t>
  </si>
  <si>
    <t>Yayank Cell</t>
  </si>
  <si>
    <t>Rizki Cell</t>
  </si>
  <si>
    <t>RIDWAN CELL</t>
  </si>
  <si>
    <t>Galaxy cell</t>
  </si>
  <si>
    <t>NANINK CELL</t>
  </si>
  <si>
    <t>KIOS ZUL</t>
  </si>
  <si>
    <t>Budi Cell</t>
  </si>
  <si>
    <t>RUSLI Cell</t>
  </si>
  <si>
    <t>Jelita cell</t>
  </si>
  <si>
    <t>Kenneth Cell</t>
  </si>
  <si>
    <t>Fitri cell</t>
  </si>
  <si>
    <t>Kenzi Cell</t>
  </si>
  <si>
    <t>Ester Cell</t>
  </si>
  <si>
    <t>Ika cell</t>
  </si>
  <si>
    <t>Alan Cell</t>
  </si>
  <si>
    <t>Bagas Cell</t>
  </si>
  <si>
    <t>ZAINAL CELL</t>
  </si>
  <si>
    <t>ERIK CELL</t>
  </si>
  <si>
    <t>MStania CELL</t>
  </si>
  <si>
    <t>biel</t>
  </si>
  <si>
    <t>Krisna cell</t>
  </si>
  <si>
    <t>Chelsi cell</t>
  </si>
  <si>
    <t>ac cell</t>
  </si>
  <si>
    <t>LING CELL</t>
  </si>
  <si>
    <t>Fortune cell</t>
  </si>
  <si>
    <t>Vino Cell</t>
  </si>
  <si>
    <t>Mulia Cell</t>
  </si>
  <si>
    <t>Nando cell</t>
  </si>
  <si>
    <t>Dominic Cell</t>
  </si>
  <si>
    <t>yumna cell</t>
  </si>
  <si>
    <t>VIOLA CELL</t>
  </si>
  <si>
    <t>Anita Cell</t>
  </si>
  <si>
    <t>SONY CELL ITC</t>
  </si>
  <si>
    <t>vano cell</t>
  </si>
  <si>
    <t>Berkat Cell</t>
  </si>
  <si>
    <t>Aprilia Cell</t>
  </si>
  <si>
    <t>indra cell</t>
  </si>
  <si>
    <t>GG cell</t>
  </si>
  <si>
    <t>speed cell</t>
  </si>
  <si>
    <t>Marvel Cell</t>
  </si>
  <si>
    <t>RIZIEQ CELL</t>
  </si>
  <si>
    <t>Aini cell</t>
  </si>
  <si>
    <t>RI CELL</t>
  </si>
  <si>
    <t>Yety Cell</t>
  </si>
  <si>
    <t>brinet cell</t>
  </si>
  <si>
    <t>AURORA CELL</t>
  </si>
  <si>
    <t>99 Cell</t>
  </si>
  <si>
    <t>Tian cell</t>
  </si>
  <si>
    <t>KHALISA CELL</t>
  </si>
  <si>
    <t>Kenzo cell</t>
  </si>
  <si>
    <t>kawangkoan cell</t>
  </si>
  <si>
    <t>Harumi Cell</t>
  </si>
  <si>
    <t>vivian cell</t>
  </si>
  <si>
    <t>Hamzah Cell</t>
  </si>
  <si>
    <t>RELITA CELL</t>
  </si>
  <si>
    <t>Juragan cell</t>
  </si>
  <si>
    <t>gibran cell</t>
  </si>
  <si>
    <t>AIN CELL</t>
  </si>
  <si>
    <t>GIVENCHY CELL</t>
  </si>
  <si>
    <t>KIOS IMANUEL</t>
  </si>
  <si>
    <t>Maxx Cell</t>
  </si>
  <si>
    <t>FERDI CELL</t>
  </si>
  <si>
    <t>OGAN Cell</t>
  </si>
  <si>
    <t>Yasril Cell</t>
  </si>
  <si>
    <t>HIDAYAT CELL</t>
  </si>
  <si>
    <t>JAYDEN CELL</t>
  </si>
  <si>
    <t>Aditya cell</t>
  </si>
  <si>
    <t>Alfa Cell</t>
  </si>
  <si>
    <t>Lavaggio 2 cell</t>
  </si>
  <si>
    <t>Uthe Cell</t>
  </si>
  <si>
    <t>Inka Cell</t>
  </si>
  <si>
    <t>Alif cell</t>
  </si>
  <si>
    <t>QUEEN CELL</t>
  </si>
  <si>
    <t>Safa cell</t>
  </si>
  <si>
    <t>Azalia Cell</t>
  </si>
  <si>
    <t>OLA CeLL</t>
  </si>
  <si>
    <t>C Dan J Cell</t>
  </si>
  <si>
    <t>Himalaya Cell</t>
  </si>
  <si>
    <t>San Cell</t>
  </si>
  <si>
    <t>sean cell</t>
  </si>
  <si>
    <t>PLANET VOUCHER</t>
  </si>
  <si>
    <t>BLESSTU  CELL</t>
  </si>
  <si>
    <t>ANGGUN CELL</t>
  </si>
  <si>
    <t>Corner Cell</t>
  </si>
  <si>
    <t>N2 Cell</t>
  </si>
  <si>
    <t>DZAKKY CELL</t>
  </si>
  <si>
    <t>KIA Cell</t>
  </si>
  <si>
    <t>MIKHA CELL</t>
  </si>
  <si>
    <t>Petu Cell</t>
  </si>
  <si>
    <t>MAHESA CELL</t>
  </si>
  <si>
    <t>MAJESTY CELL</t>
  </si>
  <si>
    <t>Natan Cell</t>
  </si>
  <si>
    <t>IMMANUEL CELL</t>
  </si>
  <si>
    <t>Indri Cell</t>
  </si>
  <si>
    <t>Fajar CELL</t>
  </si>
  <si>
    <t>YUS CELL</t>
  </si>
  <si>
    <t>Rivi Cell</t>
  </si>
  <si>
    <t>cindy Cell</t>
  </si>
  <si>
    <t>Kezia Cell</t>
  </si>
  <si>
    <t>Herman Cell</t>
  </si>
  <si>
    <t>Hanifa Cell</t>
  </si>
  <si>
    <t>KR CELL</t>
  </si>
  <si>
    <t>ALFA CELL 2</t>
  </si>
  <si>
    <t>Queency Cell</t>
  </si>
  <si>
    <t>Dava cell</t>
  </si>
  <si>
    <t>ACHA CELL</t>
  </si>
  <si>
    <t>Prince cell</t>
  </si>
  <si>
    <t>Tesa cell</t>
  </si>
  <si>
    <t>77 Cell</t>
  </si>
  <si>
    <t>BLESSING STORE CELL</t>
  </si>
  <si>
    <t>Sella Cell</t>
  </si>
  <si>
    <t>Wawan Cell</t>
  </si>
  <si>
    <t>3J Cell</t>
  </si>
  <si>
    <t>Anugrah cell</t>
  </si>
  <si>
    <t>Dalan cell</t>
  </si>
  <si>
    <t>yuyun cell</t>
  </si>
  <si>
    <t>DOUBLE A CELL</t>
  </si>
  <si>
    <t>J CELL</t>
  </si>
  <si>
    <t>Gilbert cell</t>
  </si>
  <si>
    <t>Dio Dia cell</t>
  </si>
  <si>
    <t>WAN CELL</t>
  </si>
  <si>
    <t>RAN Cell</t>
  </si>
  <si>
    <t>RIDHO CELL</t>
  </si>
  <si>
    <t>Deo cell</t>
  </si>
  <si>
    <t>Smart Cell</t>
  </si>
  <si>
    <t>Momon Cell</t>
  </si>
  <si>
    <t>ARKAN CELL</t>
  </si>
  <si>
    <t>AON CELL</t>
  </si>
  <si>
    <t>S SHOP</t>
  </si>
  <si>
    <t>Hope Cell</t>
  </si>
  <si>
    <t>Yudi Cell</t>
  </si>
  <si>
    <t>Yani Cell</t>
  </si>
  <si>
    <t>Pin Cell</t>
  </si>
  <si>
    <t>UCU CELL</t>
  </si>
  <si>
    <t>Fadira cell</t>
  </si>
  <si>
    <t>Rizky Cell</t>
  </si>
  <si>
    <t>jejes cell</t>
  </si>
  <si>
    <t>Berkah cell</t>
  </si>
  <si>
    <t>Bahagia Cell</t>
  </si>
  <si>
    <t>Olin cell</t>
  </si>
  <si>
    <t>SAMSUL CELL</t>
  </si>
  <si>
    <t>Safira Cell</t>
  </si>
  <si>
    <t>KIMBERLY CELL</t>
  </si>
  <si>
    <t>Adly cell</t>
  </si>
  <si>
    <t>Alya Cell</t>
  </si>
  <si>
    <t>Misna cell</t>
  </si>
  <si>
    <t>ATTA CELL</t>
  </si>
  <si>
    <t>Razka cell</t>
  </si>
  <si>
    <t>JOE CELL</t>
  </si>
  <si>
    <t>Ridho Cell</t>
  </si>
  <si>
    <t>A2 Putra Cell</t>
  </si>
  <si>
    <t>SINAR CELL</t>
  </si>
  <si>
    <t>t cell</t>
  </si>
  <si>
    <t>RISA CELL</t>
  </si>
  <si>
    <t>Global Cell</t>
  </si>
  <si>
    <t>Nikita Cell</t>
  </si>
  <si>
    <t>RODA Cell</t>
  </si>
  <si>
    <t>PINGKAN CELL</t>
  </si>
  <si>
    <t>BUTET Cell</t>
  </si>
  <si>
    <t>ezar cell</t>
  </si>
  <si>
    <t>Gelora Cell</t>
  </si>
  <si>
    <t>SH001533</t>
  </si>
  <si>
    <t>GIFTY JAYA</t>
  </si>
  <si>
    <t>windy cell</t>
  </si>
  <si>
    <t>F A CELL</t>
  </si>
  <si>
    <t>BERKAH JAYA</t>
  </si>
  <si>
    <t>Makmur Cell</t>
  </si>
  <si>
    <t>GLORYA CELL</t>
  </si>
  <si>
    <t>Setia Cell</t>
  </si>
  <si>
    <t>arumi cell</t>
  </si>
  <si>
    <t>Casey Cell</t>
  </si>
  <si>
    <t>DHURO CELL</t>
  </si>
  <si>
    <t>Hafis CELL</t>
  </si>
  <si>
    <t>dua putri cell</t>
  </si>
  <si>
    <t>IKA CELL</t>
  </si>
  <si>
    <t>CHRISTY CELL</t>
  </si>
  <si>
    <t>BROOKLYN CELL</t>
  </si>
  <si>
    <t>pelita jaya cell</t>
  </si>
  <si>
    <t>Salsa Cell</t>
  </si>
  <si>
    <t>Jireh Cell</t>
  </si>
  <si>
    <t>FALISHA CELL</t>
  </si>
  <si>
    <t>CICI CELL</t>
  </si>
  <si>
    <t>theo cell</t>
  </si>
  <si>
    <t>A3 cell</t>
  </si>
  <si>
    <t>Yayan cell</t>
  </si>
  <si>
    <t>CAHYA CELL</t>
  </si>
  <si>
    <t>HANIN CELL</t>
  </si>
  <si>
    <t>NATHAN CELL</t>
  </si>
  <si>
    <t>SH035918</t>
  </si>
  <si>
    <t>AFCA Cell</t>
  </si>
  <si>
    <t>SH036807</t>
  </si>
  <si>
    <t>SH039251</t>
  </si>
  <si>
    <t>Klop Cell</t>
  </si>
  <si>
    <t>SH038135</t>
  </si>
  <si>
    <t>AMINIYAH KARISSA STORE</t>
  </si>
  <si>
    <t>SH039089</t>
  </si>
  <si>
    <t>KIOS A2M CELL</t>
  </si>
  <si>
    <t>SH037893</t>
  </si>
  <si>
    <t>ARAI CELL</t>
  </si>
  <si>
    <t>SH034915</t>
  </si>
  <si>
    <t>Dayenz cell</t>
  </si>
  <si>
    <t>CS KOTAMOBAGU</t>
  </si>
  <si>
    <t>CS BITUNG</t>
  </si>
  <si>
    <t>CS TOMOHON</t>
  </si>
  <si>
    <t>CS AMURANG</t>
  </si>
  <si>
    <t>CS MANADO</t>
  </si>
  <si>
    <t>CS BOLAANG MONGONDOW</t>
  </si>
  <si>
    <t>Agustus</t>
  </si>
  <si>
    <t>TARGET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</si>
</sst>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rgb="FF000000"/>
      <name val="Arial"/>
      <family val="2"/>
    </font>
    <font>
      <sz val="11"/>
      <color theme="1"/>
      <name val="Aptos Narrow"/>
      <family val="2"/>
      <charset val="1"/>
      <scheme val="minor"/>
    </font>
    <font>
      <sz val="10"/>
      <color theme="1"/>
      <name val="Indosat Regular"/>
    </font>
    <font>
      <b/>
      <sz val="10"/>
      <color theme="0"/>
      <name val="Indosat Regular"/>
    </font>
    <font>
      <b/>
      <sz val="10"/>
      <color theme="1"/>
      <name val="Indosat Regular"/>
    </font>
    <font>
      <b/>
      <sz val="11"/>
      <color theme="0"/>
      <name val="Aptos Narrow"/>
      <family val="2"/>
      <scheme val="minor"/>
    </font>
    <font>
      <sz val="10"/>
      <color theme="1"/>
      <name val="Indosat Regular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40404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14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5" fillId="0" borderId="0" xfId="0" applyFont="1"/>
    <xf numFmtId="3" fontId="2" fillId="3" borderId="0" xfId="0" applyNumberFormat="1" applyFont="1" applyFill="1"/>
    <xf numFmtId="3" fontId="5" fillId="0" borderId="0" xfId="0" applyNumberFormat="1" applyFont="1"/>
    <xf numFmtId="0" fontId="3" fillId="4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" fontId="0" fillId="0" borderId="0" xfId="0" applyNumberFormat="1"/>
    <xf numFmtId="164" fontId="4" fillId="0" borderId="0" xfId="1" applyNumberFormat="1" applyFont="1" applyBorder="1"/>
    <xf numFmtId="0" fontId="6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5" xfId="2" applyFont="1" applyBorder="1"/>
    <xf numFmtId="0" fontId="10" fillId="0" borderId="6" xfId="2" applyFont="1" applyBorder="1" applyAlignment="1">
      <alignment horizontal="center" vertical="center"/>
    </xf>
    <xf numFmtId="0" fontId="11" fillId="6" borderId="5" xfId="2" applyFont="1" applyFill="1" applyBorder="1" applyAlignment="1">
      <alignment horizontal="center" vertical="center" wrapText="1"/>
    </xf>
    <xf numFmtId="0" fontId="12" fillId="7" borderId="5" xfId="2" applyFont="1" applyFill="1" applyBorder="1" applyAlignment="1">
      <alignment horizontal="center" vertical="center" wrapText="1"/>
    </xf>
    <xf numFmtId="0" fontId="12" fillId="7" borderId="7" xfId="2" applyFont="1" applyFill="1" applyBorder="1" applyAlignment="1">
      <alignment horizontal="center" vertical="center" wrapText="1"/>
    </xf>
    <xf numFmtId="0" fontId="11" fillId="6" borderId="4" xfId="2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/>
    </xf>
    <xf numFmtId="0" fontId="11" fillId="6" borderId="8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0" fillId="0" borderId="0" xfId="2" applyFont="1" applyFill="1" applyBorder="1" applyAlignment="1">
      <alignment horizontal="center" vertical="center"/>
    </xf>
    <xf numFmtId="16" fontId="0" fillId="0" borderId="0" xfId="0" applyNumberFormat="1"/>
    <xf numFmtId="16" fontId="11" fillId="6" borderId="8" xfId="2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1" fontId="6" fillId="0" borderId="0" xfId="0" applyNumberFormat="1" applyFont="1" applyFill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164" fontId="5" fillId="0" borderId="0" xfId="1" applyNumberFormat="1" applyFont="1" applyBorder="1"/>
    <xf numFmtId="164" fontId="2" fillId="0" borderId="0" xfId="1" applyNumberFormat="1" applyFont="1" applyFill="1" applyBorder="1"/>
    <xf numFmtId="164" fontId="0" fillId="0" borderId="0" xfId="1" applyNumberFormat="1" applyFont="1" applyBorder="1"/>
    <xf numFmtId="0" fontId="0" fillId="0" borderId="0" xfId="1" applyNumberFormat="1" applyFont="1" applyBorder="1"/>
    <xf numFmtId="0" fontId="0" fillId="0" borderId="0" xfId="0" applyFill="1" applyBorder="1"/>
    <xf numFmtId="0" fontId="15" fillId="0" borderId="10" xfId="0" applyFont="1" applyBorder="1"/>
    <xf numFmtId="0" fontId="13" fillId="11" borderId="0" xfId="0" applyFont="1" applyFill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165" fontId="0" fillId="0" borderId="0" xfId="4" applyNumberFormat="1" applyFont="1" applyBorder="1"/>
    <xf numFmtId="0" fontId="13" fillId="13" borderId="12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5" xfId="0" applyBorder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6" fillId="15" borderId="0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0" borderId="1" xfId="0" applyFont="1" applyBorder="1"/>
    <xf numFmtId="0" fontId="5" fillId="0" borderId="13" xfId="0" applyFont="1" applyBorder="1"/>
    <xf numFmtId="3" fontId="5" fillId="0" borderId="13" xfId="0" applyNumberFormat="1" applyFont="1" applyBorder="1"/>
  </cellXfs>
  <cellStyles count="5">
    <cellStyle name="Comma" xfId="1" builtinId="3"/>
    <cellStyle name="Comma 2" xfId="4" xr:uid="{2A0FB58A-3FCF-448F-8506-8A02CA8445B0}"/>
    <cellStyle name="Normal" xfId="0" builtinId="0"/>
    <cellStyle name="Normal 2" xfId="2" xr:uid="{D5019CC4-02B2-43E1-96DB-4B33F471B016}"/>
    <cellStyle name="Normal 4" xfId="3" xr:uid="{AF7841FA-3B04-4A5C-AF70-4E71954FC82E}"/>
  </cellStyles>
  <dxfs count="9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0BB8-1CA9-4379-9049-AB6F95C27E32}">
  <sheetPr codeName="Sheet1"/>
  <dimension ref="A1:M1631"/>
  <sheetViews>
    <sheetView tabSelected="1" topLeftCell="A1587" workbookViewId="0">
      <selection activeCell="B1614" sqref="B1614"/>
    </sheetView>
  </sheetViews>
  <sheetFormatPr defaultRowHeight="15"/>
  <cols>
    <col min="1" max="1" width="27.28515625" style="31" bestFit="1" customWidth="1"/>
    <col min="2" max="2" width="15.28515625" style="31" bestFit="1" customWidth="1"/>
    <col min="3" max="3" width="27.28515625" style="31" bestFit="1" customWidth="1"/>
    <col min="4" max="4" width="19.28515625" style="31" bestFit="1" customWidth="1"/>
    <col min="5" max="5" width="15" style="31" bestFit="1" customWidth="1"/>
    <col min="6" max="6" width="17.7109375" style="31" bestFit="1" customWidth="1"/>
    <col min="7" max="7" width="15" style="31" customWidth="1"/>
    <col min="8" max="8" width="17.85546875" style="31" bestFit="1" customWidth="1"/>
    <col min="9" max="9" width="14.28515625" style="31" bestFit="1" customWidth="1"/>
    <col min="10" max="10" width="14.28515625" style="36" customWidth="1"/>
    <col min="11" max="11" width="11.42578125" style="31" customWidth="1"/>
    <col min="12" max="12" width="15.42578125" style="31" bestFit="1" customWidth="1"/>
    <col min="13" max="13" width="12.5703125" style="31" customWidth="1"/>
    <col min="14" max="16384" width="9.140625" style="31"/>
  </cols>
  <sheetData>
    <row r="1" spans="1:13">
      <c r="A1" s="45" t="s">
        <v>0</v>
      </c>
      <c r="B1" s="45" t="s">
        <v>2</v>
      </c>
      <c r="C1" s="45" t="s">
        <v>6</v>
      </c>
      <c r="D1" s="46" t="s">
        <v>7</v>
      </c>
      <c r="E1" s="47" t="s">
        <v>8</v>
      </c>
      <c r="F1" s="30" t="s">
        <v>125</v>
      </c>
      <c r="G1" s="30" t="s">
        <v>126</v>
      </c>
      <c r="H1" s="30" t="s">
        <v>127</v>
      </c>
      <c r="I1" s="30" t="s">
        <v>128</v>
      </c>
      <c r="J1" s="30" t="s">
        <v>129</v>
      </c>
      <c r="K1" s="30" t="s">
        <v>130</v>
      </c>
      <c r="L1" s="30" t="s">
        <v>121</v>
      </c>
      <c r="M1" s="30" t="s">
        <v>123</v>
      </c>
    </row>
    <row r="2" spans="1:13">
      <c r="A2" s="43" t="s">
        <v>1670</v>
      </c>
      <c r="B2" s="43">
        <v>2613052584</v>
      </c>
      <c r="C2" s="43" t="s">
        <v>579</v>
      </c>
      <c r="D2" s="10">
        <v>12327959</v>
      </c>
      <c r="E2" s="43" t="s">
        <v>15</v>
      </c>
      <c r="F2" s="8">
        <f>_xlfn.IFNA(INDEX('OSA | 3GB'!J:L,MATCH(DATA!D2,'OSA | 3GB'!J:J,0),2),0)</f>
        <v>3</v>
      </c>
      <c r="G2" s="8">
        <f>_xlfn.IFNA(INDEX('OSA | 3GB'!J:L,MATCH(DATA!D2,'OSA | 3GB'!J:J,0),3),0)</f>
        <v>200000</v>
      </c>
      <c r="H2" s="32">
        <f>_xlfn.IFNA(INDEX('OSA | 3GB'!A:C,MATCH(DATA!D2,'OSA | 3GB'!A:A,0),2),0)</f>
        <v>3</v>
      </c>
      <c r="I2" s="33">
        <f>_xlfn.IFNA(INDEX('OSA | 3GB'!A:C,MATCH(DATA!D2,'OSA | 3GB'!A:A,0),3),0)</f>
        <v>2350000</v>
      </c>
      <c r="J2" s="33">
        <f>INDEX('BIO WAHYU'!B:G,MATCH(DATA!D2,'BIO WAHYU'!B:B,0),5)</f>
        <v>3</v>
      </c>
      <c r="K2" s="34">
        <f>INDEX('BIO WAHYU'!B:G,MATCH(DATA!D2,'BIO WAHYU'!B:B,0),6)</f>
        <v>3</v>
      </c>
      <c r="L2" s="35">
        <f>INDEX('BIO WAHYU'!B:H,MATCH(DATA!D2,'BIO WAHYU'!B:B,0),7)</f>
        <v>0</v>
      </c>
      <c r="M2" s="34">
        <f>INDEX('BIO WAHYU'!B:H,MATCH(DATA!D2,'BIO WAHYU'!B:B,0),4)</f>
        <v>0</v>
      </c>
    </row>
    <row r="3" spans="1:13">
      <c r="A3" s="43" t="s">
        <v>1670</v>
      </c>
      <c r="B3" s="43" t="s">
        <v>145</v>
      </c>
      <c r="C3" s="43" t="s">
        <v>1130</v>
      </c>
      <c r="D3" s="10">
        <v>12320370</v>
      </c>
      <c r="E3" s="43" t="s">
        <v>10</v>
      </c>
      <c r="F3" s="8">
        <f>_xlfn.IFNA(INDEX('OSA | 3GB'!J:L,MATCH(DATA!D3,'OSA | 3GB'!J:J,0),2),0)</f>
        <v>2</v>
      </c>
      <c r="G3" s="8">
        <f>_xlfn.IFNA(INDEX('OSA | 3GB'!J:L,MATCH(DATA!D3,'OSA | 3GB'!J:J,0),3),0)</f>
        <v>1300000</v>
      </c>
      <c r="H3" s="32" t="str">
        <f>_xlfn.IFNA(INDEX('OSA | 3GB'!A:C,MATCH(DATA!D3,'OSA | 3GB'!A:A,0),2),0)</f>
        <v xml:space="preserve"> -   </v>
      </c>
      <c r="I3" s="33">
        <f>_xlfn.IFNA(INDEX('OSA | 3GB'!A:C,MATCH(DATA!D3,'OSA | 3GB'!A:A,0),3),0)</f>
        <v>400000</v>
      </c>
      <c r="J3" s="33">
        <f>INDEX('BIO WAHYU'!B:G,MATCH(DATA!D3,'BIO WAHYU'!B:B,0),5)</f>
        <v>3</v>
      </c>
      <c r="K3" s="34">
        <f>INDEX('BIO WAHYU'!B:G,MATCH(DATA!D3,'BIO WAHYU'!B:B,0),6)</f>
        <v>0</v>
      </c>
      <c r="L3" s="35">
        <f>INDEX('BIO WAHYU'!B:H,MATCH(DATA!D3,'BIO WAHYU'!B:B,0),7)</f>
        <v>0</v>
      </c>
      <c r="M3" s="34">
        <f>INDEX('BIO WAHYU'!B:H,MATCH(DATA!D3,'BIO WAHYU'!B:B,0),4)</f>
        <v>0</v>
      </c>
    </row>
    <row r="4" spans="1:13">
      <c r="A4" s="43" t="s">
        <v>1671</v>
      </c>
      <c r="B4" s="43">
        <v>2613050886</v>
      </c>
      <c r="C4" s="43" t="s">
        <v>1131</v>
      </c>
      <c r="D4" s="10">
        <v>12322404</v>
      </c>
      <c r="E4" s="43" t="s">
        <v>15</v>
      </c>
      <c r="F4" s="8">
        <f>_xlfn.IFNA(INDEX('OSA | 3GB'!J:L,MATCH(DATA!D4,'OSA | 3GB'!J:J,0),2),0)</f>
        <v>23</v>
      </c>
      <c r="G4" s="8">
        <f>_xlfn.IFNA(INDEX('OSA | 3GB'!J:L,MATCH(DATA!D4,'OSA | 3GB'!J:J,0),3),0)</f>
        <v>0</v>
      </c>
      <c r="H4" s="32" t="str">
        <f>_xlfn.IFNA(INDEX('OSA | 3GB'!A:C,MATCH(DATA!D4,'OSA | 3GB'!A:A,0),2),0)</f>
        <v xml:space="preserve"> -   </v>
      </c>
      <c r="I4" s="33" t="str">
        <f>_xlfn.IFNA(INDEX('OSA | 3GB'!A:C,MATCH(DATA!D4,'OSA | 3GB'!A:A,0),3),0)</f>
        <v xml:space="preserve"> -   </v>
      </c>
      <c r="J4" s="33">
        <f>INDEX('BIO WAHYU'!B:G,MATCH(DATA!D4,'BIO WAHYU'!B:B,0),5)</f>
        <v>15</v>
      </c>
      <c r="K4" s="34">
        <f>INDEX('BIO WAHYU'!B:G,MATCH(DATA!D4,'BIO WAHYU'!B:B,0),6)</f>
        <v>2</v>
      </c>
      <c r="L4" s="35">
        <f>INDEX('BIO WAHYU'!B:H,MATCH(DATA!D4,'BIO WAHYU'!B:B,0),7)</f>
        <v>0</v>
      </c>
      <c r="M4" s="34">
        <f>INDEX('BIO WAHYU'!B:H,MATCH(DATA!D4,'BIO WAHYU'!B:B,0),4)</f>
        <v>0</v>
      </c>
    </row>
    <row r="5" spans="1:13">
      <c r="A5" s="43" t="s">
        <v>1671</v>
      </c>
      <c r="B5" s="43" t="s">
        <v>142</v>
      </c>
      <c r="C5" s="43" t="s">
        <v>345</v>
      </c>
      <c r="D5" s="10">
        <v>188148</v>
      </c>
      <c r="E5" s="43" t="s">
        <v>10</v>
      </c>
      <c r="F5" s="8">
        <f>_xlfn.IFNA(INDEX('OSA | 3GB'!J:L,MATCH(DATA!D5,'OSA | 3GB'!J:J,0),2),0)</f>
        <v>4</v>
      </c>
      <c r="G5" s="8">
        <f>_xlfn.IFNA(INDEX('OSA | 3GB'!J:L,MATCH(DATA!D5,'OSA | 3GB'!J:J,0),3),0)</f>
        <v>8037000</v>
      </c>
      <c r="H5" s="32">
        <f>_xlfn.IFNA(INDEX('OSA | 3GB'!A:C,MATCH(DATA!D5,'OSA | 3GB'!A:A,0),2),0)</f>
        <v>33</v>
      </c>
      <c r="I5" s="33">
        <f>_xlfn.IFNA(INDEX('OSA | 3GB'!A:C,MATCH(DATA!D5,'OSA | 3GB'!A:A,0),3),0)</f>
        <v>2537000</v>
      </c>
      <c r="J5" s="33">
        <f>INDEX('BIO WAHYU'!B:G,MATCH(DATA!D5,'BIO WAHYU'!B:B,0),5)</f>
        <v>5</v>
      </c>
      <c r="K5" s="34">
        <f>INDEX('BIO WAHYU'!B:G,MATCH(DATA!D5,'BIO WAHYU'!B:B,0),6)</f>
        <v>3</v>
      </c>
      <c r="L5" s="35">
        <f>INDEX('BIO WAHYU'!B:H,MATCH(DATA!D5,'BIO WAHYU'!B:B,0),7)</f>
        <v>0</v>
      </c>
      <c r="M5" s="34">
        <f>INDEX('BIO WAHYU'!B:H,MATCH(DATA!D5,'BIO WAHYU'!B:B,0),4)</f>
        <v>0</v>
      </c>
    </row>
    <row r="6" spans="1:13">
      <c r="A6" s="43" t="s">
        <v>1672</v>
      </c>
      <c r="B6" s="43" t="s">
        <v>157</v>
      </c>
      <c r="C6" s="43" t="s">
        <v>1053</v>
      </c>
      <c r="D6" s="10">
        <v>531889</v>
      </c>
      <c r="E6" s="43" t="s">
        <v>10</v>
      </c>
      <c r="F6" s="8">
        <f>_xlfn.IFNA(INDEX('OSA | 3GB'!J:L,MATCH(DATA!D6,'OSA | 3GB'!J:J,0),2),0)</f>
        <v>5</v>
      </c>
      <c r="G6" s="8">
        <f>_xlfn.IFNA(INDEX('OSA | 3GB'!J:L,MATCH(DATA!D6,'OSA | 3GB'!J:J,0),3),0)</f>
        <v>9120250</v>
      </c>
      <c r="H6" s="32" t="str">
        <f>_xlfn.IFNA(INDEX('OSA | 3GB'!A:C,MATCH(DATA!D6,'OSA | 3GB'!A:A,0),2),0)</f>
        <v xml:space="preserve"> -   </v>
      </c>
      <c r="I6" s="33" t="str">
        <f>_xlfn.IFNA(INDEX('OSA | 3GB'!A:C,MATCH(DATA!D6,'OSA | 3GB'!A:A,0),3),0)</f>
        <v xml:space="preserve"> -   </v>
      </c>
      <c r="J6" s="33">
        <f>INDEX('BIO WAHYU'!B:G,MATCH(DATA!D6,'BIO WAHYU'!B:B,0),5)</f>
        <v>3</v>
      </c>
      <c r="K6" s="34">
        <f>INDEX('BIO WAHYU'!B:G,MATCH(DATA!D6,'BIO WAHYU'!B:B,0),6)</f>
        <v>5</v>
      </c>
      <c r="L6" s="35">
        <f>INDEX('BIO WAHYU'!B:H,MATCH(DATA!D6,'BIO WAHYU'!B:B,0),7)</f>
        <v>2</v>
      </c>
      <c r="M6" s="34">
        <f>INDEX('BIO WAHYU'!B:H,MATCH(DATA!D6,'BIO WAHYU'!B:B,0),4)</f>
        <v>0</v>
      </c>
    </row>
    <row r="7" spans="1:13">
      <c r="A7" s="43" t="s">
        <v>1673</v>
      </c>
      <c r="B7" s="43" t="s">
        <v>144</v>
      </c>
      <c r="C7" s="43" t="s">
        <v>1132</v>
      </c>
      <c r="D7" s="10">
        <v>61982</v>
      </c>
      <c r="E7" s="43" t="s">
        <v>10</v>
      </c>
      <c r="F7" s="8">
        <f>_xlfn.IFNA(INDEX('OSA | 3GB'!J:L,MATCH(DATA!D7,'OSA | 3GB'!J:J,0),2),0)</f>
        <v>3</v>
      </c>
      <c r="G7" s="8">
        <f>_xlfn.IFNA(INDEX('OSA | 3GB'!J:L,MATCH(DATA!D7,'OSA | 3GB'!J:J,0),3),0)</f>
        <v>1915000</v>
      </c>
      <c r="H7" s="32" t="str">
        <f>_xlfn.IFNA(INDEX('OSA | 3GB'!A:C,MATCH(DATA!D7,'OSA | 3GB'!A:A,0),2),0)</f>
        <v xml:space="preserve"> -   </v>
      </c>
      <c r="I7" s="33" t="str">
        <f>_xlfn.IFNA(INDEX('OSA | 3GB'!A:C,MATCH(DATA!D7,'OSA | 3GB'!A:A,0),3),0)</f>
        <v xml:space="preserve"> -   </v>
      </c>
      <c r="J7" s="33">
        <f>INDEX('BIO WAHYU'!B:G,MATCH(DATA!D7,'BIO WAHYU'!B:B,0),5)</f>
        <v>1</v>
      </c>
      <c r="K7" s="34">
        <f>INDEX('BIO WAHYU'!B:G,MATCH(DATA!D7,'BIO WAHYU'!B:B,0),6)</f>
        <v>0</v>
      </c>
      <c r="L7" s="35">
        <f>INDEX('BIO WAHYU'!B:H,MATCH(DATA!D7,'BIO WAHYU'!B:B,0),7)</f>
        <v>0</v>
      </c>
      <c r="M7" s="34">
        <f>INDEX('BIO WAHYU'!B:H,MATCH(DATA!D7,'BIO WAHYU'!B:B,0),4)</f>
        <v>0</v>
      </c>
    </row>
    <row r="8" spans="1:13">
      <c r="A8" s="43" t="s">
        <v>1</v>
      </c>
      <c r="B8" s="43" t="s">
        <v>4</v>
      </c>
      <c r="C8" s="43" t="s">
        <v>40</v>
      </c>
      <c r="D8" s="10">
        <v>116871</v>
      </c>
      <c r="E8" s="43" t="s">
        <v>23</v>
      </c>
      <c r="F8" s="8">
        <f>_xlfn.IFNA(INDEX('OSA | 3GB'!J:L,MATCH(DATA!D8,'OSA | 3GB'!J:J,0),2),0)</f>
        <v>58</v>
      </c>
      <c r="G8" s="8">
        <f>_xlfn.IFNA(INDEX('OSA | 3GB'!J:L,MATCH(DATA!D8,'OSA | 3GB'!J:J,0),3),0)</f>
        <v>38058000</v>
      </c>
      <c r="H8" s="32">
        <f>_xlfn.IFNA(INDEX('OSA | 3GB'!A:C,MATCH(DATA!D8,'OSA | 3GB'!A:A,0),2),0)</f>
        <v>3</v>
      </c>
      <c r="I8" s="33">
        <f>_xlfn.IFNA(INDEX('OSA | 3GB'!A:C,MATCH(DATA!D8,'OSA | 3GB'!A:A,0),3),0)</f>
        <v>13029000</v>
      </c>
      <c r="J8" s="33">
        <f>INDEX('BIO WAHYU'!B:G,MATCH(DATA!D8,'BIO WAHYU'!B:B,0),5)</f>
        <v>12</v>
      </c>
      <c r="K8" s="34">
        <f>INDEX('BIO WAHYU'!B:G,MATCH(DATA!D8,'BIO WAHYU'!B:B,0),6)</f>
        <v>20</v>
      </c>
      <c r="L8" s="35">
        <f>INDEX('BIO WAHYU'!B:H,MATCH(DATA!D8,'BIO WAHYU'!B:B,0),7)</f>
        <v>8</v>
      </c>
      <c r="M8" s="34">
        <f>INDEX('BIO WAHYU'!B:H,MATCH(DATA!D8,'BIO WAHYU'!B:B,0),4)</f>
        <v>1</v>
      </c>
    </row>
    <row r="9" spans="1:13">
      <c r="A9" s="43" t="s">
        <v>1672</v>
      </c>
      <c r="B9" s="43">
        <v>2613051475</v>
      </c>
      <c r="C9" s="43" t="s">
        <v>902</v>
      </c>
      <c r="D9" s="10">
        <v>402240</v>
      </c>
      <c r="E9" s="43" t="s">
        <v>10</v>
      </c>
      <c r="F9" s="8">
        <f>_xlfn.IFNA(INDEX('OSA | 3GB'!J:L,MATCH(DATA!D9,'OSA | 3GB'!J:J,0),2),0)</f>
        <v>1</v>
      </c>
      <c r="G9" s="8">
        <f>_xlfn.IFNA(INDEX('OSA | 3GB'!J:L,MATCH(DATA!D9,'OSA | 3GB'!J:J,0),3),0)</f>
        <v>7404000</v>
      </c>
      <c r="H9" s="32">
        <f>_xlfn.IFNA(INDEX('OSA | 3GB'!A:C,MATCH(DATA!D9,'OSA | 3GB'!A:A,0),2),0)</f>
        <v>2</v>
      </c>
      <c r="I9" s="33">
        <f>_xlfn.IFNA(INDEX('OSA | 3GB'!A:C,MATCH(DATA!D9,'OSA | 3GB'!A:A,0),3),0)</f>
        <v>3300000</v>
      </c>
      <c r="J9" s="33">
        <f>INDEX('BIO WAHYU'!B:G,MATCH(DATA!D9,'BIO WAHYU'!B:B,0),5)</f>
        <v>7</v>
      </c>
      <c r="K9" s="34">
        <f>INDEX('BIO WAHYU'!B:G,MATCH(DATA!D9,'BIO WAHYU'!B:B,0),6)</f>
        <v>1</v>
      </c>
      <c r="L9" s="35">
        <f>INDEX('BIO WAHYU'!B:H,MATCH(DATA!D9,'BIO WAHYU'!B:B,0),7)</f>
        <v>0</v>
      </c>
      <c r="M9" s="34">
        <f>INDEX('BIO WAHYU'!B:H,MATCH(DATA!D9,'BIO WAHYU'!B:B,0),4)</f>
        <v>0</v>
      </c>
    </row>
    <row r="10" spans="1:13">
      <c r="A10" s="43" t="s">
        <v>1671</v>
      </c>
      <c r="B10" s="43">
        <v>2613050886</v>
      </c>
      <c r="C10" s="43" t="s">
        <v>1133</v>
      </c>
      <c r="D10" s="10">
        <v>127206</v>
      </c>
      <c r="E10" s="43" t="s">
        <v>15</v>
      </c>
      <c r="F10" s="8">
        <f>_xlfn.IFNA(INDEX('OSA | 3GB'!J:L,MATCH(DATA!D10,'OSA | 3GB'!J:J,0),2),0)</f>
        <v>4</v>
      </c>
      <c r="G10" s="8">
        <f>_xlfn.IFNA(INDEX('OSA | 3GB'!J:L,MATCH(DATA!D10,'OSA | 3GB'!J:J,0),3),0)</f>
        <v>12000000</v>
      </c>
      <c r="H10" s="32" t="str">
        <f>_xlfn.IFNA(INDEX('OSA | 3GB'!A:C,MATCH(DATA!D10,'OSA | 3GB'!A:A,0),2),0)</f>
        <v xml:space="preserve"> -   </v>
      </c>
      <c r="I10" s="33">
        <f>_xlfn.IFNA(INDEX('OSA | 3GB'!A:C,MATCH(DATA!D10,'OSA | 3GB'!A:A,0),3),0)</f>
        <v>3000000</v>
      </c>
      <c r="J10" s="33">
        <f>INDEX('BIO WAHYU'!B:G,MATCH(DATA!D10,'BIO WAHYU'!B:B,0),5)</f>
        <v>3</v>
      </c>
      <c r="K10" s="34">
        <f>INDEX('BIO WAHYU'!B:G,MATCH(DATA!D10,'BIO WAHYU'!B:B,0),6)</f>
        <v>1</v>
      </c>
      <c r="L10" s="35">
        <f>INDEX('BIO WAHYU'!B:H,MATCH(DATA!D10,'BIO WAHYU'!B:B,0),7)</f>
        <v>0</v>
      </c>
      <c r="M10" s="34">
        <f>INDEX('BIO WAHYU'!B:H,MATCH(DATA!D10,'BIO WAHYU'!B:B,0),4)</f>
        <v>0</v>
      </c>
    </row>
    <row r="11" spans="1:13">
      <c r="A11" s="43" t="s">
        <v>1670</v>
      </c>
      <c r="B11" s="43" t="s">
        <v>140</v>
      </c>
      <c r="C11" s="43" t="s">
        <v>1134</v>
      </c>
      <c r="D11" s="10">
        <v>12320892</v>
      </c>
      <c r="E11" s="43" t="s">
        <v>15</v>
      </c>
      <c r="F11" s="8">
        <f>_xlfn.IFNA(INDEX('OSA | 3GB'!J:L,MATCH(DATA!D11,'OSA | 3GB'!J:J,0),2),0)</f>
        <v>6</v>
      </c>
      <c r="G11" s="8">
        <f>_xlfn.IFNA(INDEX('OSA | 3GB'!J:L,MATCH(DATA!D11,'OSA | 3GB'!J:J,0),3),0)</f>
        <v>1100000</v>
      </c>
      <c r="H11" s="32">
        <f>_xlfn.IFNA(INDEX('OSA | 3GB'!A:C,MATCH(DATA!D11,'OSA | 3GB'!A:A,0),2),0)</f>
        <v>6</v>
      </c>
      <c r="I11" s="33">
        <f>_xlfn.IFNA(INDEX('OSA | 3GB'!A:C,MATCH(DATA!D11,'OSA | 3GB'!A:A,0),3),0)</f>
        <v>1000000</v>
      </c>
      <c r="J11" s="33">
        <f>INDEX('BIO WAHYU'!B:G,MATCH(DATA!D11,'BIO WAHYU'!B:B,0),5)</f>
        <v>3</v>
      </c>
      <c r="K11" s="34">
        <f>INDEX('BIO WAHYU'!B:G,MATCH(DATA!D11,'BIO WAHYU'!B:B,0),6)</f>
        <v>1</v>
      </c>
      <c r="L11" s="35">
        <f>INDEX('BIO WAHYU'!B:H,MATCH(DATA!D11,'BIO WAHYU'!B:B,0),7)</f>
        <v>0</v>
      </c>
      <c r="M11" s="34">
        <f>INDEX('BIO WAHYU'!B:H,MATCH(DATA!D11,'BIO WAHYU'!B:B,0),4)</f>
        <v>0</v>
      </c>
    </row>
    <row r="12" spans="1:13">
      <c r="A12" s="43" t="s">
        <v>1670</v>
      </c>
      <c r="B12" s="43">
        <v>2613051412</v>
      </c>
      <c r="C12" s="43" t="s">
        <v>1135</v>
      </c>
      <c r="D12" s="10">
        <v>545720</v>
      </c>
      <c r="E12" s="43" t="s">
        <v>10</v>
      </c>
      <c r="F12" s="8">
        <f>_xlfn.IFNA(INDEX('OSA | 3GB'!J:L,MATCH(DATA!D12,'OSA | 3GB'!J:J,0),2),0)</f>
        <v>0</v>
      </c>
      <c r="G12" s="8">
        <f>_xlfn.IFNA(INDEX('OSA | 3GB'!J:L,MATCH(DATA!D12,'OSA | 3GB'!J:J,0),3),0)</f>
        <v>829000</v>
      </c>
      <c r="H12" s="32">
        <f>_xlfn.IFNA(INDEX('OSA | 3GB'!A:C,MATCH(DATA!D12,'OSA | 3GB'!A:A,0),2),0)</f>
        <v>3</v>
      </c>
      <c r="I12" s="33">
        <f>_xlfn.IFNA(INDEX('OSA | 3GB'!A:C,MATCH(DATA!D12,'OSA | 3GB'!A:A,0),3),0)</f>
        <v>650000</v>
      </c>
      <c r="J12" s="33">
        <f>INDEX('BIO WAHYU'!B:G,MATCH(DATA!D12,'BIO WAHYU'!B:B,0),5)</f>
        <v>1</v>
      </c>
      <c r="K12" s="34">
        <f>INDEX('BIO WAHYU'!B:G,MATCH(DATA!D12,'BIO WAHYU'!B:B,0),6)</f>
        <v>0</v>
      </c>
      <c r="L12" s="35">
        <f>INDEX('BIO WAHYU'!B:H,MATCH(DATA!D12,'BIO WAHYU'!B:B,0),7)</f>
        <v>0</v>
      </c>
      <c r="M12" s="34">
        <f>INDEX('BIO WAHYU'!B:H,MATCH(DATA!D12,'BIO WAHYU'!B:B,0),4)</f>
        <v>0</v>
      </c>
    </row>
    <row r="13" spans="1:13">
      <c r="A13" s="43" t="s">
        <v>1672</v>
      </c>
      <c r="B13" s="43" t="s">
        <v>156</v>
      </c>
      <c r="C13" s="43" t="s">
        <v>995</v>
      </c>
      <c r="D13" s="10">
        <v>479396</v>
      </c>
      <c r="E13" s="43" t="s">
        <v>10</v>
      </c>
      <c r="F13" s="8">
        <f>_xlfn.IFNA(INDEX('OSA | 3GB'!J:L,MATCH(DATA!D13,'OSA | 3GB'!J:J,0),2),0)</f>
        <v>0</v>
      </c>
      <c r="G13" s="8">
        <f>_xlfn.IFNA(INDEX('OSA | 3GB'!J:L,MATCH(DATA!D13,'OSA | 3GB'!J:J,0),3),0)</f>
        <v>8000000</v>
      </c>
      <c r="H13" s="32" t="str">
        <f>_xlfn.IFNA(INDEX('OSA | 3GB'!A:C,MATCH(DATA!D13,'OSA | 3GB'!A:A,0),2),0)</f>
        <v xml:space="preserve"> -   </v>
      </c>
      <c r="I13" s="33">
        <f>_xlfn.IFNA(INDEX('OSA | 3GB'!A:C,MATCH(DATA!D13,'OSA | 3GB'!A:A,0),3),0)</f>
        <v>4000000</v>
      </c>
      <c r="J13" s="33">
        <f>INDEX('BIO WAHYU'!B:G,MATCH(DATA!D13,'BIO WAHYU'!B:B,0),5)</f>
        <v>0</v>
      </c>
      <c r="K13" s="34">
        <f>INDEX('BIO WAHYU'!B:G,MATCH(DATA!D13,'BIO WAHYU'!B:B,0),6)</f>
        <v>0</v>
      </c>
      <c r="L13" s="35">
        <f>INDEX('BIO WAHYU'!B:H,MATCH(DATA!D13,'BIO WAHYU'!B:B,0),7)</f>
        <v>0</v>
      </c>
      <c r="M13" s="34">
        <f>INDEX('BIO WAHYU'!B:H,MATCH(DATA!D13,'BIO WAHYU'!B:B,0),4)</f>
        <v>0</v>
      </c>
    </row>
    <row r="14" spans="1:13">
      <c r="A14" s="43" t="s">
        <v>1673</v>
      </c>
      <c r="B14" s="43" t="s">
        <v>1136</v>
      </c>
      <c r="C14" s="43" t="s">
        <v>1137</v>
      </c>
      <c r="D14" s="10">
        <v>329512</v>
      </c>
      <c r="E14" s="43" t="s">
        <v>15</v>
      </c>
      <c r="F14" s="8">
        <f>_xlfn.IFNA(INDEX('OSA | 3GB'!J:L,MATCH(DATA!D14,'OSA | 3GB'!J:J,0),2),0)</f>
        <v>0</v>
      </c>
      <c r="G14" s="8">
        <f>_xlfn.IFNA(INDEX('OSA | 3GB'!J:L,MATCH(DATA!D14,'OSA | 3GB'!J:J,0),3),0)</f>
        <v>4000000</v>
      </c>
      <c r="H14" s="32" t="str">
        <f>_xlfn.IFNA(INDEX('OSA | 3GB'!A:C,MATCH(DATA!D14,'OSA | 3GB'!A:A,0),2),0)</f>
        <v xml:space="preserve"> -   </v>
      </c>
      <c r="I14" s="33">
        <f>_xlfn.IFNA(INDEX('OSA | 3GB'!A:C,MATCH(DATA!D14,'OSA | 3GB'!A:A,0),3),0)</f>
        <v>2000000</v>
      </c>
      <c r="J14" s="33">
        <f>INDEX('BIO WAHYU'!B:G,MATCH(DATA!D14,'BIO WAHYU'!B:B,0),5)</f>
        <v>0</v>
      </c>
      <c r="K14" s="34">
        <f>INDEX('BIO WAHYU'!B:G,MATCH(DATA!D14,'BIO WAHYU'!B:B,0),6)</f>
        <v>0</v>
      </c>
      <c r="L14" s="35">
        <f>INDEX('BIO WAHYU'!B:H,MATCH(DATA!D14,'BIO WAHYU'!B:B,0),7)</f>
        <v>0</v>
      </c>
      <c r="M14" s="34">
        <f>INDEX('BIO WAHYU'!B:H,MATCH(DATA!D14,'BIO WAHYU'!B:B,0),4)</f>
        <v>0</v>
      </c>
    </row>
    <row r="15" spans="1:13">
      <c r="A15" s="43" t="s">
        <v>1672</v>
      </c>
      <c r="B15" s="43" t="s">
        <v>149</v>
      </c>
      <c r="C15" s="43" t="s">
        <v>765</v>
      </c>
      <c r="D15" s="10">
        <v>12300128</v>
      </c>
      <c r="E15" s="43" t="s">
        <v>10</v>
      </c>
      <c r="F15" s="8">
        <f>_xlfn.IFNA(INDEX('OSA | 3GB'!J:L,MATCH(DATA!D15,'OSA | 3GB'!J:J,0),2),0)</f>
        <v>0</v>
      </c>
      <c r="G15" s="8">
        <f>_xlfn.IFNA(INDEX('OSA | 3GB'!J:L,MATCH(DATA!D15,'OSA | 3GB'!J:J,0),3),0)</f>
        <v>100000</v>
      </c>
      <c r="H15" s="32">
        <f>_xlfn.IFNA(INDEX('OSA | 3GB'!A:C,MATCH(DATA!D15,'OSA | 3GB'!A:A,0),2),0)</f>
        <v>4</v>
      </c>
      <c r="I15" s="33">
        <f>_xlfn.IFNA(INDEX('OSA | 3GB'!A:C,MATCH(DATA!D15,'OSA | 3GB'!A:A,0),3),0)</f>
        <v>116000</v>
      </c>
      <c r="J15" s="33">
        <f>INDEX('BIO WAHYU'!B:G,MATCH(DATA!D15,'BIO WAHYU'!B:B,0),5)</f>
        <v>0</v>
      </c>
      <c r="K15" s="34">
        <f>INDEX('BIO WAHYU'!B:G,MATCH(DATA!D15,'BIO WAHYU'!B:B,0),6)</f>
        <v>0</v>
      </c>
      <c r="L15" s="35">
        <f>INDEX('BIO WAHYU'!B:H,MATCH(DATA!D15,'BIO WAHYU'!B:B,0),7)</f>
        <v>0</v>
      </c>
      <c r="M15" s="34">
        <f>INDEX('BIO WAHYU'!B:H,MATCH(DATA!D15,'BIO WAHYU'!B:B,0),4)</f>
        <v>0</v>
      </c>
    </row>
    <row r="16" spans="1:13">
      <c r="A16" s="43" t="s">
        <v>1672</v>
      </c>
      <c r="B16" s="43">
        <v>2613051475</v>
      </c>
      <c r="C16" s="43" t="s">
        <v>887</v>
      </c>
      <c r="D16" s="10">
        <v>114982</v>
      </c>
      <c r="E16" s="43" t="s">
        <v>10</v>
      </c>
      <c r="F16" s="8">
        <f>_xlfn.IFNA(INDEX('OSA | 3GB'!J:L,MATCH(DATA!D16,'OSA | 3GB'!J:J,0),2),0)</f>
        <v>3</v>
      </c>
      <c r="G16" s="8">
        <f>_xlfn.IFNA(INDEX('OSA | 3GB'!J:L,MATCH(DATA!D16,'OSA | 3GB'!J:J,0),3),0)</f>
        <v>350000</v>
      </c>
      <c r="H16" s="32" t="str">
        <f>_xlfn.IFNA(INDEX('OSA | 3GB'!A:C,MATCH(DATA!D16,'OSA | 3GB'!A:A,0),2),0)</f>
        <v xml:space="preserve"> -   </v>
      </c>
      <c r="I16" s="33">
        <f>_xlfn.IFNA(INDEX('OSA | 3GB'!A:C,MATCH(DATA!D16,'OSA | 3GB'!A:A,0),3),0)</f>
        <v>200000</v>
      </c>
      <c r="J16" s="33">
        <f>INDEX('BIO WAHYU'!B:G,MATCH(DATA!D16,'BIO WAHYU'!B:B,0),5)</f>
        <v>4</v>
      </c>
      <c r="K16" s="34">
        <f>INDEX('BIO WAHYU'!B:G,MATCH(DATA!D16,'BIO WAHYU'!B:B,0),6)</f>
        <v>0</v>
      </c>
      <c r="L16" s="35">
        <f>INDEX('BIO WAHYU'!B:H,MATCH(DATA!D16,'BIO WAHYU'!B:B,0),7)</f>
        <v>0</v>
      </c>
      <c r="M16" s="34">
        <f>INDEX('BIO WAHYU'!B:H,MATCH(DATA!D16,'BIO WAHYU'!B:B,0),4)</f>
        <v>0</v>
      </c>
    </row>
    <row r="17" spans="1:13">
      <c r="A17" s="43" t="s">
        <v>1673</v>
      </c>
      <c r="B17" s="43" t="s">
        <v>158</v>
      </c>
      <c r="C17" s="43" t="s">
        <v>1138</v>
      </c>
      <c r="D17" s="10">
        <v>199056</v>
      </c>
      <c r="E17" s="43" t="s">
        <v>23</v>
      </c>
      <c r="F17" s="8">
        <f>_xlfn.IFNA(INDEX('OSA | 3GB'!J:L,MATCH(DATA!D17,'OSA | 3GB'!J:J,0),2),0)</f>
        <v>13</v>
      </c>
      <c r="G17" s="8">
        <f>_xlfn.IFNA(INDEX('OSA | 3GB'!J:L,MATCH(DATA!D17,'OSA | 3GB'!J:J,0),3),0)</f>
        <v>6500000</v>
      </c>
      <c r="H17" s="32">
        <f>_xlfn.IFNA(INDEX('OSA | 3GB'!A:C,MATCH(DATA!D17,'OSA | 3GB'!A:A,0),2),0)</f>
        <v>2</v>
      </c>
      <c r="I17" s="33">
        <f>_xlfn.IFNA(INDEX('OSA | 3GB'!A:C,MATCH(DATA!D17,'OSA | 3GB'!A:A,0),3),0)</f>
        <v>2500000</v>
      </c>
      <c r="J17" s="33">
        <f>INDEX('BIO WAHYU'!B:G,MATCH(DATA!D17,'BIO WAHYU'!B:B,0),5)</f>
        <v>13</v>
      </c>
      <c r="K17" s="34">
        <f>INDEX('BIO WAHYU'!B:G,MATCH(DATA!D17,'BIO WAHYU'!B:B,0),6)</f>
        <v>7</v>
      </c>
      <c r="L17" s="35">
        <f>INDEX('BIO WAHYU'!B:H,MATCH(DATA!D17,'BIO WAHYU'!B:B,0),7)</f>
        <v>0</v>
      </c>
      <c r="M17" s="34">
        <f>INDEX('BIO WAHYU'!B:H,MATCH(DATA!D17,'BIO WAHYU'!B:B,0),4)</f>
        <v>0</v>
      </c>
    </row>
    <row r="18" spans="1:13">
      <c r="A18" s="43" t="s">
        <v>1670</v>
      </c>
      <c r="B18" s="43" t="s">
        <v>140</v>
      </c>
      <c r="C18" s="43" t="s">
        <v>1139</v>
      </c>
      <c r="D18" s="10">
        <v>440364</v>
      </c>
      <c r="E18" s="43" t="s">
        <v>10</v>
      </c>
      <c r="F18" s="8">
        <f>_xlfn.IFNA(INDEX('OSA | 3GB'!J:L,MATCH(DATA!D18,'OSA | 3GB'!J:J,0),2),0)</f>
        <v>6</v>
      </c>
      <c r="G18" s="8">
        <f>_xlfn.IFNA(INDEX('OSA | 3GB'!J:L,MATCH(DATA!D18,'OSA | 3GB'!J:J,0),3),0)</f>
        <v>800000</v>
      </c>
      <c r="H18" s="32" t="str">
        <f>_xlfn.IFNA(INDEX('OSA | 3GB'!A:C,MATCH(DATA!D18,'OSA | 3GB'!A:A,0),2),0)</f>
        <v xml:space="preserve"> -   </v>
      </c>
      <c r="I18" s="33">
        <f>_xlfn.IFNA(INDEX('OSA | 3GB'!A:C,MATCH(DATA!D18,'OSA | 3GB'!A:A,0),3),0)</f>
        <v>400000</v>
      </c>
      <c r="J18" s="33">
        <f>INDEX('BIO WAHYU'!B:G,MATCH(DATA!D18,'BIO WAHYU'!B:B,0),5)</f>
        <v>4</v>
      </c>
      <c r="K18" s="34">
        <f>INDEX('BIO WAHYU'!B:G,MATCH(DATA!D18,'BIO WAHYU'!B:B,0),6)</f>
        <v>0</v>
      </c>
      <c r="L18" s="35">
        <f>INDEX('BIO WAHYU'!B:H,MATCH(DATA!D18,'BIO WAHYU'!B:B,0),7)</f>
        <v>0</v>
      </c>
      <c r="M18" s="34">
        <f>INDEX('BIO WAHYU'!B:H,MATCH(DATA!D18,'BIO WAHYU'!B:B,0),4)</f>
        <v>0</v>
      </c>
    </row>
    <row r="19" spans="1:13">
      <c r="A19" s="43" t="s">
        <v>1</v>
      </c>
      <c r="B19" s="43" t="s">
        <v>4</v>
      </c>
      <c r="C19" s="43" t="s">
        <v>53</v>
      </c>
      <c r="D19" s="10">
        <v>228872</v>
      </c>
      <c r="E19" s="43" t="s">
        <v>10</v>
      </c>
      <c r="F19" s="8">
        <f>_xlfn.IFNA(INDEX('OSA | 3GB'!J:L,MATCH(DATA!D19,'OSA | 3GB'!J:J,0),2),0)</f>
        <v>3</v>
      </c>
      <c r="G19" s="8">
        <f>_xlfn.IFNA(INDEX('OSA | 3GB'!J:L,MATCH(DATA!D19,'OSA | 3GB'!J:J,0),3),0)</f>
        <v>6000000</v>
      </c>
      <c r="H19" s="32" t="str">
        <f>_xlfn.IFNA(INDEX('OSA | 3GB'!A:C,MATCH(DATA!D19,'OSA | 3GB'!A:A,0),2),0)</f>
        <v xml:space="preserve"> -   </v>
      </c>
      <c r="I19" s="33">
        <f>_xlfn.IFNA(INDEX('OSA | 3GB'!A:C,MATCH(DATA!D19,'OSA | 3GB'!A:A,0),3),0)</f>
        <v>2000000</v>
      </c>
      <c r="J19" s="33">
        <f>INDEX('BIO WAHYU'!B:G,MATCH(DATA!D19,'BIO WAHYU'!B:B,0),5)</f>
        <v>1</v>
      </c>
      <c r="K19" s="34">
        <f>INDEX('BIO WAHYU'!B:G,MATCH(DATA!D19,'BIO WAHYU'!B:B,0),6)</f>
        <v>0</v>
      </c>
      <c r="L19" s="35">
        <f>INDEX('BIO WAHYU'!B:H,MATCH(DATA!D19,'BIO WAHYU'!B:B,0),7)</f>
        <v>0</v>
      </c>
      <c r="M19" s="34">
        <f>INDEX('BIO WAHYU'!B:H,MATCH(DATA!D19,'BIO WAHYU'!B:B,0),4)</f>
        <v>1</v>
      </c>
    </row>
    <row r="20" spans="1:13">
      <c r="A20" s="43" t="s">
        <v>1</v>
      </c>
      <c r="B20" s="43" t="s">
        <v>5</v>
      </c>
      <c r="C20" s="43" t="s">
        <v>1075</v>
      </c>
      <c r="D20" s="10">
        <v>12320853</v>
      </c>
      <c r="E20" s="43" t="s">
        <v>10</v>
      </c>
      <c r="F20" s="8">
        <f>_xlfn.IFNA(INDEX('OSA | 3GB'!J:L,MATCH(DATA!D20,'OSA | 3GB'!J:J,0),2),0)</f>
        <v>0</v>
      </c>
      <c r="G20" s="8">
        <f>_xlfn.IFNA(INDEX('OSA | 3GB'!J:L,MATCH(DATA!D20,'OSA | 3GB'!J:J,0),3),0)</f>
        <v>0</v>
      </c>
      <c r="H20" s="32" t="str">
        <f>_xlfn.IFNA(INDEX('OSA | 3GB'!A:C,MATCH(DATA!D20,'OSA | 3GB'!A:A,0),2),0)</f>
        <v xml:space="preserve"> -   </v>
      </c>
      <c r="I20" s="33" t="str">
        <f>_xlfn.IFNA(INDEX('OSA | 3GB'!A:C,MATCH(DATA!D20,'OSA | 3GB'!A:A,0),3),0)</f>
        <v xml:space="preserve"> -   </v>
      </c>
      <c r="J20" s="33">
        <f>INDEX('BIO WAHYU'!B:G,MATCH(DATA!D20,'BIO WAHYU'!B:B,0),5)</f>
        <v>3</v>
      </c>
      <c r="K20" s="34">
        <f>INDEX('BIO WAHYU'!B:G,MATCH(DATA!D20,'BIO WAHYU'!B:B,0),6)</f>
        <v>0</v>
      </c>
      <c r="L20" s="35">
        <f>INDEX('BIO WAHYU'!B:H,MATCH(DATA!D20,'BIO WAHYU'!B:B,0),7)</f>
        <v>0</v>
      </c>
      <c r="M20" s="34">
        <f>INDEX('BIO WAHYU'!B:H,MATCH(DATA!D20,'BIO WAHYU'!B:B,0),4)</f>
        <v>0</v>
      </c>
    </row>
    <row r="21" spans="1:13">
      <c r="A21" s="43" t="s">
        <v>1672</v>
      </c>
      <c r="B21" s="43" t="s">
        <v>150</v>
      </c>
      <c r="C21" s="43" t="s">
        <v>706</v>
      </c>
      <c r="D21" s="10">
        <v>61673</v>
      </c>
      <c r="E21" s="43" t="s">
        <v>10</v>
      </c>
      <c r="F21" s="8">
        <f>_xlfn.IFNA(INDEX('OSA | 3GB'!J:L,MATCH(DATA!D21,'OSA | 3GB'!J:J,0),2),0)</f>
        <v>4</v>
      </c>
      <c r="G21" s="8">
        <f>_xlfn.IFNA(INDEX('OSA | 3GB'!J:L,MATCH(DATA!D21,'OSA | 3GB'!J:J,0),3),0)</f>
        <v>953000</v>
      </c>
      <c r="H21" s="32">
        <f>_xlfn.IFNA(INDEX('OSA | 3GB'!A:C,MATCH(DATA!D21,'OSA | 3GB'!A:A,0),2),0)</f>
        <v>3</v>
      </c>
      <c r="I21" s="33">
        <f>_xlfn.IFNA(INDEX('OSA | 3GB'!A:C,MATCH(DATA!D21,'OSA | 3GB'!A:A,0),3),0)</f>
        <v>350000</v>
      </c>
      <c r="J21" s="33">
        <f>INDEX('BIO WAHYU'!B:G,MATCH(DATA!D21,'BIO WAHYU'!B:B,0),5)</f>
        <v>3</v>
      </c>
      <c r="K21" s="34">
        <f>INDEX('BIO WAHYU'!B:G,MATCH(DATA!D21,'BIO WAHYU'!B:B,0),6)</f>
        <v>0</v>
      </c>
      <c r="L21" s="35">
        <f>INDEX('BIO WAHYU'!B:H,MATCH(DATA!D21,'BIO WAHYU'!B:B,0),7)</f>
        <v>0</v>
      </c>
      <c r="M21" s="34">
        <f>INDEX('BIO WAHYU'!B:H,MATCH(DATA!D21,'BIO WAHYU'!B:B,0),4)</f>
        <v>0</v>
      </c>
    </row>
    <row r="22" spans="1:13">
      <c r="A22" s="43" t="s">
        <v>1670</v>
      </c>
      <c r="B22" s="43" t="s">
        <v>146</v>
      </c>
      <c r="C22" s="43" t="s">
        <v>167</v>
      </c>
      <c r="D22" s="10">
        <v>439681</v>
      </c>
      <c r="E22" s="43" t="s">
        <v>15</v>
      </c>
      <c r="F22" s="8">
        <f>_xlfn.IFNA(INDEX('OSA | 3GB'!J:L,MATCH(DATA!D22,'OSA | 3GB'!J:J,0),2),0)</f>
        <v>38</v>
      </c>
      <c r="G22" s="8">
        <f>_xlfn.IFNA(INDEX('OSA | 3GB'!J:L,MATCH(DATA!D22,'OSA | 3GB'!J:J,0),3),0)</f>
        <v>9382750</v>
      </c>
      <c r="H22" s="32">
        <f>_xlfn.IFNA(INDEX('OSA | 3GB'!A:C,MATCH(DATA!D22,'OSA | 3GB'!A:A,0),2),0)</f>
        <v>3</v>
      </c>
      <c r="I22" s="33">
        <f>_xlfn.IFNA(INDEX('OSA | 3GB'!A:C,MATCH(DATA!D22,'OSA | 3GB'!A:A,0),3),0)</f>
        <v>986000</v>
      </c>
      <c r="J22" s="33">
        <f>INDEX('BIO WAHYU'!B:G,MATCH(DATA!D22,'BIO WAHYU'!B:B,0),5)</f>
        <v>8</v>
      </c>
      <c r="K22" s="34">
        <f>INDEX('BIO WAHYU'!B:G,MATCH(DATA!D22,'BIO WAHYU'!B:B,0),6)</f>
        <v>88</v>
      </c>
      <c r="L22" s="35">
        <f>INDEX('BIO WAHYU'!B:H,MATCH(DATA!D22,'BIO WAHYU'!B:B,0),7)</f>
        <v>80</v>
      </c>
      <c r="M22" s="34">
        <f>INDEX('BIO WAHYU'!B:H,MATCH(DATA!D22,'BIO WAHYU'!B:B,0),4)</f>
        <v>0</v>
      </c>
    </row>
    <row r="23" spans="1:13">
      <c r="A23" s="43" t="s">
        <v>1673</v>
      </c>
      <c r="B23" s="43" t="s">
        <v>1140</v>
      </c>
      <c r="C23" s="43" t="s">
        <v>1141</v>
      </c>
      <c r="D23" s="10">
        <v>405102</v>
      </c>
      <c r="E23" s="43" t="s">
        <v>15</v>
      </c>
      <c r="F23" s="8">
        <f>_xlfn.IFNA(INDEX('OSA | 3GB'!J:L,MATCH(DATA!D23,'OSA | 3GB'!J:J,0),2),0)</f>
        <v>3</v>
      </c>
      <c r="G23" s="8">
        <f>_xlfn.IFNA(INDEX('OSA | 3GB'!J:L,MATCH(DATA!D23,'OSA | 3GB'!J:J,0),3),0)</f>
        <v>800000</v>
      </c>
      <c r="H23" s="32" t="str">
        <f>_xlfn.IFNA(INDEX('OSA | 3GB'!A:C,MATCH(DATA!D23,'OSA | 3GB'!A:A,0),2),0)</f>
        <v xml:space="preserve"> -   </v>
      </c>
      <c r="I23" s="33" t="str">
        <f>_xlfn.IFNA(INDEX('OSA | 3GB'!A:C,MATCH(DATA!D23,'OSA | 3GB'!A:A,0),3),0)</f>
        <v xml:space="preserve"> -   </v>
      </c>
      <c r="J23" s="33">
        <f>INDEX('BIO WAHYU'!B:G,MATCH(DATA!D23,'BIO WAHYU'!B:B,0),5)</f>
        <v>0</v>
      </c>
      <c r="K23" s="34">
        <f>INDEX('BIO WAHYU'!B:G,MATCH(DATA!D23,'BIO WAHYU'!B:B,0),6)</f>
        <v>1</v>
      </c>
      <c r="L23" s="35">
        <f>INDEX('BIO WAHYU'!B:H,MATCH(DATA!D23,'BIO WAHYU'!B:B,0),7)</f>
        <v>1</v>
      </c>
      <c r="M23" s="34">
        <f>INDEX('BIO WAHYU'!B:H,MATCH(DATA!D23,'BIO WAHYU'!B:B,0),4)</f>
        <v>0</v>
      </c>
    </row>
    <row r="24" spans="1:13">
      <c r="A24" s="43" t="s">
        <v>1</v>
      </c>
      <c r="B24" s="43" t="s">
        <v>3</v>
      </c>
      <c r="C24" s="43" t="s">
        <v>19</v>
      </c>
      <c r="D24" s="10">
        <v>12326118</v>
      </c>
      <c r="E24" s="43" t="s">
        <v>15</v>
      </c>
      <c r="F24" s="8">
        <f>_xlfn.IFNA(INDEX('OSA | 3GB'!J:L,MATCH(DATA!D24,'OSA | 3GB'!J:J,0),2),0)</f>
        <v>18</v>
      </c>
      <c r="G24" s="8">
        <f>_xlfn.IFNA(INDEX('OSA | 3GB'!J:L,MATCH(DATA!D24,'OSA | 3GB'!J:J,0),3),0)</f>
        <v>16184800</v>
      </c>
      <c r="H24" s="32">
        <f>_xlfn.IFNA(INDEX('OSA | 3GB'!A:C,MATCH(DATA!D24,'OSA | 3GB'!A:A,0),2),0)</f>
        <v>3</v>
      </c>
      <c r="I24" s="33">
        <f>_xlfn.IFNA(INDEX('OSA | 3GB'!A:C,MATCH(DATA!D24,'OSA | 3GB'!A:A,0),3),0)</f>
        <v>911500</v>
      </c>
      <c r="J24" s="33">
        <f>INDEX('BIO WAHYU'!B:G,MATCH(DATA!D24,'BIO WAHYU'!B:B,0),5)</f>
        <v>12</v>
      </c>
      <c r="K24" s="34">
        <f>INDEX('BIO WAHYU'!B:G,MATCH(DATA!D24,'BIO WAHYU'!B:B,0),6)</f>
        <v>4</v>
      </c>
      <c r="L24" s="35">
        <f>INDEX('BIO WAHYU'!B:H,MATCH(DATA!D24,'BIO WAHYU'!B:B,0),7)</f>
        <v>0</v>
      </c>
      <c r="M24" s="34">
        <f>INDEX('BIO WAHYU'!B:H,MATCH(DATA!D24,'BIO WAHYU'!B:B,0),4)</f>
        <v>0</v>
      </c>
    </row>
    <row r="25" spans="1:13">
      <c r="A25" s="43" t="s">
        <v>1672</v>
      </c>
      <c r="B25" s="43" t="s">
        <v>156</v>
      </c>
      <c r="C25" s="43" t="s">
        <v>999</v>
      </c>
      <c r="D25" s="10">
        <v>522705</v>
      </c>
      <c r="E25" s="43" t="s">
        <v>15</v>
      </c>
      <c r="F25" s="8">
        <f>_xlfn.IFNA(INDEX('OSA | 3GB'!J:L,MATCH(DATA!D25,'OSA | 3GB'!J:J,0),2),0)</f>
        <v>0</v>
      </c>
      <c r="G25" s="8">
        <f>_xlfn.IFNA(INDEX('OSA | 3GB'!J:L,MATCH(DATA!D25,'OSA | 3GB'!J:J,0),3),0)</f>
        <v>0</v>
      </c>
      <c r="H25" s="32" t="str">
        <f>_xlfn.IFNA(INDEX('OSA | 3GB'!A:C,MATCH(DATA!D25,'OSA | 3GB'!A:A,0),2),0)</f>
        <v xml:space="preserve"> -   </v>
      </c>
      <c r="I25" s="33" t="str">
        <f>_xlfn.IFNA(INDEX('OSA | 3GB'!A:C,MATCH(DATA!D25,'OSA | 3GB'!A:A,0),3),0)</f>
        <v xml:space="preserve"> -   </v>
      </c>
      <c r="J25" s="33">
        <f>INDEX('BIO WAHYU'!B:G,MATCH(DATA!D25,'BIO WAHYU'!B:B,0),5)</f>
        <v>0</v>
      </c>
      <c r="K25" s="34">
        <f>INDEX('BIO WAHYU'!B:G,MATCH(DATA!D25,'BIO WAHYU'!B:B,0),6)</f>
        <v>0</v>
      </c>
      <c r="L25" s="35">
        <f>INDEX('BIO WAHYU'!B:H,MATCH(DATA!D25,'BIO WAHYU'!B:B,0),7)</f>
        <v>0</v>
      </c>
      <c r="M25" s="34">
        <f>INDEX('BIO WAHYU'!B:H,MATCH(DATA!D25,'BIO WAHYU'!B:B,0),4)</f>
        <v>0</v>
      </c>
    </row>
    <row r="26" spans="1:13">
      <c r="A26" s="43" t="s">
        <v>1673</v>
      </c>
      <c r="B26" s="43" t="s">
        <v>158</v>
      </c>
      <c r="C26" s="43" t="s">
        <v>171</v>
      </c>
      <c r="D26" s="10">
        <v>534103</v>
      </c>
      <c r="E26" s="43" t="s">
        <v>10</v>
      </c>
      <c r="F26" s="8">
        <f>_xlfn.IFNA(INDEX('OSA | 3GB'!J:L,MATCH(DATA!D26,'OSA | 3GB'!J:J,0),2),0)</f>
        <v>3</v>
      </c>
      <c r="G26" s="8">
        <f>_xlfn.IFNA(INDEX('OSA | 3GB'!J:L,MATCH(DATA!D26,'OSA | 3GB'!J:J,0),3),0)</f>
        <v>1950000</v>
      </c>
      <c r="H26" s="32" t="str">
        <f>_xlfn.IFNA(INDEX('OSA | 3GB'!A:C,MATCH(DATA!D26,'OSA | 3GB'!A:A,0),2),0)</f>
        <v xml:space="preserve"> -   </v>
      </c>
      <c r="I26" s="33">
        <f>_xlfn.IFNA(INDEX('OSA | 3GB'!A:C,MATCH(DATA!D26,'OSA | 3GB'!A:A,0),3),0)</f>
        <v>1000000</v>
      </c>
      <c r="J26" s="33">
        <f>INDEX('BIO WAHYU'!B:G,MATCH(DATA!D26,'BIO WAHYU'!B:B,0),5)</f>
        <v>4</v>
      </c>
      <c r="K26" s="34">
        <f>INDEX('BIO WAHYU'!B:G,MATCH(DATA!D26,'BIO WAHYU'!B:B,0),6)</f>
        <v>2</v>
      </c>
      <c r="L26" s="35">
        <f>INDEX('BIO WAHYU'!B:H,MATCH(DATA!D26,'BIO WAHYU'!B:B,0),7)</f>
        <v>0</v>
      </c>
      <c r="M26" s="34">
        <f>INDEX('BIO WAHYU'!B:H,MATCH(DATA!D26,'BIO WAHYU'!B:B,0),4)</f>
        <v>0</v>
      </c>
    </row>
    <row r="27" spans="1:13">
      <c r="A27" s="43" t="s">
        <v>1670</v>
      </c>
      <c r="B27" s="43" t="s">
        <v>145</v>
      </c>
      <c r="C27" s="43" t="s">
        <v>511</v>
      </c>
      <c r="D27" s="10">
        <v>458924</v>
      </c>
      <c r="E27" s="43" t="s">
        <v>15</v>
      </c>
      <c r="F27" s="8">
        <f>_xlfn.IFNA(INDEX('OSA | 3GB'!J:L,MATCH(DATA!D27,'OSA | 3GB'!J:J,0),2),0)</f>
        <v>0</v>
      </c>
      <c r="G27" s="8">
        <f>_xlfn.IFNA(INDEX('OSA | 3GB'!J:L,MATCH(DATA!D27,'OSA | 3GB'!J:J,0),3),0)</f>
        <v>300000</v>
      </c>
      <c r="H27" s="32" t="str">
        <f>_xlfn.IFNA(INDEX('OSA | 3GB'!A:C,MATCH(DATA!D27,'OSA | 3GB'!A:A,0),2),0)</f>
        <v xml:space="preserve"> -   </v>
      </c>
      <c r="I27" s="33" t="str">
        <f>_xlfn.IFNA(INDEX('OSA | 3GB'!A:C,MATCH(DATA!D27,'OSA | 3GB'!A:A,0),3),0)</f>
        <v xml:space="preserve"> -   </v>
      </c>
      <c r="J27" s="33">
        <f>INDEX('BIO WAHYU'!B:G,MATCH(DATA!D27,'BIO WAHYU'!B:B,0),5)</f>
        <v>1</v>
      </c>
      <c r="K27" s="34">
        <f>INDEX('BIO WAHYU'!B:G,MATCH(DATA!D27,'BIO WAHYU'!B:B,0),6)</f>
        <v>0</v>
      </c>
      <c r="L27" s="35">
        <f>INDEX('BIO WAHYU'!B:H,MATCH(DATA!D27,'BIO WAHYU'!B:B,0),7)</f>
        <v>0</v>
      </c>
      <c r="M27" s="34">
        <f>INDEX('BIO WAHYU'!B:H,MATCH(DATA!D27,'BIO WAHYU'!B:B,0),4)</f>
        <v>0</v>
      </c>
    </row>
    <row r="28" spans="1:13">
      <c r="A28" s="43" t="s">
        <v>1674</v>
      </c>
      <c r="B28" s="43" t="s">
        <v>152</v>
      </c>
      <c r="C28" s="43" t="s">
        <v>672</v>
      </c>
      <c r="D28" s="10">
        <v>406831</v>
      </c>
      <c r="E28" s="43" t="s">
        <v>10</v>
      </c>
      <c r="F28" s="8">
        <f>_xlfn.IFNA(INDEX('OSA | 3GB'!J:L,MATCH(DATA!D28,'OSA | 3GB'!J:J,0),2),0)</f>
        <v>3</v>
      </c>
      <c r="G28" s="8">
        <f>_xlfn.IFNA(INDEX('OSA | 3GB'!J:L,MATCH(DATA!D28,'OSA | 3GB'!J:J,0),3),0)</f>
        <v>5358000</v>
      </c>
      <c r="H28" s="32" t="str">
        <f>_xlfn.IFNA(INDEX('OSA | 3GB'!A:C,MATCH(DATA!D28,'OSA | 3GB'!A:A,0),2),0)</f>
        <v xml:space="preserve"> -   </v>
      </c>
      <c r="I28" s="33">
        <f>_xlfn.IFNA(INDEX('OSA | 3GB'!A:C,MATCH(DATA!D28,'OSA | 3GB'!A:A,0),3),0)</f>
        <v>1200000</v>
      </c>
      <c r="J28" s="33">
        <f>INDEX('BIO WAHYU'!B:G,MATCH(DATA!D28,'BIO WAHYU'!B:B,0),5)</f>
        <v>2</v>
      </c>
      <c r="K28" s="34">
        <f>INDEX('BIO WAHYU'!B:G,MATCH(DATA!D28,'BIO WAHYU'!B:B,0),6)</f>
        <v>0</v>
      </c>
      <c r="L28" s="35">
        <f>INDEX('BIO WAHYU'!B:H,MATCH(DATA!D28,'BIO WAHYU'!B:B,0),7)</f>
        <v>0</v>
      </c>
      <c r="M28" s="34">
        <f>INDEX('BIO WAHYU'!B:H,MATCH(DATA!D28,'BIO WAHYU'!B:B,0),4)</f>
        <v>0</v>
      </c>
    </row>
    <row r="29" spans="1:13">
      <c r="A29" s="43" t="s">
        <v>1671</v>
      </c>
      <c r="B29" s="43">
        <v>2613050885</v>
      </c>
      <c r="C29" s="43" t="s">
        <v>289</v>
      </c>
      <c r="D29" s="10">
        <v>400528</v>
      </c>
      <c r="E29" s="43" t="s">
        <v>15</v>
      </c>
      <c r="F29" s="8">
        <f>_xlfn.IFNA(INDEX('OSA | 3GB'!J:L,MATCH(DATA!D29,'OSA | 3GB'!J:J,0),2),0)</f>
        <v>3</v>
      </c>
      <c r="G29" s="8">
        <f>_xlfn.IFNA(INDEX('OSA | 3GB'!J:L,MATCH(DATA!D29,'OSA | 3GB'!J:J,0),3),0)</f>
        <v>13015000</v>
      </c>
      <c r="H29" s="32">
        <f>_xlfn.IFNA(INDEX('OSA | 3GB'!A:C,MATCH(DATA!D29,'OSA | 3GB'!A:A,0),2),0)</f>
        <v>3</v>
      </c>
      <c r="I29" s="33" t="str">
        <f>_xlfn.IFNA(INDEX('OSA | 3GB'!A:C,MATCH(DATA!D29,'OSA | 3GB'!A:A,0),3),0)</f>
        <v xml:space="preserve"> -   </v>
      </c>
      <c r="J29" s="33">
        <f>INDEX('BIO WAHYU'!B:G,MATCH(DATA!D29,'BIO WAHYU'!B:B,0),5)</f>
        <v>1</v>
      </c>
      <c r="K29" s="34">
        <f>INDEX('BIO WAHYU'!B:G,MATCH(DATA!D29,'BIO WAHYU'!B:B,0),6)</f>
        <v>4</v>
      </c>
      <c r="L29" s="35">
        <f>INDEX('BIO WAHYU'!B:H,MATCH(DATA!D29,'BIO WAHYU'!B:B,0),7)</f>
        <v>3</v>
      </c>
      <c r="M29" s="34">
        <f>INDEX('BIO WAHYU'!B:H,MATCH(DATA!D29,'BIO WAHYU'!B:B,0),4)</f>
        <v>0</v>
      </c>
    </row>
    <row r="30" spans="1:13">
      <c r="A30" s="43" t="s">
        <v>1</v>
      </c>
      <c r="B30" s="43" t="s">
        <v>3</v>
      </c>
      <c r="C30" s="43" t="s">
        <v>17</v>
      </c>
      <c r="D30" s="10">
        <v>12295826</v>
      </c>
      <c r="E30" s="43" t="s">
        <v>15</v>
      </c>
      <c r="F30" s="8">
        <f>_xlfn.IFNA(INDEX('OSA | 3GB'!J:L,MATCH(DATA!D30,'OSA | 3GB'!J:J,0),2),0)</f>
        <v>3</v>
      </c>
      <c r="G30" s="8">
        <f>_xlfn.IFNA(INDEX('OSA | 3GB'!J:L,MATCH(DATA!D30,'OSA | 3GB'!J:J,0),3),0)</f>
        <v>1000</v>
      </c>
      <c r="H30" s="32" t="str">
        <f>_xlfn.IFNA(INDEX('OSA | 3GB'!A:C,MATCH(DATA!D30,'OSA | 3GB'!A:A,0),2),0)</f>
        <v xml:space="preserve"> -   </v>
      </c>
      <c r="I30" s="33" t="str">
        <f>_xlfn.IFNA(INDEX('OSA | 3GB'!A:C,MATCH(DATA!D30,'OSA | 3GB'!A:A,0),3),0)</f>
        <v xml:space="preserve"> -   </v>
      </c>
      <c r="J30" s="33">
        <f>INDEX('BIO WAHYU'!B:G,MATCH(DATA!D30,'BIO WAHYU'!B:B,0),5)</f>
        <v>3</v>
      </c>
      <c r="K30" s="34">
        <f>INDEX('BIO WAHYU'!B:G,MATCH(DATA!D30,'BIO WAHYU'!B:B,0),6)</f>
        <v>0</v>
      </c>
      <c r="L30" s="35">
        <f>INDEX('BIO WAHYU'!B:H,MATCH(DATA!D30,'BIO WAHYU'!B:B,0),7)</f>
        <v>0</v>
      </c>
      <c r="M30" s="34">
        <f>INDEX('BIO WAHYU'!B:H,MATCH(DATA!D30,'BIO WAHYU'!B:B,0),4)</f>
        <v>0</v>
      </c>
    </row>
    <row r="31" spans="1:13">
      <c r="A31" s="43" t="s">
        <v>1674</v>
      </c>
      <c r="B31" s="43" t="s">
        <v>153</v>
      </c>
      <c r="C31" s="43" t="s">
        <v>1142</v>
      </c>
      <c r="D31" s="10">
        <v>12326939</v>
      </c>
      <c r="E31" s="43" t="s">
        <v>10</v>
      </c>
      <c r="F31" s="8">
        <f>_xlfn.IFNA(INDEX('OSA | 3GB'!J:L,MATCH(DATA!D31,'OSA | 3GB'!J:J,0),2),0)</f>
        <v>24</v>
      </c>
      <c r="G31" s="8">
        <f>_xlfn.IFNA(INDEX('OSA | 3GB'!J:L,MATCH(DATA!D31,'OSA | 3GB'!J:J,0),3),0)</f>
        <v>20791000</v>
      </c>
      <c r="H31" s="32" t="str">
        <f>_xlfn.IFNA(INDEX('OSA | 3GB'!A:C,MATCH(DATA!D31,'OSA | 3GB'!A:A,0),2),0)</f>
        <v xml:space="preserve"> -   </v>
      </c>
      <c r="I31" s="33">
        <f>_xlfn.IFNA(INDEX('OSA | 3GB'!A:C,MATCH(DATA!D31,'OSA | 3GB'!A:A,0),3),0)</f>
        <v>2896000</v>
      </c>
      <c r="J31" s="33">
        <f>INDEX('BIO WAHYU'!B:G,MATCH(DATA!D31,'BIO WAHYU'!B:B,0),5)</f>
        <v>5</v>
      </c>
      <c r="K31" s="34">
        <f>INDEX('BIO WAHYU'!B:G,MATCH(DATA!D31,'BIO WAHYU'!B:B,0),6)</f>
        <v>11</v>
      </c>
      <c r="L31" s="35">
        <f>INDEX('BIO WAHYU'!B:H,MATCH(DATA!D31,'BIO WAHYU'!B:B,0),7)</f>
        <v>6</v>
      </c>
      <c r="M31" s="34">
        <f>INDEX('BIO WAHYU'!B:H,MATCH(DATA!D31,'BIO WAHYU'!B:B,0),4)</f>
        <v>0</v>
      </c>
    </row>
    <row r="32" spans="1:13">
      <c r="A32" s="43" t="s">
        <v>1675</v>
      </c>
      <c r="B32" s="43" t="s">
        <v>137</v>
      </c>
      <c r="C32" s="43" t="s">
        <v>421</v>
      </c>
      <c r="D32" s="10">
        <v>12295805</v>
      </c>
      <c r="E32" s="43" t="s">
        <v>15</v>
      </c>
      <c r="F32" s="8">
        <f>_xlfn.IFNA(INDEX('OSA | 3GB'!J:L,MATCH(DATA!D32,'OSA | 3GB'!J:J,0),2),0)</f>
        <v>0</v>
      </c>
      <c r="G32" s="8">
        <f>_xlfn.IFNA(INDEX('OSA | 3GB'!J:L,MATCH(DATA!D32,'OSA | 3GB'!J:J,0),3),0)</f>
        <v>100000</v>
      </c>
      <c r="H32" s="32" t="str">
        <f>_xlfn.IFNA(INDEX('OSA | 3GB'!A:C,MATCH(DATA!D32,'OSA | 3GB'!A:A,0),2),0)</f>
        <v xml:space="preserve"> -   </v>
      </c>
      <c r="I32" s="33" t="str">
        <f>_xlfn.IFNA(INDEX('OSA | 3GB'!A:C,MATCH(DATA!D32,'OSA | 3GB'!A:A,0),3),0)</f>
        <v xml:space="preserve"> -   </v>
      </c>
      <c r="J32" s="33">
        <f>INDEX('BIO WAHYU'!B:G,MATCH(DATA!D32,'BIO WAHYU'!B:B,0),5)</f>
        <v>1</v>
      </c>
      <c r="K32" s="34">
        <f>INDEX('BIO WAHYU'!B:G,MATCH(DATA!D32,'BIO WAHYU'!B:B,0),6)</f>
        <v>0</v>
      </c>
      <c r="L32" s="35">
        <f>INDEX('BIO WAHYU'!B:H,MATCH(DATA!D32,'BIO WAHYU'!B:B,0),7)</f>
        <v>0</v>
      </c>
      <c r="M32" s="34">
        <f>INDEX('BIO WAHYU'!B:H,MATCH(DATA!D32,'BIO WAHYU'!B:B,0),4)</f>
        <v>0</v>
      </c>
    </row>
    <row r="33" spans="1:13">
      <c r="A33" s="43" t="s">
        <v>1673</v>
      </c>
      <c r="B33" s="43" t="s">
        <v>1136</v>
      </c>
      <c r="C33" s="43" t="s">
        <v>1143</v>
      </c>
      <c r="D33" s="10">
        <v>366731</v>
      </c>
      <c r="E33" s="43" t="s">
        <v>10</v>
      </c>
      <c r="F33" s="8">
        <f>_xlfn.IFNA(INDEX('OSA | 3GB'!J:L,MATCH(DATA!D33,'OSA | 3GB'!J:J,0),2),0)</f>
        <v>2</v>
      </c>
      <c r="G33" s="8">
        <f>_xlfn.IFNA(INDEX('OSA | 3GB'!J:L,MATCH(DATA!D33,'OSA | 3GB'!J:J,0),3),0)</f>
        <v>12534000</v>
      </c>
      <c r="H33" s="32">
        <f>_xlfn.IFNA(INDEX('OSA | 3GB'!A:C,MATCH(DATA!D33,'OSA | 3GB'!A:A,0),2),0)</f>
        <v>7</v>
      </c>
      <c r="I33" s="33">
        <f>_xlfn.IFNA(INDEX('OSA | 3GB'!A:C,MATCH(DATA!D33,'OSA | 3GB'!A:A,0),3),0)</f>
        <v>5030000</v>
      </c>
      <c r="J33" s="33">
        <f>INDEX('BIO WAHYU'!B:G,MATCH(DATA!D33,'BIO WAHYU'!B:B,0),5)</f>
        <v>11</v>
      </c>
      <c r="K33" s="34">
        <f>INDEX('BIO WAHYU'!B:G,MATCH(DATA!D33,'BIO WAHYU'!B:B,0),6)</f>
        <v>8</v>
      </c>
      <c r="L33" s="35">
        <f>INDEX('BIO WAHYU'!B:H,MATCH(DATA!D33,'BIO WAHYU'!B:B,0),7)</f>
        <v>0</v>
      </c>
      <c r="M33" s="34">
        <f>INDEX('BIO WAHYU'!B:H,MATCH(DATA!D33,'BIO WAHYU'!B:B,0),4)</f>
        <v>0</v>
      </c>
    </row>
    <row r="34" spans="1:13">
      <c r="A34" s="43" t="s">
        <v>1672</v>
      </c>
      <c r="B34" s="43" t="s">
        <v>156</v>
      </c>
      <c r="C34" s="43" t="s">
        <v>988</v>
      </c>
      <c r="D34" s="10">
        <v>375678</v>
      </c>
      <c r="E34" s="43" t="s">
        <v>10</v>
      </c>
      <c r="F34" s="8">
        <f>_xlfn.IFNA(INDEX('OSA | 3GB'!J:L,MATCH(DATA!D34,'OSA | 3GB'!J:J,0),2),0)</f>
        <v>9</v>
      </c>
      <c r="G34" s="8">
        <f>_xlfn.IFNA(INDEX('OSA | 3GB'!J:L,MATCH(DATA!D34,'OSA | 3GB'!J:J,0),3),0)</f>
        <v>5300000</v>
      </c>
      <c r="H34" s="32" t="str">
        <f>_xlfn.IFNA(INDEX('OSA | 3GB'!A:C,MATCH(DATA!D34,'OSA | 3GB'!A:A,0),2),0)</f>
        <v xml:space="preserve"> -   </v>
      </c>
      <c r="I34" s="33">
        <f>_xlfn.IFNA(INDEX('OSA | 3GB'!A:C,MATCH(DATA!D34,'OSA | 3GB'!A:A,0),3),0)</f>
        <v>2000000</v>
      </c>
      <c r="J34" s="33">
        <f>INDEX('BIO WAHYU'!B:G,MATCH(DATA!D34,'BIO WAHYU'!B:B,0),5)</f>
        <v>7</v>
      </c>
      <c r="K34" s="34">
        <f>INDEX('BIO WAHYU'!B:G,MATCH(DATA!D34,'BIO WAHYU'!B:B,0),6)</f>
        <v>9</v>
      </c>
      <c r="L34" s="35">
        <f>INDEX('BIO WAHYU'!B:H,MATCH(DATA!D34,'BIO WAHYU'!B:B,0),7)</f>
        <v>2</v>
      </c>
      <c r="M34" s="34">
        <f>INDEX('BIO WAHYU'!B:H,MATCH(DATA!D34,'BIO WAHYU'!B:B,0),4)</f>
        <v>1</v>
      </c>
    </row>
    <row r="35" spans="1:13">
      <c r="A35" s="43" t="s">
        <v>1674</v>
      </c>
      <c r="B35" s="43" t="s">
        <v>147</v>
      </c>
      <c r="C35" s="43" t="s">
        <v>617</v>
      </c>
      <c r="D35" s="10">
        <v>572317</v>
      </c>
      <c r="E35" s="43" t="s">
        <v>10</v>
      </c>
      <c r="F35" s="8">
        <f>_xlfn.IFNA(INDEX('OSA | 3GB'!J:L,MATCH(DATA!D35,'OSA | 3GB'!J:J,0),2),0)</f>
        <v>34</v>
      </c>
      <c r="G35" s="8">
        <f>_xlfn.IFNA(INDEX('OSA | 3GB'!J:L,MATCH(DATA!D35,'OSA | 3GB'!J:J,0),3),0)</f>
        <v>55772000</v>
      </c>
      <c r="H35" s="32">
        <f>_xlfn.IFNA(INDEX('OSA | 3GB'!A:C,MATCH(DATA!D35,'OSA | 3GB'!A:A,0),2),0)</f>
        <v>99</v>
      </c>
      <c r="I35" s="33">
        <f>_xlfn.IFNA(INDEX('OSA | 3GB'!A:C,MATCH(DATA!D35,'OSA | 3GB'!A:A,0),3),0)</f>
        <v>9355000</v>
      </c>
      <c r="J35" s="33">
        <f>INDEX('BIO WAHYU'!B:G,MATCH(DATA!D35,'BIO WAHYU'!B:B,0),5)</f>
        <v>188</v>
      </c>
      <c r="K35" s="34">
        <f>INDEX('BIO WAHYU'!B:G,MATCH(DATA!D35,'BIO WAHYU'!B:B,0),6)</f>
        <v>84</v>
      </c>
      <c r="L35" s="35">
        <f>INDEX('BIO WAHYU'!B:H,MATCH(DATA!D35,'BIO WAHYU'!B:B,0),7)</f>
        <v>0</v>
      </c>
      <c r="M35" s="34">
        <f>INDEX('BIO WAHYU'!B:H,MATCH(DATA!D35,'BIO WAHYU'!B:B,0),4)</f>
        <v>0</v>
      </c>
    </row>
    <row r="36" spans="1:13">
      <c r="A36" s="43" t="s">
        <v>1671</v>
      </c>
      <c r="B36" s="43">
        <v>2613050886</v>
      </c>
      <c r="C36" s="43" t="s">
        <v>334</v>
      </c>
      <c r="D36" s="10">
        <v>537259</v>
      </c>
      <c r="E36" s="43" t="s">
        <v>15</v>
      </c>
      <c r="F36" s="8">
        <f>_xlfn.IFNA(INDEX('OSA | 3GB'!J:L,MATCH(DATA!D36,'OSA | 3GB'!J:J,0),2),0)</f>
        <v>22</v>
      </c>
      <c r="G36" s="8">
        <f>_xlfn.IFNA(INDEX('OSA | 3GB'!J:L,MATCH(DATA!D36,'OSA | 3GB'!J:J,0),3),0)</f>
        <v>2829000</v>
      </c>
      <c r="H36" s="32" t="str">
        <f>_xlfn.IFNA(INDEX('OSA | 3GB'!A:C,MATCH(DATA!D36,'OSA | 3GB'!A:A,0),2),0)</f>
        <v xml:space="preserve"> -   </v>
      </c>
      <c r="I36" s="33">
        <f>_xlfn.IFNA(INDEX('OSA | 3GB'!A:C,MATCH(DATA!D36,'OSA | 3GB'!A:A,0),3),0)</f>
        <v>1150000</v>
      </c>
      <c r="J36" s="33">
        <f>INDEX('BIO WAHYU'!B:G,MATCH(DATA!D36,'BIO WAHYU'!B:B,0),5)</f>
        <v>19</v>
      </c>
      <c r="K36" s="34">
        <f>INDEX('BIO WAHYU'!B:G,MATCH(DATA!D36,'BIO WAHYU'!B:B,0),6)</f>
        <v>7</v>
      </c>
      <c r="L36" s="35">
        <f>INDEX('BIO WAHYU'!B:H,MATCH(DATA!D36,'BIO WAHYU'!B:B,0),7)</f>
        <v>0</v>
      </c>
      <c r="M36" s="34">
        <f>INDEX('BIO WAHYU'!B:H,MATCH(DATA!D36,'BIO WAHYU'!B:B,0),4)</f>
        <v>0</v>
      </c>
    </row>
    <row r="37" spans="1:13">
      <c r="A37" s="43" t="s">
        <v>1675</v>
      </c>
      <c r="B37" s="43">
        <v>2613051043</v>
      </c>
      <c r="C37" s="43" t="s">
        <v>1144</v>
      </c>
      <c r="D37" s="10">
        <v>12297198</v>
      </c>
      <c r="E37" s="43" t="s">
        <v>15</v>
      </c>
      <c r="F37" s="8">
        <f>_xlfn.IFNA(INDEX('OSA | 3GB'!J:L,MATCH(DATA!D37,'OSA | 3GB'!J:J,0),2),0)</f>
        <v>0</v>
      </c>
      <c r="G37" s="8">
        <f>_xlfn.IFNA(INDEX('OSA | 3GB'!J:L,MATCH(DATA!D37,'OSA | 3GB'!J:J,0),3),0)</f>
        <v>0</v>
      </c>
      <c r="H37" s="32" t="str">
        <f>_xlfn.IFNA(INDEX('OSA | 3GB'!A:C,MATCH(DATA!D37,'OSA | 3GB'!A:A,0),2),0)</f>
        <v xml:space="preserve"> -   </v>
      </c>
      <c r="I37" s="33" t="str">
        <f>_xlfn.IFNA(INDEX('OSA | 3GB'!A:C,MATCH(DATA!D37,'OSA | 3GB'!A:A,0),3),0)</f>
        <v xml:space="preserve"> -   </v>
      </c>
      <c r="J37" s="33">
        <f>INDEX('BIO WAHYU'!B:G,MATCH(DATA!D37,'BIO WAHYU'!B:B,0),5)</f>
        <v>0</v>
      </c>
      <c r="K37" s="34">
        <f>INDEX('BIO WAHYU'!B:G,MATCH(DATA!D37,'BIO WAHYU'!B:B,0),6)</f>
        <v>0</v>
      </c>
      <c r="L37" s="35">
        <f>INDEX('BIO WAHYU'!B:H,MATCH(DATA!D37,'BIO WAHYU'!B:B,0),7)</f>
        <v>0</v>
      </c>
      <c r="M37" s="34">
        <f>INDEX('BIO WAHYU'!B:H,MATCH(DATA!D37,'BIO WAHYU'!B:B,0),4)</f>
        <v>0</v>
      </c>
    </row>
    <row r="38" spans="1:13">
      <c r="A38" s="43" t="s">
        <v>1</v>
      </c>
      <c r="B38" s="43" t="s">
        <v>3</v>
      </c>
      <c r="C38" s="43" t="s">
        <v>14</v>
      </c>
      <c r="D38" s="10">
        <v>12295752</v>
      </c>
      <c r="E38" s="43" t="s">
        <v>15</v>
      </c>
      <c r="F38" s="8">
        <f>_xlfn.IFNA(INDEX('OSA | 3GB'!J:L,MATCH(DATA!D38,'OSA | 3GB'!J:J,0),2),0)</f>
        <v>4</v>
      </c>
      <c r="G38" s="8">
        <f>_xlfn.IFNA(INDEX('OSA | 3GB'!J:L,MATCH(DATA!D38,'OSA | 3GB'!J:J,0),3),0)</f>
        <v>369000</v>
      </c>
      <c r="H38" s="32">
        <f>_xlfn.IFNA(INDEX('OSA | 3GB'!A:C,MATCH(DATA!D38,'OSA | 3GB'!A:A,0),2),0)</f>
        <v>5</v>
      </c>
      <c r="I38" s="33" t="str">
        <f>_xlfn.IFNA(INDEX('OSA | 3GB'!A:C,MATCH(DATA!D38,'OSA | 3GB'!A:A,0),3),0)</f>
        <v xml:space="preserve"> -   </v>
      </c>
      <c r="J38" s="33">
        <f>INDEX('BIO WAHYU'!B:G,MATCH(DATA!D38,'BIO WAHYU'!B:B,0),5)</f>
        <v>5</v>
      </c>
      <c r="K38" s="34">
        <f>INDEX('BIO WAHYU'!B:G,MATCH(DATA!D38,'BIO WAHYU'!B:B,0),6)</f>
        <v>2</v>
      </c>
      <c r="L38" s="35">
        <f>INDEX('BIO WAHYU'!B:H,MATCH(DATA!D38,'BIO WAHYU'!B:B,0),7)</f>
        <v>0</v>
      </c>
      <c r="M38" s="34">
        <f>INDEX('BIO WAHYU'!B:H,MATCH(DATA!D38,'BIO WAHYU'!B:B,0),4)</f>
        <v>0</v>
      </c>
    </row>
    <row r="39" spans="1:13">
      <c r="A39" s="43" t="s">
        <v>1675</v>
      </c>
      <c r="B39" s="43" t="s">
        <v>136</v>
      </c>
      <c r="C39" s="43" t="s">
        <v>403</v>
      </c>
      <c r="D39" s="10">
        <v>337270</v>
      </c>
      <c r="E39" s="43" t="s">
        <v>10</v>
      </c>
      <c r="F39" s="8">
        <f>_xlfn.IFNA(INDEX('OSA | 3GB'!J:L,MATCH(DATA!D39,'OSA | 3GB'!J:J,0),2),0)</f>
        <v>5</v>
      </c>
      <c r="G39" s="8">
        <f>_xlfn.IFNA(INDEX('OSA | 3GB'!J:L,MATCH(DATA!D39,'OSA | 3GB'!J:J,0),3),0)</f>
        <v>7550000</v>
      </c>
      <c r="H39" s="32" t="str">
        <f>_xlfn.IFNA(INDEX('OSA | 3GB'!A:C,MATCH(DATA!D39,'OSA | 3GB'!A:A,0),2),0)</f>
        <v xml:space="preserve"> -   </v>
      </c>
      <c r="I39" s="33">
        <f>_xlfn.IFNA(INDEX('OSA | 3GB'!A:C,MATCH(DATA!D39,'OSA | 3GB'!A:A,0),3),0)</f>
        <v>2800000</v>
      </c>
      <c r="J39" s="33">
        <f>INDEX('BIO WAHYU'!B:G,MATCH(DATA!D39,'BIO WAHYU'!B:B,0),5)</f>
        <v>1</v>
      </c>
      <c r="K39" s="34">
        <f>INDEX('BIO WAHYU'!B:G,MATCH(DATA!D39,'BIO WAHYU'!B:B,0),6)</f>
        <v>0</v>
      </c>
      <c r="L39" s="35">
        <f>INDEX('BIO WAHYU'!B:H,MATCH(DATA!D39,'BIO WAHYU'!B:B,0),7)</f>
        <v>0</v>
      </c>
      <c r="M39" s="34">
        <f>INDEX('BIO WAHYU'!B:H,MATCH(DATA!D39,'BIO WAHYU'!B:B,0),4)</f>
        <v>0</v>
      </c>
    </row>
    <row r="40" spans="1:13">
      <c r="A40" s="43" t="s">
        <v>1672</v>
      </c>
      <c r="B40" s="43" t="s">
        <v>155</v>
      </c>
      <c r="C40" s="43" t="s">
        <v>1145</v>
      </c>
      <c r="D40" s="10">
        <v>61487</v>
      </c>
      <c r="E40" s="43" t="s">
        <v>10</v>
      </c>
      <c r="F40" s="8">
        <f>_xlfn.IFNA(INDEX('OSA | 3GB'!J:L,MATCH(DATA!D40,'OSA | 3GB'!J:J,0),2),0)</f>
        <v>4</v>
      </c>
      <c r="G40" s="8">
        <f>_xlfn.IFNA(INDEX('OSA | 3GB'!J:L,MATCH(DATA!D40,'OSA | 3GB'!J:J,0),3),0)</f>
        <v>400000</v>
      </c>
      <c r="H40" s="32">
        <f>_xlfn.IFNA(INDEX('OSA | 3GB'!A:C,MATCH(DATA!D40,'OSA | 3GB'!A:A,0),2),0)</f>
        <v>3</v>
      </c>
      <c r="I40" s="33">
        <f>_xlfn.IFNA(INDEX('OSA | 3GB'!A:C,MATCH(DATA!D40,'OSA | 3GB'!A:A,0),3),0)</f>
        <v>100000</v>
      </c>
      <c r="J40" s="33">
        <f>INDEX('BIO WAHYU'!B:G,MATCH(DATA!D40,'BIO WAHYU'!B:B,0),5)</f>
        <v>2</v>
      </c>
      <c r="K40" s="34">
        <f>INDEX('BIO WAHYU'!B:G,MATCH(DATA!D40,'BIO WAHYU'!B:B,0),6)</f>
        <v>3</v>
      </c>
      <c r="L40" s="35">
        <f>INDEX('BIO WAHYU'!B:H,MATCH(DATA!D40,'BIO WAHYU'!B:B,0),7)</f>
        <v>1</v>
      </c>
      <c r="M40" s="34">
        <f>INDEX('BIO WAHYU'!B:H,MATCH(DATA!D40,'BIO WAHYU'!B:B,0),4)</f>
        <v>0</v>
      </c>
    </row>
    <row r="41" spans="1:13">
      <c r="A41" s="43" t="s">
        <v>1671</v>
      </c>
      <c r="B41" s="43">
        <v>2613050885</v>
      </c>
      <c r="C41" s="43" t="s">
        <v>1146</v>
      </c>
      <c r="D41" s="10">
        <v>532286</v>
      </c>
      <c r="E41" s="43" t="s">
        <v>15</v>
      </c>
      <c r="F41" s="8">
        <f>_xlfn.IFNA(INDEX('OSA | 3GB'!J:L,MATCH(DATA!D41,'OSA | 3GB'!J:J,0),2),0)</f>
        <v>0</v>
      </c>
      <c r="G41" s="8">
        <f>_xlfn.IFNA(INDEX('OSA | 3GB'!J:L,MATCH(DATA!D41,'OSA | 3GB'!J:J,0),3),0)</f>
        <v>0</v>
      </c>
      <c r="H41" s="32" t="str">
        <f>_xlfn.IFNA(INDEX('OSA | 3GB'!A:C,MATCH(DATA!D41,'OSA | 3GB'!A:A,0),2),0)</f>
        <v xml:space="preserve"> -   </v>
      </c>
      <c r="I41" s="33" t="str">
        <f>_xlfn.IFNA(INDEX('OSA | 3GB'!A:C,MATCH(DATA!D41,'OSA | 3GB'!A:A,0),3),0)</f>
        <v xml:space="preserve"> -   </v>
      </c>
      <c r="J41" s="33">
        <f>INDEX('BIO WAHYU'!B:G,MATCH(DATA!D41,'BIO WAHYU'!B:B,0),5)</f>
        <v>0</v>
      </c>
      <c r="K41" s="34">
        <f>INDEX('BIO WAHYU'!B:G,MATCH(DATA!D41,'BIO WAHYU'!B:B,0),6)</f>
        <v>0</v>
      </c>
      <c r="L41" s="35">
        <f>INDEX('BIO WAHYU'!B:H,MATCH(DATA!D41,'BIO WAHYU'!B:B,0),7)</f>
        <v>0</v>
      </c>
      <c r="M41" s="34">
        <f>INDEX('BIO WAHYU'!B:H,MATCH(DATA!D41,'BIO WAHYU'!B:B,0),4)</f>
        <v>0</v>
      </c>
    </row>
    <row r="42" spans="1:13">
      <c r="A42" s="43" t="s">
        <v>1672</v>
      </c>
      <c r="B42" s="43" t="s">
        <v>149</v>
      </c>
      <c r="C42" s="43" t="s">
        <v>782</v>
      </c>
      <c r="D42" s="10">
        <v>328760</v>
      </c>
      <c r="E42" s="43" t="s">
        <v>10</v>
      </c>
      <c r="F42" s="8">
        <f>_xlfn.IFNA(INDEX('OSA | 3GB'!J:L,MATCH(DATA!D42,'OSA | 3GB'!J:J,0),2),0)</f>
        <v>6</v>
      </c>
      <c r="G42" s="8">
        <f>_xlfn.IFNA(INDEX('OSA | 3GB'!J:L,MATCH(DATA!D42,'OSA | 3GB'!J:J,0),3),0)</f>
        <v>1558000</v>
      </c>
      <c r="H42" s="32">
        <f>_xlfn.IFNA(INDEX('OSA | 3GB'!A:C,MATCH(DATA!D42,'OSA | 3GB'!A:A,0),2),0)</f>
        <v>2</v>
      </c>
      <c r="I42" s="33">
        <f>_xlfn.IFNA(INDEX('OSA | 3GB'!A:C,MATCH(DATA!D42,'OSA | 3GB'!A:A,0),3),0)</f>
        <v>558000</v>
      </c>
      <c r="J42" s="33">
        <f>INDEX('BIO WAHYU'!B:G,MATCH(DATA!D42,'BIO WAHYU'!B:B,0),5)</f>
        <v>3</v>
      </c>
      <c r="K42" s="34">
        <f>INDEX('BIO WAHYU'!B:G,MATCH(DATA!D42,'BIO WAHYU'!B:B,0),6)</f>
        <v>0</v>
      </c>
      <c r="L42" s="35">
        <f>INDEX('BIO WAHYU'!B:H,MATCH(DATA!D42,'BIO WAHYU'!B:B,0),7)</f>
        <v>0</v>
      </c>
      <c r="M42" s="34">
        <f>INDEX('BIO WAHYU'!B:H,MATCH(DATA!D42,'BIO WAHYU'!B:B,0),4)</f>
        <v>0</v>
      </c>
    </row>
    <row r="43" spans="1:13">
      <c r="A43" s="43" t="s">
        <v>1674</v>
      </c>
      <c r="B43" s="43" t="s">
        <v>147</v>
      </c>
      <c r="C43" s="43" t="s">
        <v>606</v>
      </c>
      <c r="D43" s="10">
        <v>261639</v>
      </c>
      <c r="E43" s="43" t="s">
        <v>10</v>
      </c>
      <c r="F43" s="8">
        <f>_xlfn.IFNA(INDEX('OSA | 3GB'!J:L,MATCH(DATA!D43,'OSA | 3GB'!J:J,0),2),0)</f>
        <v>1</v>
      </c>
      <c r="G43" s="8">
        <f>_xlfn.IFNA(INDEX('OSA | 3GB'!J:L,MATCH(DATA!D43,'OSA | 3GB'!J:J,0),3),0)</f>
        <v>100000</v>
      </c>
      <c r="H43" s="32" t="str">
        <f>_xlfn.IFNA(INDEX('OSA | 3GB'!A:C,MATCH(DATA!D43,'OSA | 3GB'!A:A,0),2),0)</f>
        <v xml:space="preserve"> -   </v>
      </c>
      <c r="I43" s="33">
        <f>_xlfn.IFNA(INDEX('OSA | 3GB'!A:C,MATCH(DATA!D43,'OSA | 3GB'!A:A,0),3),0)</f>
        <v>500000</v>
      </c>
      <c r="J43" s="33">
        <f>INDEX('BIO WAHYU'!B:G,MATCH(DATA!D43,'BIO WAHYU'!B:B,0),5)</f>
        <v>2</v>
      </c>
      <c r="K43" s="34">
        <f>INDEX('BIO WAHYU'!B:G,MATCH(DATA!D43,'BIO WAHYU'!B:B,0),6)</f>
        <v>0</v>
      </c>
      <c r="L43" s="35">
        <f>INDEX('BIO WAHYU'!B:H,MATCH(DATA!D43,'BIO WAHYU'!B:B,0),7)</f>
        <v>0</v>
      </c>
      <c r="M43" s="34">
        <f>INDEX('BIO WAHYU'!B:H,MATCH(DATA!D43,'BIO WAHYU'!B:B,0),4)</f>
        <v>0</v>
      </c>
    </row>
    <row r="44" spans="1:13">
      <c r="A44" s="43" t="s">
        <v>1675</v>
      </c>
      <c r="B44" s="43" t="s">
        <v>136</v>
      </c>
      <c r="C44" s="43" t="s">
        <v>407</v>
      </c>
      <c r="D44" s="10">
        <v>489716</v>
      </c>
      <c r="E44" s="43" t="s">
        <v>23</v>
      </c>
      <c r="F44" s="8">
        <f>_xlfn.IFNA(INDEX('OSA | 3GB'!J:L,MATCH(DATA!D44,'OSA | 3GB'!J:J,0),2),0)</f>
        <v>5</v>
      </c>
      <c r="G44" s="8">
        <f>_xlfn.IFNA(INDEX('OSA | 3GB'!J:L,MATCH(DATA!D44,'OSA | 3GB'!J:J,0),3),0)</f>
        <v>1000000</v>
      </c>
      <c r="H44" s="32" t="str">
        <f>_xlfn.IFNA(INDEX('OSA | 3GB'!A:C,MATCH(DATA!D44,'OSA | 3GB'!A:A,0),2),0)</f>
        <v xml:space="preserve"> -   </v>
      </c>
      <c r="I44" s="33" t="str">
        <f>_xlfn.IFNA(INDEX('OSA | 3GB'!A:C,MATCH(DATA!D44,'OSA | 3GB'!A:A,0),3),0)</f>
        <v xml:space="preserve"> -   </v>
      </c>
      <c r="J44" s="33">
        <f>INDEX('BIO WAHYU'!B:G,MATCH(DATA!D44,'BIO WAHYU'!B:B,0),5)</f>
        <v>4</v>
      </c>
      <c r="K44" s="34">
        <f>INDEX('BIO WAHYU'!B:G,MATCH(DATA!D44,'BIO WAHYU'!B:B,0),6)</f>
        <v>0</v>
      </c>
      <c r="L44" s="35">
        <f>INDEX('BIO WAHYU'!B:H,MATCH(DATA!D44,'BIO WAHYU'!B:B,0),7)</f>
        <v>0</v>
      </c>
      <c r="M44" s="34">
        <f>INDEX('BIO WAHYU'!B:H,MATCH(DATA!D44,'BIO WAHYU'!B:B,0),4)</f>
        <v>0</v>
      </c>
    </row>
    <row r="45" spans="1:13">
      <c r="A45" s="43" t="s">
        <v>1672</v>
      </c>
      <c r="B45" s="43">
        <v>2613051475</v>
      </c>
      <c r="C45" s="43" t="s">
        <v>1147</v>
      </c>
      <c r="D45" s="10">
        <v>563913</v>
      </c>
      <c r="E45" s="43" t="s">
        <v>10</v>
      </c>
      <c r="F45" s="8">
        <f>_xlfn.IFNA(INDEX('OSA | 3GB'!J:L,MATCH(DATA!D45,'OSA | 3GB'!J:J,0),2),0)</f>
        <v>57</v>
      </c>
      <c r="G45" s="8">
        <f>_xlfn.IFNA(INDEX('OSA | 3GB'!J:L,MATCH(DATA!D45,'OSA | 3GB'!J:J,0),3),0)</f>
        <v>58000</v>
      </c>
      <c r="H45" s="32">
        <f>_xlfn.IFNA(INDEX('OSA | 3GB'!A:C,MATCH(DATA!D45,'OSA | 3GB'!A:A,0),2),0)</f>
        <v>9</v>
      </c>
      <c r="I45" s="33" t="str">
        <f>_xlfn.IFNA(INDEX('OSA | 3GB'!A:C,MATCH(DATA!D45,'OSA | 3GB'!A:A,0),3),0)</f>
        <v xml:space="preserve"> -   </v>
      </c>
      <c r="J45" s="33">
        <f>INDEX('BIO WAHYU'!B:G,MATCH(DATA!D45,'BIO WAHYU'!B:B,0),5)</f>
        <v>29</v>
      </c>
      <c r="K45" s="34">
        <f>INDEX('BIO WAHYU'!B:G,MATCH(DATA!D45,'BIO WAHYU'!B:B,0),6)</f>
        <v>3</v>
      </c>
      <c r="L45" s="35">
        <f>INDEX('BIO WAHYU'!B:H,MATCH(DATA!D45,'BIO WAHYU'!B:B,0),7)</f>
        <v>0</v>
      </c>
      <c r="M45" s="34">
        <f>INDEX('BIO WAHYU'!B:H,MATCH(DATA!D45,'BIO WAHYU'!B:B,0),4)</f>
        <v>0</v>
      </c>
    </row>
    <row r="46" spans="1:13">
      <c r="A46" s="43" t="s">
        <v>1673</v>
      </c>
      <c r="B46" s="43" t="s">
        <v>1136</v>
      </c>
      <c r="C46" s="43" t="s">
        <v>1148</v>
      </c>
      <c r="D46" s="10">
        <v>11164</v>
      </c>
      <c r="E46" s="43" t="s">
        <v>10</v>
      </c>
      <c r="F46" s="8">
        <f>_xlfn.IFNA(INDEX('OSA | 3GB'!J:L,MATCH(DATA!D46,'OSA | 3GB'!J:J,0),2),0)</f>
        <v>3</v>
      </c>
      <c r="G46" s="8">
        <f>_xlfn.IFNA(INDEX('OSA | 3GB'!J:L,MATCH(DATA!D46,'OSA | 3GB'!J:J,0),3),0)</f>
        <v>350000</v>
      </c>
      <c r="H46" s="32" t="str">
        <f>_xlfn.IFNA(INDEX('OSA | 3GB'!A:C,MATCH(DATA!D46,'OSA | 3GB'!A:A,0),2),0)</f>
        <v xml:space="preserve"> -   </v>
      </c>
      <c r="I46" s="33" t="str">
        <f>_xlfn.IFNA(INDEX('OSA | 3GB'!A:C,MATCH(DATA!D46,'OSA | 3GB'!A:A,0),3),0)</f>
        <v xml:space="preserve"> -   </v>
      </c>
      <c r="J46" s="33">
        <f>INDEX('BIO WAHYU'!B:G,MATCH(DATA!D46,'BIO WAHYU'!B:B,0),5)</f>
        <v>0</v>
      </c>
      <c r="K46" s="34">
        <f>INDEX('BIO WAHYU'!B:G,MATCH(DATA!D46,'BIO WAHYU'!B:B,0),6)</f>
        <v>3</v>
      </c>
      <c r="L46" s="35">
        <f>INDEX('BIO WAHYU'!B:H,MATCH(DATA!D46,'BIO WAHYU'!B:B,0),7)</f>
        <v>3</v>
      </c>
      <c r="M46" s="34">
        <f>INDEX('BIO WAHYU'!B:H,MATCH(DATA!D46,'BIO WAHYU'!B:B,0),4)</f>
        <v>0</v>
      </c>
    </row>
    <row r="47" spans="1:13">
      <c r="A47" s="43" t="s">
        <v>1671</v>
      </c>
      <c r="B47" s="43">
        <v>2613050886</v>
      </c>
      <c r="C47" s="43" t="s">
        <v>324</v>
      </c>
      <c r="D47" s="10">
        <v>385886</v>
      </c>
      <c r="E47" s="43" t="s">
        <v>15</v>
      </c>
      <c r="F47" s="8">
        <f>_xlfn.IFNA(INDEX('OSA | 3GB'!J:L,MATCH(DATA!D47,'OSA | 3GB'!J:J,0),2),0)</f>
        <v>3</v>
      </c>
      <c r="G47" s="8">
        <f>_xlfn.IFNA(INDEX('OSA | 3GB'!J:L,MATCH(DATA!D47,'OSA | 3GB'!J:J,0),3),0)</f>
        <v>29000</v>
      </c>
      <c r="H47" s="32" t="str">
        <f>_xlfn.IFNA(INDEX('OSA | 3GB'!A:C,MATCH(DATA!D47,'OSA | 3GB'!A:A,0),2),0)</f>
        <v xml:space="preserve"> -   </v>
      </c>
      <c r="I47" s="33" t="str">
        <f>_xlfn.IFNA(INDEX('OSA | 3GB'!A:C,MATCH(DATA!D47,'OSA | 3GB'!A:A,0),3),0)</f>
        <v xml:space="preserve"> -   </v>
      </c>
      <c r="J47" s="33">
        <f>INDEX('BIO WAHYU'!B:G,MATCH(DATA!D47,'BIO WAHYU'!B:B,0),5)</f>
        <v>12</v>
      </c>
      <c r="K47" s="34">
        <f>INDEX('BIO WAHYU'!B:G,MATCH(DATA!D47,'BIO WAHYU'!B:B,0),6)</f>
        <v>30</v>
      </c>
      <c r="L47" s="35">
        <f>INDEX('BIO WAHYU'!B:H,MATCH(DATA!D47,'BIO WAHYU'!B:B,0),7)</f>
        <v>18</v>
      </c>
      <c r="M47" s="34">
        <f>INDEX('BIO WAHYU'!B:H,MATCH(DATA!D47,'BIO WAHYU'!B:B,0),4)</f>
        <v>0</v>
      </c>
    </row>
    <row r="48" spans="1:13">
      <c r="A48" s="43" t="s">
        <v>1671</v>
      </c>
      <c r="B48" s="43" t="s">
        <v>142</v>
      </c>
      <c r="C48" s="43" t="s">
        <v>348</v>
      </c>
      <c r="D48" s="10">
        <v>211671</v>
      </c>
      <c r="E48" s="43" t="s">
        <v>23</v>
      </c>
      <c r="F48" s="8">
        <f>_xlfn.IFNA(INDEX('OSA | 3GB'!J:L,MATCH(DATA!D48,'OSA | 3GB'!J:J,0),2),0)</f>
        <v>111</v>
      </c>
      <c r="G48" s="8">
        <f>_xlfn.IFNA(INDEX('OSA | 3GB'!J:L,MATCH(DATA!D48,'OSA | 3GB'!J:J,0),3),0)</f>
        <v>45261000</v>
      </c>
      <c r="H48" s="32">
        <f>_xlfn.IFNA(INDEX('OSA | 3GB'!A:C,MATCH(DATA!D48,'OSA | 3GB'!A:A,0),2),0)</f>
        <v>83</v>
      </c>
      <c r="I48" s="33">
        <f>_xlfn.IFNA(INDEX('OSA | 3GB'!A:C,MATCH(DATA!D48,'OSA | 3GB'!A:A,0),3),0)</f>
        <v>15145000</v>
      </c>
      <c r="J48" s="33">
        <f>INDEX('BIO WAHYU'!B:G,MATCH(DATA!D48,'BIO WAHYU'!B:B,0),5)</f>
        <v>38</v>
      </c>
      <c r="K48" s="34">
        <f>INDEX('BIO WAHYU'!B:G,MATCH(DATA!D48,'BIO WAHYU'!B:B,0),6)</f>
        <v>18</v>
      </c>
      <c r="L48" s="35">
        <f>INDEX('BIO WAHYU'!B:H,MATCH(DATA!D48,'BIO WAHYU'!B:B,0),7)</f>
        <v>0</v>
      </c>
      <c r="M48" s="34">
        <f>INDEX('BIO WAHYU'!B:H,MATCH(DATA!D48,'BIO WAHYU'!B:B,0),4)</f>
        <v>3</v>
      </c>
    </row>
    <row r="49" spans="1:13">
      <c r="A49" s="43" t="s">
        <v>1670</v>
      </c>
      <c r="B49" s="43">
        <v>2613052584</v>
      </c>
      <c r="C49" s="43" t="s">
        <v>1075</v>
      </c>
      <c r="D49" s="10">
        <v>286665</v>
      </c>
      <c r="E49" s="43" t="s">
        <v>10</v>
      </c>
      <c r="F49" s="8">
        <f>_xlfn.IFNA(INDEX('OSA | 3GB'!J:L,MATCH(DATA!D49,'OSA | 3GB'!J:J,0),2),0)</f>
        <v>9</v>
      </c>
      <c r="G49" s="8">
        <f>_xlfn.IFNA(INDEX('OSA | 3GB'!J:L,MATCH(DATA!D49,'OSA | 3GB'!J:J,0),3),0)</f>
        <v>3550000</v>
      </c>
      <c r="H49" s="32" t="str">
        <f>_xlfn.IFNA(INDEX('OSA | 3GB'!A:C,MATCH(DATA!D49,'OSA | 3GB'!A:A,0),2),0)</f>
        <v xml:space="preserve"> -   </v>
      </c>
      <c r="I49" s="33">
        <f>_xlfn.IFNA(INDEX('OSA | 3GB'!A:C,MATCH(DATA!D49,'OSA | 3GB'!A:A,0),3),0)</f>
        <v>450000</v>
      </c>
      <c r="J49" s="33">
        <f>INDEX('BIO WAHYU'!B:G,MATCH(DATA!D49,'BIO WAHYU'!B:B,0),5)</f>
        <v>7</v>
      </c>
      <c r="K49" s="34">
        <f>INDEX('BIO WAHYU'!B:G,MATCH(DATA!D49,'BIO WAHYU'!B:B,0),6)</f>
        <v>6</v>
      </c>
      <c r="L49" s="35">
        <f>INDEX('BIO WAHYU'!B:H,MATCH(DATA!D49,'BIO WAHYU'!B:B,0),7)</f>
        <v>0</v>
      </c>
      <c r="M49" s="34">
        <f>INDEX('BIO WAHYU'!B:H,MATCH(DATA!D49,'BIO WAHYU'!B:B,0),4)</f>
        <v>0</v>
      </c>
    </row>
    <row r="50" spans="1:13">
      <c r="A50" s="43" t="s">
        <v>1673</v>
      </c>
      <c r="B50" s="43" t="s">
        <v>144</v>
      </c>
      <c r="C50" s="43" t="s">
        <v>231</v>
      </c>
      <c r="D50" s="10">
        <v>501630</v>
      </c>
      <c r="E50" s="43" t="s">
        <v>15</v>
      </c>
      <c r="F50" s="8">
        <f>_xlfn.IFNA(INDEX('OSA | 3GB'!J:L,MATCH(DATA!D50,'OSA | 3GB'!J:J,0),2),0)</f>
        <v>15</v>
      </c>
      <c r="G50" s="8">
        <f>_xlfn.IFNA(INDEX('OSA | 3GB'!J:L,MATCH(DATA!D50,'OSA | 3GB'!J:J,0),3),0)</f>
        <v>200000</v>
      </c>
      <c r="H50" s="32" t="str">
        <f>_xlfn.IFNA(INDEX('OSA | 3GB'!A:C,MATCH(DATA!D50,'OSA | 3GB'!A:A,0),2),0)</f>
        <v xml:space="preserve"> -   </v>
      </c>
      <c r="I50" s="33">
        <f>_xlfn.IFNA(INDEX('OSA | 3GB'!A:C,MATCH(DATA!D50,'OSA | 3GB'!A:A,0),3),0)</f>
        <v>50000</v>
      </c>
      <c r="J50" s="33">
        <f>INDEX('BIO WAHYU'!B:G,MATCH(DATA!D50,'BIO WAHYU'!B:B,0),5)</f>
        <v>5</v>
      </c>
      <c r="K50" s="34">
        <f>INDEX('BIO WAHYU'!B:G,MATCH(DATA!D50,'BIO WAHYU'!B:B,0),6)</f>
        <v>0</v>
      </c>
      <c r="L50" s="35">
        <f>INDEX('BIO WAHYU'!B:H,MATCH(DATA!D50,'BIO WAHYU'!B:B,0),7)</f>
        <v>0</v>
      </c>
      <c r="M50" s="34">
        <f>INDEX('BIO WAHYU'!B:H,MATCH(DATA!D50,'BIO WAHYU'!B:B,0),4)</f>
        <v>0</v>
      </c>
    </row>
    <row r="51" spans="1:13">
      <c r="A51" s="43" t="s">
        <v>1673</v>
      </c>
      <c r="B51" s="43" t="s">
        <v>1140</v>
      </c>
      <c r="C51" s="43" t="s">
        <v>1149</v>
      </c>
      <c r="D51" s="10">
        <v>396064</v>
      </c>
      <c r="E51" s="43" t="s">
        <v>15</v>
      </c>
      <c r="F51" s="8">
        <f>_xlfn.IFNA(INDEX('OSA | 3GB'!J:L,MATCH(DATA!D51,'OSA | 3GB'!J:J,0),2),0)</f>
        <v>7</v>
      </c>
      <c r="G51" s="8">
        <f>_xlfn.IFNA(INDEX('OSA | 3GB'!J:L,MATCH(DATA!D51,'OSA | 3GB'!J:J,0),3),0)</f>
        <v>3150000</v>
      </c>
      <c r="H51" s="32" t="str">
        <f>_xlfn.IFNA(INDEX('OSA | 3GB'!A:C,MATCH(DATA!D51,'OSA | 3GB'!A:A,0),2),0)</f>
        <v xml:space="preserve"> -   </v>
      </c>
      <c r="I51" s="33">
        <f>_xlfn.IFNA(INDEX('OSA | 3GB'!A:C,MATCH(DATA!D51,'OSA | 3GB'!A:A,0),3),0)</f>
        <v>800000</v>
      </c>
      <c r="J51" s="33">
        <f>INDEX('BIO WAHYU'!B:G,MATCH(DATA!D51,'BIO WAHYU'!B:B,0),5)</f>
        <v>4</v>
      </c>
      <c r="K51" s="34">
        <f>INDEX('BIO WAHYU'!B:G,MATCH(DATA!D51,'BIO WAHYU'!B:B,0),6)</f>
        <v>1</v>
      </c>
      <c r="L51" s="35">
        <f>INDEX('BIO WAHYU'!B:H,MATCH(DATA!D51,'BIO WAHYU'!B:B,0),7)</f>
        <v>0</v>
      </c>
      <c r="M51" s="34">
        <f>INDEX('BIO WAHYU'!B:H,MATCH(DATA!D51,'BIO WAHYU'!B:B,0),4)</f>
        <v>0</v>
      </c>
    </row>
    <row r="52" spans="1:13">
      <c r="A52" s="43" t="s">
        <v>1672</v>
      </c>
      <c r="B52" s="43" t="s">
        <v>156</v>
      </c>
      <c r="C52" s="43" t="s">
        <v>974</v>
      </c>
      <c r="D52" s="10">
        <v>12323425</v>
      </c>
      <c r="E52" s="43" t="s">
        <v>10</v>
      </c>
      <c r="F52" s="8">
        <f>_xlfn.IFNA(INDEX('OSA | 3GB'!J:L,MATCH(DATA!D52,'OSA | 3GB'!J:J,0),2),0)</f>
        <v>1</v>
      </c>
      <c r="G52" s="8">
        <f>_xlfn.IFNA(INDEX('OSA | 3GB'!J:L,MATCH(DATA!D52,'OSA | 3GB'!J:J,0),3),0)</f>
        <v>8800000</v>
      </c>
      <c r="H52" s="32" t="str">
        <f>_xlfn.IFNA(INDEX('OSA | 3GB'!A:C,MATCH(DATA!D52,'OSA | 3GB'!A:A,0),2),0)</f>
        <v xml:space="preserve"> -   </v>
      </c>
      <c r="I52" s="33">
        <f>_xlfn.IFNA(INDEX('OSA | 3GB'!A:C,MATCH(DATA!D52,'OSA | 3GB'!A:A,0),3),0)</f>
        <v>4300000</v>
      </c>
      <c r="J52" s="33">
        <f>INDEX('BIO WAHYU'!B:G,MATCH(DATA!D52,'BIO WAHYU'!B:B,0),5)</f>
        <v>3</v>
      </c>
      <c r="K52" s="34">
        <f>INDEX('BIO WAHYU'!B:G,MATCH(DATA!D52,'BIO WAHYU'!B:B,0),6)</f>
        <v>0</v>
      </c>
      <c r="L52" s="35">
        <f>INDEX('BIO WAHYU'!B:H,MATCH(DATA!D52,'BIO WAHYU'!B:B,0),7)</f>
        <v>0</v>
      </c>
      <c r="M52" s="34">
        <f>INDEX('BIO WAHYU'!B:H,MATCH(DATA!D52,'BIO WAHYU'!B:B,0),4)</f>
        <v>1</v>
      </c>
    </row>
    <row r="53" spans="1:13">
      <c r="A53" s="43" t="s">
        <v>1673</v>
      </c>
      <c r="B53" s="43" t="s">
        <v>158</v>
      </c>
      <c r="C53" s="43" t="s">
        <v>1150</v>
      </c>
      <c r="D53" s="10">
        <v>201488</v>
      </c>
      <c r="E53" s="43" t="s">
        <v>15</v>
      </c>
      <c r="F53" s="8">
        <f>_xlfn.IFNA(INDEX('OSA | 3GB'!J:L,MATCH(DATA!D53,'OSA | 3GB'!J:J,0),2),0)</f>
        <v>3</v>
      </c>
      <c r="G53" s="8">
        <f>_xlfn.IFNA(INDEX('OSA | 3GB'!J:L,MATCH(DATA!D53,'OSA | 3GB'!J:J,0),3),0)</f>
        <v>1050000</v>
      </c>
      <c r="H53" s="32" t="str">
        <f>_xlfn.IFNA(INDEX('OSA | 3GB'!A:C,MATCH(DATA!D53,'OSA | 3GB'!A:A,0),2),0)</f>
        <v xml:space="preserve"> -   </v>
      </c>
      <c r="I53" s="33">
        <f>_xlfn.IFNA(INDEX('OSA | 3GB'!A:C,MATCH(DATA!D53,'OSA | 3GB'!A:A,0),3),0)</f>
        <v>400000</v>
      </c>
      <c r="J53" s="33">
        <f>INDEX('BIO WAHYU'!B:G,MATCH(DATA!D53,'BIO WAHYU'!B:B,0),5)</f>
        <v>3</v>
      </c>
      <c r="K53" s="34">
        <f>INDEX('BIO WAHYU'!B:G,MATCH(DATA!D53,'BIO WAHYU'!B:B,0),6)</f>
        <v>0</v>
      </c>
      <c r="L53" s="35">
        <f>INDEX('BIO WAHYU'!B:H,MATCH(DATA!D53,'BIO WAHYU'!B:B,0),7)</f>
        <v>0</v>
      </c>
      <c r="M53" s="34">
        <f>INDEX('BIO WAHYU'!B:H,MATCH(DATA!D53,'BIO WAHYU'!B:B,0),4)</f>
        <v>0</v>
      </c>
    </row>
    <row r="54" spans="1:13">
      <c r="A54" s="43" t="s">
        <v>1674</v>
      </c>
      <c r="B54" s="43">
        <v>2613052222</v>
      </c>
      <c r="C54" s="43" t="s">
        <v>696</v>
      </c>
      <c r="D54" s="10">
        <v>363660</v>
      </c>
      <c r="E54" s="43" t="s">
        <v>10</v>
      </c>
      <c r="F54" s="8">
        <f>_xlfn.IFNA(INDEX('OSA | 3GB'!J:L,MATCH(DATA!D54,'OSA | 3GB'!J:J,0),2),0)</f>
        <v>3</v>
      </c>
      <c r="G54" s="8">
        <f>_xlfn.IFNA(INDEX('OSA | 3GB'!J:L,MATCH(DATA!D54,'OSA | 3GB'!J:J,0),3),0)</f>
        <v>1300000</v>
      </c>
      <c r="H54" s="32" t="str">
        <f>_xlfn.IFNA(INDEX('OSA | 3GB'!A:C,MATCH(DATA!D54,'OSA | 3GB'!A:A,0),2),0)</f>
        <v xml:space="preserve"> -   </v>
      </c>
      <c r="I54" s="33">
        <f>_xlfn.IFNA(INDEX('OSA | 3GB'!A:C,MATCH(DATA!D54,'OSA | 3GB'!A:A,0),3),0)</f>
        <v>1000000</v>
      </c>
      <c r="J54" s="33">
        <f>INDEX('BIO WAHYU'!B:G,MATCH(DATA!D54,'BIO WAHYU'!B:B,0),5)</f>
        <v>3</v>
      </c>
      <c r="K54" s="34">
        <f>INDEX('BIO WAHYU'!B:G,MATCH(DATA!D54,'BIO WAHYU'!B:B,0),6)</f>
        <v>1</v>
      </c>
      <c r="L54" s="35">
        <f>INDEX('BIO WAHYU'!B:H,MATCH(DATA!D54,'BIO WAHYU'!B:B,0),7)</f>
        <v>0</v>
      </c>
      <c r="M54" s="34">
        <f>INDEX('BIO WAHYU'!B:H,MATCH(DATA!D54,'BIO WAHYU'!B:B,0),4)</f>
        <v>0</v>
      </c>
    </row>
    <row r="55" spans="1:13">
      <c r="A55" s="43" t="s">
        <v>1673</v>
      </c>
      <c r="B55" s="43" t="s">
        <v>143</v>
      </c>
      <c r="C55" s="43" t="s">
        <v>264</v>
      </c>
      <c r="D55" s="10">
        <v>457300</v>
      </c>
      <c r="E55" s="43" t="s">
        <v>10</v>
      </c>
      <c r="F55" s="8">
        <f>_xlfn.IFNA(INDEX('OSA | 3GB'!J:L,MATCH(DATA!D55,'OSA | 3GB'!J:J,0),2),0)</f>
        <v>2</v>
      </c>
      <c r="G55" s="8">
        <f>_xlfn.IFNA(INDEX('OSA | 3GB'!J:L,MATCH(DATA!D55,'OSA | 3GB'!J:J,0),3),0)</f>
        <v>7050000</v>
      </c>
      <c r="H55" s="32" t="str">
        <f>_xlfn.IFNA(INDEX('OSA | 3GB'!A:C,MATCH(DATA!D55,'OSA | 3GB'!A:A,0),2),0)</f>
        <v xml:space="preserve"> -   </v>
      </c>
      <c r="I55" s="33">
        <f>_xlfn.IFNA(INDEX('OSA | 3GB'!A:C,MATCH(DATA!D55,'OSA | 3GB'!A:A,0),3),0)</f>
        <v>1200000</v>
      </c>
      <c r="J55" s="33">
        <f>INDEX('BIO WAHYU'!B:G,MATCH(DATA!D55,'BIO WAHYU'!B:B,0),5)</f>
        <v>2</v>
      </c>
      <c r="K55" s="34">
        <f>INDEX('BIO WAHYU'!B:G,MATCH(DATA!D55,'BIO WAHYU'!B:B,0),6)</f>
        <v>1</v>
      </c>
      <c r="L55" s="35">
        <f>INDEX('BIO WAHYU'!B:H,MATCH(DATA!D55,'BIO WAHYU'!B:B,0),7)</f>
        <v>0</v>
      </c>
      <c r="M55" s="34">
        <f>INDEX('BIO WAHYU'!B:H,MATCH(DATA!D55,'BIO WAHYU'!B:B,0),4)</f>
        <v>0</v>
      </c>
    </row>
    <row r="56" spans="1:13">
      <c r="A56" s="43" t="s">
        <v>1672</v>
      </c>
      <c r="B56" s="43" t="s">
        <v>150</v>
      </c>
      <c r="C56" s="43" t="s">
        <v>807</v>
      </c>
      <c r="D56" s="10">
        <v>12322582</v>
      </c>
      <c r="E56" s="43" t="s">
        <v>10</v>
      </c>
      <c r="F56" s="8">
        <f>_xlfn.IFNA(INDEX('OSA | 3GB'!J:L,MATCH(DATA!D56,'OSA | 3GB'!J:J,0),2),0)</f>
        <v>0</v>
      </c>
      <c r="G56" s="8">
        <f>_xlfn.IFNA(INDEX('OSA | 3GB'!J:L,MATCH(DATA!D56,'OSA | 3GB'!J:J,0),3),0)</f>
        <v>200000</v>
      </c>
      <c r="H56" s="32" t="str">
        <f>_xlfn.IFNA(INDEX('OSA | 3GB'!A:C,MATCH(DATA!D56,'OSA | 3GB'!A:A,0),2),0)</f>
        <v xml:space="preserve"> -   </v>
      </c>
      <c r="I56" s="33" t="str">
        <f>_xlfn.IFNA(INDEX('OSA | 3GB'!A:C,MATCH(DATA!D56,'OSA | 3GB'!A:A,0),3),0)</f>
        <v xml:space="preserve"> -   </v>
      </c>
      <c r="J56" s="33">
        <f>INDEX('BIO WAHYU'!B:G,MATCH(DATA!D56,'BIO WAHYU'!B:B,0),5)</f>
        <v>0</v>
      </c>
      <c r="K56" s="34">
        <f>INDEX('BIO WAHYU'!B:G,MATCH(DATA!D56,'BIO WAHYU'!B:B,0),6)</f>
        <v>0</v>
      </c>
      <c r="L56" s="35">
        <f>INDEX('BIO WAHYU'!B:H,MATCH(DATA!D56,'BIO WAHYU'!B:B,0),7)</f>
        <v>0</v>
      </c>
      <c r="M56" s="34">
        <f>INDEX('BIO WAHYU'!B:H,MATCH(DATA!D56,'BIO WAHYU'!B:B,0),4)</f>
        <v>0</v>
      </c>
    </row>
    <row r="57" spans="1:13">
      <c r="A57" s="43" t="s">
        <v>1670</v>
      </c>
      <c r="B57" s="43">
        <v>2613051412</v>
      </c>
      <c r="C57" s="43" t="s">
        <v>551</v>
      </c>
      <c r="D57" s="10">
        <v>12326196</v>
      </c>
      <c r="E57" s="43" t="s">
        <v>10</v>
      </c>
      <c r="F57" s="8">
        <f>_xlfn.IFNA(INDEX('OSA | 3GB'!J:L,MATCH(DATA!D57,'OSA | 3GB'!J:J,0),2),0)</f>
        <v>3</v>
      </c>
      <c r="G57" s="8">
        <f>_xlfn.IFNA(INDEX('OSA | 3GB'!J:L,MATCH(DATA!D57,'OSA | 3GB'!J:J,0),3),0)</f>
        <v>0</v>
      </c>
      <c r="H57" s="32">
        <f>_xlfn.IFNA(INDEX('OSA | 3GB'!A:C,MATCH(DATA!D57,'OSA | 3GB'!A:A,0),2),0)</f>
        <v>5</v>
      </c>
      <c r="I57" s="33">
        <f>_xlfn.IFNA(INDEX('OSA | 3GB'!A:C,MATCH(DATA!D57,'OSA | 3GB'!A:A,0),3),0)</f>
        <v>1534000</v>
      </c>
      <c r="J57" s="33">
        <f>INDEX('BIO WAHYU'!B:G,MATCH(DATA!D57,'BIO WAHYU'!B:B,0),5)</f>
        <v>2</v>
      </c>
      <c r="K57" s="34">
        <f>INDEX('BIO WAHYU'!B:G,MATCH(DATA!D57,'BIO WAHYU'!B:B,0),6)</f>
        <v>13</v>
      </c>
      <c r="L57" s="35">
        <f>INDEX('BIO WAHYU'!B:H,MATCH(DATA!D57,'BIO WAHYU'!B:B,0),7)</f>
        <v>11</v>
      </c>
      <c r="M57" s="34">
        <f>INDEX('BIO WAHYU'!B:H,MATCH(DATA!D57,'BIO WAHYU'!B:B,0),4)</f>
        <v>0</v>
      </c>
    </row>
    <row r="58" spans="1:13">
      <c r="A58" s="43" t="s">
        <v>1672</v>
      </c>
      <c r="B58" s="43" t="s">
        <v>157</v>
      </c>
      <c r="C58" s="43" t="s">
        <v>271</v>
      </c>
      <c r="D58" s="10">
        <v>12327331</v>
      </c>
      <c r="E58" s="43" t="s">
        <v>10</v>
      </c>
      <c r="F58" s="8">
        <f>_xlfn.IFNA(INDEX('OSA | 3GB'!J:L,MATCH(DATA!D58,'OSA | 3GB'!J:J,0),2),0)</f>
        <v>0</v>
      </c>
      <c r="G58" s="8">
        <f>_xlfn.IFNA(INDEX('OSA | 3GB'!J:L,MATCH(DATA!D58,'OSA | 3GB'!J:J,0),3),0)</f>
        <v>2599474</v>
      </c>
      <c r="H58" s="32">
        <f>_xlfn.IFNA(INDEX('OSA | 3GB'!A:C,MATCH(DATA!D58,'OSA | 3GB'!A:A,0),2),0)</f>
        <v>1</v>
      </c>
      <c r="I58" s="33">
        <f>_xlfn.IFNA(INDEX('OSA | 3GB'!A:C,MATCH(DATA!D58,'OSA | 3GB'!A:A,0),3),0)</f>
        <v>29000</v>
      </c>
      <c r="J58" s="33">
        <f>INDEX('BIO WAHYU'!B:G,MATCH(DATA!D58,'BIO WAHYU'!B:B,0),5)</f>
        <v>0</v>
      </c>
      <c r="K58" s="34">
        <f>INDEX('BIO WAHYU'!B:G,MATCH(DATA!D58,'BIO WAHYU'!B:B,0),6)</f>
        <v>1</v>
      </c>
      <c r="L58" s="35">
        <f>INDEX('BIO WAHYU'!B:H,MATCH(DATA!D58,'BIO WAHYU'!B:B,0),7)</f>
        <v>1</v>
      </c>
      <c r="M58" s="34">
        <f>INDEX('BIO WAHYU'!B:H,MATCH(DATA!D58,'BIO WAHYU'!B:B,0),4)</f>
        <v>0</v>
      </c>
    </row>
    <row r="59" spans="1:13">
      <c r="A59" s="43" t="s">
        <v>1672</v>
      </c>
      <c r="B59" s="43" t="s">
        <v>149</v>
      </c>
      <c r="C59" s="43" t="s">
        <v>769</v>
      </c>
      <c r="D59" s="10">
        <v>12318984</v>
      </c>
      <c r="E59" s="43" t="s">
        <v>10</v>
      </c>
      <c r="F59" s="8">
        <f>_xlfn.IFNA(INDEX('OSA | 3GB'!J:L,MATCH(DATA!D59,'OSA | 3GB'!J:J,0),2),0)</f>
        <v>0</v>
      </c>
      <c r="G59" s="8">
        <f>_xlfn.IFNA(INDEX('OSA | 3GB'!J:L,MATCH(DATA!D59,'OSA | 3GB'!J:J,0),3),0)</f>
        <v>0</v>
      </c>
      <c r="H59" s="32" t="str">
        <f>_xlfn.IFNA(INDEX('OSA | 3GB'!A:C,MATCH(DATA!D59,'OSA | 3GB'!A:A,0),2),0)</f>
        <v xml:space="preserve"> -   </v>
      </c>
      <c r="I59" s="33" t="str">
        <f>_xlfn.IFNA(INDEX('OSA | 3GB'!A:C,MATCH(DATA!D59,'OSA | 3GB'!A:A,0),3),0)</f>
        <v xml:space="preserve"> -   </v>
      </c>
      <c r="J59" s="33">
        <f>INDEX('BIO WAHYU'!B:G,MATCH(DATA!D59,'BIO WAHYU'!B:B,0),5)</f>
        <v>0</v>
      </c>
      <c r="K59" s="34">
        <f>INDEX('BIO WAHYU'!B:G,MATCH(DATA!D59,'BIO WAHYU'!B:B,0),6)</f>
        <v>0</v>
      </c>
      <c r="L59" s="35">
        <f>INDEX('BIO WAHYU'!B:H,MATCH(DATA!D59,'BIO WAHYU'!B:B,0),7)</f>
        <v>0</v>
      </c>
      <c r="M59" s="34">
        <f>INDEX('BIO WAHYU'!B:H,MATCH(DATA!D59,'BIO WAHYU'!B:B,0),4)</f>
        <v>0</v>
      </c>
    </row>
    <row r="60" spans="1:13">
      <c r="A60" s="43" t="s">
        <v>1670</v>
      </c>
      <c r="B60" s="43" t="s">
        <v>145</v>
      </c>
      <c r="C60" s="43" t="s">
        <v>500</v>
      </c>
      <c r="D60" s="10">
        <v>240551</v>
      </c>
      <c r="E60" s="43" t="s">
        <v>10</v>
      </c>
      <c r="F60" s="8">
        <f>_xlfn.IFNA(INDEX('OSA | 3GB'!J:L,MATCH(DATA!D60,'OSA | 3GB'!J:J,0),2),0)</f>
        <v>0</v>
      </c>
      <c r="G60" s="8">
        <f>_xlfn.IFNA(INDEX('OSA | 3GB'!J:L,MATCH(DATA!D60,'OSA | 3GB'!J:J,0),3),0)</f>
        <v>1000000</v>
      </c>
      <c r="H60" s="32" t="str">
        <f>_xlfn.IFNA(INDEX('OSA | 3GB'!A:C,MATCH(DATA!D60,'OSA | 3GB'!A:A,0),2),0)</f>
        <v xml:space="preserve"> -   </v>
      </c>
      <c r="I60" s="33">
        <f>_xlfn.IFNA(INDEX('OSA | 3GB'!A:C,MATCH(DATA!D60,'OSA | 3GB'!A:A,0),3),0)</f>
        <v>1000000</v>
      </c>
      <c r="J60" s="33">
        <f>INDEX('BIO WAHYU'!B:G,MATCH(DATA!D60,'BIO WAHYU'!B:B,0),5)</f>
        <v>0</v>
      </c>
      <c r="K60" s="34">
        <f>INDEX('BIO WAHYU'!B:G,MATCH(DATA!D60,'BIO WAHYU'!B:B,0),6)</f>
        <v>0</v>
      </c>
      <c r="L60" s="35">
        <f>INDEX('BIO WAHYU'!B:H,MATCH(DATA!D60,'BIO WAHYU'!B:B,0),7)</f>
        <v>0</v>
      </c>
      <c r="M60" s="34">
        <f>INDEX('BIO WAHYU'!B:H,MATCH(DATA!D60,'BIO WAHYU'!B:B,0),4)</f>
        <v>0</v>
      </c>
    </row>
    <row r="61" spans="1:13">
      <c r="A61" s="43" t="s">
        <v>1672</v>
      </c>
      <c r="B61" s="43" t="s">
        <v>150</v>
      </c>
      <c r="C61" s="43" t="s">
        <v>811</v>
      </c>
      <c r="D61" s="10">
        <v>224061</v>
      </c>
      <c r="E61" s="43" t="s">
        <v>10</v>
      </c>
      <c r="F61" s="8">
        <f>_xlfn.IFNA(INDEX('OSA | 3GB'!J:L,MATCH(DATA!D61,'OSA | 3GB'!J:J,0),2),0)</f>
        <v>4</v>
      </c>
      <c r="G61" s="8">
        <f>_xlfn.IFNA(INDEX('OSA | 3GB'!J:L,MATCH(DATA!D61,'OSA | 3GB'!J:J,0),3),0)</f>
        <v>5400000</v>
      </c>
      <c r="H61" s="32" t="str">
        <f>_xlfn.IFNA(INDEX('OSA | 3GB'!A:C,MATCH(DATA!D61,'OSA | 3GB'!A:A,0),2),0)</f>
        <v xml:space="preserve"> -   </v>
      </c>
      <c r="I61" s="33">
        <f>_xlfn.IFNA(INDEX('OSA | 3GB'!A:C,MATCH(DATA!D61,'OSA | 3GB'!A:A,0),3),0)</f>
        <v>3355000</v>
      </c>
      <c r="J61" s="33">
        <f>INDEX('BIO WAHYU'!B:G,MATCH(DATA!D61,'BIO WAHYU'!B:B,0),5)</f>
        <v>3</v>
      </c>
      <c r="K61" s="34">
        <f>INDEX('BIO WAHYU'!B:G,MATCH(DATA!D61,'BIO WAHYU'!B:B,0),6)</f>
        <v>1</v>
      </c>
      <c r="L61" s="35">
        <f>INDEX('BIO WAHYU'!B:H,MATCH(DATA!D61,'BIO WAHYU'!B:B,0),7)</f>
        <v>0</v>
      </c>
      <c r="M61" s="34">
        <f>INDEX('BIO WAHYU'!B:H,MATCH(DATA!D61,'BIO WAHYU'!B:B,0),4)</f>
        <v>0</v>
      </c>
    </row>
    <row r="62" spans="1:13">
      <c r="A62" s="43" t="s">
        <v>1673</v>
      </c>
      <c r="B62" s="43" t="s">
        <v>1136</v>
      </c>
      <c r="C62" s="43" t="s">
        <v>1151</v>
      </c>
      <c r="D62" s="10">
        <v>553329</v>
      </c>
      <c r="E62" s="43" t="s">
        <v>10</v>
      </c>
      <c r="F62" s="8">
        <f>_xlfn.IFNA(INDEX('OSA | 3GB'!J:L,MATCH(DATA!D62,'OSA | 3GB'!J:J,0),2),0)</f>
        <v>3</v>
      </c>
      <c r="G62" s="8">
        <f>_xlfn.IFNA(INDEX('OSA | 3GB'!J:L,MATCH(DATA!D62,'OSA | 3GB'!J:J,0),3),0)</f>
        <v>400000</v>
      </c>
      <c r="H62" s="32" t="str">
        <f>_xlfn.IFNA(INDEX('OSA | 3GB'!A:C,MATCH(DATA!D62,'OSA | 3GB'!A:A,0),2),0)</f>
        <v xml:space="preserve"> -   </v>
      </c>
      <c r="I62" s="33">
        <f>_xlfn.IFNA(INDEX('OSA | 3GB'!A:C,MATCH(DATA!D62,'OSA | 3GB'!A:A,0),3),0)</f>
        <v>200000</v>
      </c>
      <c r="J62" s="33">
        <f>INDEX('BIO WAHYU'!B:G,MATCH(DATA!D62,'BIO WAHYU'!B:B,0),5)</f>
        <v>1</v>
      </c>
      <c r="K62" s="34">
        <f>INDEX('BIO WAHYU'!B:G,MATCH(DATA!D62,'BIO WAHYU'!B:B,0),6)</f>
        <v>3</v>
      </c>
      <c r="L62" s="35">
        <f>INDEX('BIO WAHYU'!B:H,MATCH(DATA!D62,'BIO WAHYU'!B:B,0),7)</f>
        <v>2</v>
      </c>
      <c r="M62" s="34">
        <f>INDEX('BIO WAHYU'!B:H,MATCH(DATA!D62,'BIO WAHYU'!B:B,0),4)</f>
        <v>0</v>
      </c>
    </row>
    <row r="63" spans="1:13">
      <c r="A63" s="43" t="s">
        <v>1673</v>
      </c>
      <c r="B63" s="43" t="s">
        <v>141</v>
      </c>
      <c r="C63" s="43" t="s">
        <v>182</v>
      </c>
      <c r="D63" s="10">
        <v>12295897</v>
      </c>
      <c r="E63" s="43" t="s">
        <v>15</v>
      </c>
      <c r="F63" s="8">
        <f>_xlfn.IFNA(INDEX('OSA | 3GB'!J:L,MATCH(DATA!D63,'OSA | 3GB'!J:J,0),2),0)</f>
        <v>11</v>
      </c>
      <c r="G63" s="8">
        <f>_xlfn.IFNA(INDEX('OSA | 3GB'!J:L,MATCH(DATA!D63,'OSA | 3GB'!J:J,0),3),0)</f>
        <v>50000</v>
      </c>
      <c r="H63" s="32" t="str">
        <f>_xlfn.IFNA(INDEX('OSA | 3GB'!A:C,MATCH(DATA!D63,'OSA | 3GB'!A:A,0),2),0)</f>
        <v xml:space="preserve"> -   </v>
      </c>
      <c r="I63" s="33" t="str">
        <f>_xlfn.IFNA(INDEX('OSA | 3GB'!A:C,MATCH(DATA!D63,'OSA | 3GB'!A:A,0),3),0)</f>
        <v xml:space="preserve"> -   </v>
      </c>
      <c r="J63" s="33">
        <f>INDEX('BIO WAHYU'!B:G,MATCH(DATA!D63,'BIO WAHYU'!B:B,0),5)</f>
        <v>1</v>
      </c>
      <c r="K63" s="34">
        <f>INDEX('BIO WAHYU'!B:G,MATCH(DATA!D63,'BIO WAHYU'!B:B,0),6)</f>
        <v>0</v>
      </c>
      <c r="L63" s="35">
        <f>INDEX('BIO WAHYU'!B:H,MATCH(DATA!D63,'BIO WAHYU'!B:B,0),7)</f>
        <v>0</v>
      </c>
      <c r="M63" s="34">
        <f>INDEX('BIO WAHYU'!B:H,MATCH(DATA!D63,'BIO WAHYU'!B:B,0),4)</f>
        <v>0</v>
      </c>
    </row>
    <row r="64" spans="1:13">
      <c r="A64" s="43" t="s">
        <v>1673</v>
      </c>
      <c r="B64" s="43" t="s">
        <v>1136</v>
      </c>
      <c r="C64" s="43" t="s">
        <v>80</v>
      </c>
      <c r="D64" s="10">
        <v>531527</v>
      </c>
      <c r="E64" s="43" t="s">
        <v>10</v>
      </c>
      <c r="F64" s="8">
        <f>_xlfn.IFNA(INDEX('OSA | 3GB'!J:L,MATCH(DATA!D64,'OSA | 3GB'!J:J,0),2),0)</f>
        <v>0</v>
      </c>
      <c r="G64" s="8">
        <f>_xlfn.IFNA(INDEX('OSA | 3GB'!J:L,MATCH(DATA!D64,'OSA | 3GB'!J:J,0),3),0)</f>
        <v>8000000</v>
      </c>
      <c r="H64" s="32" t="str">
        <f>_xlfn.IFNA(INDEX('OSA | 3GB'!A:C,MATCH(DATA!D64,'OSA | 3GB'!A:A,0),2),0)</f>
        <v xml:space="preserve"> -   </v>
      </c>
      <c r="I64" s="33">
        <f>_xlfn.IFNA(INDEX('OSA | 3GB'!A:C,MATCH(DATA!D64,'OSA | 3GB'!A:A,0),3),0)</f>
        <v>2500000</v>
      </c>
      <c r="J64" s="33">
        <f>INDEX('BIO WAHYU'!B:G,MATCH(DATA!D64,'BIO WAHYU'!B:B,0),5)</f>
        <v>3</v>
      </c>
      <c r="K64" s="34">
        <f>INDEX('BIO WAHYU'!B:G,MATCH(DATA!D64,'BIO WAHYU'!B:B,0),6)</f>
        <v>0</v>
      </c>
      <c r="L64" s="35">
        <f>INDEX('BIO WAHYU'!B:H,MATCH(DATA!D64,'BIO WAHYU'!B:B,0),7)</f>
        <v>0</v>
      </c>
      <c r="M64" s="34">
        <f>INDEX('BIO WAHYU'!B:H,MATCH(DATA!D64,'BIO WAHYU'!B:B,0),4)</f>
        <v>0</v>
      </c>
    </row>
    <row r="65" spans="1:13">
      <c r="A65" s="43" t="s">
        <v>1670</v>
      </c>
      <c r="B65" s="43" t="s">
        <v>140</v>
      </c>
      <c r="C65" s="43" t="s">
        <v>467</v>
      </c>
      <c r="D65" s="10">
        <v>240352</v>
      </c>
      <c r="E65" s="43" t="s">
        <v>23</v>
      </c>
      <c r="F65" s="8">
        <f>_xlfn.IFNA(INDEX('OSA | 3GB'!J:L,MATCH(DATA!D65,'OSA | 3GB'!J:J,0),2),0)</f>
        <v>3</v>
      </c>
      <c r="G65" s="8">
        <f>_xlfn.IFNA(INDEX('OSA | 3GB'!J:L,MATCH(DATA!D65,'OSA | 3GB'!J:J,0),3),0)</f>
        <v>29000000</v>
      </c>
      <c r="H65" s="32" t="str">
        <f>_xlfn.IFNA(INDEX('OSA | 3GB'!A:C,MATCH(DATA!D65,'OSA | 3GB'!A:A,0),2),0)</f>
        <v xml:space="preserve"> -   </v>
      </c>
      <c r="I65" s="33">
        <f>_xlfn.IFNA(INDEX('OSA | 3GB'!A:C,MATCH(DATA!D65,'OSA | 3GB'!A:A,0),3),0)</f>
        <v>11400000</v>
      </c>
      <c r="J65" s="33">
        <f>INDEX('BIO WAHYU'!B:G,MATCH(DATA!D65,'BIO WAHYU'!B:B,0),5)</f>
        <v>3</v>
      </c>
      <c r="K65" s="34">
        <f>INDEX('BIO WAHYU'!B:G,MATCH(DATA!D65,'BIO WAHYU'!B:B,0),6)</f>
        <v>2</v>
      </c>
      <c r="L65" s="35">
        <f>INDEX('BIO WAHYU'!B:H,MATCH(DATA!D65,'BIO WAHYU'!B:B,0),7)</f>
        <v>0</v>
      </c>
      <c r="M65" s="34">
        <f>INDEX('BIO WAHYU'!B:H,MATCH(DATA!D65,'BIO WAHYU'!B:B,0),4)</f>
        <v>2</v>
      </c>
    </row>
    <row r="66" spans="1:13">
      <c r="A66" s="43" t="s">
        <v>1670</v>
      </c>
      <c r="B66" s="43" t="s">
        <v>145</v>
      </c>
      <c r="C66" s="43" t="s">
        <v>1152</v>
      </c>
      <c r="D66" s="10">
        <v>579541</v>
      </c>
      <c r="E66" s="43" t="s">
        <v>15</v>
      </c>
      <c r="F66" s="8">
        <f>_xlfn.IFNA(INDEX('OSA | 3GB'!J:L,MATCH(DATA!D66,'OSA | 3GB'!J:J,0),2),0)</f>
        <v>3</v>
      </c>
      <c r="G66" s="8">
        <f>_xlfn.IFNA(INDEX('OSA | 3GB'!J:L,MATCH(DATA!D66,'OSA | 3GB'!J:J,0),3),0)</f>
        <v>4000000</v>
      </c>
      <c r="H66" s="32" t="str">
        <f>_xlfn.IFNA(INDEX('OSA | 3GB'!A:C,MATCH(DATA!D66,'OSA | 3GB'!A:A,0),2),0)</f>
        <v xml:space="preserve"> -   </v>
      </c>
      <c r="I66" s="33">
        <f>_xlfn.IFNA(INDEX('OSA | 3GB'!A:C,MATCH(DATA!D66,'OSA | 3GB'!A:A,0),3),0)</f>
        <v>1300000</v>
      </c>
      <c r="J66" s="33">
        <f>INDEX('BIO WAHYU'!B:G,MATCH(DATA!D66,'BIO WAHYU'!B:B,0),5)</f>
        <v>1</v>
      </c>
      <c r="K66" s="34">
        <f>INDEX('BIO WAHYU'!B:G,MATCH(DATA!D66,'BIO WAHYU'!B:B,0),6)</f>
        <v>0</v>
      </c>
      <c r="L66" s="35">
        <f>INDEX('BIO WAHYU'!B:H,MATCH(DATA!D66,'BIO WAHYU'!B:B,0),7)</f>
        <v>0</v>
      </c>
      <c r="M66" s="34">
        <f>INDEX('BIO WAHYU'!B:H,MATCH(DATA!D66,'BIO WAHYU'!B:B,0),4)</f>
        <v>0</v>
      </c>
    </row>
    <row r="67" spans="1:13">
      <c r="A67" s="43" t="s">
        <v>1</v>
      </c>
      <c r="B67" s="43" t="s">
        <v>3</v>
      </c>
      <c r="C67" s="43" t="s">
        <v>1076</v>
      </c>
      <c r="D67" s="10">
        <v>12326920</v>
      </c>
      <c r="E67" s="43" t="s">
        <v>10</v>
      </c>
      <c r="F67" s="8">
        <f>_xlfn.IFNA(INDEX('OSA | 3GB'!J:L,MATCH(DATA!D67,'OSA | 3GB'!J:J,0),2),0)</f>
        <v>5</v>
      </c>
      <c r="G67" s="8">
        <f>_xlfn.IFNA(INDEX('OSA | 3GB'!J:L,MATCH(DATA!D67,'OSA | 3GB'!J:J,0),3),0)</f>
        <v>29467500</v>
      </c>
      <c r="H67" s="32">
        <f>_xlfn.IFNA(INDEX('OSA | 3GB'!A:C,MATCH(DATA!D67,'OSA | 3GB'!A:A,0),2),0)</f>
        <v>125</v>
      </c>
      <c r="I67" s="33">
        <f>_xlfn.IFNA(INDEX('OSA | 3GB'!A:C,MATCH(DATA!D67,'OSA | 3GB'!A:A,0),3),0)</f>
        <v>4357500</v>
      </c>
      <c r="J67" s="33">
        <f>INDEX('BIO WAHYU'!B:G,MATCH(DATA!D67,'BIO WAHYU'!B:B,0),5)</f>
        <v>3</v>
      </c>
      <c r="K67" s="34">
        <f>INDEX('BIO WAHYU'!B:G,MATCH(DATA!D67,'BIO WAHYU'!B:B,0),6)</f>
        <v>11</v>
      </c>
      <c r="L67" s="35">
        <f>INDEX('BIO WAHYU'!B:H,MATCH(DATA!D67,'BIO WAHYU'!B:B,0),7)</f>
        <v>8</v>
      </c>
      <c r="M67" s="34">
        <f>INDEX('BIO WAHYU'!B:H,MATCH(DATA!D67,'BIO WAHYU'!B:B,0),4)</f>
        <v>0</v>
      </c>
    </row>
    <row r="68" spans="1:13">
      <c r="A68" s="43" t="s">
        <v>1675</v>
      </c>
      <c r="B68" s="43">
        <v>2613051451</v>
      </c>
      <c r="C68" s="43" t="s">
        <v>382</v>
      </c>
      <c r="D68" s="10">
        <v>12324280</v>
      </c>
      <c r="E68" s="43" t="s">
        <v>15</v>
      </c>
      <c r="F68" s="8">
        <f>_xlfn.IFNA(INDEX('OSA | 3GB'!J:L,MATCH(DATA!D68,'OSA | 3GB'!J:J,0),2),0)</f>
        <v>5</v>
      </c>
      <c r="G68" s="8">
        <f>_xlfn.IFNA(INDEX('OSA | 3GB'!J:L,MATCH(DATA!D68,'OSA | 3GB'!J:J,0),3),0)</f>
        <v>100000</v>
      </c>
      <c r="H68" s="32" t="str">
        <f>_xlfn.IFNA(INDEX('OSA | 3GB'!A:C,MATCH(DATA!D68,'OSA | 3GB'!A:A,0),2),0)</f>
        <v xml:space="preserve"> -   </v>
      </c>
      <c r="I68" s="33" t="str">
        <f>_xlfn.IFNA(INDEX('OSA | 3GB'!A:C,MATCH(DATA!D68,'OSA | 3GB'!A:A,0),3),0)</f>
        <v xml:space="preserve"> -   </v>
      </c>
      <c r="J68" s="33">
        <f>INDEX('BIO WAHYU'!B:G,MATCH(DATA!D68,'BIO WAHYU'!B:B,0),5)</f>
        <v>3</v>
      </c>
      <c r="K68" s="34">
        <f>INDEX('BIO WAHYU'!B:G,MATCH(DATA!D68,'BIO WAHYU'!B:B,0),6)</f>
        <v>0</v>
      </c>
      <c r="L68" s="35">
        <f>INDEX('BIO WAHYU'!B:H,MATCH(DATA!D68,'BIO WAHYU'!B:B,0),7)</f>
        <v>0</v>
      </c>
      <c r="M68" s="34">
        <f>INDEX('BIO WAHYU'!B:H,MATCH(DATA!D68,'BIO WAHYU'!B:B,0),4)</f>
        <v>0</v>
      </c>
    </row>
    <row r="69" spans="1:13">
      <c r="A69" s="43" t="s">
        <v>1672</v>
      </c>
      <c r="B69" s="43" t="s">
        <v>149</v>
      </c>
      <c r="C69" s="43" t="s">
        <v>1153</v>
      </c>
      <c r="D69" s="10">
        <v>3109</v>
      </c>
      <c r="E69" s="43" t="s">
        <v>10</v>
      </c>
      <c r="F69" s="8">
        <f>_xlfn.IFNA(INDEX('OSA | 3GB'!J:L,MATCH(DATA!D69,'OSA | 3GB'!J:J,0),2),0)</f>
        <v>4</v>
      </c>
      <c r="G69" s="8">
        <f>_xlfn.IFNA(INDEX('OSA | 3GB'!J:L,MATCH(DATA!D69,'OSA | 3GB'!J:J,0),3),0)</f>
        <v>1500000</v>
      </c>
      <c r="H69" s="32" t="str">
        <f>_xlfn.IFNA(INDEX('OSA | 3GB'!A:C,MATCH(DATA!D69,'OSA | 3GB'!A:A,0),2),0)</f>
        <v xml:space="preserve"> -   </v>
      </c>
      <c r="I69" s="33">
        <f>_xlfn.IFNA(INDEX('OSA | 3GB'!A:C,MATCH(DATA!D69,'OSA | 3GB'!A:A,0),3),0)</f>
        <v>600000</v>
      </c>
      <c r="J69" s="33">
        <f>INDEX('BIO WAHYU'!B:G,MATCH(DATA!D69,'BIO WAHYU'!B:B,0),5)</f>
        <v>1</v>
      </c>
      <c r="K69" s="34">
        <f>INDEX('BIO WAHYU'!B:G,MATCH(DATA!D69,'BIO WAHYU'!B:B,0),6)</f>
        <v>0</v>
      </c>
      <c r="L69" s="35">
        <f>INDEX('BIO WAHYU'!B:H,MATCH(DATA!D69,'BIO WAHYU'!B:B,0),7)</f>
        <v>0</v>
      </c>
      <c r="M69" s="34">
        <f>INDEX('BIO WAHYU'!B:H,MATCH(DATA!D69,'BIO WAHYU'!B:B,0),4)</f>
        <v>0</v>
      </c>
    </row>
    <row r="70" spans="1:13">
      <c r="A70" s="43" t="s">
        <v>1</v>
      </c>
      <c r="B70" s="43" t="s">
        <v>4</v>
      </c>
      <c r="C70" s="43" t="s">
        <v>1077</v>
      </c>
      <c r="D70" s="10">
        <v>292836</v>
      </c>
      <c r="E70" s="43" t="s">
        <v>10</v>
      </c>
      <c r="F70" s="8">
        <f>_xlfn.IFNA(INDEX('OSA | 3GB'!J:L,MATCH(DATA!D70,'OSA | 3GB'!J:J,0),2),0)</f>
        <v>0</v>
      </c>
      <c r="G70" s="8">
        <f>_xlfn.IFNA(INDEX('OSA | 3GB'!J:L,MATCH(DATA!D70,'OSA | 3GB'!J:J,0),3),0)</f>
        <v>700000</v>
      </c>
      <c r="H70" s="32" t="str">
        <f>_xlfn.IFNA(INDEX('OSA | 3GB'!A:C,MATCH(DATA!D70,'OSA | 3GB'!A:A,0),2),0)</f>
        <v xml:space="preserve"> -   </v>
      </c>
      <c r="I70" s="33">
        <f>_xlfn.IFNA(INDEX('OSA | 3GB'!A:C,MATCH(DATA!D70,'OSA | 3GB'!A:A,0),3),0)</f>
        <v>1000000</v>
      </c>
      <c r="J70" s="33">
        <f>INDEX('BIO WAHYU'!B:G,MATCH(DATA!D70,'BIO WAHYU'!B:B,0),5)</f>
        <v>0</v>
      </c>
      <c r="K70" s="34">
        <f>INDEX('BIO WAHYU'!B:G,MATCH(DATA!D70,'BIO WAHYU'!B:B,0),6)</f>
        <v>0</v>
      </c>
      <c r="L70" s="35">
        <f>INDEX('BIO WAHYU'!B:H,MATCH(DATA!D70,'BIO WAHYU'!B:B,0),7)</f>
        <v>0</v>
      </c>
      <c r="M70" s="34">
        <f>INDEX('BIO WAHYU'!B:H,MATCH(DATA!D70,'BIO WAHYU'!B:B,0),4)</f>
        <v>0</v>
      </c>
    </row>
    <row r="71" spans="1:13">
      <c r="A71" s="43" t="s">
        <v>1674</v>
      </c>
      <c r="B71" s="43" t="s">
        <v>153</v>
      </c>
      <c r="C71" s="43" t="s">
        <v>709</v>
      </c>
      <c r="D71" s="10">
        <v>127223</v>
      </c>
      <c r="E71" s="43" t="s">
        <v>10</v>
      </c>
      <c r="F71" s="8">
        <f>_xlfn.IFNA(INDEX('OSA | 3GB'!J:L,MATCH(DATA!D71,'OSA | 3GB'!J:J,0),2),0)</f>
        <v>0</v>
      </c>
      <c r="G71" s="8">
        <f>_xlfn.IFNA(INDEX('OSA | 3GB'!J:L,MATCH(DATA!D71,'OSA | 3GB'!J:J,0),3),0)</f>
        <v>1200000</v>
      </c>
      <c r="H71" s="32" t="str">
        <f>_xlfn.IFNA(INDEX('OSA | 3GB'!A:C,MATCH(DATA!D71,'OSA | 3GB'!A:A,0),2),0)</f>
        <v xml:space="preserve"> -   </v>
      </c>
      <c r="I71" s="33" t="str">
        <f>_xlfn.IFNA(INDEX('OSA | 3GB'!A:C,MATCH(DATA!D71,'OSA | 3GB'!A:A,0),3),0)</f>
        <v xml:space="preserve"> -   </v>
      </c>
      <c r="J71" s="33">
        <f>INDEX('BIO WAHYU'!B:G,MATCH(DATA!D71,'BIO WAHYU'!B:B,0),5)</f>
        <v>1</v>
      </c>
      <c r="K71" s="34">
        <f>INDEX('BIO WAHYU'!B:G,MATCH(DATA!D71,'BIO WAHYU'!B:B,0),6)</f>
        <v>0</v>
      </c>
      <c r="L71" s="35">
        <f>INDEX('BIO WAHYU'!B:H,MATCH(DATA!D71,'BIO WAHYU'!B:B,0),7)</f>
        <v>0</v>
      </c>
      <c r="M71" s="34">
        <f>INDEX('BIO WAHYU'!B:H,MATCH(DATA!D71,'BIO WAHYU'!B:B,0),4)</f>
        <v>0</v>
      </c>
    </row>
    <row r="72" spans="1:13">
      <c r="A72" s="43" t="s">
        <v>1672</v>
      </c>
      <c r="B72" s="43">
        <v>2613051475</v>
      </c>
      <c r="C72" s="43" t="s">
        <v>909</v>
      </c>
      <c r="D72" s="10">
        <v>521902</v>
      </c>
      <c r="E72" s="43" t="s">
        <v>10</v>
      </c>
      <c r="F72" s="8">
        <f>_xlfn.IFNA(INDEX('OSA | 3GB'!J:L,MATCH(DATA!D72,'OSA | 3GB'!J:J,0),2),0)</f>
        <v>0</v>
      </c>
      <c r="G72" s="8">
        <f>_xlfn.IFNA(INDEX('OSA | 3GB'!J:L,MATCH(DATA!D72,'OSA | 3GB'!J:J,0),3),0)</f>
        <v>300000</v>
      </c>
      <c r="H72" s="32" t="str">
        <f>_xlfn.IFNA(INDEX('OSA | 3GB'!A:C,MATCH(DATA!D72,'OSA | 3GB'!A:A,0),2),0)</f>
        <v xml:space="preserve"> -   </v>
      </c>
      <c r="I72" s="33">
        <f>_xlfn.IFNA(INDEX('OSA | 3GB'!A:C,MATCH(DATA!D72,'OSA | 3GB'!A:A,0),3),0)</f>
        <v>400000</v>
      </c>
      <c r="J72" s="33">
        <f>INDEX('BIO WAHYU'!B:G,MATCH(DATA!D72,'BIO WAHYU'!B:B,0),5)</f>
        <v>1</v>
      </c>
      <c r="K72" s="34">
        <f>INDEX('BIO WAHYU'!B:G,MATCH(DATA!D72,'BIO WAHYU'!B:B,0),6)</f>
        <v>0</v>
      </c>
      <c r="L72" s="35">
        <f>INDEX('BIO WAHYU'!B:H,MATCH(DATA!D72,'BIO WAHYU'!B:B,0),7)</f>
        <v>0</v>
      </c>
      <c r="M72" s="34">
        <f>INDEX('BIO WAHYU'!B:H,MATCH(DATA!D72,'BIO WAHYU'!B:B,0),4)</f>
        <v>0</v>
      </c>
    </row>
    <row r="73" spans="1:13">
      <c r="A73" s="43" t="s">
        <v>1672</v>
      </c>
      <c r="B73" s="43" t="s">
        <v>155</v>
      </c>
      <c r="C73" s="43" t="s">
        <v>933</v>
      </c>
      <c r="D73" s="10">
        <v>2587</v>
      </c>
      <c r="E73" s="43" t="s">
        <v>10</v>
      </c>
      <c r="F73" s="8">
        <f>_xlfn.IFNA(INDEX('OSA | 3GB'!J:L,MATCH(DATA!D73,'OSA | 3GB'!J:J,0),2),0)</f>
        <v>2</v>
      </c>
      <c r="G73" s="8">
        <f>_xlfn.IFNA(INDEX('OSA | 3GB'!J:L,MATCH(DATA!D73,'OSA | 3GB'!J:J,0),3),0)</f>
        <v>22182354</v>
      </c>
      <c r="H73" s="32" t="str">
        <f>_xlfn.IFNA(INDEX('OSA | 3GB'!A:C,MATCH(DATA!D73,'OSA | 3GB'!A:A,0),2),0)</f>
        <v xml:space="preserve"> -   </v>
      </c>
      <c r="I73" s="33">
        <f>_xlfn.IFNA(INDEX('OSA | 3GB'!A:C,MATCH(DATA!D73,'OSA | 3GB'!A:A,0),3),0)</f>
        <v>10350000</v>
      </c>
      <c r="J73" s="33">
        <f>INDEX('BIO WAHYU'!B:G,MATCH(DATA!D73,'BIO WAHYU'!B:B,0),5)</f>
        <v>5</v>
      </c>
      <c r="K73" s="34">
        <f>INDEX('BIO WAHYU'!B:G,MATCH(DATA!D73,'BIO WAHYU'!B:B,0),6)</f>
        <v>5</v>
      </c>
      <c r="L73" s="35">
        <f>INDEX('BIO WAHYU'!B:H,MATCH(DATA!D73,'BIO WAHYU'!B:B,0),7)</f>
        <v>0</v>
      </c>
      <c r="M73" s="34">
        <f>INDEX('BIO WAHYU'!B:H,MATCH(DATA!D73,'BIO WAHYU'!B:B,0),4)</f>
        <v>0</v>
      </c>
    </row>
    <row r="74" spans="1:13">
      <c r="A74" s="43" t="s">
        <v>1675</v>
      </c>
      <c r="B74" s="43">
        <v>2613051043</v>
      </c>
      <c r="C74" s="43" t="s">
        <v>1154</v>
      </c>
      <c r="D74" s="10">
        <v>12297183</v>
      </c>
      <c r="E74" s="43" t="s">
        <v>15</v>
      </c>
      <c r="F74" s="8">
        <f>_xlfn.IFNA(INDEX('OSA | 3GB'!J:L,MATCH(DATA!D74,'OSA | 3GB'!J:J,0),2),0)</f>
        <v>10</v>
      </c>
      <c r="G74" s="8">
        <f>_xlfn.IFNA(INDEX('OSA | 3GB'!J:L,MATCH(DATA!D74,'OSA | 3GB'!J:J,0),3),0)</f>
        <v>1587000</v>
      </c>
      <c r="H74" s="32" t="str">
        <f>_xlfn.IFNA(INDEX('OSA | 3GB'!A:C,MATCH(DATA!D74,'OSA | 3GB'!A:A,0),2),0)</f>
        <v xml:space="preserve"> -   </v>
      </c>
      <c r="I74" s="33" t="str">
        <f>_xlfn.IFNA(INDEX('OSA | 3GB'!A:C,MATCH(DATA!D74,'OSA | 3GB'!A:A,0),3),0)</f>
        <v xml:space="preserve"> -   </v>
      </c>
      <c r="J74" s="33">
        <f>INDEX('BIO WAHYU'!B:G,MATCH(DATA!D74,'BIO WAHYU'!B:B,0),5)</f>
        <v>8</v>
      </c>
      <c r="K74" s="34">
        <f>INDEX('BIO WAHYU'!B:G,MATCH(DATA!D74,'BIO WAHYU'!B:B,0),6)</f>
        <v>0</v>
      </c>
      <c r="L74" s="35">
        <f>INDEX('BIO WAHYU'!B:H,MATCH(DATA!D74,'BIO WAHYU'!B:B,0),7)</f>
        <v>0</v>
      </c>
      <c r="M74" s="34">
        <f>INDEX('BIO WAHYU'!B:H,MATCH(DATA!D74,'BIO WAHYU'!B:B,0),4)</f>
        <v>0</v>
      </c>
    </row>
    <row r="75" spans="1:13">
      <c r="A75" s="43" t="s">
        <v>1672</v>
      </c>
      <c r="B75" s="43" t="s">
        <v>151</v>
      </c>
      <c r="C75" s="43" t="s">
        <v>1155</v>
      </c>
      <c r="D75" s="10">
        <v>492248</v>
      </c>
      <c r="E75" s="43" t="s">
        <v>10</v>
      </c>
      <c r="F75" s="8">
        <f>_xlfn.IFNA(INDEX('OSA | 3GB'!J:L,MATCH(DATA!D75,'OSA | 3GB'!J:J,0),2),0)</f>
        <v>6</v>
      </c>
      <c r="G75" s="8">
        <f>_xlfn.IFNA(INDEX('OSA | 3GB'!J:L,MATCH(DATA!D75,'OSA | 3GB'!J:J,0),3),0)</f>
        <v>15706145</v>
      </c>
      <c r="H75" s="32">
        <f>_xlfn.IFNA(INDEX('OSA | 3GB'!A:C,MATCH(DATA!D75,'OSA | 3GB'!A:A,0),2),0)</f>
        <v>1</v>
      </c>
      <c r="I75" s="33">
        <f>_xlfn.IFNA(INDEX('OSA | 3GB'!A:C,MATCH(DATA!D75,'OSA | 3GB'!A:A,0),3),0)</f>
        <v>6146687</v>
      </c>
      <c r="J75" s="33">
        <f>INDEX('BIO WAHYU'!B:G,MATCH(DATA!D75,'BIO WAHYU'!B:B,0),5)</f>
        <v>4</v>
      </c>
      <c r="K75" s="34">
        <f>INDEX('BIO WAHYU'!B:G,MATCH(DATA!D75,'BIO WAHYU'!B:B,0),6)</f>
        <v>1</v>
      </c>
      <c r="L75" s="35">
        <f>INDEX('BIO WAHYU'!B:H,MATCH(DATA!D75,'BIO WAHYU'!B:B,0),7)</f>
        <v>0</v>
      </c>
      <c r="M75" s="34">
        <f>INDEX('BIO WAHYU'!B:H,MATCH(DATA!D75,'BIO WAHYU'!B:B,0),4)</f>
        <v>0</v>
      </c>
    </row>
    <row r="76" spans="1:13">
      <c r="A76" s="43" t="s">
        <v>1672</v>
      </c>
      <c r="B76" s="43" t="s">
        <v>156</v>
      </c>
      <c r="C76" s="43" t="s">
        <v>998</v>
      </c>
      <c r="D76" s="10">
        <v>509438</v>
      </c>
      <c r="E76" s="43" t="s">
        <v>10</v>
      </c>
      <c r="F76" s="8">
        <f>_xlfn.IFNA(INDEX('OSA | 3GB'!J:L,MATCH(DATA!D76,'OSA | 3GB'!J:J,0),2),0)</f>
        <v>0</v>
      </c>
      <c r="G76" s="8">
        <f>_xlfn.IFNA(INDEX('OSA | 3GB'!J:L,MATCH(DATA!D76,'OSA | 3GB'!J:J,0),3),0)</f>
        <v>200000</v>
      </c>
      <c r="H76" s="32" t="str">
        <f>_xlfn.IFNA(INDEX('OSA | 3GB'!A:C,MATCH(DATA!D76,'OSA | 3GB'!A:A,0),2),0)</f>
        <v xml:space="preserve"> -   </v>
      </c>
      <c r="I76" s="33">
        <f>_xlfn.IFNA(INDEX('OSA | 3GB'!A:C,MATCH(DATA!D76,'OSA | 3GB'!A:A,0),3),0)</f>
        <v>100000</v>
      </c>
      <c r="J76" s="33">
        <f>INDEX('BIO WAHYU'!B:G,MATCH(DATA!D76,'BIO WAHYU'!B:B,0),5)</f>
        <v>1</v>
      </c>
      <c r="K76" s="34">
        <f>INDEX('BIO WAHYU'!B:G,MATCH(DATA!D76,'BIO WAHYU'!B:B,0),6)</f>
        <v>0</v>
      </c>
      <c r="L76" s="35">
        <f>INDEX('BIO WAHYU'!B:H,MATCH(DATA!D76,'BIO WAHYU'!B:B,0),7)</f>
        <v>0</v>
      </c>
      <c r="M76" s="34">
        <f>INDEX('BIO WAHYU'!B:H,MATCH(DATA!D76,'BIO WAHYU'!B:B,0),4)</f>
        <v>0</v>
      </c>
    </row>
    <row r="77" spans="1:13">
      <c r="A77" s="43" t="s">
        <v>1670</v>
      </c>
      <c r="B77" s="43">
        <v>2613052584</v>
      </c>
      <c r="C77" s="43" t="s">
        <v>570</v>
      </c>
      <c r="D77" s="10">
        <v>12295735</v>
      </c>
      <c r="E77" s="43" t="s">
        <v>10</v>
      </c>
      <c r="F77" s="8">
        <f>_xlfn.IFNA(INDEX('OSA | 3GB'!J:L,MATCH(DATA!D77,'OSA | 3GB'!J:J,0),2),0)</f>
        <v>43</v>
      </c>
      <c r="G77" s="8">
        <f>_xlfn.IFNA(INDEX('OSA | 3GB'!J:L,MATCH(DATA!D77,'OSA | 3GB'!J:J,0),3),0)</f>
        <v>641500</v>
      </c>
      <c r="H77" s="32" t="str">
        <f>_xlfn.IFNA(INDEX('OSA | 3GB'!A:C,MATCH(DATA!D77,'OSA | 3GB'!A:A,0),2),0)</f>
        <v xml:space="preserve"> -   </v>
      </c>
      <c r="I77" s="33" t="str">
        <f>_xlfn.IFNA(INDEX('OSA | 3GB'!A:C,MATCH(DATA!D77,'OSA | 3GB'!A:A,0),3),0)</f>
        <v xml:space="preserve"> -   </v>
      </c>
      <c r="J77" s="33">
        <f>INDEX('BIO WAHYU'!B:G,MATCH(DATA!D77,'BIO WAHYU'!B:B,0),5)</f>
        <v>17</v>
      </c>
      <c r="K77" s="34">
        <f>INDEX('BIO WAHYU'!B:G,MATCH(DATA!D77,'BIO WAHYU'!B:B,0),6)</f>
        <v>47</v>
      </c>
      <c r="L77" s="35">
        <f>INDEX('BIO WAHYU'!B:H,MATCH(DATA!D77,'BIO WAHYU'!B:B,0),7)</f>
        <v>30</v>
      </c>
      <c r="M77" s="34">
        <f>INDEX('BIO WAHYU'!B:H,MATCH(DATA!D77,'BIO WAHYU'!B:B,0),4)</f>
        <v>0</v>
      </c>
    </row>
    <row r="78" spans="1:13">
      <c r="A78" s="43" t="s">
        <v>1670</v>
      </c>
      <c r="B78" s="43" t="s">
        <v>146</v>
      </c>
      <c r="C78" s="43" t="s">
        <v>546</v>
      </c>
      <c r="D78" s="10">
        <v>579635</v>
      </c>
      <c r="E78" s="43" t="s">
        <v>15</v>
      </c>
      <c r="F78" s="8">
        <f>_xlfn.IFNA(INDEX('OSA | 3GB'!J:L,MATCH(DATA!D78,'OSA | 3GB'!J:J,0),2),0)</f>
        <v>6</v>
      </c>
      <c r="G78" s="8">
        <f>_xlfn.IFNA(INDEX('OSA | 3GB'!J:L,MATCH(DATA!D78,'OSA | 3GB'!J:J,0),3),0)</f>
        <v>2950000</v>
      </c>
      <c r="H78" s="32">
        <f>_xlfn.IFNA(INDEX('OSA | 3GB'!A:C,MATCH(DATA!D78,'OSA | 3GB'!A:A,0),2),0)</f>
        <v>3</v>
      </c>
      <c r="I78" s="33">
        <f>_xlfn.IFNA(INDEX('OSA | 3GB'!A:C,MATCH(DATA!D78,'OSA | 3GB'!A:A,0),3),0)</f>
        <v>1200000</v>
      </c>
      <c r="J78" s="33">
        <f>INDEX('BIO WAHYU'!B:G,MATCH(DATA!D78,'BIO WAHYU'!B:B,0),5)</f>
        <v>3</v>
      </c>
      <c r="K78" s="34">
        <f>INDEX('BIO WAHYU'!B:G,MATCH(DATA!D78,'BIO WAHYU'!B:B,0),6)</f>
        <v>0</v>
      </c>
      <c r="L78" s="35">
        <f>INDEX('BIO WAHYU'!B:H,MATCH(DATA!D78,'BIO WAHYU'!B:B,0),7)</f>
        <v>0</v>
      </c>
      <c r="M78" s="34">
        <f>INDEX('BIO WAHYU'!B:H,MATCH(DATA!D78,'BIO WAHYU'!B:B,0),4)</f>
        <v>0</v>
      </c>
    </row>
    <row r="79" spans="1:13">
      <c r="A79" s="43" t="s">
        <v>1673</v>
      </c>
      <c r="B79" s="43" t="s">
        <v>144</v>
      </c>
      <c r="C79" s="43" t="s">
        <v>213</v>
      </c>
      <c r="D79" s="10">
        <v>12303846</v>
      </c>
      <c r="E79" s="43" t="s">
        <v>10</v>
      </c>
      <c r="F79" s="8">
        <f>_xlfn.IFNA(INDEX('OSA | 3GB'!J:L,MATCH(DATA!D79,'OSA | 3GB'!J:J,0),2),0)</f>
        <v>3</v>
      </c>
      <c r="G79" s="8">
        <f>_xlfn.IFNA(INDEX('OSA | 3GB'!J:L,MATCH(DATA!D79,'OSA | 3GB'!J:J,0),3),0)</f>
        <v>994000</v>
      </c>
      <c r="H79" s="32" t="str">
        <f>_xlfn.IFNA(INDEX('OSA | 3GB'!A:C,MATCH(DATA!D79,'OSA | 3GB'!A:A,0),2),0)</f>
        <v xml:space="preserve"> -   </v>
      </c>
      <c r="I79" s="33">
        <f>_xlfn.IFNA(INDEX('OSA | 3GB'!A:C,MATCH(DATA!D79,'OSA | 3GB'!A:A,0),3),0)</f>
        <v>900000</v>
      </c>
      <c r="J79" s="33">
        <f>INDEX('BIO WAHYU'!B:G,MATCH(DATA!D79,'BIO WAHYU'!B:B,0),5)</f>
        <v>1</v>
      </c>
      <c r="K79" s="34">
        <f>INDEX('BIO WAHYU'!B:G,MATCH(DATA!D79,'BIO WAHYU'!B:B,0),6)</f>
        <v>0</v>
      </c>
      <c r="L79" s="35">
        <f>INDEX('BIO WAHYU'!B:H,MATCH(DATA!D79,'BIO WAHYU'!B:B,0),7)</f>
        <v>0</v>
      </c>
      <c r="M79" s="34">
        <f>INDEX('BIO WAHYU'!B:H,MATCH(DATA!D79,'BIO WAHYU'!B:B,0),4)</f>
        <v>0</v>
      </c>
    </row>
    <row r="80" spans="1:13">
      <c r="A80" s="43" t="s">
        <v>1673</v>
      </c>
      <c r="B80" s="43" t="s">
        <v>1136</v>
      </c>
      <c r="C80" s="43" t="s">
        <v>1156</v>
      </c>
      <c r="D80" s="10">
        <v>61609</v>
      </c>
      <c r="E80" s="43" t="s">
        <v>15</v>
      </c>
      <c r="F80" s="8">
        <f>_xlfn.IFNA(INDEX('OSA | 3GB'!J:L,MATCH(DATA!D80,'OSA | 3GB'!J:J,0),2),0)</f>
        <v>97</v>
      </c>
      <c r="G80" s="8">
        <f>_xlfn.IFNA(INDEX('OSA | 3GB'!J:L,MATCH(DATA!D80,'OSA | 3GB'!J:J,0),3),0)</f>
        <v>200000</v>
      </c>
      <c r="H80" s="32" t="str">
        <f>_xlfn.IFNA(INDEX('OSA | 3GB'!A:C,MATCH(DATA!D80,'OSA | 3GB'!A:A,0),2),0)</f>
        <v xml:space="preserve"> -   </v>
      </c>
      <c r="I80" s="33">
        <f>_xlfn.IFNA(INDEX('OSA | 3GB'!A:C,MATCH(DATA!D80,'OSA | 3GB'!A:A,0),3),0)</f>
        <v>50000</v>
      </c>
      <c r="J80" s="33">
        <f>INDEX('BIO WAHYU'!B:G,MATCH(DATA!D80,'BIO WAHYU'!B:B,0),5)</f>
        <v>4</v>
      </c>
      <c r="K80" s="34">
        <f>INDEX('BIO WAHYU'!B:G,MATCH(DATA!D80,'BIO WAHYU'!B:B,0),6)</f>
        <v>2</v>
      </c>
      <c r="L80" s="35">
        <f>INDEX('BIO WAHYU'!B:H,MATCH(DATA!D80,'BIO WAHYU'!B:B,0),7)</f>
        <v>0</v>
      </c>
      <c r="M80" s="34">
        <f>INDEX('BIO WAHYU'!B:H,MATCH(DATA!D80,'BIO WAHYU'!B:B,0),4)</f>
        <v>0</v>
      </c>
    </row>
    <row r="81" spans="1:13">
      <c r="A81" s="43" t="s">
        <v>1671</v>
      </c>
      <c r="B81" s="43" t="s">
        <v>142</v>
      </c>
      <c r="C81" s="43" t="s">
        <v>1157</v>
      </c>
      <c r="D81" s="10">
        <v>326560</v>
      </c>
      <c r="E81" s="43" t="s">
        <v>10</v>
      </c>
      <c r="F81" s="8">
        <f>_xlfn.IFNA(INDEX('OSA | 3GB'!J:L,MATCH(DATA!D81,'OSA | 3GB'!J:J,0),2),0)</f>
        <v>0</v>
      </c>
      <c r="G81" s="8">
        <f>_xlfn.IFNA(INDEX('OSA | 3GB'!J:L,MATCH(DATA!D81,'OSA | 3GB'!J:J,0),3),0)</f>
        <v>2300000</v>
      </c>
      <c r="H81" s="32" t="str">
        <f>_xlfn.IFNA(INDEX('OSA | 3GB'!A:C,MATCH(DATA!D81,'OSA | 3GB'!A:A,0),2),0)</f>
        <v xml:space="preserve"> -   </v>
      </c>
      <c r="I81" s="33">
        <f>_xlfn.IFNA(INDEX('OSA | 3GB'!A:C,MATCH(DATA!D81,'OSA | 3GB'!A:A,0),3),0)</f>
        <v>2200000</v>
      </c>
      <c r="J81" s="33">
        <f>INDEX('BIO WAHYU'!B:G,MATCH(DATA!D81,'BIO WAHYU'!B:B,0),5)</f>
        <v>0</v>
      </c>
      <c r="K81" s="34">
        <f>INDEX('BIO WAHYU'!B:G,MATCH(DATA!D81,'BIO WAHYU'!B:B,0),6)</f>
        <v>0</v>
      </c>
      <c r="L81" s="35">
        <f>INDEX('BIO WAHYU'!B:H,MATCH(DATA!D81,'BIO WAHYU'!B:B,0),7)</f>
        <v>0</v>
      </c>
      <c r="M81" s="34">
        <f>INDEX('BIO WAHYU'!B:H,MATCH(DATA!D81,'BIO WAHYU'!B:B,0),4)</f>
        <v>0</v>
      </c>
    </row>
    <row r="82" spans="1:13">
      <c r="A82" s="43" t="s">
        <v>1673</v>
      </c>
      <c r="B82" s="43" t="s">
        <v>141</v>
      </c>
      <c r="C82" s="43" t="s">
        <v>1158</v>
      </c>
      <c r="D82" s="10">
        <v>454102</v>
      </c>
      <c r="E82" s="43" t="s">
        <v>15</v>
      </c>
      <c r="F82" s="8">
        <f>_xlfn.IFNA(INDEX('OSA | 3GB'!J:L,MATCH(DATA!D82,'OSA | 3GB'!J:J,0),2),0)</f>
        <v>10</v>
      </c>
      <c r="G82" s="8">
        <f>_xlfn.IFNA(INDEX('OSA | 3GB'!J:L,MATCH(DATA!D82,'OSA | 3GB'!J:J,0),3),0)</f>
        <v>250000</v>
      </c>
      <c r="H82" s="32" t="str">
        <f>_xlfn.IFNA(INDEX('OSA | 3GB'!A:C,MATCH(DATA!D82,'OSA | 3GB'!A:A,0),2),0)</f>
        <v xml:space="preserve"> -   </v>
      </c>
      <c r="I82" s="33">
        <f>_xlfn.IFNA(INDEX('OSA | 3GB'!A:C,MATCH(DATA!D82,'OSA | 3GB'!A:A,0),3),0)</f>
        <v>100000</v>
      </c>
      <c r="J82" s="33">
        <f>INDEX('BIO WAHYU'!B:G,MATCH(DATA!D82,'BIO WAHYU'!B:B,0),5)</f>
        <v>1</v>
      </c>
      <c r="K82" s="34">
        <f>INDEX('BIO WAHYU'!B:G,MATCH(DATA!D82,'BIO WAHYU'!B:B,0),6)</f>
        <v>0</v>
      </c>
      <c r="L82" s="35">
        <f>INDEX('BIO WAHYU'!B:H,MATCH(DATA!D82,'BIO WAHYU'!B:B,0),7)</f>
        <v>0</v>
      </c>
      <c r="M82" s="34">
        <f>INDEX('BIO WAHYU'!B:H,MATCH(DATA!D82,'BIO WAHYU'!B:B,0),4)</f>
        <v>0</v>
      </c>
    </row>
    <row r="83" spans="1:13">
      <c r="A83" s="43" t="s">
        <v>1671</v>
      </c>
      <c r="B83" s="43" t="s">
        <v>142</v>
      </c>
      <c r="C83" s="43" t="s">
        <v>356</v>
      </c>
      <c r="D83" s="10">
        <v>510915</v>
      </c>
      <c r="E83" s="43" t="s">
        <v>15</v>
      </c>
      <c r="F83" s="8">
        <f>_xlfn.IFNA(INDEX('OSA | 3GB'!J:L,MATCH(DATA!D83,'OSA | 3GB'!J:J,0),2),0)</f>
        <v>0</v>
      </c>
      <c r="G83" s="8">
        <f>_xlfn.IFNA(INDEX('OSA | 3GB'!J:L,MATCH(DATA!D83,'OSA | 3GB'!J:J,0),3),0)</f>
        <v>350000</v>
      </c>
      <c r="H83" s="32" t="str">
        <f>_xlfn.IFNA(INDEX('OSA | 3GB'!A:C,MATCH(DATA!D83,'OSA | 3GB'!A:A,0),2),0)</f>
        <v xml:space="preserve"> -   </v>
      </c>
      <c r="I83" s="33">
        <f>_xlfn.IFNA(INDEX('OSA | 3GB'!A:C,MATCH(DATA!D83,'OSA | 3GB'!A:A,0),3),0)</f>
        <v>50000</v>
      </c>
      <c r="J83" s="33">
        <f>INDEX('BIO WAHYU'!B:G,MATCH(DATA!D83,'BIO WAHYU'!B:B,0),5)</f>
        <v>1</v>
      </c>
      <c r="K83" s="34">
        <f>INDEX('BIO WAHYU'!B:G,MATCH(DATA!D83,'BIO WAHYU'!B:B,0),6)</f>
        <v>0</v>
      </c>
      <c r="L83" s="35">
        <f>INDEX('BIO WAHYU'!B:H,MATCH(DATA!D83,'BIO WAHYU'!B:B,0),7)</f>
        <v>0</v>
      </c>
      <c r="M83" s="34">
        <f>INDEX('BIO WAHYU'!B:H,MATCH(DATA!D83,'BIO WAHYU'!B:B,0),4)</f>
        <v>0</v>
      </c>
    </row>
    <row r="84" spans="1:13">
      <c r="A84" s="43" t="s">
        <v>1672</v>
      </c>
      <c r="B84" s="43" t="s">
        <v>157</v>
      </c>
      <c r="C84" s="43" t="s">
        <v>1037</v>
      </c>
      <c r="D84" s="10">
        <v>324658</v>
      </c>
      <c r="E84" s="43" t="s">
        <v>10</v>
      </c>
      <c r="F84" s="8">
        <f>_xlfn.IFNA(INDEX('OSA | 3GB'!J:L,MATCH(DATA!D84,'OSA | 3GB'!J:J,0),2),0)</f>
        <v>0</v>
      </c>
      <c r="G84" s="8">
        <f>_xlfn.IFNA(INDEX('OSA | 3GB'!J:L,MATCH(DATA!D84,'OSA | 3GB'!J:J,0),3),0)</f>
        <v>129000</v>
      </c>
      <c r="H84" s="32" t="str">
        <f>_xlfn.IFNA(INDEX('OSA | 3GB'!A:C,MATCH(DATA!D84,'OSA | 3GB'!A:A,0),2),0)</f>
        <v xml:space="preserve"> -   </v>
      </c>
      <c r="I84" s="33" t="str">
        <f>_xlfn.IFNA(INDEX('OSA | 3GB'!A:C,MATCH(DATA!D84,'OSA | 3GB'!A:A,0),3),0)</f>
        <v xml:space="preserve"> -   </v>
      </c>
      <c r="J84" s="33">
        <f>INDEX('BIO WAHYU'!B:G,MATCH(DATA!D84,'BIO WAHYU'!B:B,0),5)</f>
        <v>0</v>
      </c>
      <c r="K84" s="34">
        <f>INDEX('BIO WAHYU'!B:G,MATCH(DATA!D84,'BIO WAHYU'!B:B,0),6)</f>
        <v>0</v>
      </c>
      <c r="L84" s="35">
        <f>INDEX('BIO WAHYU'!B:H,MATCH(DATA!D84,'BIO WAHYU'!B:B,0),7)</f>
        <v>0</v>
      </c>
      <c r="M84" s="34">
        <f>INDEX('BIO WAHYU'!B:H,MATCH(DATA!D84,'BIO WAHYU'!B:B,0),4)</f>
        <v>0</v>
      </c>
    </row>
    <row r="85" spans="1:13">
      <c r="A85" s="43" t="s">
        <v>1674</v>
      </c>
      <c r="B85" s="43">
        <v>2613052222</v>
      </c>
      <c r="C85" s="43" t="s">
        <v>1159</v>
      </c>
      <c r="D85" s="10">
        <v>61542</v>
      </c>
      <c r="E85" s="43" t="s">
        <v>10</v>
      </c>
      <c r="F85" s="8">
        <f>_xlfn.IFNA(INDEX('OSA | 3GB'!J:L,MATCH(DATA!D85,'OSA | 3GB'!J:J,0),2),0)</f>
        <v>3</v>
      </c>
      <c r="G85" s="8">
        <f>_xlfn.IFNA(INDEX('OSA | 3GB'!J:L,MATCH(DATA!D85,'OSA | 3GB'!J:J,0),3),0)</f>
        <v>10200000</v>
      </c>
      <c r="H85" s="32" t="str">
        <f>_xlfn.IFNA(INDEX('OSA | 3GB'!A:C,MATCH(DATA!D85,'OSA | 3GB'!A:A,0),2),0)</f>
        <v xml:space="preserve"> -   </v>
      </c>
      <c r="I85" s="33">
        <f>_xlfn.IFNA(INDEX('OSA | 3GB'!A:C,MATCH(DATA!D85,'OSA | 3GB'!A:A,0),3),0)</f>
        <v>4500000</v>
      </c>
      <c r="J85" s="33">
        <f>INDEX('BIO WAHYU'!B:G,MATCH(DATA!D85,'BIO WAHYU'!B:B,0),5)</f>
        <v>3</v>
      </c>
      <c r="K85" s="34">
        <f>INDEX('BIO WAHYU'!B:G,MATCH(DATA!D85,'BIO WAHYU'!B:B,0),6)</f>
        <v>2</v>
      </c>
      <c r="L85" s="35">
        <f>INDEX('BIO WAHYU'!B:H,MATCH(DATA!D85,'BIO WAHYU'!B:B,0),7)</f>
        <v>0</v>
      </c>
      <c r="M85" s="34">
        <f>INDEX('BIO WAHYU'!B:H,MATCH(DATA!D85,'BIO WAHYU'!B:B,0),4)</f>
        <v>1</v>
      </c>
    </row>
    <row r="86" spans="1:13">
      <c r="A86" s="43" t="s">
        <v>1671</v>
      </c>
      <c r="B86" s="43">
        <v>2613050886</v>
      </c>
      <c r="C86" s="43" t="s">
        <v>328</v>
      </c>
      <c r="D86" s="10">
        <v>513303</v>
      </c>
      <c r="E86" s="43" t="s">
        <v>15</v>
      </c>
      <c r="F86" s="8">
        <f>_xlfn.IFNA(INDEX('OSA | 3GB'!J:L,MATCH(DATA!D86,'OSA | 3GB'!J:J,0),2),0)</f>
        <v>0</v>
      </c>
      <c r="G86" s="8">
        <f>_xlfn.IFNA(INDEX('OSA | 3GB'!J:L,MATCH(DATA!D86,'OSA | 3GB'!J:J,0),3),0)</f>
        <v>3090000</v>
      </c>
      <c r="H86" s="32" t="str">
        <f>_xlfn.IFNA(INDEX('OSA | 3GB'!A:C,MATCH(DATA!D86,'OSA | 3GB'!A:A,0),2),0)</f>
        <v xml:space="preserve"> -   </v>
      </c>
      <c r="I86" s="33">
        <f>_xlfn.IFNA(INDEX('OSA | 3GB'!A:C,MATCH(DATA!D86,'OSA | 3GB'!A:A,0),3),0)</f>
        <v>850000</v>
      </c>
      <c r="J86" s="33">
        <f>INDEX('BIO WAHYU'!B:G,MATCH(DATA!D86,'BIO WAHYU'!B:B,0),5)</f>
        <v>0</v>
      </c>
      <c r="K86" s="34">
        <f>INDEX('BIO WAHYU'!B:G,MATCH(DATA!D86,'BIO WAHYU'!B:B,0),6)</f>
        <v>0</v>
      </c>
      <c r="L86" s="35">
        <f>INDEX('BIO WAHYU'!B:H,MATCH(DATA!D86,'BIO WAHYU'!B:B,0),7)</f>
        <v>0</v>
      </c>
      <c r="M86" s="34">
        <f>INDEX('BIO WAHYU'!B:H,MATCH(DATA!D86,'BIO WAHYU'!B:B,0),4)</f>
        <v>0</v>
      </c>
    </row>
    <row r="87" spans="1:13">
      <c r="A87" s="43" t="s">
        <v>1673</v>
      </c>
      <c r="B87" s="43" t="s">
        <v>143</v>
      </c>
      <c r="C87" s="43" t="s">
        <v>1160</v>
      </c>
      <c r="D87" s="10">
        <v>483093</v>
      </c>
      <c r="E87" s="43" t="s">
        <v>10</v>
      </c>
      <c r="F87" s="8">
        <f>_xlfn.IFNA(INDEX('OSA | 3GB'!J:L,MATCH(DATA!D87,'OSA | 3GB'!J:J,0),2),0)</f>
        <v>4</v>
      </c>
      <c r="G87" s="8">
        <f>_xlfn.IFNA(INDEX('OSA | 3GB'!J:L,MATCH(DATA!D87,'OSA | 3GB'!J:J,0),3),0)</f>
        <v>1458000</v>
      </c>
      <c r="H87" s="32">
        <f>_xlfn.IFNA(INDEX('OSA | 3GB'!A:C,MATCH(DATA!D87,'OSA | 3GB'!A:A,0),2),0)</f>
        <v>2</v>
      </c>
      <c r="I87" s="33">
        <f>_xlfn.IFNA(INDEX('OSA | 3GB'!A:C,MATCH(DATA!D87,'OSA | 3GB'!A:A,0),3),0)</f>
        <v>1470000</v>
      </c>
      <c r="J87" s="33">
        <f>INDEX('BIO WAHYU'!B:G,MATCH(DATA!D87,'BIO WAHYU'!B:B,0),5)</f>
        <v>4</v>
      </c>
      <c r="K87" s="34">
        <f>INDEX('BIO WAHYU'!B:G,MATCH(DATA!D87,'BIO WAHYU'!B:B,0),6)</f>
        <v>1</v>
      </c>
      <c r="L87" s="35">
        <f>INDEX('BIO WAHYU'!B:H,MATCH(DATA!D87,'BIO WAHYU'!B:B,0),7)</f>
        <v>0</v>
      </c>
      <c r="M87" s="34">
        <f>INDEX('BIO WAHYU'!B:H,MATCH(DATA!D87,'BIO WAHYU'!B:B,0),4)</f>
        <v>0</v>
      </c>
    </row>
    <row r="88" spans="1:13">
      <c r="A88" s="43" t="s">
        <v>1672</v>
      </c>
      <c r="B88" s="43" t="s">
        <v>157</v>
      </c>
      <c r="C88" s="43" t="s">
        <v>1048</v>
      </c>
      <c r="D88" s="10">
        <v>494962</v>
      </c>
      <c r="E88" s="43" t="s">
        <v>10</v>
      </c>
      <c r="F88" s="8">
        <f>_xlfn.IFNA(INDEX('OSA | 3GB'!J:L,MATCH(DATA!D88,'OSA | 3GB'!J:J,0),2),0)</f>
        <v>54</v>
      </c>
      <c r="G88" s="8">
        <f>_xlfn.IFNA(INDEX('OSA | 3GB'!J:L,MATCH(DATA!D88,'OSA | 3GB'!J:J,0),3),0)</f>
        <v>11116000</v>
      </c>
      <c r="H88" s="32" t="str">
        <f>_xlfn.IFNA(INDEX('OSA | 3GB'!A:C,MATCH(DATA!D88,'OSA | 3GB'!A:A,0),2),0)</f>
        <v xml:space="preserve"> -   </v>
      </c>
      <c r="I88" s="33">
        <f>_xlfn.IFNA(INDEX('OSA | 3GB'!A:C,MATCH(DATA!D88,'OSA | 3GB'!A:A,0),3),0)</f>
        <v>2500000</v>
      </c>
      <c r="J88" s="33">
        <f>INDEX('BIO WAHYU'!B:G,MATCH(DATA!D88,'BIO WAHYU'!B:B,0),5)</f>
        <v>12</v>
      </c>
      <c r="K88" s="34">
        <f>INDEX('BIO WAHYU'!B:G,MATCH(DATA!D88,'BIO WAHYU'!B:B,0),6)</f>
        <v>1</v>
      </c>
      <c r="L88" s="35">
        <f>INDEX('BIO WAHYU'!B:H,MATCH(DATA!D88,'BIO WAHYU'!B:B,0),7)</f>
        <v>0</v>
      </c>
      <c r="M88" s="34">
        <f>INDEX('BIO WAHYU'!B:H,MATCH(DATA!D88,'BIO WAHYU'!B:B,0),4)</f>
        <v>0</v>
      </c>
    </row>
    <row r="89" spans="1:13">
      <c r="A89" s="43" t="s">
        <v>1672</v>
      </c>
      <c r="B89" s="43" t="s">
        <v>156</v>
      </c>
      <c r="C89" s="43" t="s">
        <v>990</v>
      </c>
      <c r="D89" s="10">
        <v>388</v>
      </c>
      <c r="E89" s="43" t="s">
        <v>10</v>
      </c>
      <c r="F89" s="8">
        <f>_xlfn.IFNA(INDEX('OSA | 3GB'!J:L,MATCH(DATA!D89,'OSA | 3GB'!J:J,0),2),0)</f>
        <v>0</v>
      </c>
      <c r="G89" s="8">
        <f>_xlfn.IFNA(INDEX('OSA | 3GB'!J:L,MATCH(DATA!D89,'OSA | 3GB'!J:J,0),3),0)</f>
        <v>250000</v>
      </c>
      <c r="H89" s="32" t="str">
        <f>_xlfn.IFNA(INDEX('OSA | 3GB'!A:C,MATCH(DATA!D89,'OSA | 3GB'!A:A,0),2),0)</f>
        <v xml:space="preserve"> -   </v>
      </c>
      <c r="I89" s="33">
        <f>_xlfn.IFNA(INDEX('OSA | 3GB'!A:C,MATCH(DATA!D89,'OSA | 3GB'!A:A,0),3),0)</f>
        <v>450000</v>
      </c>
      <c r="J89" s="33">
        <f>INDEX('BIO WAHYU'!B:G,MATCH(DATA!D89,'BIO WAHYU'!B:B,0),5)</f>
        <v>0</v>
      </c>
      <c r="K89" s="34">
        <f>INDEX('BIO WAHYU'!B:G,MATCH(DATA!D89,'BIO WAHYU'!B:B,0),6)</f>
        <v>0</v>
      </c>
      <c r="L89" s="35">
        <f>INDEX('BIO WAHYU'!B:H,MATCH(DATA!D89,'BIO WAHYU'!B:B,0),7)</f>
        <v>0</v>
      </c>
      <c r="M89" s="34">
        <f>INDEX('BIO WAHYU'!B:H,MATCH(DATA!D89,'BIO WAHYU'!B:B,0),4)</f>
        <v>0</v>
      </c>
    </row>
    <row r="90" spans="1:13">
      <c r="A90" s="43" t="s">
        <v>1674</v>
      </c>
      <c r="B90" s="43" t="s">
        <v>153</v>
      </c>
      <c r="C90" s="43" t="s">
        <v>1161</v>
      </c>
      <c r="D90" s="10">
        <v>521231</v>
      </c>
      <c r="E90" s="43" t="s">
        <v>10</v>
      </c>
      <c r="F90" s="8">
        <f>_xlfn.IFNA(INDEX('OSA | 3GB'!J:L,MATCH(DATA!D90,'OSA | 3GB'!J:J,0),2),0)</f>
        <v>22</v>
      </c>
      <c r="G90" s="8">
        <f>_xlfn.IFNA(INDEX('OSA | 3GB'!J:L,MATCH(DATA!D90,'OSA | 3GB'!J:J,0),3),0)</f>
        <v>2310000</v>
      </c>
      <c r="H90" s="32" t="str">
        <f>_xlfn.IFNA(INDEX('OSA | 3GB'!A:C,MATCH(DATA!D90,'OSA | 3GB'!A:A,0),2),0)</f>
        <v xml:space="preserve"> -   </v>
      </c>
      <c r="I90" s="33">
        <f>_xlfn.IFNA(INDEX('OSA | 3GB'!A:C,MATCH(DATA!D90,'OSA | 3GB'!A:A,0),3),0)</f>
        <v>610000</v>
      </c>
      <c r="J90" s="33">
        <f>INDEX('BIO WAHYU'!B:G,MATCH(DATA!D90,'BIO WAHYU'!B:B,0),5)</f>
        <v>1</v>
      </c>
      <c r="K90" s="34">
        <f>INDEX('BIO WAHYU'!B:G,MATCH(DATA!D90,'BIO WAHYU'!B:B,0),6)</f>
        <v>6</v>
      </c>
      <c r="L90" s="35">
        <f>INDEX('BIO WAHYU'!B:H,MATCH(DATA!D90,'BIO WAHYU'!B:B,0),7)</f>
        <v>5</v>
      </c>
      <c r="M90" s="34">
        <f>INDEX('BIO WAHYU'!B:H,MATCH(DATA!D90,'BIO WAHYU'!B:B,0),4)</f>
        <v>0</v>
      </c>
    </row>
    <row r="91" spans="1:13">
      <c r="A91" s="43" t="s">
        <v>1673</v>
      </c>
      <c r="B91" s="43" t="s">
        <v>143</v>
      </c>
      <c r="C91" s="43" t="s">
        <v>1162</v>
      </c>
      <c r="D91" s="10">
        <v>482760</v>
      </c>
      <c r="E91" s="43" t="s">
        <v>10</v>
      </c>
      <c r="F91" s="8">
        <f>_xlfn.IFNA(INDEX('OSA | 3GB'!J:L,MATCH(DATA!D91,'OSA | 3GB'!J:J,0),2),0)</f>
        <v>7</v>
      </c>
      <c r="G91" s="8">
        <f>_xlfn.IFNA(INDEX('OSA | 3GB'!J:L,MATCH(DATA!D91,'OSA | 3GB'!J:J,0),3),0)</f>
        <v>3000000</v>
      </c>
      <c r="H91" s="32">
        <f>_xlfn.IFNA(INDEX('OSA | 3GB'!A:C,MATCH(DATA!D91,'OSA | 3GB'!A:A,0),2),0)</f>
        <v>2</v>
      </c>
      <c r="I91" s="33">
        <f>_xlfn.IFNA(INDEX('OSA | 3GB'!A:C,MATCH(DATA!D91,'OSA | 3GB'!A:A,0),3),0)</f>
        <v>1570000</v>
      </c>
      <c r="J91" s="33">
        <f>INDEX('BIO WAHYU'!B:G,MATCH(DATA!D91,'BIO WAHYU'!B:B,0),5)</f>
        <v>4</v>
      </c>
      <c r="K91" s="34">
        <f>INDEX('BIO WAHYU'!B:G,MATCH(DATA!D91,'BIO WAHYU'!B:B,0),6)</f>
        <v>1</v>
      </c>
      <c r="L91" s="35">
        <f>INDEX('BIO WAHYU'!B:H,MATCH(DATA!D91,'BIO WAHYU'!B:B,0),7)</f>
        <v>0</v>
      </c>
      <c r="M91" s="34">
        <f>INDEX('BIO WAHYU'!B:H,MATCH(DATA!D91,'BIO WAHYU'!B:B,0),4)</f>
        <v>0</v>
      </c>
    </row>
    <row r="92" spans="1:13">
      <c r="A92" s="43" t="s">
        <v>1670</v>
      </c>
      <c r="B92" s="43" t="s">
        <v>140</v>
      </c>
      <c r="C92" s="43" t="s">
        <v>481</v>
      </c>
      <c r="D92" s="10">
        <v>63885</v>
      </c>
      <c r="E92" s="43" t="s">
        <v>10</v>
      </c>
      <c r="F92" s="8">
        <f>_xlfn.IFNA(INDEX('OSA | 3GB'!J:L,MATCH(DATA!D92,'OSA | 3GB'!J:J,0),2),0)</f>
        <v>46</v>
      </c>
      <c r="G92" s="8">
        <f>_xlfn.IFNA(INDEX('OSA | 3GB'!J:L,MATCH(DATA!D92,'OSA | 3GB'!J:J,0),3),0)</f>
        <v>8853500</v>
      </c>
      <c r="H92" s="32">
        <f>_xlfn.IFNA(INDEX('OSA | 3GB'!A:C,MATCH(DATA!D92,'OSA | 3GB'!A:A,0),2),0)</f>
        <v>350</v>
      </c>
      <c r="I92" s="33">
        <f>_xlfn.IFNA(INDEX('OSA | 3GB'!A:C,MATCH(DATA!D92,'OSA | 3GB'!A:A,0),3),0)</f>
        <v>1920000</v>
      </c>
      <c r="J92" s="33">
        <f>INDEX('BIO WAHYU'!B:G,MATCH(DATA!D92,'BIO WAHYU'!B:B,0),5)</f>
        <v>11</v>
      </c>
      <c r="K92" s="34">
        <f>INDEX('BIO WAHYU'!B:G,MATCH(DATA!D92,'BIO WAHYU'!B:B,0),6)</f>
        <v>26</v>
      </c>
      <c r="L92" s="35">
        <f>INDEX('BIO WAHYU'!B:H,MATCH(DATA!D92,'BIO WAHYU'!B:B,0),7)</f>
        <v>15</v>
      </c>
      <c r="M92" s="34">
        <f>INDEX('BIO WAHYU'!B:H,MATCH(DATA!D92,'BIO WAHYU'!B:B,0),4)</f>
        <v>0</v>
      </c>
    </row>
    <row r="93" spans="1:13">
      <c r="A93" s="43" t="s">
        <v>1672</v>
      </c>
      <c r="B93" s="43" t="s">
        <v>150</v>
      </c>
      <c r="C93" s="43" t="s">
        <v>1163</v>
      </c>
      <c r="D93" s="10">
        <v>526575</v>
      </c>
      <c r="E93" s="43" t="s">
        <v>10</v>
      </c>
      <c r="F93" s="8">
        <f>_xlfn.IFNA(INDEX('OSA | 3GB'!J:L,MATCH(DATA!D93,'OSA | 3GB'!J:J,0),2),0)</f>
        <v>0</v>
      </c>
      <c r="G93" s="8">
        <f>_xlfn.IFNA(INDEX('OSA | 3GB'!J:L,MATCH(DATA!D93,'OSA | 3GB'!J:J,0),3),0)</f>
        <v>1250000</v>
      </c>
      <c r="H93" s="32" t="str">
        <f>_xlfn.IFNA(INDEX('OSA | 3GB'!A:C,MATCH(DATA!D93,'OSA | 3GB'!A:A,0),2),0)</f>
        <v xml:space="preserve"> -   </v>
      </c>
      <c r="I93" s="33">
        <f>_xlfn.IFNA(INDEX('OSA | 3GB'!A:C,MATCH(DATA!D93,'OSA | 3GB'!A:A,0),3),0)</f>
        <v>600000</v>
      </c>
      <c r="J93" s="33">
        <f>INDEX('BIO WAHYU'!B:G,MATCH(DATA!D93,'BIO WAHYU'!B:B,0),5)</f>
        <v>0</v>
      </c>
      <c r="K93" s="34">
        <f>INDEX('BIO WAHYU'!B:G,MATCH(DATA!D93,'BIO WAHYU'!B:B,0),6)</f>
        <v>0</v>
      </c>
      <c r="L93" s="35">
        <f>INDEX('BIO WAHYU'!B:H,MATCH(DATA!D93,'BIO WAHYU'!B:B,0),7)</f>
        <v>0</v>
      </c>
      <c r="M93" s="34">
        <f>INDEX('BIO WAHYU'!B:H,MATCH(DATA!D93,'BIO WAHYU'!B:B,0),4)</f>
        <v>0</v>
      </c>
    </row>
    <row r="94" spans="1:13">
      <c r="A94" s="43" t="s">
        <v>1672</v>
      </c>
      <c r="B94" s="43" t="s">
        <v>150</v>
      </c>
      <c r="C94" s="43" t="s">
        <v>836</v>
      </c>
      <c r="D94" s="10">
        <v>559133</v>
      </c>
      <c r="E94" s="43" t="s">
        <v>10</v>
      </c>
      <c r="F94" s="8">
        <f>_xlfn.IFNA(INDEX('OSA | 3GB'!J:L,MATCH(DATA!D94,'OSA | 3GB'!J:J,0),2),0)</f>
        <v>3</v>
      </c>
      <c r="G94" s="8">
        <f>_xlfn.IFNA(INDEX('OSA | 3GB'!J:L,MATCH(DATA!D94,'OSA | 3GB'!J:J,0),3),0)</f>
        <v>2700000</v>
      </c>
      <c r="H94" s="32" t="str">
        <f>_xlfn.IFNA(INDEX('OSA | 3GB'!A:C,MATCH(DATA!D94,'OSA | 3GB'!A:A,0),2),0)</f>
        <v xml:space="preserve"> -   </v>
      </c>
      <c r="I94" s="33">
        <f>_xlfn.IFNA(INDEX('OSA | 3GB'!A:C,MATCH(DATA!D94,'OSA | 3GB'!A:A,0),3),0)</f>
        <v>1850000</v>
      </c>
      <c r="J94" s="33">
        <f>INDEX('BIO WAHYU'!B:G,MATCH(DATA!D94,'BIO WAHYU'!B:B,0),5)</f>
        <v>0</v>
      </c>
      <c r="K94" s="34">
        <f>INDEX('BIO WAHYU'!B:G,MATCH(DATA!D94,'BIO WAHYU'!B:B,0),6)</f>
        <v>0</v>
      </c>
      <c r="L94" s="35">
        <f>INDEX('BIO WAHYU'!B:H,MATCH(DATA!D94,'BIO WAHYU'!B:B,0),7)</f>
        <v>0</v>
      </c>
      <c r="M94" s="34">
        <f>INDEX('BIO WAHYU'!B:H,MATCH(DATA!D94,'BIO WAHYU'!B:B,0),4)</f>
        <v>0</v>
      </c>
    </row>
    <row r="95" spans="1:13">
      <c r="A95" s="43" t="s">
        <v>1671</v>
      </c>
      <c r="B95" s="43">
        <v>2613050885</v>
      </c>
      <c r="C95" s="43" t="s">
        <v>308</v>
      </c>
      <c r="D95" s="10">
        <v>536010</v>
      </c>
      <c r="E95" s="43" t="s">
        <v>15</v>
      </c>
      <c r="F95" s="8">
        <f>_xlfn.IFNA(INDEX('OSA | 3GB'!J:L,MATCH(DATA!D95,'OSA | 3GB'!J:J,0),2),0)</f>
        <v>0</v>
      </c>
      <c r="G95" s="8">
        <f>_xlfn.IFNA(INDEX('OSA | 3GB'!J:L,MATCH(DATA!D95,'OSA | 3GB'!J:J,0),3),0)</f>
        <v>0</v>
      </c>
      <c r="H95" s="32" t="str">
        <f>_xlfn.IFNA(INDEX('OSA | 3GB'!A:C,MATCH(DATA!D95,'OSA | 3GB'!A:A,0),2),0)</f>
        <v xml:space="preserve"> -   </v>
      </c>
      <c r="I95" s="33" t="str">
        <f>_xlfn.IFNA(INDEX('OSA | 3GB'!A:C,MATCH(DATA!D95,'OSA | 3GB'!A:A,0),3),0)</f>
        <v xml:space="preserve"> -   </v>
      </c>
      <c r="J95" s="33">
        <f>INDEX('BIO WAHYU'!B:G,MATCH(DATA!D95,'BIO WAHYU'!B:B,0),5)</f>
        <v>0</v>
      </c>
      <c r="K95" s="34">
        <f>INDEX('BIO WAHYU'!B:G,MATCH(DATA!D95,'BIO WAHYU'!B:B,0),6)</f>
        <v>0</v>
      </c>
      <c r="L95" s="35">
        <f>INDEX('BIO WAHYU'!B:H,MATCH(DATA!D95,'BIO WAHYU'!B:B,0),7)</f>
        <v>0</v>
      </c>
      <c r="M95" s="34">
        <f>INDEX('BIO WAHYU'!B:H,MATCH(DATA!D95,'BIO WAHYU'!B:B,0),4)</f>
        <v>0</v>
      </c>
    </row>
    <row r="96" spans="1:13">
      <c r="A96" s="43" t="s">
        <v>1671</v>
      </c>
      <c r="B96" s="43">
        <v>2613050886</v>
      </c>
      <c r="C96" s="43" t="s">
        <v>1164</v>
      </c>
      <c r="D96" s="10">
        <v>547539</v>
      </c>
      <c r="E96" s="43" t="s">
        <v>15</v>
      </c>
      <c r="F96" s="8">
        <f>_xlfn.IFNA(INDEX('OSA | 3GB'!J:L,MATCH(DATA!D96,'OSA | 3GB'!J:J,0),2),0)</f>
        <v>3</v>
      </c>
      <c r="G96" s="8">
        <f>_xlfn.IFNA(INDEX('OSA | 3GB'!J:L,MATCH(DATA!D96,'OSA | 3GB'!J:J,0),3),0)</f>
        <v>5350000</v>
      </c>
      <c r="H96" s="32" t="str">
        <f>_xlfn.IFNA(INDEX('OSA | 3GB'!A:C,MATCH(DATA!D96,'OSA | 3GB'!A:A,0),2),0)</f>
        <v xml:space="preserve"> -   </v>
      </c>
      <c r="I96" s="33">
        <f>_xlfn.IFNA(INDEX('OSA | 3GB'!A:C,MATCH(DATA!D96,'OSA | 3GB'!A:A,0),3),0)</f>
        <v>2200000</v>
      </c>
      <c r="J96" s="33">
        <f>INDEX('BIO WAHYU'!B:G,MATCH(DATA!D96,'BIO WAHYU'!B:B,0),5)</f>
        <v>2</v>
      </c>
      <c r="K96" s="34">
        <f>INDEX('BIO WAHYU'!B:G,MATCH(DATA!D96,'BIO WAHYU'!B:B,0),6)</f>
        <v>0</v>
      </c>
      <c r="L96" s="35">
        <f>INDEX('BIO WAHYU'!B:H,MATCH(DATA!D96,'BIO WAHYU'!B:B,0),7)</f>
        <v>0</v>
      </c>
      <c r="M96" s="34">
        <f>INDEX('BIO WAHYU'!B:H,MATCH(DATA!D96,'BIO WAHYU'!B:B,0),4)</f>
        <v>1</v>
      </c>
    </row>
    <row r="97" spans="1:13">
      <c r="A97" s="43" t="s">
        <v>1672</v>
      </c>
      <c r="B97" s="43" t="s">
        <v>157</v>
      </c>
      <c r="C97" s="43" t="s">
        <v>1051</v>
      </c>
      <c r="D97" s="10">
        <v>529246</v>
      </c>
      <c r="E97" s="43" t="s">
        <v>15</v>
      </c>
      <c r="F97" s="8">
        <f>_xlfn.IFNA(INDEX('OSA | 3GB'!J:L,MATCH(DATA!D97,'OSA | 3GB'!J:J,0),2),0)</f>
        <v>0</v>
      </c>
      <c r="G97" s="8">
        <f>_xlfn.IFNA(INDEX('OSA | 3GB'!J:L,MATCH(DATA!D97,'OSA | 3GB'!J:J,0),3),0)</f>
        <v>400000</v>
      </c>
      <c r="H97" s="32" t="str">
        <f>_xlfn.IFNA(INDEX('OSA | 3GB'!A:C,MATCH(DATA!D97,'OSA | 3GB'!A:A,0),2),0)</f>
        <v xml:space="preserve"> -   </v>
      </c>
      <c r="I97" s="33" t="str">
        <f>_xlfn.IFNA(INDEX('OSA | 3GB'!A:C,MATCH(DATA!D97,'OSA | 3GB'!A:A,0),3),0)</f>
        <v xml:space="preserve"> -   </v>
      </c>
      <c r="J97" s="33">
        <f>INDEX('BIO WAHYU'!B:G,MATCH(DATA!D97,'BIO WAHYU'!B:B,0),5)</f>
        <v>0</v>
      </c>
      <c r="K97" s="34">
        <f>INDEX('BIO WAHYU'!B:G,MATCH(DATA!D97,'BIO WAHYU'!B:B,0),6)</f>
        <v>1</v>
      </c>
      <c r="L97" s="35">
        <f>INDEX('BIO WAHYU'!B:H,MATCH(DATA!D97,'BIO WAHYU'!B:B,0),7)</f>
        <v>1</v>
      </c>
      <c r="M97" s="34">
        <f>INDEX('BIO WAHYU'!B:H,MATCH(DATA!D97,'BIO WAHYU'!B:B,0),4)</f>
        <v>0</v>
      </c>
    </row>
    <row r="98" spans="1:13">
      <c r="A98" s="43" t="s">
        <v>1670</v>
      </c>
      <c r="B98" s="43" t="s">
        <v>145</v>
      </c>
      <c r="C98" s="43" t="s">
        <v>1165</v>
      </c>
      <c r="D98" s="10">
        <v>211600</v>
      </c>
      <c r="E98" s="43" t="s">
        <v>15</v>
      </c>
      <c r="F98" s="8">
        <f>_xlfn.IFNA(INDEX('OSA | 3GB'!J:L,MATCH(DATA!D98,'OSA | 3GB'!J:J,0),2),0)</f>
        <v>5</v>
      </c>
      <c r="G98" s="8">
        <f>_xlfn.IFNA(INDEX('OSA | 3GB'!J:L,MATCH(DATA!D98,'OSA | 3GB'!J:J,0),3),0)</f>
        <v>0</v>
      </c>
      <c r="H98" s="32">
        <f>_xlfn.IFNA(INDEX('OSA | 3GB'!A:C,MATCH(DATA!D98,'OSA | 3GB'!A:A,0),2),0)</f>
        <v>3</v>
      </c>
      <c r="I98" s="33" t="str">
        <f>_xlfn.IFNA(INDEX('OSA | 3GB'!A:C,MATCH(DATA!D98,'OSA | 3GB'!A:A,0),3),0)</f>
        <v xml:space="preserve"> -   </v>
      </c>
      <c r="J98" s="33">
        <f>INDEX('BIO WAHYU'!B:G,MATCH(DATA!D98,'BIO WAHYU'!B:B,0),5)</f>
        <v>3</v>
      </c>
      <c r="K98" s="34">
        <f>INDEX('BIO WAHYU'!B:G,MATCH(DATA!D98,'BIO WAHYU'!B:B,0),6)</f>
        <v>0</v>
      </c>
      <c r="L98" s="35">
        <f>INDEX('BIO WAHYU'!B:H,MATCH(DATA!D98,'BIO WAHYU'!B:B,0),7)</f>
        <v>0</v>
      </c>
      <c r="M98" s="34">
        <f>INDEX('BIO WAHYU'!B:H,MATCH(DATA!D98,'BIO WAHYU'!B:B,0),4)</f>
        <v>0</v>
      </c>
    </row>
    <row r="99" spans="1:13">
      <c r="A99" s="43" t="s">
        <v>1674</v>
      </c>
      <c r="B99" s="43" t="s">
        <v>152</v>
      </c>
      <c r="C99" s="43" t="s">
        <v>677</v>
      </c>
      <c r="D99" s="10">
        <v>61653</v>
      </c>
      <c r="E99" s="43" t="s">
        <v>10</v>
      </c>
      <c r="F99" s="8">
        <f>_xlfn.IFNA(INDEX('OSA | 3GB'!J:L,MATCH(DATA!D99,'OSA | 3GB'!J:J,0),2),0)</f>
        <v>6</v>
      </c>
      <c r="G99" s="8">
        <f>_xlfn.IFNA(INDEX('OSA | 3GB'!J:L,MATCH(DATA!D99,'OSA | 3GB'!J:J,0),3),0)</f>
        <v>500000</v>
      </c>
      <c r="H99" s="32" t="str">
        <f>_xlfn.IFNA(INDEX('OSA | 3GB'!A:C,MATCH(DATA!D99,'OSA | 3GB'!A:A,0),2),0)</f>
        <v xml:space="preserve"> -   </v>
      </c>
      <c r="I99" s="33">
        <f>_xlfn.IFNA(INDEX('OSA | 3GB'!A:C,MATCH(DATA!D99,'OSA | 3GB'!A:A,0),3),0)</f>
        <v>200000</v>
      </c>
      <c r="J99" s="33">
        <f>INDEX('BIO WAHYU'!B:G,MATCH(DATA!D99,'BIO WAHYU'!B:B,0),5)</f>
        <v>1</v>
      </c>
      <c r="K99" s="34">
        <f>INDEX('BIO WAHYU'!B:G,MATCH(DATA!D99,'BIO WAHYU'!B:B,0),6)</f>
        <v>2</v>
      </c>
      <c r="L99" s="35">
        <f>INDEX('BIO WAHYU'!B:H,MATCH(DATA!D99,'BIO WAHYU'!B:B,0),7)</f>
        <v>1</v>
      </c>
      <c r="M99" s="34">
        <f>INDEX('BIO WAHYU'!B:H,MATCH(DATA!D99,'BIO WAHYU'!B:B,0),4)</f>
        <v>0</v>
      </c>
    </row>
    <row r="100" spans="1:13">
      <c r="A100" s="43" t="s">
        <v>1673</v>
      </c>
      <c r="B100" s="43" t="s">
        <v>143</v>
      </c>
      <c r="C100" s="43" t="s">
        <v>1166</v>
      </c>
      <c r="D100" s="10">
        <v>532091</v>
      </c>
      <c r="E100" s="43" t="s">
        <v>10</v>
      </c>
      <c r="F100" s="8">
        <f>_xlfn.IFNA(INDEX('OSA | 3GB'!J:L,MATCH(DATA!D100,'OSA | 3GB'!J:J,0),2),0)</f>
        <v>4</v>
      </c>
      <c r="G100" s="8">
        <f>_xlfn.IFNA(INDEX('OSA | 3GB'!J:L,MATCH(DATA!D100,'OSA | 3GB'!J:J,0),3),0)</f>
        <v>4500000</v>
      </c>
      <c r="H100" s="32" t="str">
        <f>_xlfn.IFNA(INDEX('OSA | 3GB'!A:C,MATCH(DATA!D100,'OSA | 3GB'!A:A,0),2),0)</f>
        <v xml:space="preserve"> -   </v>
      </c>
      <c r="I100" s="33">
        <f>_xlfn.IFNA(INDEX('OSA | 3GB'!A:C,MATCH(DATA!D100,'OSA | 3GB'!A:A,0),3),0)</f>
        <v>1500000</v>
      </c>
      <c r="J100" s="33">
        <f>INDEX('BIO WAHYU'!B:G,MATCH(DATA!D100,'BIO WAHYU'!B:B,0),5)</f>
        <v>4</v>
      </c>
      <c r="K100" s="34">
        <f>INDEX('BIO WAHYU'!B:G,MATCH(DATA!D100,'BIO WAHYU'!B:B,0),6)</f>
        <v>0</v>
      </c>
      <c r="L100" s="35">
        <f>INDEX('BIO WAHYU'!B:H,MATCH(DATA!D100,'BIO WAHYU'!B:B,0),7)</f>
        <v>0</v>
      </c>
      <c r="M100" s="34">
        <f>INDEX('BIO WAHYU'!B:H,MATCH(DATA!D100,'BIO WAHYU'!B:B,0),4)</f>
        <v>0</v>
      </c>
    </row>
    <row r="101" spans="1:13">
      <c r="A101" s="43" t="s">
        <v>1674</v>
      </c>
      <c r="B101" s="43" t="s">
        <v>148</v>
      </c>
      <c r="C101" s="43" t="s">
        <v>634</v>
      </c>
      <c r="D101" s="10">
        <v>211809</v>
      </c>
      <c r="E101" s="43" t="s">
        <v>10</v>
      </c>
      <c r="F101" s="8">
        <f>_xlfn.IFNA(INDEX('OSA | 3GB'!J:L,MATCH(DATA!D101,'OSA | 3GB'!J:J,0),2),0)</f>
        <v>3</v>
      </c>
      <c r="G101" s="8">
        <f>_xlfn.IFNA(INDEX('OSA | 3GB'!J:L,MATCH(DATA!D101,'OSA | 3GB'!J:J,0),3),0)</f>
        <v>4800000</v>
      </c>
      <c r="H101" s="32" t="str">
        <f>_xlfn.IFNA(INDEX('OSA | 3GB'!A:C,MATCH(DATA!D101,'OSA | 3GB'!A:A,0),2),0)</f>
        <v xml:space="preserve"> -   </v>
      </c>
      <c r="I101" s="33">
        <f>_xlfn.IFNA(INDEX('OSA | 3GB'!A:C,MATCH(DATA!D101,'OSA | 3GB'!A:A,0),3),0)</f>
        <v>1700000</v>
      </c>
      <c r="J101" s="33">
        <f>INDEX('BIO WAHYU'!B:G,MATCH(DATA!D101,'BIO WAHYU'!B:B,0),5)</f>
        <v>1</v>
      </c>
      <c r="K101" s="34">
        <f>INDEX('BIO WAHYU'!B:G,MATCH(DATA!D101,'BIO WAHYU'!B:B,0),6)</f>
        <v>1</v>
      </c>
      <c r="L101" s="35">
        <f>INDEX('BIO WAHYU'!B:H,MATCH(DATA!D101,'BIO WAHYU'!B:B,0),7)</f>
        <v>0</v>
      </c>
      <c r="M101" s="34">
        <f>INDEX('BIO WAHYU'!B:H,MATCH(DATA!D101,'BIO WAHYU'!B:B,0),4)</f>
        <v>0</v>
      </c>
    </row>
    <row r="102" spans="1:13">
      <c r="A102" s="43" t="s">
        <v>1672</v>
      </c>
      <c r="B102" s="43" t="s">
        <v>151</v>
      </c>
      <c r="C102" s="43" t="s">
        <v>871</v>
      </c>
      <c r="D102" s="10">
        <v>370040</v>
      </c>
      <c r="E102" s="43" t="s">
        <v>10</v>
      </c>
      <c r="F102" s="8">
        <f>_xlfn.IFNA(INDEX('OSA | 3GB'!J:L,MATCH(DATA!D102,'OSA | 3GB'!J:J,0),2),0)</f>
        <v>5</v>
      </c>
      <c r="G102" s="8">
        <f>_xlfn.IFNA(INDEX('OSA | 3GB'!J:L,MATCH(DATA!D102,'OSA | 3GB'!J:J,0),3),0)</f>
        <v>1200000</v>
      </c>
      <c r="H102" s="32" t="str">
        <f>_xlfn.IFNA(INDEX('OSA | 3GB'!A:C,MATCH(DATA!D102,'OSA | 3GB'!A:A,0),2),0)</f>
        <v xml:space="preserve"> -   </v>
      </c>
      <c r="I102" s="33">
        <f>_xlfn.IFNA(INDEX('OSA | 3GB'!A:C,MATCH(DATA!D102,'OSA | 3GB'!A:A,0),3),0)</f>
        <v>200000</v>
      </c>
      <c r="J102" s="33">
        <f>INDEX('BIO WAHYU'!B:G,MATCH(DATA!D102,'BIO WAHYU'!B:B,0),5)</f>
        <v>3</v>
      </c>
      <c r="K102" s="34">
        <f>INDEX('BIO WAHYU'!B:G,MATCH(DATA!D102,'BIO WAHYU'!B:B,0),6)</f>
        <v>0</v>
      </c>
      <c r="L102" s="35">
        <f>INDEX('BIO WAHYU'!B:H,MATCH(DATA!D102,'BIO WAHYU'!B:B,0),7)</f>
        <v>0</v>
      </c>
      <c r="M102" s="34">
        <f>INDEX('BIO WAHYU'!B:H,MATCH(DATA!D102,'BIO WAHYU'!B:B,0),4)</f>
        <v>0</v>
      </c>
    </row>
    <row r="103" spans="1:13">
      <c r="A103" s="43" t="s">
        <v>1674</v>
      </c>
      <c r="B103" s="43" t="s">
        <v>154</v>
      </c>
      <c r="C103" s="43" t="s">
        <v>756</v>
      </c>
      <c r="D103" s="10">
        <v>62062</v>
      </c>
      <c r="E103" s="43" t="s">
        <v>10</v>
      </c>
      <c r="F103" s="8">
        <f>_xlfn.IFNA(INDEX('OSA | 3GB'!J:L,MATCH(DATA!D103,'OSA | 3GB'!J:J,0),2),0)</f>
        <v>4</v>
      </c>
      <c r="G103" s="8">
        <f>_xlfn.IFNA(INDEX('OSA | 3GB'!J:L,MATCH(DATA!D103,'OSA | 3GB'!J:J,0),3),0)</f>
        <v>100000</v>
      </c>
      <c r="H103" s="32" t="str">
        <f>_xlfn.IFNA(INDEX('OSA | 3GB'!A:C,MATCH(DATA!D103,'OSA | 3GB'!A:A,0),2),0)</f>
        <v xml:space="preserve"> -   </v>
      </c>
      <c r="I103" s="33">
        <f>_xlfn.IFNA(INDEX('OSA | 3GB'!A:C,MATCH(DATA!D103,'OSA | 3GB'!A:A,0),3),0)</f>
        <v>100000</v>
      </c>
      <c r="J103" s="33">
        <f>INDEX('BIO WAHYU'!B:G,MATCH(DATA!D103,'BIO WAHYU'!B:B,0),5)</f>
        <v>3</v>
      </c>
      <c r="K103" s="34">
        <f>INDEX('BIO WAHYU'!B:G,MATCH(DATA!D103,'BIO WAHYU'!B:B,0),6)</f>
        <v>0</v>
      </c>
      <c r="L103" s="35">
        <f>INDEX('BIO WAHYU'!B:H,MATCH(DATA!D103,'BIO WAHYU'!B:B,0),7)</f>
        <v>0</v>
      </c>
      <c r="M103" s="34">
        <f>INDEX('BIO WAHYU'!B:H,MATCH(DATA!D103,'BIO WAHYU'!B:B,0),4)</f>
        <v>0</v>
      </c>
    </row>
    <row r="104" spans="1:13">
      <c r="A104" s="43" t="s">
        <v>1671</v>
      </c>
      <c r="B104" s="43" t="s">
        <v>142</v>
      </c>
      <c r="C104" s="43" t="s">
        <v>344</v>
      </c>
      <c r="D104" s="10">
        <v>145245</v>
      </c>
      <c r="E104" s="43" t="s">
        <v>15</v>
      </c>
      <c r="F104" s="8">
        <f>_xlfn.IFNA(INDEX('OSA | 3GB'!J:L,MATCH(DATA!D104,'OSA | 3GB'!J:J,0),2),0)</f>
        <v>0</v>
      </c>
      <c r="G104" s="8">
        <f>_xlfn.IFNA(INDEX('OSA | 3GB'!J:L,MATCH(DATA!D104,'OSA | 3GB'!J:J,0),3),0)</f>
        <v>4700000</v>
      </c>
      <c r="H104" s="32" t="str">
        <f>_xlfn.IFNA(INDEX('OSA | 3GB'!A:C,MATCH(DATA!D104,'OSA | 3GB'!A:A,0),2),0)</f>
        <v xml:space="preserve"> -   </v>
      </c>
      <c r="I104" s="33">
        <f>_xlfn.IFNA(INDEX('OSA | 3GB'!A:C,MATCH(DATA!D104,'OSA | 3GB'!A:A,0),3),0)</f>
        <v>1600000</v>
      </c>
      <c r="J104" s="33">
        <f>INDEX('BIO WAHYU'!B:G,MATCH(DATA!D104,'BIO WAHYU'!B:B,0),5)</f>
        <v>0</v>
      </c>
      <c r="K104" s="34">
        <f>INDEX('BIO WAHYU'!B:G,MATCH(DATA!D104,'BIO WAHYU'!B:B,0),6)</f>
        <v>3</v>
      </c>
      <c r="L104" s="35">
        <f>INDEX('BIO WAHYU'!B:H,MATCH(DATA!D104,'BIO WAHYU'!B:B,0),7)</f>
        <v>3</v>
      </c>
      <c r="M104" s="34">
        <f>INDEX('BIO WAHYU'!B:H,MATCH(DATA!D104,'BIO WAHYU'!B:B,0),4)</f>
        <v>0</v>
      </c>
    </row>
    <row r="105" spans="1:13">
      <c r="A105" s="43" t="s">
        <v>1672</v>
      </c>
      <c r="B105" s="43" t="s">
        <v>151</v>
      </c>
      <c r="C105" s="43" t="s">
        <v>860</v>
      </c>
      <c r="D105" s="10">
        <v>219804</v>
      </c>
      <c r="E105" s="43" t="s">
        <v>10</v>
      </c>
      <c r="F105" s="8">
        <f>_xlfn.IFNA(INDEX('OSA | 3GB'!J:L,MATCH(DATA!D105,'OSA | 3GB'!J:J,0),2),0)</f>
        <v>0</v>
      </c>
      <c r="G105" s="8">
        <f>_xlfn.IFNA(INDEX('OSA | 3GB'!J:L,MATCH(DATA!D105,'OSA | 3GB'!J:J,0),3),0)</f>
        <v>200000</v>
      </c>
      <c r="H105" s="32">
        <f>_xlfn.IFNA(INDEX('OSA | 3GB'!A:C,MATCH(DATA!D105,'OSA | 3GB'!A:A,0),2),0)</f>
        <v>3</v>
      </c>
      <c r="I105" s="33">
        <f>_xlfn.IFNA(INDEX('OSA | 3GB'!A:C,MATCH(DATA!D105,'OSA | 3GB'!A:A,0),3),0)</f>
        <v>50000</v>
      </c>
      <c r="J105" s="33">
        <f>INDEX('BIO WAHYU'!B:G,MATCH(DATA!D105,'BIO WAHYU'!B:B,0),5)</f>
        <v>0</v>
      </c>
      <c r="K105" s="34">
        <f>INDEX('BIO WAHYU'!B:G,MATCH(DATA!D105,'BIO WAHYU'!B:B,0),6)</f>
        <v>0</v>
      </c>
      <c r="L105" s="35">
        <f>INDEX('BIO WAHYU'!B:H,MATCH(DATA!D105,'BIO WAHYU'!B:B,0),7)</f>
        <v>0</v>
      </c>
      <c r="M105" s="34">
        <f>INDEX('BIO WAHYU'!B:H,MATCH(DATA!D105,'BIO WAHYU'!B:B,0),4)</f>
        <v>0</v>
      </c>
    </row>
    <row r="106" spans="1:13">
      <c r="A106" s="43" t="s">
        <v>1</v>
      </c>
      <c r="B106" s="43" t="s">
        <v>3</v>
      </c>
      <c r="C106" s="43" t="s">
        <v>39</v>
      </c>
      <c r="D106" s="10">
        <v>63887</v>
      </c>
      <c r="E106" s="43" t="s">
        <v>15</v>
      </c>
      <c r="F106" s="8">
        <f>_xlfn.IFNA(INDEX('OSA | 3GB'!J:L,MATCH(DATA!D106,'OSA | 3GB'!J:J,0),2),0)</f>
        <v>0</v>
      </c>
      <c r="G106" s="8">
        <f>_xlfn.IFNA(INDEX('OSA | 3GB'!J:L,MATCH(DATA!D106,'OSA | 3GB'!J:J,0),3),0)</f>
        <v>1000000</v>
      </c>
      <c r="H106" s="32" t="str">
        <f>_xlfn.IFNA(INDEX('OSA | 3GB'!A:C,MATCH(DATA!D106,'OSA | 3GB'!A:A,0),2),0)</f>
        <v xml:space="preserve"> -   </v>
      </c>
      <c r="I106" s="33">
        <f>_xlfn.IFNA(INDEX('OSA | 3GB'!A:C,MATCH(DATA!D106,'OSA | 3GB'!A:A,0),3),0)</f>
        <v>300000</v>
      </c>
      <c r="J106" s="33">
        <f>INDEX('BIO WAHYU'!B:G,MATCH(DATA!D106,'BIO WAHYU'!B:B,0),5)</f>
        <v>1</v>
      </c>
      <c r="K106" s="34">
        <f>INDEX('BIO WAHYU'!B:G,MATCH(DATA!D106,'BIO WAHYU'!B:B,0),6)</f>
        <v>0</v>
      </c>
      <c r="L106" s="35">
        <f>INDEX('BIO WAHYU'!B:H,MATCH(DATA!D106,'BIO WAHYU'!B:B,0),7)</f>
        <v>0</v>
      </c>
      <c r="M106" s="34">
        <f>INDEX('BIO WAHYU'!B:H,MATCH(DATA!D106,'BIO WAHYU'!B:B,0),4)</f>
        <v>0</v>
      </c>
    </row>
    <row r="107" spans="1:13">
      <c r="A107" s="43" t="s">
        <v>1673</v>
      </c>
      <c r="B107" s="43" t="s">
        <v>1140</v>
      </c>
      <c r="C107" s="43" t="s">
        <v>1167</v>
      </c>
      <c r="D107" s="10">
        <v>240562</v>
      </c>
      <c r="E107" s="43" t="s">
        <v>15</v>
      </c>
      <c r="F107" s="8">
        <f>_xlfn.IFNA(INDEX('OSA | 3GB'!J:L,MATCH(DATA!D107,'OSA | 3GB'!J:J,0),2),0)</f>
        <v>100</v>
      </c>
      <c r="G107" s="8">
        <f>_xlfn.IFNA(INDEX('OSA | 3GB'!J:L,MATCH(DATA!D107,'OSA | 3GB'!J:J,0),3),0)</f>
        <v>4610000</v>
      </c>
      <c r="H107" s="32" t="str">
        <f>_xlfn.IFNA(INDEX('OSA | 3GB'!A:C,MATCH(DATA!D107,'OSA | 3GB'!A:A,0),2),0)</f>
        <v xml:space="preserve"> -   </v>
      </c>
      <c r="I107" s="33">
        <f>_xlfn.IFNA(INDEX('OSA | 3GB'!A:C,MATCH(DATA!D107,'OSA | 3GB'!A:A,0),3),0)</f>
        <v>100000</v>
      </c>
      <c r="J107" s="33">
        <f>INDEX('BIO WAHYU'!B:G,MATCH(DATA!D107,'BIO WAHYU'!B:B,0),5)</f>
        <v>7</v>
      </c>
      <c r="K107" s="34">
        <f>INDEX('BIO WAHYU'!B:G,MATCH(DATA!D107,'BIO WAHYU'!B:B,0),6)</f>
        <v>0</v>
      </c>
      <c r="L107" s="35">
        <f>INDEX('BIO WAHYU'!B:H,MATCH(DATA!D107,'BIO WAHYU'!B:B,0),7)</f>
        <v>0</v>
      </c>
      <c r="M107" s="34">
        <f>INDEX('BIO WAHYU'!B:H,MATCH(DATA!D107,'BIO WAHYU'!B:B,0),4)</f>
        <v>0</v>
      </c>
    </row>
    <row r="108" spans="1:13">
      <c r="A108" s="43" t="s">
        <v>1672</v>
      </c>
      <c r="B108" s="43" t="s">
        <v>156</v>
      </c>
      <c r="C108" s="43" t="s">
        <v>1002</v>
      </c>
      <c r="D108" s="10">
        <v>61593</v>
      </c>
      <c r="E108" s="43" t="s">
        <v>10</v>
      </c>
      <c r="F108" s="8">
        <f>_xlfn.IFNA(INDEX('OSA | 3GB'!J:L,MATCH(DATA!D108,'OSA | 3GB'!J:J,0),2),0)</f>
        <v>0</v>
      </c>
      <c r="G108" s="8">
        <f>_xlfn.IFNA(INDEX('OSA | 3GB'!J:L,MATCH(DATA!D108,'OSA | 3GB'!J:J,0),3),0)</f>
        <v>1529000</v>
      </c>
      <c r="H108" s="32" t="str">
        <f>_xlfn.IFNA(INDEX('OSA | 3GB'!A:C,MATCH(DATA!D108,'OSA | 3GB'!A:A,0),2),0)</f>
        <v xml:space="preserve"> -   </v>
      </c>
      <c r="I108" s="33">
        <f>_xlfn.IFNA(INDEX('OSA | 3GB'!A:C,MATCH(DATA!D108,'OSA | 3GB'!A:A,0),3),0)</f>
        <v>500000</v>
      </c>
      <c r="J108" s="33">
        <f>INDEX('BIO WAHYU'!B:G,MATCH(DATA!D108,'BIO WAHYU'!B:B,0),5)</f>
        <v>4</v>
      </c>
      <c r="K108" s="34">
        <f>INDEX('BIO WAHYU'!B:G,MATCH(DATA!D108,'BIO WAHYU'!B:B,0),6)</f>
        <v>3</v>
      </c>
      <c r="L108" s="35">
        <f>INDEX('BIO WAHYU'!B:H,MATCH(DATA!D108,'BIO WAHYU'!B:B,0),7)</f>
        <v>0</v>
      </c>
      <c r="M108" s="34">
        <f>INDEX('BIO WAHYU'!B:H,MATCH(DATA!D108,'BIO WAHYU'!B:B,0),4)</f>
        <v>0</v>
      </c>
    </row>
    <row r="109" spans="1:13">
      <c r="A109" s="43" t="s">
        <v>1670</v>
      </c>
      <c r="B109" s="43" t="s">
        <v>146</v>
      </c>
      <c r="C109" s="43" t="s">
        <v>1168</v>
      </c>
      <c r="D109" s="10">
        <v>345127</v>
      </c>
      <c r="E109" s="43" t="s">
        <v>10</v>
      </c>
      <c r="F109" s="8">
        <f>_xlfn.IFNA(INDEX('OSA | 3GB'!J:L,MATCH(DATA!D109,'OSA | 3GB'!J:J,0),2),0)</f>
        <v>5</v>
      </c>
      <c r="G109" s="8">
        <f>_xlfn.IFNA(INDEX('OSA | 3GB'!J:L,MATCH(DATA!D109,'OSA | 3GB'!J:J,0),3),0)</f>
        <v>0</v>
      </c>
      <c r="H109" s="32">
        <f>_xlfn.IFNA(INDEX('OSA | 3GB'!A:C,MATCH(DATA!D109,'OSA | 3GB'!A:A,0),2),0)</f>
        <v>3</v>
      </c>
      <c r="I109" s="33" t="str">
        <f>_xlfn.IFNA(INDEX('OSA | 3GB'!A:C,MATCH(DATA!D109,'OSA | 3GB'!A:A,0),3),0)</f>
        <v xml:space="preserve"> -   </v>
      </c>
      <c r="J109" s="33">
        <f>INDEX('BIO WAHYU'!B:G,MATCH(DATA!D109,'BIO WAHYU'!B:B,0),5)</f>
        <v>3</v>
      </c>
      <c r="K109" s="34">
        <f>INDEX('BIO WAHYU'!B:G,MATCH(DATA!D109,'BIO WAHYU'!B:B,0),6)</f>
        <v>0</v>
      </c>
      <c r="L109" s="35">
        <f>INDEX('BIO WAHYU'!B:H,MATCH(DATA!D109,'BIO WAHYU'!B:B,0),7)</f>
        <v>0</v>
      </c>
      <c r="M109" s="34">
        <f>INDEX('BIO WAHYU'!B:H,MATCH(DATA!D109,'BIO WAHYU'!B:B,0),4)</f>
        <v>0</v>
      </c>
    </row>
    <row r="110" spans="1:13">
      <c r="A110" s="43" t="s">
        <v>1</v>
      </c>
      <c r="B110" s="43" t="s">
        <v>4</v>
      </c>
      <c r="C110" s="43" t="s">
        <v>44</v>
      </c>
      <c r="D110" s="10">
        <v>12312295</v>
      </c>
      <c r="E110" s="43" t="s">
        <v>10</v>
      </c>
      <c r="F110" s="8">
        <f>_xlfn.IFNA(INDEX('OSA | 3GB'!J:L,MATCH(DATA!D110,'OSA | 3GB'!J:J,0),2),0)</f>
        <v>4</v>
      </c>
      <c r="G110" s="8">
        <f>_xlfn.IFNA(INDEX('OSA | 3GB'!J:L,MATCH(DATA!D110,'OSA | 3GB'!J:J,0),3),0)</f>
        <v>1376000</v>
      </c>
      <c r="H110" s="32">
        <f>_xlfn.IFNA(INDEX('OSA | 3GB'!A:C,MATCH(DATA!D110,'OSA | 3GB'!A:A,0),2),0)</f>
        <v>5</v>
      </c>
      <c r="I110" s="33">
        <f>_xlfn.IFNA(INDEX('OSA | 3GB'!A:C,MATCH(DATA!D110,'OSA | 3GB'!A:A,0),3),0)</f>
        <v>300000</v>
      </c>
      <c r="J110" s="33">
        <f>INDEX('BIO WAHYU'!B:G,MATCH(DATA!D110,'BIO WAHYU'!B:B,0),5)</f>
        <v>4</v>
      </c>
      <c r="K110" s="34">
        <f>INDEX('BIO WAHYU'!B:G,MATCH(DATA!D110,'BIO WAHYU'!B:B,0),6)</f>
        <v>4</v>
      </c>
      <c r="L110" s="35">
        <f>INDEX('BIO WAHYU'!B:H,MATCH(DATA!D110,'BIO WAHYU'!B:B,0),7)</f>
        <v>0</v>
      </c>
      <c r="M110" s="34">
        <f>INDEX('BIO WAHYU'!B:H,MATCH(DATA!D110,'BIO WAHYU'!B:B,0),4)</f>
        <v>0</v>
      </c>
    </row>
    <row r="111" spans="1:13">
      <c r="A111" s="43" t="s">
        <v>1672</v>
      </c>
      <c r="B111" s="43" t="s">
        <v>149</v>
      </c>
      <c r="C111" s="43" t="s">
        <v>1169</v>
      </c>
      <c r="D111" s="10">
        <v>404051</v>
      </c>
      <c r="E111" s="43" t="s">
        <v>23</v>
      </c>
      <c r="F111" s="8">
        <f>_xlfn.IFNA(INDEX('OSA | 3GB'!J:L,MATCH(DATA!D111,'OSA | 3GB'!J:J,0),2),0)</f>
        <v>15</v>
      </c>
      <c r="G111" s="8">
        <f>_xlfn.IFNA(INDEX('OSA | 3GB'!J:L,MATCH(DATA!D111,'OSA | 3GB'!J:J,0),3),0)</f>
        <v>25065402</v>
      </c>
      <c r="H111" s="32">
        <f>_xlfn.IFNA(INDEX('OSA | 3GB'!A:C,MATCH(DATA!D111,'OSA | 3GB'!A:A,0),2),0)</f>
        <v>23</v>
      </c>
      <c r="I111" s="33">
        <f>_xlfn.IFNA(INDEX('OSA | 3GB'!A:C,MATCH(DATA!D111,'OSA | 3GB'!A:A,0),3),0)</f>
        <v>150000</v>
      </c>
      <c r="J111" s="33">
        <f>INDEX('BIO WAHYU'!B:G,MATCH(DATA!D111,'BIO WAHYU'!B:B,0),5)</f>
        <v>12</v>
      </c>
      <c r="K111" s="34">
        <f>INDEX('BIO WAHYU'!B:G,MATCH(DATA!D111,'BIO WAHYU'!B:B,0),6)</f>
        <v>18</v>
      </c>
      <c r="L111" s="35">
        <f>INDEX('BIO WAHYU'!B:H,MATCH(DATA!D111,'BIO WAHYU'!B:B,0),7)</f>
        <v>6</v>
      </c>
      <c r="M111" s="34">
        <f>INDEX('BIO WAHYU'!B:H,MATCH(DATA!D111,'BIO WAHYU'!B:B,0),4)</f>
        <v>0</v>
      </c>
    </row>
    <row r="112" spans="1:13">
      <c r="A112" s="43" t="s">
        <v>1672</v>
      </c>
      <c r="B112" s="43" t="s">
        <v>151</v>
      </c>
      <c r="C112" s="43" t="s">
        <v>780</v>
      </c>
      <c r="D112" s="10">
        <v>480251</v>
      </c>
      <c r="E112" s="43" t="s">
        <v>10</v>
      </c>
      <c r="F112" s="8">
        <f>_xlfn.IFNA(INDEX('OSA | 3GB'!J:L,MATCH(DATA!D112,'OSA | 3GB'!J:J,0),2),0)</f>
        <v>5</v>
      </c>
      <c r="G112" s="8">
        <f>_xlfn.IFNA(INDEX('OSA | 3GB'!J:L,MATCH(DATA!D112,'OSA | 3GB'!J:J,0),3),0)</f>
        <v>5100000</v>
      </c>
      <c r="H112" s="32">
        <f>_xlfn.IFNA(INDEX('OSA | 3GB'!A:C,MATCH(DATA!D112,'OSA | 3GB'!A:A,0),2),0)</f>
        <v>4</v>
      </c>
      <c r="I112" s="33">
        <f>_xlfn.IFNA(INDEX('OSA | 3GB'!A:C,MATCH(DATA!D112,'OSA | 3GB'!A:A,0),3),0)</f>
        <v>608000</v>
      </c>
      <c r="J112" s="33">
        <f>INDEX('BIO WAHYU'!B:G,MATCH(DATA!D112,'BIO WAHYU'!B:B,0),5)</f>
        <v>2</v>
      </c>
      <c r="K112" s="34">
        <f>INDEX('BIO WAHYU'!B:G,MATCH(DATA!D112,'BIO WAHYU'!B:B,0),6)</f>
        <v>2</v>
      </c>
      <c r="L112" s="35">
        <f>INDEX('BIO WAHYU'!B:H,MATCH(DATA!D112,'BIO WAHYU'!B:B,0),7)</f>
        <v>0</v>
      </c>
      <c r="M112" s="34">
        <f>INDEX('BIO WAHYU'!B:H,MATCH(DATA!D112,'BIO WAHYU'!B:B,0),4)</f>
        <v>0</v>
      </c>
    </row>
    <row r="113" spans="1:13">
      <c r="A113" s="43" t="s">
        <v>1674</v>
      </c>
      <c r="B113" s="43" t="s">
        <v>148</v>
      </c>
      <c r="C113" s="43" t="s">
        <v>646</v>
      </c>
      <c r="D113" s="10">
        <v>426546</v>
      </c>
      <c r="E113" s="43" t="s">
        <v>10</v>
      </c>
      <c r="F113" s="8">
        <f>_xlfn.IFNA(INDEX('OSA | 3GB'!J:L,MATCH(DATA!D113,'OSA | 3GB'!J:J,0),2),0)</f>
        <v>3</v>
      </c>
      <c r="G113" s="8">
        <f>_xlfn.IFNA(INDEX('OSA | 3GB'!J:L,MATCH(DATA!D113,'OSA | 3GB'!J:J,0),3),0)</f>
        <v>687000</v>
      </c>
      <c r="H113" s="32" t="str">
        <f>_xlfn.IFNA(INDEX('OSA | 3GB'!A:C,MATCH(DATA!D113,'OSA | 3GB'!A:A,0),2),0)</f>
        <v xml:space="preserve"> -   </v>
      </c>
      <c r="I113" s="33">
        <f>_xlfn.IFNA(INDEX('OSA | 3GB'!A:C,MATCH(DATA!D113,'OSA | 3GB'!A:A,0),3),0)</f>
        <v>300000</v>
      </c>
      <c r="J113" s="33">
        <f>INDEX('BIO WAHYU'!B:G,MATCH(DATA!D113,'BIO WAHYU'!B:B,0),5)</f>
        <v>4</v>
      </c>
      <c r="K113" s="34">
        <f>INDEX('BIO WAHYU'!B:G,MATCH(DATA!D113,'BIO WAHYU'!B:B,0),6)</f>
        <v>0</v>
      </c>
      <c r="L113" s="35">
        <f>INDEX('BIO WAHYU'!B:H,MATCH(DATA!D113,'BIO WAHYU'!B:B,0),7)</f>
        <v>0</v>
      </c>
      <c r="M113" s="34">
        <f>INDEX('BIO WAHYU'!B:H,MATCH(DATA!D113,'BIO WAHYU'!B:B,0),4)</f>
        <v>0</v>
      </c>
    </row>
    <row r="114" spans="1:13">
      <c r="A114" s="43" t="s">
        <v>1673</v>
      </c>
      <c r="B114" s="43" t="s">
        <v>1140</v>
      </c>
      <c r="C114" s="43" t="s">
        <v>1170</v>
      </c>
      <c r="D114" s="10">
        <v>286444</v>
      </c>
      <c r="E114" s="43" t="s">
        <v>10</v>
      </c>
      <c r="F114" s="8">
        <f>_xlfn.IFNA(INDEX('OSA | 3GB'!J:L,MATCH(DATA!D114,'OSA | 3GB'!J:J,0),2),0)</f>
        <v>107</v>
      </c>
      <c r="G114" s="8">
        <f>_xlfn.IFNA(INDEX('OSA | 3GB'!J:L,MATCH(DATA!D114,'OSA | 3GB'!J:J,0),3),0)</f>
        <v>7922875</v>
      </c>
      <c r="H114" s="32" t="str">
        <f>_xlfn.IFNA(INDEX('OSA | 3GB'!A:C,MATCH(DATA!D114,'OSA | 3GB'!A:A,0),2),0)</f>
        <v xml:space="preserve"> -   </v>
      </c>
      <c r="I114" s="33">
        <f>_xlfn.IFNA(INDEX('OSA | 3GB'!A:C,MATCH(DATA!D114,'OSA | 3GB'!A:A,0),3),0)</f>
        <v>3900000</v>
      </c>
      <c r="J114" s="33">
        <f>INDEX('BIO WAHYU'!B:G,MATCH(DATA!D114,'BIO WAHYU'!B:B,0),5)</f>
        <v>14</v>
      </c>
      <c r="K114" s="34">
        <f>INDEX('BIO WAHYU'!B:G,MATCH(DATA!D114,'BIO WAHYU'!B:B,0),6)</f>
        <v>7</v>
      </c>
      <c r="L114" s="35">
        <f>INDEX('BIO WAHYU'!B:H,MATCH(DATA!D114,'BIO WAHYU'!B:B,0),7)</f>
        <v>0</v>
      </c>
      <c r="M114" s="34">
        <f>INDEX('BIO WAHYU'!B:H,MATCH(DATA!D114,'BIO WAHYU'!B:B,0),4)</f>
        <v>0</v>
      </c>
    </row>
    <row r="115" spans="1:13">
      <c r="A115" s="43" t="s">
        <v>1673</v>
      </c>
      <c r="B115" s="43" t="s">
        <v>1136</v>
      </c>
      <c r="C115" s="43" t="s">
        <v>1171</v>
      </c>
      <c r="D115" s="10">
        <v>12303100</v>
      </c>
      <c r="E115" s="43" t="s">
        <v>10</v>
      </c>
      <c r="F115" s="8">
        <f>_xlfn.IFNA(INDEX('OSA | 3GB'!J:L,MATCH(DATA!D115,'OSA | 3GB'!J:J,0),2),0)</f>
        <v>3</v>
      </c>
      <c r="G115" s="8">
        <f>_xlfn.IFNA(INDEX('OSA | 3GB'!J:L,MATCH(DATA!D115,'OSA | 3GB'!J:J,0),3),0)</f>
        <v>200000</v>
      </c>
      <c r="H115" s="32" t="str">
        <f>_xlfn.IFNA(INDEX('OSA | 3GB'!A:C,MATCH(DATA!D115,'OSA | 3GB'!A:A,0),2),0)</f>
        <v xml:space="preserve"> -   </v>
      </c>
      <c r="I115" s="33" t="str">
        <f>_xlfn.IFNA(INDEX('OSA | 3GB'!A:C,MATCH(DATA!D115,'OSA | 3GB'!A:A,0),3),0)</f>
        <v xml:space="preserve"> -   </v>
      </c>
      <c r="J115" s="33">
        <f>INDEX('BIO WAHYU'!B:G,MATCH(DATA!D115,'BIO WAHYU'!B:B,0),5)</f>
        <v>1</v>
      </c>
      <c r="K115" s="34">
        <f>INDEX('BIO WAHYU'!B:G,MATCH(DATA!D115,'BIO WAHYU'!B:B,0),6)</f>
        <v>0</v>
      </c>
      <c r="L115" s="35">
        <f>INDEX('BIO WAHYU'!B:H,MATCH(DATA!D115,'BIO WAHYU'!B:B,0),7)</f>
        <v>0</v>
      </c>
      <c r="M115" s="34">
        <f>INDEX('BIO WAHYU'!B:H,MATCH(DATA!D115,'BIO WAHYU'!B:B,0),4)</f>
        <v>0</v>
      </c>
    </row>
    <row r="116" spans="1:13">
      <c r="A116" s="43" t="s">
        <v>1675</v>
      </c>
      <c r="B116" s="43" t="s">
        <v>136</v>
      </c>
      <c r="C116" s="43" t="s">
        <v>400</v>
      </c>
      <c r="D116" s="10">
        <v>199207</v>
      </c>
      <c r="E116" s="43" t="s">
        <v>10</v>
      </c>
      <c r="F116" s="8">
        <f>_xlfn.IFNA(INDEX('OSA | 3GB'!J:L,MATCH(DATA!D116,'OSA | 3GB'!J:J,0),2),0)</f>
        <v>5</v>
      </c>
      <c r="G116" s="8">
        <f>_xlfn.IFNA(INDEX('OSA | 3GB'!J:L,MATCH(DATA!D116,'OSA | 3GB'!J:J,0),3),0)</f>
        <v>600000</v>
      </c>
      <c r="H116" s="32" t="str">
        <f>_xlfn.IFNA(INDEX('OSA | 3GB'!A:C,MATCH(DATA!D116,'OSA | 3GB'!A:A,0),2),0)</f>
        <v xml:space="preserve"> -   </v>
      </c>
      <c r="I116" s="33" t="str">
        <f>_xlfn.IFNA(INDEX('OSA | 3GB'!A:C,MATCH(DATA!D116,'OSA | 3GB'!A:A,0),3),0)</f>
        <v xml:space="preserve"> -   </v>
      </c>
      <c r="J116" s="33">
        <f>INDEX('BIO WAHYU'!B:G,MATCH(DATA!D116,'BIO WAHYU'!B:B,0),5)</f>
        <v>2</v>
      </c>
      <c r="K116" s="34">
        <f>INDEX('BIO WAHYU'!B:G,MATCH(DATA!D116,'BIO WAHYU'!B:B,0),6)</f>
        <v>0</v>
      </c>
      <c r="L116" s="35">
        <f>INDEX('BIO WAHYU'!B:H,MATCH(DATA!D116,'BIO WAHYU'!B:B,0),7)</f>
        <v>0</v>
      </c>
      <c r="M116" s="34">
        <f>INDEX('BIO WAHYU'!B:H,MATCH(DATA!D116,'BIO WAHYU'!B:B,0),4)</f>
        <v>0</v>
      </c>
    </row>
    <row r="117" spans="1:13">
      <c r="A117" s="43" t="s">
        <v>1674</v>
      </c>
      <c r="B117" s="43">
        <v>2613052222</v>
      </c>
      <c r="C117" s="43" t="s">
        <v>686</v>
      </c>
      <c r="D117" s="10">
        <v>127209</v>
      </c>
      <c r="E117" s="43" t="s">
        <v>10</v>
      </c>
      <c r="F117" s="8">
        <f>_xlfn.IFNA(INDEX('OSA | 3GB'!J:L,MATCH(DATA!D117,'OSA | 3GB'!J:J,0),2),0)</f>
        <v>3</v>
      </c>
      <c r="G117" s="8">
        <f>_xlfn.IFNA(INDEX('OSA | 3GB'!J:L,MATCH(DATA!D117,'OSA | 3GB'!J:J,0),3),0)</f>
        <v>287000</v>
      </c>
      <c r="H117" s="32" t="str">
        <f>_xlfn.IFNA(INDEX('OSA | 3GB'!A:C,MATCH(DATA!D117,'OSA | 3GB'!A:A,0),2),0)</f>
        <v xml:space="preserve"> -   </v>
      </c>
      <c r="I117" s="33">
        <f>_xlfn.IFNA(INDEX('OSA | 3GB'!A:C,MATCH(DATA!D117,'OSA | 3GB'!A:A,0),3),0)</f>
        <v>350000</v>
      </c>
      <c r="J117" s="33">
        <f>INDEX('BIO WAHYU'!B:G,MATCH(DATA!D117,'BIO WAHYU'!B:B,0),5)</f>
        <v>1</v>
      </c>
      <c r="K117" s="34">
        <f>INDEX('BIO WAHYU'!B:G,MATCH(DATA!D117,'BIO WAHYU'!B:B,0),6)</f>
        <v>0</v>
      </c>
      <c r="L117" s="35">
        <f>INDEX('BIO WAHYU'!B:H,MATCH(DATA!D117,'BIO WAHYU'!B:B,0),7)</f>
        <v>0</v>
      </c>
      <c r="M117" s="34">
        <f>INDEX('BIO WAHYU'!B:H,MATCH(DATA!D117,'BIO WAHYU'!B:B,0),4)</f>
        <v>0</v>
      </c>
    </row>
    <row r="118" spans="1:13">
      <c r="A118" s="43" t="s">
        <v>1671</v>
      </c>
      <c r="B118" s="43">
        <v>2613050885</v>
      </c>
      <c r="C118" s="43" t="s">
        <v>1172</v>
      </c>
      <c r="D118" s="10">
        <v>544123</v>
      </c>
      <c r="E118" s="43" t="s">
        <v>10</v>
      </c>
      <c r="F118" s="8">
        <f>_xlfn.IFNA(INDEX('OSA | 3GB'!J:L,MATCH(DATA!D118,'OSA | 3GB'!J:J,0),2),0)</f>
        <v>3</v>
      </c>
      <c r="G118" s="8">
        <f>_xlfn.IFNA(INDEX('OSA | 3GB'!J:L,MATCH(DATA!D118,'OSA | 3GB'!J:J,0),3),0)</f>
        <v>15137000</v>
      </c>
      <c r="H118" s="32">
        <f>_xlfn.IFNA(INDEX('OSA | 3GB'!A:C,MATCH(DATA!D118,'OSA | 3GB'!A:A,0),2),0)</f>
        <v>3</v>
      </c>
      <c r="I118" s="33" t="str">
        <f>_xlfn.IFNA(INDEX('OSA | 3GB'!A:C,MATCH(DATA!D118,'OSA | 3GB'!A:A,0),3),0)</f>
        <v xml:space="preserve"> -   </v>
      </c>
      <c r="J118" s="33">
        <f>INDEX('BIO WAHYU'!B:G,MATCH(DATA!D118,'BIO WAHYU'!B:B,0),5)</f>
        <v>1</v>
      </c>
      <c r="K118" s="34">
        <f>INDEX('BIO WAHYU'!B:G,MATCH(DATA!D118,'BIO WAHYU'!B:B,0),6)</f>
        <v>3</v>
      </c>
      <c r="L118" s="35">
        <f>INDEX('BIO WAHYU'!B:H,MATCH(DATA!D118,'BIO WAHYU'!B:B,0),7)</f>
        <v>2</v>
      </c>
      <c r="M118" s="34">
        <f>INDEX('BIO WAHYU'!B:H,MATCH(DATA!D118,'BIO WAHYU'!B:B,0),4)</f>
        <v>0</v>
      </c>
    </row>
    <row r="119" spans="1:13">
      <c r="A119" s="43" t="s">
        <v>1</v>
      </c>
      <c r="B119" s="43" t="s">
        <v>5</v>
      </c>
      <c r="C119" s="43" t="s">
        <v>103</v>
      </c>
      <c r="D119" s="10">
        <v>523849</v>
      </c>
      <c r="E119" s="43" t="s">
        <v>10</v>
      </c>
      <c r="F119" s="8">
        <f>_xlfn.IFNA(INDEX('OSA | 3GB'!J:L,MATCH(DATA!D119,'OSA | 3GB'!J:J,0),2),0)</f>
        <v>0</v>
      </c>
      <c r="G119" s="8">
        <f>_xlfn.IFNA(INDEX('OSA | 3GB'!J:L,MATCH(DATA!D119,'OSA | 3GB'!J:J,0),3),0)</f>
        <v>0</v>
      </c>
      <c r="H119" s="32" t="str">
        <f>_xlfn.IFNA(INDEX('OSA | 3GB'!A:C,MATCH(DATA!D119,'OSA | 3GB'!A:A,0),2),0)</f>
        <v xml:space="preserve"> -   </v>
      </c>
      <c r="I119" s="33" t="str">
        <f>_xlfn.IFNA(INDEX('OSA | 3GB'!A:C,MATCH(DATA!D119,'OSA | 3GB'!A:A,0),3),0)</f>
        <v xml:space="preserve"> -   </v>
      </c>
      <c r="J119" s="33">
        <f>INDEX('BIO WAHYU'!B:G,MATCH(DATA!D119,'BIO WAHYU'!B:B,0),5)</f>
        <v>0</v>
      </c>
      <c r="K119" s="34">
        <f>INDEX('BIO WAHYU'!B:G,MATCH(DATA!D119,'BIO WAHYU'!B:B,0),6)</f>
        <v>0</v>
      </c>
      <c r="L119" s="35">
        <f>INDEX('BIO WAHYU'!B:H,MATCH(DATA!D119,'BIO WAHYU'!B:B,0),7)</f>
        <v>0</v>
      </c>
      <c r="M119" s="34">
        <f>INDEX('BIO WAHYU'!B:H,MATCH(DATA!D119,'BIO WAHYU'!B:B,0),4)</f>
        <v>0</v>
      </c>
    </row>
    <row r="120" spans="1:13">
      <c r="A120" s="43" t="s">
        <v>1670</v>
      </c>
      <c r="B120" s="43" t="s">
        <v>146</v>
      </c>
      <c r="C120" s="43" t="s">
        <v>537</v>
      </c>
      <c r="D120" s="10">
        <v>199135</v>
      </c>
      <c r="E120" s="43" t="s">
        <v>10</v>
      </c>
      <c r="F120" s="8">
        <f>_xlfn.IFNA(INDEX('OSA | 3GB'!J:L,MATCH(DATA!D120,'OSA | 3GB'!J:J,0),2),0)</f>
        <v>5</v>
      </c>
      <c r="G120" s="8">
        <f>_xlfn.IFNA(INDEX('OSA | 3GB'!J:L,MATCH(DATA!D120,'OSA | 3GB'!J:J,0),3),0)</f>
        <v>0</v>
      </c>
      <c r="H120" s="32">
        <f>_xlfn.IFNA(INDEX('OSA | 3GB'!A:C,MATCH(DATA!D120,'OSA | 3GB'!A:A,0),2),0)</f>
        <v>3</v>
      </c>
      <c r="I120" s="33" t="str">
        <f>_xlfn.IFNA(INDEX('OSA | 3GB'!A:C,MATCH(DATA!D120,'OSA | 3GB'!A:A,0),3),0)</f>
        <v xml:space="preserve"> -   </v>
      </c>
      <c r="J120" s="33">
        <f>INDEX('BIO WAHYU'!B:G,MATCH(DATA!D120,'BIO WAHYU'!B:B,0),5)</f>
        <v>4</v>
      </c>
      <c r="K120" s="34">
        <f>INDEX('BIO WAHYU'!B:G,MATCH(DATA!D120,'BIO WAHYU'!B:B,0),6)</f>
        <v>0</v>
      </c>
      <c r="L120" s="35">
        <f>INDEX('BIO WAHYU'!B:H,MATCH(DATA!D120,'BIO WAHYU'!B:B,0),7)</f>
        <v>0</v>
      </c>
      <c r="M120" s="34">
        <f>INDEX('BIO WAHYU'!B:H,MATCH(DATA!D120,'BIO WAHYU'!B:B,0),4)</f>
        <v>0</v>
      </c>
    </row>
    <row r="121" spans="1:13">
      <c r="A121" s="43" t="s">
        <v>1674</v>
      </c>
      <c r="B121" s="43" t="s">
        <v>153</v>
      </c>
      <c r="C121" s="43" t="s">
        <v>730</v>
      </c>
      <c r="D121" s="10">
        <v>478963</v>
      </c>
      <c r="E121" s="43" t="s">
        <v>10</v>
      </c>
      <c r="F121" s="8">
        <f>_xlfn.IFNA(INDEX('OSA | 3GB'!J:L,MATCH(DATA!D121,'OSA | 3GB'!J:J,0),2),0)</f>
        <v>3</v>
      </c>
      <c r="G121" s="8">
        <f>_xlfn.IFNA(INDEX('OSA | 3GB'!J:L,MATCH(DATA!D121,'OSA | 3GB'!J:J,0),3),0)</f>
        <v>200000</v>
      </c>
      <c r="H121" s="32" t="str">
        <f>_xlfn.IFNA(INDEX('OSA | 3GB'!A:C,MATCH(DATA!D121,'OSA | 3GB'!A:A,0),2),0)</f>
        <v xml:space="preserve"> -   </v>
      </c>
      <c r="I121" s="33" t="str">
        <f>_xlfn.IFNA(INDEX('OSA | 3GB'!A:C,MATCH(DATA!D121,'OSA | 3GB'!A:A,0),3),0)</f>
        <v xml:space="preserve"> -   </v>
      </c>
      <c r="J121" s="33">
        <f>INDEX('BIO WAHYU'!B:G,MATCH(DATA!D121,'BIO WAHYU'!B:B,0),5)</f>
        <v>1</v>
      </c>
      <c r="K121" s="34">
        <f>INDEX('BIO WAHYU'!B:G,MATCH(DATA!D121,'BIO WAHYU'!B:B,0),6)</f>
        <v>1</v>
      </c>
      <c r="L121" s="35">
        <f>INDEX('BIO WAHYU'!B:H,MATCH(DATA!D121,'BIO WAHYU'!B:B,0),7)</f>
        <v>0</v>
      </c>
      <c r="M121" s="34">
        <f>INDEX('BIO WAHYU'!B:H,MATCH(DATA!D121,'BIO WAHYU'!B:B,0),4)</f>
        <v>0</v>
      </c>
    </row>
    <row r="122" spans="1:13">
      <c r="A122" s="43" t="s">
        <v>1675</v>
      </c>
      <c r="B122" s="43" t="s">
        <v>137</v>
      </c>
      <c r="C122" s="43" t="s">
        <v>418</v>
      </c>
      <c r="D122" s="10">
        <v>12295785</v>
      </c>
      <c r="E122" s="43" t="s">
        <v>15</v>
      </c>
      <c r="F122" s="8">
        <f>_xlfn.IFNA(INDEX('OSA | 3GB'!J:L,MATCH(DATA!D122,'OSA | 3GB'!J:J,0),2),0)</f>
        <v>3</v>
      </c>
      <c r="G122" s="8">
        <f>_xlfn.IFNA(INDEX('OSA | 3GB'!J:L,MATCH(DATA!D122,'OSA | 3GB'!J:J,0),3),0)</f>
        <v>765000</v>
      </c>
      <c r="H122" s="32" t="str">
        <f>_xlfn.IFNA(INDEX('OSA | 3GB'!A:C,MATCH(DATA!D122,'OSA | 3GB'!A:A,0),2),0)</f>
        <v xml:space="preserve"> -   </v>
      </c>
      <c r="I122" s="33" t="str">
        <f>_xlfn.IFNA(INDEX('OSA | 3GB'!A:C,MATCH(DATA!D122,'OSA | 3GB'!A:A,0),3),0)</f>
        <v xml:space="preserve"> -   </v>
      </c>
      <c r="J122" s="33">
        <f>INDEX('BIO WAHYU'!B:G,MATCH(DATA!D122,'BIO WAHYU'!B:B,0),5)</f>
        <v>7</v>
      </c>
      <c r="K122" s="34">
        <f>INDEX('BIO WAHYU'!B:G,MATCH(DATA!D122,'BIO WAHYU'!B:B,0),6)</f>
        <v>1</v>
      </c>
      <c r="L122" s="35">
        <f>INDEX('BIO WAHYU'!B:H,MATCH(DATA!D122,'BIO WAHYU'!B:B,0),7)</f>
        <v>0</v>
      </c>
      <c r="M122" s="34">
        <f>INDEX('BIO WAHYU'!B:H,MATCH(DATA!D122,'BIO WAHYU'!B:B,0),4)</f>
        <v>0</v>
      </c>
    </row>
    <row r="123" spans="1:13">
      <c r="A123" s="43" t="s">
        <v>1675</v>
      </c>
      <c r="B123" s="43">
        <v>2613051043</v>
      </c>
      <c r="C123" s="43" t="s">
        <v>447</v>
      </c>
      <c r="D123" s="10">
        <v>12297170</v>
      </c>
      <c r="E123" s="43" t="s">
        <v>15</v>
      </c>
      <c r="F123" s="8">
        <f>_xlfn.IFNA(INDEX('OSA | 3GB'!J:L,MATCH(DATA!D123,'OSA | 3GB'!J:J,0),2),0)</f>
        <v>5</v>
      </c>
      <c r="G123" s="8">
        <f>_xlfn.IFNA(INDEX('OSA | 3GB'!J:L,MATCH(DATA!D123,'OSA | 3GB'!J:J,0),3),0)</f>
        <v>386000</v>
      </c>
      <c r="H123" s="32" t="str">
        <f>_xlfn.IFNA(INDEX('OSA | 3GB'!A:C,MATCH(DATA!D123,'OSA | 3GB'!A:A,0),2),0)</f>
        <v xml:space="preserve"> -   </v>
      </c>
      <c r="I123" s="33" t="str">
        <f>_xlfn.IFNA(INDEX('OSA | 3GB'!A:C,MATCH(DATA!D123,'OSA | 3GB'!A:A,0),3),0)</f>
        <v xml:space="preserve"> -   </v>
      </c>
      <c r="J123" s="33">
        <f>INDEX('BIO WAHYU'!B:G,MATCH(DATA!D123,'BIO WAHYU'!B:B,0),5)</f>
        <v>5</v>
      </c>
      <c r="K123" s="34">
        <f>INDEX('BIO WAHYU'!B:G,MATCH(DATA!D123,'BIO WAHYU'!B:B,0),6)</f>
        <v>3</v>
      </c>
      <c r="L123" s="35">
        <f>INDEX('BIO WAHYU'!B:H,MATCH(DATA!D123,'BIO WAHYU'!B:B,0),7)</f>
        <v>0</v>
      </c>
      <c r="M123" s="34">
        <f>INDEX('BIO WAHYU'!B:H,MATCH(DATA!D123,'BIO WAHYU'!B:B,0),4)</f>
        <v>0</v>
      </c>
    </row>
    <row r="124" spans="1:13">
      <c r="A124" s="43" t="s">
        <v>1672</v>
      </c>
      <c r="B124" s="43" t="s">
        <v>150</v>
      </c>
      <c r="C124" s="43" t="s">
        <v>716</v>
      </c>
      <c r="D124" s="10">
        <v>267428</v>
      </c>
      <c r="E124" s="43" t="s">
        <v>10</v>
      </c>
      <c r="F124" s="8">
        <f>_xlfn.IFNA(INDEX('OSA | 3GB'!J:L,MATCH(DATA!D124,'OSA | 3GB'!J:J,0),2),0)</f>
        <v>119</v>
      </c>
      <c r="G124" s="8">
        <f>_xlfn.IFNA(INDEX('OSA | 3GB'!J:L,MATCH(DATA!D124,'OSA | 3GB'!J:J,0),3),0)</f>
        <v>12227345</v>
      </c>
      <c r="H124" s="32">
        <f>_xlfn.IFNA(INDEX('OSA | 3GB'!A:C,MATCH(DATA!D124,'OSA | 3GB'!A:A,0),2),0)</f>
        <v>2</v>
      </c>
      <c r="I124" s="33">
        <f>_xlfn.IFNA(INDEX('OSA | 3GB'!A:C,MATCH(DATA!D124,'OSA | 3GB'!A:A,0),3),0)</f>
        <v>6465952</v>
      </c>
      <c r="J124" s="33">
        <f>INDEX('BIO WAHYU'!B:G,MATCH(DATA!D124,'BIO WAHYU'!B:B,0),5)</f>
        <v>45</v>
      </c>
      <c r="K124" s="34">
        <f>INDEX('BIO WAHYU'!B:G,MATCH(DATA!D124,'BIO WAHYU'!B:B,0),6)</f>
        <v>12</v>
      </c>
      <c r="L124" s="35">
        <f>INDEX('BIO WAHYU'!B:H,MATCH(DATA!D124,'BIO WAHYU'!B:B,0),7)</f>
        <v>0</v>
      </c>
      <c r="M124" s="34">
        <f>INDEX('BIO WAHYU'!B:H,MATCH(DATA!D124,'BIO WAHYU'!B:B,0),4)</f>
        <v>0</v>
      </c>
    </row>
    <row r="125" spans="1:13">
      <c r="A125" s="43" t="s">
        <v>1</v>
      </c>
      <c r="B125" s="43" t="s">
        <v>5</v>
      </c>
      <c r="C125" s="43" t="s">
        <v>104</v>
      </c>
      <c r="D125" s="10">
        <v>526916</v>
      </c>
      <c r="E125" s="43" t="s">
        <v>10</v>
      </c>
      <c r="F125" s="8">
        <f>_xlfn.IFNA(INDEX('OSA | 3GB'!J:L,MATCH(DATA!D125,'OSA | 3GB'!J:J,0),2),0)</f>
        <v>4</v>
      </c>
      <c r="G125" s="8">
        <f>_xlfn.IFNA(INDEX('OSA | 3GB'!J:L,MATCH(DATA!D125,'OSA | 3GB'!J:J,0),3),0)</f>
        <v>316000</v>
      </c>
      <c r="H125" s="32" t="str">
        <f>_xlfn.IFNA(INDEX('OSA | 3GB'!A:C,MATCH(DATA!D125,'OSA | 3GB'!A:A,0),2),0)</f>
        <v xml:space="preserve"> -   </v>
      </c>
      <c r="I125" s="33">
        <f>_xlfn.IFNA(INDEX('OSA | 3GB'!A:C,MATCH(DATA!D125,'OSA | 3GB'!A:A,0),3),0)</f>
        <v>300000</v>
      </c>
      <c r="J125" s="33">
        <f>INDEX('BIO WAHYU'!B:G,MATCH(DATA!D125,'BIO WAHYU'!B:B,0),5)</f>
        <v>3</v>
      </c>
      <c r="K125" s="34">
        <f>INDEX('BIO WAHYU'!B:G,MATCH(DATA!D125,'BIO WAHYU'!B:B,0),6)</f>
        <v>0</v>
      </c>
      <c r="L125" s="35">
        <f>INDEX('BIO WAHYU'!B:H,MATCH(DATA!D125,'BIO WAHYU'!B:B,0),7)</f>
        <v>0</v>
      </c>
      <c r="M125" s="34">
        <f>INDEX('BIO WAHYU'!B:H,MATCH(DATA!D125,'BIO WAHYU'!B:B,0),4)</f>
        <v>0</v>
      </c>
    </row>
    <row r="126" spans="1:13">
      <c r="A126" s="43" t="s">
        <v>1670</v>
      </c>
      <c r="B126" s="43">
        <v>2613052584</v>
      </c>
      <c r="C126" s="43" t="s">
        <v>588</v>
      </c>
      <c r="D126" s="10">
        <v>398006</v>
      </c>
      <c r="E126" s="43" t="s">
        <v>10</v>
      </c>
      <c r="F126" s="8">
        <f>_xlfn.IFNA(INDEX('OSA | 3GB'!J:L,MATCH(DATA!D126,'OSA | 3GB'!J:J,0),2),0)</f>
        <v>3</v>
      </c>
      <c r="G126" s="8">
        <f>_xlfn.IFNA(INDEX('OSA | 3GB'!J:L,MATCH(DATA!D126,'OSA | 3GB'!J:J,0),3),0)</f>
        <v>0</v>
      </c>
      <c r="H126" s="32">
        <f>_xlfn.IFNA(INDEX('OSA | 3GB'!A:C,MATCH(DATA!D126,'OSA | 3GB'!A:A,0),2),0)</f>
        <v>5</v>
      </c>
      <c r="I126" s="33" t="str">
        <f>_xlfn.IFNA(INDEX('OSA | 3GB'!A:C,MATCH(DATA!D126,'OSA | 3GB'!A:A,0),3),0)</f>
        <v xml:space="preserve"> -   </v>
      </c>
      <c r="J126" s="33">
        <f>INDEX('BIO WAHYU'!B:G,MATCH(DATA!D126,'BIO WAHYU'!B:B,0),5)</f>
        <v>0</v>
      </c>
      <c r="K126" s="34">
        <f>INDEX('BIO WAHYU'!B:G,MATCH(DATA!D126,'BIO WAHYU'!B:B,0),6)</f>
        <v>5</v>
      </c>
      <c r="L126" s="35">
        <f>INDEX('BIO WAHYU'!B:H,MATCH(DATA!D126,'BIO WAHYU'!B:B,0),7)</f>
        <v>5</v>
      </c>
      <c r="M126" s="34">
        <f>INDEX('BIO WAHYU'!B:H,MATCH(DATA!D126,'BIO WAHYU'!B:B,0),4)</f>
        <v>0</v>
      </c>
    </row>
    <row r="127" spans="1:13">
      <c r="A127" s="43" t="s">
        <v>1670</v>
      </c>
      <c r="B127" s="43">
        <v>2613051412</v>
      </c>
      <c r="C127" s="43" t="s">
        <v>559</v>
      </c>
      <c r="D127" s="10">
        <v>355412</v>
      </c>
      <c r="E127" s="43" t="s">
        <v>10</v>
      </c>
      <c r="F127" s="8">
        <f>_xlfn.IFNA(INDEX('OSA | 3GB'!J:L,MATCH(DATA!D127,'OSA | 3GB'!J:J,0),2),0)</f>
        <v>4</v>
      </c>
      <c r="G127" s="8">
        <f>_xlfn.IFNA(INDEX('OSA | 3GB'!J:L,MATCH(DATA!D127,'OSA | 3GB'!J:J,0),3),0)</f>
        <v>2500000</v>
      </c>
      <c r="H127" s="32">
        <f>_xlfn.IFNA(INDEX('OSA | 3GB'!A:C,MATCH(DATA!D127,'OSA | 3GB'!A:A,0),2),0)</f>
        <v>10</v>
      </c>
      <c r="I127" s="33">
        <f>_xlfn.IFNA(INDEX('OSA | 3GB'!A:C,MATCH(DATA!D127,'OSA | 3GB'!A:A,0),3),0)</f>
        <v>1500000</v>
      </c>
      <c r="J127" s="33">
        <f>INDEX('BIO WAHYU'!B:G,MATCH(DATA!D127,'BIO WAHYU'!B:B,0),5)</f>
        <v>1</v>
      </c>
      <c r="K127" s="34">
        <f>INDEX('BIO WAHYU'!B:G,MATCH(DATA!D127,'BIO WAHYU'!B:B,0),6)</f>
        <v>0</v>
      </c>
      <c r="L127" s="35">
        <f>INDEX('BIO WAHYU'!B:H,MATCH(DATA!D127,'BIO WAHYU'!B:B,0),7)</f>
        <v>0</v>
      </c>
      <c r="M127" s="34">
        <f>INDEX('BIO WAHYU'!B:H,MATCH(DATA!D127,'BIO WAHYU'!B:B,0),4)</f>
        <v>0</v>
      </c>
    </row>
    <row r="128" spans="1:13">
      <c r="A128" s="43" t="s">
        <v>1671</v>
      </c>
      <c r="B128" s="43">
        <v>2613050885</v>
      </c>
      <c r="C128" s="43" t="s">
        <v>307</v>
      </c>
      <c r="D128" s="10">
        <v>533137</v>
      </c>
      <c r="E128" s="43" t="s">
        <v>15</v>
      </c>
      <c r="F128" s="8">
        <f>_xlfn.IFNA(INDEX('OSA | 3GB'!J:L,MATCH(DATA!D128,'OSA | 3GB'!J:J,0),2),0)</f>
        <v>0</v>
      </c>
      <c r="G128" s="8">
        <f>_xlfn.IFNA(INDEX('OSA | 3GB'!J:L,MATCH(DATA!D128,'OSA | 3GB'!J:J,0),3),0)</f>
        <v>0</v>
      </c>
      <c r="H128" s="32" t="str">
        <f>_xlfn.IFNA(INDEX('OSA | 3GB'!A:C,MATCH(DATA!D128,'OSA | 3GB'!A:A,0),2),0)</f>
        <v xml:space="preserve"> -   </v>
      </c>
      <c r="I128" s="33" t="str">
        <f>_xlfn.IFNA(INDEX('OSA | 3GB'!A:C,MATCH(DATA!D128,'OSA | 3GB'!A:A,0),3),0)</f>
        <v xml:space="preserve"> -   </v>
      </c>
      <c r="J128" s="33">
        <f>INDEX('BIO WAHYU'!B:G,MATCH(DATA!D128,'BIO WAHYU'!B:B,0),5)</f>
        <v>0</v>
      </c>
      <c r="K128" s="34">
        <f>INDEX('BIO WAHYU'!B:G,MATCH(DATA!D128,'BIO WAHYU'!B:B,0),6)</f>
        <v>0</v>
      </c>
      <c r="L128" s="35">
        <f>INDEX('BIO WAHYU'!B:H,MATCH(DATA!D128,'BIO WAHYU'!B:B,0),7)</f>
        <v>0</v>
      </c>
      <c r="M128" s="34">
        <f>INDEX('BIO WAHYU'!B:H,MATCH(DATA!D128,'BIO WAHYU'!B:B,0),4)</f>
        <v>0</v>
      </c>
    </row>
    <row r="129" spans="1:13">
      <c r="A129" s="43" t="s">
        <v>1673</v>
      </c>
      <c r="B129" s="43" t="s">
        <v>143</v>
      </c>
      <c r="C129" s="43" t="s">
        <v>1173</v>
      </c>
      <c r="D129" s="10">
        <v>408140</v>
      </c>
      <c r="E129" s="43" t="s">
        <v>10</v>
      </c>
      <c r="F129" s="8">
        <f>_xlfn.IFNA(INDEX('OSA | 3GB'!J:L,MATCH(DATA!D129,'OSA | 3GB'!J:J,0),2),0)</f>
        <v>4</v>
      </c>
      <c r="G129" s="8">
        <f>_xlfn.IFNA(INDEX('OSA | 3GB'!J:L,MATCH(DATA!D129,'OSA | 3GB'!J:J,0),3),0)</f>
        <v>39400000</v>
      </c>
      <c r="H129" s="32" t="str">
        <f>_xlfn.IFNA(INDEX('OSA | 3GB'!A:C,MATCH(DATA!D129,'OSA | 3GB'!A:A,0),2),0)</f>
        <v xml:space="preserve"> -   </v>
      </c>
      <c r="I129" s="33">
        <f>_xlfn.IFNA(INDEX('OSA | 3GB'!A:C,MATCH(DATA!D129,'OSA | 3GB'!A:A,0),3),0)</f>
        <v>15100000</v>
      </c>
      <c r="J129" s="33">
        <f>INDEX('BIO WAHYU'!B:G,MATCH(DATA!D129,'BIO WAHYU'!B:B,0),5)</f>
        <v>3</v>
      </c>
      <c r="K129" s="34">
        <f>INDEX('BIO WAHYU'!B:G,MATCH(DATA!D129,'BIO WAHYU'!B:B,0),6)</f>
        <v>0</v>
      </c>
      <c r="L129" s="35">
        <f>INDEX('BIO WAHYU'!B:H,MATCH(DATA!D129,'BIO WAHYU'!B:B,0),7)</f>
        <v>0</v>
      </c>
      <c r="M129" s="34">
        <f>INDEX('BIO WAHYU'!B:H,MATCH(DATA!D129,'BIO WAHYU'!B:B,0),4)</f>
        <v>0</v>
      </c>
    </row>
    <row r="130" spans="1:13">
      <c r="A130" s="43" t="s">
        <v>1673</v>
      </c>
      <c r="B130" s="43" t="s">
        <v>158</v>
      </c>
      <c r="C130" s="43" t="s">
        <v>1174</v>
      </c>
      <c r="D130" s="10">
        <v>199058</v>
      </c>
      <c r="E130" s="43" t="s">
        <v>10</v>
      </c>
      <c r="F130" s="8">
        <f>_xlfn.IFNA(INDEX('OSA | 3GB'!J:L,MATCH(DATA!D130,'OSA | 3GB'!J:J,0),2),0)</f>
        <v>103</v>
      </c>
      <c r="G130" s="8">
        <f>_xlfn.IFNA(INDEX('OSA | 3GB'!J:L,MATCH(DATA!D130,'OSA | 3GB'!J:J,0),3),0)</f>
        <v>1228250</v>
      </c>
      <c r="H130" s="32" t="str">
        <f>_xlfn.IFNA(INDEX('OSA | 3GB'!A:C,MATCH(DATA!D130,'OSA | 3GB'!A:A,0),2),0)</f>
        <v xml:space="preserve"> -   </v>
      </c>
      <c r="I130" s="33">
        <f>_xlfn.IFNA(INDEX('OSA | 3GB'!A:C,MATCH(DATA!D130,'OSA | 3GB'!A:A,0),3),0)</f>
        <v>670000</v>
      </c>
      <c r="J130" s="33">
        <f>INDEX('BIO WAHYU'!B:G,MATCH(DATA!D130,'BIO WAHYU'!B:B,0),5)</f>
        <v>8</v>
      </c>
      <c r="K130" s="34">
        <f>INDEX('BIO WAHYU'!B:G,MATCH(DATA!D130,'BIO WAHYU'!B:B,0),6)</f>
        <v>28</v>
      </c>
      <c r="L130" s="35">
        <f>INDEX('BIO WAHYU'!B:H,MATCH(DATA!D130,'BIO WAHYU'!B:B,0),7)</f>
        <v>20</v>
      </c>
      <c r="M130" s="34">
        <f>INDEX('BIO WAHYU'!B:H,MATCH(DATA!D130,'BIO WAHYU'!B:B,0),4)</f>
        <v>0</v>
      </c>
    </row>
    <row r="131" spans="1:13">
      <c r="A131" s="43" t="s">
        <v>1673</v>
      </c>
      <c r="B131" s="43" t="s">
        <v>144</v>
      </c>
      <c r="C131" s="43" t="s">
        <v>239</v>
      </c>
      <c r="D131" s="10">
        <v>516674</v>
      </c>
      <c r="E131" s="43" t="s">
        <v>15</v>
      </c>
      <c r="F131" s="8">
        <f>_xlfn.IFNA(INDEX('OSA | 3GB'!J:L,MATCH(DATA!D131,'OSA | 3GB'!J:J,0),2),0)</f>
        <v>10</v>
      </c>
      <c r="G131" s="8">
        <f>_xlfn.IFNA(INDEX('OSA | 3GB'!J:L,MATCH(DATA!D131,'OSA | 3GB'!J:J,0),3),0)</f>
        <v>150000</v>
      </c>
      <c r="H131" s="32">
        <f>_xlfn.IFNA(INDEX('OSA | 3GB'!A:C,MATCH(DATA!D131,'OSA | 3GB'!A:A,0),2),0)</f>
        <v>2</v>
      </c>
      <c r="I131" s="33">
        <f>_xlfn.IFNA(INDEX('OSA | 3GB'!A:C,MATCH(DATA!D131,'OSA | 3GB'!A:A,0),3),0)</f>
        <v>158000</v>
      </c>
      <c r="J131" s="33">
        <f>INDEX('BIO WAHYU'!B:G,MATCH(DATA!D131,'BIO WAHYU'!B:B,0),5)</f>
        <v>1</v>
      </c>
      <c r="K131" s="34">
        <f>INDEX('BIO WAHYU'!B:G,MATCH(DATA!D131,'BIO WAHYU'!B:B,0),6)</f>
        <v>4</v>
      </c>
      <c r="L131" s="35">
        <f>INDEX('BIO WAHYU'!B:H,MATCH(DATA!D131,'BIO WAHYU'!B:B,0),7)</f>
        <v>3</v>
      </c>
      <c r="M131" s="34">
        <f>INDEX('BIO WAHYU'!B:H,MATCH(DATA!D131,'BIO WAHYU'!B:B,0),4)</f>
        <v>0</v>
      </c>
    </row>
    <row r="132" spans="1:13">
      <c r="A132" s="43" t="s">
        <v>1673</v>
      </c>
      <c r="B132" s="43" t="s">
        <v>143</v>
      </c>
      <c r="C132" s="43" t="s">
        <v>1175</v>
      </c>
      <c r="D132" s="10">
        <v>560100</v>
      </c>
      <c r="E132" s="43" t="s">
        <v>10</v>
      </c>
      <c r="F132" s="8">
        <f>_xlfn.IFNA(INDEX('OSA | 3GB'!J:L,MATCH(DATA!D132,'OSA | 3GB'!J:J,0),2),0)</f>
        <v>0</v>
      </c>
      <c r="G132" s="8">
        <f>_xlfn.IFNA(INDEX('OSA | 3GB'!J:L,MATCH(DATA!D132,'OSA | 3GB'!J:J,0),3),0)</f>
        <v>2500000</v>
      </c>
      <c r="H132" s="32" t="str">
        <f>_xlfn.IFNA(INDEX('OSA | 3GB'!A:C,MATCH(DATA!D132,'OSA | 3GB'!A:A,0),2),0)</f>
        <v xml:space="preserve"> -   </v>
      </c>
      <c r="I132" s="33">
        <f>_xlfn.IFNA(INDEX('OSA | 3GB'!A:C,MATCH(DATA!D132,'OSA | 3GB'!A:A,0),3),0)</f>
        <v>900000</v>
      </c>
      <c r="J132" s="33">
        <f>INDEX('BIO WAHYU'!B:G,MATCH(DATA!D132,'BIO WAHYU'!B:B,0),5)</f>
        <v>0</v>
      </c>
      <c r="K132" s="34">
        <f>INDEX('BIO WAHYU'!B:G,MATCH(DATA!D132,'BIO WAHYU'!B:B,0),6)</f>
        <v>0</v>
      </c>
      <c r="L132" s="35">
        <f>INDEX('BIO WAHYU'!B:H,MATCH(DATA!D132,'BIO WAHYU'!B:B,0),7)</f>
        <v>0</v>
      </c>
      <c r="M132" s="34">
        <f>INDEX('BIO WAHYU'!B:H,MATCH(DATA!D132,'BIO WAHYU'!B:B,0),4)</f>
        <v>0</v>
      </c>
    </row>
    <row r="133" spans="1:13">
      <c r="A133" s="43" t="s">
        <v>1675</v>
      </c>
      <c r="B133" s="43" t="s">
        <v>137</v>
      </c>
      <c r="C133" s="43" t="s">
        <v>1176</v>
      </c>
      <c r="D133" s="10">
        <v>12296256</v>
      </c>
      <c r="E133" s="43" t="s">
        <v>15</v>
      </c>
      <c r="F133" s="8">
        <f>_xlfn.IFNA(INDEX('OSA | 3GB'!J:L,MATCH(DATA!D133,'OSA | 3GB'!J:J,0),2),0)</f>
        <v>5</v>
      </c>
      <c r="G133" s="8">
        <f>_xlfn.IFNA(INDEX('OSA | 3GB'!J:L,MATCH(DATA!D133,'OSA | 3GB'!J:J,0),3),0)</f>
        <v>392000</v>
      </c>
      <c r="H133" s="32" t="str">
        <f>_xlfn.IFNA(INDEX('OSA | 3GB'!A:C,MATCH(DATA!D133,'OSA | 3GB'!A:A,0),2),0)</f>
        <v xml:space="preserve"> -   </v>
      </c>
      <c r="I133" s="33" t="str">
        <f>_xlfn.IFNA(INDEX('OSA | 3GB'!A:C,MATCH(DATA!D133,'OSA | 3GB'!A:A,0),3),0)</f>
        <v xml:space="preserve"> -   </v>
      </c>
      <c r="J133" s="33">
        <f>INDEX('BIO WAHYU'!B:G,MATCH(DATA!D133,'BIO WAHYU'!B:B,0),5)</f>
        <v>5</v>
      </c>
      <c r="K133" s="34">
        <f>INDEX('BIO WAHYU'!B:G,MATCH(DATA!D133,'BIO WAHYU'!B:B,0),6)</f>
        <v>0</v>
      </c>
      <c r="L133" s="35">
        <f>INDEX('BIO WAHYU'!B:H,MATCH(DATA!D133,'BIO WAHYU'!B:B,0),7)</f>
        <v>0</v>
      </c>
      <c r="M133" s="34">
        <f>INDEX('BIO WAHYU'!B:H,MATCH(DATA!D133,'BIO WAHYU'!B:B,0),4)</f>
        <v>0</v>
      </c>
    </row>
    <row r="134" spans="1:13">
      <c r="A134" s="43" t="s">
        <v>1672</v>
      </c>
      <c r="B134" s="43" t="s">
        <v>155</v>
      </c>
      <c r="C134" s="43" t="s">
        <v>952</v>
      </c>
      <c r="D134" s="10">
        <v>539617</v>
      </c>
      <c r="E134" s="43" t="s">
        <v>10</v>
      </c>
      <c r="F134" s="8">
        <f>_xlfn.IFNA(INDEX('OSA | 3GB'!J:L,MATCH(DATA!D134,'OSA | 3GB'!J:J,0),2),0)</f>
        <v>3</v>
      </c>
      <c r="G134" s="8">
        <f>_xlfn.IFNA(INDEX('OSA | 3GB'!J:L,MATCH(DATA!D134,'OSA | 3GB'!J:J,0),3),0)</f>
        <v>1200000</v>
      </c>
      <c r="H134" s="32" t="str">
        <f>_xlfn.IFNA(INDEX('OSA | 3GB'!A:C,MATCH(DATA!D134,'OSA | 3GB'!A:A,0),2),0)</f>
        <v xml:space="preserve"> -   </v>
      </c>
      <c r="I134" s="33">
        <f>_xlfn.IFNA(INDEX('OSA | 3GB'!A:C,MATCH(DATA!D134,'OSA | 3GB'!A:A,0),3),0)</f>
        <v>600000</v>
      </c>
      <c r="J134" s="33">
        <f>INDEX('BIO WAHYU'!B:G,MATCH(DATA!D134,'BIO WAHYU'!B:B,0),5)</f>
        <v>0</v>
      </c>
      <c r="K134" s="34">
        <f>INDEX('BIO WAHYU'!B:G,MATCH(DATA!D134,'BIO WAHYU'!B:B,0),6)</f>
        <v>0</v>
      </c>
      <c r="L134" s="35">
        <f>INDEX('BIO WAHYU'!B:H,MATCH(DATA!D134,'BIO WAHYU'!B:B,0),7)</f>
        <v>0</v>
      </c>
      <c r="M134" s="34">
        <f>INDEX('BIO WAHYU'!B:H,MATCH(DATA!D134,'BIO WAHYU'!B:B,0),4)</f>
        <v>0</v>
      </c>
    </row>
    <row r="135" spans="1:13">
      <c r="A135" s="43" t="s">
        <v>1675</v>
      </c>
      <c r="B135" s="43" t="s">
        <v>137</v>
      </c>
      <c r="C135" s="43" t="s">
        <v>433</v>
      </c>
      <c r="D135" s="10">
        <v>12296278</v>
      </c>
      <c r="E135" s="43" t="s">
        <v>15</v>
      </c>
      <c r="F135" s="8">
        <f>_xlfn.IFNA(INDEX('OSA | 3GB'!J:L,MATCH(DATA!D135,'OSA | 3GB'!J:J,0),2),0)</f>
        <v>0</v>
      </c>
      <c r="G135" s="8">
        <f>_xlfn.IFNA(INDEX('OSA | 3GB'!J:L,MATCH(DATA!D135,'OSA | 3GB'!J:J,0),3),0)</f>
        <v>0</v>
      </c>
      <c r="H135" s="32" t="str">
        <f>_xlfn.IFNA(INDEX('OSA | 3GB'!A:C,MATCH(DATA!D135,'OSA | 3GB'!A:A,0),2),0)</f>
        <v xml:space="preserve"> -   </v>
      </c>
      <c r="I135" s="33" t="str">
        <f>_xlfn.IFNA(INDEX('OSA | 3GB'!A:C,MATCH(DATA!D135,'OSA | 3GB'!A:A,0),3),0)</f>
        <v xml:space="preserve"> -   </v>
      </c>
      <c r="J135" s="33">
        <f>INDEX('BIO WAHYU'!B:G,MATCH(DATA!D135,'BIO WAHYU'!B:B,0),5)</f>
        <v>0</v>
      </c>
      <c r="K135" s="34">
        <f>INDEX('BIO WAHYU'!B:G,MATCH(DATA!D135,'BIO WAHYU'!B:B,0),6)</f>
        <v>0</v>
      </c>
      <c r="L135" s="35">
        <f>INDEX('BIO WAHYU'!B:H,MATCH(DATA!D135,'BIO WAHYU'!B:B,0),7)</f>
        <v>0</v>
      </c>
      <c r="M135" s="34">
        <f>INDEX('BIO WAHYU'!B:H,MATCH(DATA!D135,'BIO WAHYU'!B:B,0),4)</f>
        <v>0</v>
      </c>
    </row>
    <row r="136" spans="1:13">
      <c r="A136" s="43" t="s">
        <v>1672</v>
      </c>
      <c r="B136" s="43" t="s">
        <v>155</v>
      </c>
      <c r="C136" s="43" t="s">
        <v>923</v>
      </c>
      <c r="D136" s="10">
        <v>12304939</v>
      </c>
      <c r="E136" s="43" t="s">
        <v>15</v>
      </c>
      <c r="F136" s="8">
        <f>_xlfn.IFNA(INDEX('OSA | 3GB'!J:L,MATCH(DATA!D136,'OSA | 3GB'!J:J,0),2),0)</f>
        <v>4</v>
      </c>
      <c r="G136" s="8">
        <f>_xlfn.IFNA(INDEX('OSA | 3GB'!J:L,MATCH(DATA!D136,'OSA | 3GB'!J:J,0),3),0)</f>
        <v>3200000</v>
      </c>
      <c r="H136" s="32">
        <f>_xlfn.IFNA(INDEX('OSA | 3GB'!A:C,MATCH(DATA!D136,'OSA | 3GB'!A:A,0),2),0)</f>
        <v>3</v>
      </c>
      <c r="I136" s="33">
        <f>_xlfn.IFNA(INDEX('OSA | 3GB'!A:C,MATCH(DATA!D136,'OSA | 3GB'!A:A,0),3),0)</f>
        <v>1400000</v>
      </c>
      <c r="J136" s="33">
        <f>INDEX('BIO WAHYU'!B:G,MATCH(DATA!D136,'BIO WAHYU'!B:B,0),5)</f>
        <v>1</v>
      </c>
      <c r="K136" s="34">
        <f>INDEX('BIO WAHYU'!B:G,MATCH(DATA!D136,'BIO WAHYU'!B:B,0),6)</f>
        <v>3</v>
      </c>
      <c r="L136" s="35">
        <f>INDEX('BIO WAHYU'!B:H,MATCH(DATA!D136,'BIO WAHYU'!B:B,0),7)</f>
        <v>2</v>
      </c>
      <c r="M136" s="34">
        <f>INDEX('BIO WAHYU'!B:H,MATCH(DATA!D136,'BIO WAHYU'!B:B,0),4)</f>
        <v>0</v>
      </c>
    </row>
    <row r="137" spans="1:13">
      <c r="A137" s="43" t="s">
        <v>1672</v>
      </c>
      <c r="B137" s="43" t="s">
        <v>157</v>
      </c>
      <c r="C137" s="43" t="s">
        <v>1034</v>
      </c>
      <c r="D137" s="10">
        <v>2872</v>
      </c>
      <c r="E137" s="43" t="s">
        <v>10</v>
      </c>
      <c r="F137" s="8">
        <f>_xlfn.IFNA(INDEX('OSA | 3GB'!J:L,MATCH(DATA!D137,'OSA | 3GB'!J:J,0),2),0)</f>
        <v>4</v>
      </c>
      <c r="G137" s="8">
        <f>_xlfn.IFNA(INDEX('OSA | 3GB'!J:L,MATCH(DATA!D137,'OSA | 3GB'!J:J,0),3),0)</f>
        <v>400000</v>
      </c>
      <c r="H137" s="32">
        <f>_xlfn.IFNA(INDEX('OSA | 3GB'!A:C,MATCH(DATA!D137,'OSA | 3GB'!A:A,0),2),0)</f>
        <v>1</v>
      </c>
      <c r="I137" s="33">
        <f>_xlfn.IFNA(INDEX('OSA | 3GB'!A:C,MATCH(DATA!D137,'OSA | 3GB'!A:A,0),3),0)</f>
        <v>329000</v>
      </c>
      <c r="J137" s="33">
        <f>INDEX('BIO WAHYU'!B:G,MATCH(DATA!D137,'BIO WAHYU'!B:B,0),5)</f>
        <v>4</v>
      </c>
      <c r="K137" s="34">
        <f>INDEX('BIO WAHYU'!B:G,MATCH(DATA!D137,'BIO WAHYU'!B:B,0),6)</f>
        <v>0</v>
      </c>
      <c r="L137" s="35">
        <f>INDEX('BIO WAHYU'!B:H,MATCH(DATA!D137,'BIO WAHYU'!B:B,0),7)</f>
        <v>0</v>
      </c>
      <c r="M137" s="34">
        <f>INDEX('BIO WAHYU'!B:H,MATCH(DATA!D137,'BIO WAHYU'!B:B,0),4)</f>
        <v>0</v>
      </c>
    </row>
    <row r="138" spans="1:13">
      <c r="A138" s="43" t="s">
        <v>1670</v>
      </c>
      <c r="B138" s="43" t="s">
        <v>140</v>
      </c>
      <c r="C138" s="43" t="s">
        <v>1177</v>
      </c>
      <c r="D138" s="10">
        <v>12322440</v>
      </c>
      <c r="E138" s="43" t="s">
        <v>15</v>
      </c>
      <c r="F138" s="8">
        <f>_xlfn.IFNA(INDEX('OSA | 3GB'!J:L,MATCH(DATA!D138,'OSA | 3GB'!J:J,0),2),0)</f>
        <v>1</v>
      </c>
      <c r="G138" s="8">
        <f>_xlfn.IFNA(INDEX('OSA | 3GB'!J:L,MATCH(DATA!D138,'OSA | 3GB'!J:J,0),3),0)</f>
        <v>2950000</v>
      </c>
      <c r="H138" s="32" t="str">
        <f>_xlfn.IFNA(INDEX('OSA | 3GB'!A:C,MATCH(DATA!D138,'OSA | 3GB'!A:A,0),2),0)</f>
        <v xml:space="preserve"> -   </v>
      </c>
      <c r="I138" s="33">
        <f>_xlfn.IFNA(INDEX('OSA | 3GB'!A:C,MATCH(DATA!D138,'OSA | 3GB'!A:A,0),3),0)</f>
        <v>1150000</v>
      </c>
      <c r="J138" s="33">
        <f>INDEX('BIO WAHYU'!B:G,MATCH(DATA!D138,'BIO WAHYU'!B:B,0),5)</f>
        <v>2</v>
      </c>
      <c r="K138" s="34">
        <f>INDEX('BIO WAHYU'!B:G,MATCH(DATA!D138,'BIO WAHYU'!B:B,0),6)</f>
        <v>1</v>
      </c>
      <c r="L138" s="35">
        <f>INDEX('BIO WAHYU'!B:H,MATCH(DATA!D138,'BIO WAHYU'!B:B,0),7)</f>
        <v>0</v>
      </c>
      <c r="M138" s="34">
        <f>INDEX('BIO WAHYU'!B:H,MATCH(DATA!D138,'BIO WAHYU'!B:B,0),4)</f>
        <v>0</v>
      </c>
    </row>
    <row r="139" spans="1:13">
      <c r="A139" s="43" t="s">
        <v>1673</v>
      </c>
      <c r="B139" s="43" t="s">
        <v>1136</v>
      </c>
      <c r="C139" s="43" t="s">
        <v>1178</v>
      </c>
      <c r="D139" s="10">
        <v>9512</v>
      </c>
      <c r="E139" s="43" t="s">
        <v>15</v>
      </c>
      <c r="F139" s="8">
        <f>_xlfn.IFNA(INDEX('OSA | 3GB'!J:L,MATCH(DATA!D139,'OSA | 3GB'!J:J,0),2),0)</f>
        <v>0</v>
      </c>
      <c r="G139" s="8">
        <f>_xlfn.IFNA(INDEX('OSA | 3GB'!J:L,MATCH(DATA!D139,'OSA | 3GB'!J:J,0),3),0)</f>
        <v>0</v>
      </c>
      <c r="H139" s="32" t="str">
        <f>_xlfn.IFNA(INDEX('OSA | 3GB'!A:C,MATCH(DATA!D139,'OSA | 3GB'!A:A,0),2),0)</f>
        <v xml:space="preserve"> -   </v>
      </c>
      <c r="I139" s="33" t="str">
        <f>_xlfn.IFNA(INDEX('OSA | 3GB'!A:C,MATCH(DATA!D139,'OSA | 3GB'!A:A,0),3),0)</f>
        <v xml:space="preserve"> -   </v>
      </c>
      <c r="J139" s="33">
        <f>INDEX('BIO WAHYU'!B:G,MATCH(DATA!D139,'BIO WAHYU'!B:B,0),5)</f>
        <v>0</v>
      </c>
      <c r="K139" s="34">
        <f>INDEX('BIO WAHYU'!B:G,MATCH(DATA!D139,'BIO WAHYU'!B:B,0),6)</f>
        <v>0</v>
      </c>
      <c r="L139" s="35">
        <f>INDEX('BIO WAHYU'!B:H,MATCH(DATA!D139,'BIO WAHYU'!B:B,0),7)</f>
        <v>0</v>
      </c>
      <c r="M139" s="34">
        <f>INDEX('BIO WAHYU'!B:H,MATCH(DATA!D139,'BIO WAHYU'!B:B,0),4)</f>
        <v>0</v>
      </c>
    </row>
    <row r="140" spans="1:13">
      <c r="A140" s="43" t="s">
        <v>1674</v>
      </c>
      <c r="B140" s="43" t="s">
        <v>147</v>
      </c>
      <c r="C140" s="43" t="s">
        <v>602</v>
      </c>
      <c r="D140" s="10">
        <v>237432</v>
      </c>
      <c r="E140" s="43" t="s">
        <v>10</v>
      </c>
      <c r="F140" s="8">
        <f>_xlfn.IFNA(INDEX('OSA | 3GB'!J:L,MATCH(DATA!D140,'OSA | 3GB'!J:J,0),2),0)</f>
        <v>0</v>
      </c>
      <c r="G140" s="8">
        <f>_xlfn.IFNA(INDEX('OSA | 3GB'!J:L,MATCH(DATA!D140,'OSA | 3GB'!J:J,0),3),0)</f>
        <v>30500000</v>
      </c>
      <c r="H140" s="32" t="str">
        <f>_xlfn.IFNA(INDEX('OSA | 3GB'!A:C,MATCH(DATA!D140,'OSA | 3GB'!A:A,0),2),0)</f>
        <v xml:space="preserve"> -   </v>
      </c>
      <c r="I140" s="33">
        <f>_xlfn.IFNA(INDEX('OSA | 3GB'!A:C,MATCH(DATA!D140,'OSA | 3GB'!A:A,0),3),0)</f>
        <v>9300000</v>
      </c>
      <c r="J140" s="33">
        <f>INDEX('BIO WAHYU'!B:G,MATCH(DATA!D140,'BIO WAHYU'!B:B,0),5)</f>
        <v>0</v>
      </c>
      <c r="K140" s="34">
        <f>INDEX('BIO WAHYU'!B:G,MATCH(DATA!D140,'BIO WAHYU'!B:B,0),6)</f>
        <v>0</v>
      </c>
      <c r="L140" s="35">
        <f>INDEX('BIO WAHYU'!B:H,MATCH(DATA!D140,'BIO WAHYU'!B:B,0),7)</f>
        <v>0</v>
      </c>
      <c r="M140" s="34">
        <f>INDEX('BIO WAHYU'!B:H,MATCH(DATA!D140,'BIO WAHYU'!B:B,0),4)</f>
        <v>0</v>
      </c>
    </row>
    <row r="141" spans="1:13">
      <c r="A141" s="43" t="s">
        <v>1672</v>
      </c>
      <c r="B141" s="43" t="s">
        <v>157</v>
      </c>
      <c r="C141" s="43" t="s">
        <v>1179</v>
      </c>
      <c r="D141" s="10">
        <v>156336</v>
      </c>
      <c r="E141" s="43" t="s">
        <v>23</v>
      </c>
      <c r="F141" s="8">
        <f>_xlfn.IFNA(INDEX('OSA | 3GB'!J:L,MATCH(DATA!D141,'OSA | 3GB'!J:J,0),2),0)</f>
        <v>30</v>
      </c>
      <c r="G141" s="8">
        <f>_xlfn.IFNA(INDEX('OSA | 3GB'!J:L,MATCH(DATA!D141,'OSA | 3GB'!J:J,0),3),0)</f>
        <v>82966221</v>
      </c>
      <c r="H141" s="32">
        <f>_xlfn.IFNA(INDEX('OSA | 3GB'!A:C,MATCH(DATA!D141,'OSA | 3GB'!A:A,0),2),0)</f>
        <v>1</v>
      </c>
      <c r="I141" s="33">
        <f>_xlfn.IFNA(INDEX('OSA | 3GB'!A:C,MATCH(DATA!D141,'OSA | 3GB'!A:A,0),3),0)</f>
        <v>35020725</v>
      </c>
      <c r="J141" s="33">
        <f>INDEX('BIO WAHYU'!B:G,MATCH(DATA!D141,'BIO WAHYU'!B:B,0),5)</f>
        <v>7</v>
      </c>
      <c r="K141" s="34">
        <f>INDEX('BIO WAHYU'!B:G,MATCH(DATA!D141,'BIO WAHYU'!B:B,0),6)</f>
        <v>9</v>
      </c>
      <c r="L141" s="35">
        <f>INDEX('BIO WAHYU'!B:H,MATCH(DATA!D141,'BIO WAHYU'!B:B,0),7)</f>
        <v>2</v>
      </c>
      <c r="M141" s="34">
        <f>INDEX('BIO WAHYU'!B:H,MATCH(DATA!D141,'BIO WAHYU'!B:B,0),4)</f>
        <v>0</v>
      </c>
    </row>
    <row r="142" spans="1:13">
      <c r="A142" s="43" t="s">
        <v>1675</v>
      </c>
      <c r="B142" s="43">
        <v>2613051451</v>
      </c>
      <c r="C142" s="43" t="s">
        <v>1180</v>
      </c>
      <c r="D142" s="10">
        <v>357589</v>
      </c>
      <c r="E142" s="43" t="s">
        <v>10</v>
      </c>
      <c r="F142" s="8">
        <f>_xlfn.IFNA(INDEX('OSA | 3GB'!J:L,MATCH(DATA!D142,'OSA | 3GB'!J:J,0),2),0)</f>
        <v>0</v>
      </c>
      <c r="G142" s="8">
        <f>_xlfn.IFNA(INDEX('OSA | 3GB'!J:L,MATCH(DATA!D142,'OSA | 3GB'!J:J,0),3),0)</f>
        <v>100000</v>
      </c>
      <c r="H142" s="32" t="str">
        <f>_xlfn.IFNA(INDEX('OSA | 3GB'!A:C,MATCH(DATA!D142,'OSA | 3GB'!A:A,0),2),0)</f>
        <v xml:space="preserve"> -   </v>
      </c>
      <c r="I142" s="33" t="str">
        <f>_xlfn.IFNA(INDEX('OSA | 3GB'!A:C,MATCH(DATA!D142,'OSA | 3GB'!A:A,0),3),0)</f>
        <v xml:space="preserve"> -   </v>
      </c>
      <c r="J142" s="33">
        <f>INDEX('BIO WAHYU'!B:G,MATCH(DATA!D142,'BIO WAHYU'!B:B,0),5)</f>
        <v>0</v>
      </c>
      <c r="K142" s="34">
        <f>INDEX('BIO WAHYU'!B:G,MATCH(DATA!D142,'BIO WAHYU'!B:B,0),6)</f>
        <v>0</v>
      </c>
      <c r="L142" s="35">
        <f>INDEX('BIO WAHYU'!B:H,MATCH(DATA!D142,'BIO WAHYU'!B:B,0),7)</f>
        <v>0</v>
      </c>
      <c r="M142" s="34">
        <f>INDEX('BIO WAHYU'!B:H,MATCH(DATA!D142,'BIO WAHYU'!B:B,0),4)</f>
        <v>0</v>
      </c>
    </row>
    <row r="143" spans="1:13">
      <c r="A143" s="43" t="s">
        <v>1674</v>
      </c>
      <c r="B143" s="43" t="s">
        <v>154</v>
      </c>
      <c r="C143" s="43" t="s">
        <v>1181</v>
      </c>
      <c r="D143" s="10">
        <v>560999</v>
      </c>
      <c r="E143" s="43" t="s">
        <v>10</v>
      </c>
      <c r="F143" s="8">
        <f>_xlfn.IFNA(INDEX('OSA | 3GB'!J:L,MATCH(DATA!D143,'OSA | 3GB'!J:J,0),2),0)</f>
        <v>56</v>
      </c>
      <c r="G143" s="8">
        <f>_xlfn.IFNA(INDEX('OSA | 3GB'!J:L,MATCH(DATA!D143,'OSA | 3GB'!J:J,0),3),0)</f>
        <v>2490000</v>
      </c>
      <c r="H143" s="32">
        <f>_xlfn.IFNA(INDEX('OSA | 3GB'!A:C,MATCH(DATA!D143,'OSA | 3GB'!A:A,0),2),0)</f>
        <v>3</v>
      </c>
      <c r="I143" s="33">
        <f>_xlfn.IFNA(INDEX('OSA | 3GB'!A:C,MATCH(DATA!D143,'OSA | 3GB'!A:A,0),3),0)</f>
        <v>937000</v>
      </c>
      <c r="J143" s="33">
        <f>INDEX('BIO WAHYU'!B:G,MATCH(DATA!D143,'BIO WAHYU'!B:B,0),5)</f>
        <v>34</v>
      </c>
      <c r="K143" s="34">
        <f>INDEX('BIO WAHYU'!B:G,MATCH(DATA!D143,'BIO WAHYU'!B:B,0),6)</f>
        <v>30</v>
      </c>
      <c r="L143" s="35">
        <f>INDEX('BIO WAHYU'!B:H,MATCH(DATA!D143,'BIO WAHYU'!B:B,0),7)</f>
        <v>0</v>
      </c>
      <c r="M143" s="34">
        <f>INDEX('BIO WAHYU'!B:H,MATCH(DATA!D143,'BIO WAHYU'!B:B,0),4)</f>
        <v>6</v>
      </c>
    </row>
    <row r="144" spans="1:13">
      <c r="A144" s="43" t="s">
        <v>1673</v>
      </c>
      <c r="B144" s="43" t="s">
        <v>158</v>
      </c>
      <c r="C144" s="43" t="s">
        <v>1182</v>
      </c>
      <c r="D144" s="10">
        <v>199324</v>
      </c>
      <c r="E144" s="43" t="s">
        <v>10</v>
      </c>
      <c r="F144" s="8">
        <f>_xlfn.IFNA(INDEX('OSA | 3GB'!J:L,MATCH(DATA!D144,'OSA | 3GB'!J:J,0),2),0)</f>
        <v>3</v>
      </c>
      <c r="G144" s="8">
        <f>_xlfn.IFNA(INDEX('OSA | 3GB'!J:L,MATCH(DATA!D144,'OSA | 3GB'!J:J,0),3),0)</f>
        <v>150000</v>
      </c>
      <c r="H144" s="32" t="str">
        <f>_xlfn.IFNA(INDEX('OSA | 3GB'!A:C,MATCH(DATA!D144,'OSA | 3GB'!A:A,0),2),0)</f>
        <v xml:space="preserve"> -   </v>
      </c>
      <c r="I144" s="33">
        <f>_xlfn.IFNA(INDEX('OSA | 3GB'!A:C,MATCH(DATA!D144,'OSA | 3GB'!A:A,0),3),0)</f>
        <v>300000</v>
      </c>
      <c r="J144" s="33">
        <f>INDEX('BIO WAHYU'!B:G,MATCH(DATA!D144,'BIO WAHYU'!B:B,0),5)</f>
        <v>4</v>
      </c>
      <c r="K144" s="34">
        <f>INDEX('BIO WAHYU'!B:G,MATCH(DATA!D144,'BIO WAHYU'!B:B,0),6)</f>
        <v>2</v>
      </c>
      <c r="L144" s="35">
        <f>INDEX('BIO WAHYU'!B:H,MATCH(DATA!D144,'BIO WAHYU'!B:B,0),7)</f>
        <v>0</v>
      </c>
      <c r="M144" s="34">
        <f>INDEX('BIO WAHYU'!B:H,MATCH(DATA!D144,'BIO WAHYU'!B:B,0),4)</f>
        <v>0</v>
      </c>
    </row>
    <row r="145" spans="1:13">
      <c r="A145" s="43" t="s">
        <v>1672</v>
      </c>
      <c r="B145" s="43" t="s">
        <v>151</v>
      </c>
      <c r="C145" s="43" t="s">
        <v>1183</v>
      </c>
      <c r="D145" s="10">
        <v>533579</v>
      </c>
      <c r="E145" s="43" t="s">
        <v>10</v>
      </c>
      <c r="F145" s="8">
        <f>_xlfn.IFNA(INDEX('OSA | 3GB'!J:L,MATCH(DATA!D145,'OSA | 3GB'!J:J,0),2),0)</f>
        <v>4</v>
      </c>
      <c r="G145" s="8">
        <f>_xlfn.IFNA(INDEX('OSA | 3GB'!J:L,MATCH(DATA!D145,'OSA | 3GB'!J:J,0),3),0)</f>
        <v>2100000</v>
      </c>
      <c r="H145" s="32" t="str">
        <f>_xlfn.IFNA(INDEX('OSA | 3GB'!A:C,MATCH(DATA!D145,'OSA | 3GB'!A:A,0),2),0)</f>
        <v xml:space="preserve"> -   </v>
      </c>
      <c r="I145" s="33">
        <f>_xlfn.IFNA(INDEX('OSA | 3GB'!A:C,MATCH(DATA!D145,'OSA | 3GB'!A:A,0),3),0)</f>
        <v>1100000</v>
      </c>
      <c r="J145" s="33">
        <f>INDEX('BIO WAHYU'!B:G,MATCH(DATA!D145,'BIO WAHYU'!B:B,0),5)</f>
        <v>4</v>
      </c>
      <c r="K145" s="34">
        <f>INDEX('BIO WAHYU'!B:G,MATCH(DATA!D145,'BIO WAHYU'!B:B,0),6)</f>
        <v>1</v>
      </c>
      <c r="L145" s="35">
        <f>INDEX('BIO WAHYU'!B:H,MATCH(DATA!D145,'BIO WAHYU'!B:B,0),7)</f>
        <v>0</v>
      </c>
      <c r="M145" s="34">
        <f>INDEX('BIO WAHYU'!B:H,MATCH(DATA!D145,'BIO WAHYU'!B:B,0),4)</f>
        <v>0</v>
      </c>
    </row>
    <row r="146" spans="1:13">
      <c r="A146" s="43" t="s">
        <v>1671</v>
      </c>
      <c r="B146" s="43">
        <v>2613050885</v>
      </c>
      <c r="C146" s="43" t="s">
        <v>1165</v>
      </c>
      <c r="D146" s="10">
        <v>276648</v>
      </c>
      <c r="E146" s="43" t="s">
        <v>15</v>
      </c>
      <c r="F146" s="8">
        <f>_xlfn.IFNA(INDEX('OSA | 3GB'!J:L,MATCH(DATA!D146,'OSA | 3GB'!J:J,0),2),0)</f>
        <v>3</v>
      </c>
      <c r="G146" s="8">
        <f>_xlfn.IFNA(INDEX('OSA | 3GB'!J:L,MATCH(DATA!D146,'OSA | 3GB'!J:J,0),3),0)</f>
        <v>4101500</v>
      </c>
      <c r="H146" s="32" t="str">
        <f>_xlfn.IFNA(INDEX('OSA | 3GB'!A:C,MATCH(DATA!D146,'OSA | 3GB'!A:A,0),2),0)</f>
        <v xml:space="preserve"> -   </v>
      </c>
      <c r="I146" s="33" t="str">
        <f>_xlfn.IFNA(INDEX('OSA | 3GB'!A:C,MATCH(DATA!D146,'OSA | 3GB'!A:A,0),3),0)</f>
        <v xml:space="preserve"> -   </v>
      </c>
      <c r="J146" s="33">
        <f>INDEX('BIO WAHYU'!B:G,MATCH(DATA!D146,'BIO WAHYU'!B:B,0),5)</f>
        <v>1</v>
      </c>
      <c r="K146" s="34">
        <f>INDEX('BIO WAHYU'!B:G,MATCH(DATA!D146,'BIO WAHYU'!B:B,0),6)</f>
        <v>0</v>
      </c>
      <c r="L146" s="35">
        <f>INDEX('BIO WAHYU'!B:H,MATCH(DATA!D146,'BIO WAHYU'!B:B,0),7)</f>
        <v>0</v>
      </c>
      <c r="M146" s="34">
        <f>INDEX('BIO WAHYU'!B:H,MATCH(DATA!D146,'BIO WAHYU'!B:B,0),4)</f>
        <v>0</v>
      </c>
    </row>
    <row r="147" spans="1:13">
      <c r="A147" s="43" t="s">
        <v>1670</v>
      </c>
      <c r="B147" s="43" t="s">
        <v>145</v>
      </c>
      <c r="C147" s="43" t="s">
        <v>499</v>
      </c>
      <c r="D147" s="10">
        <v>211854</v>
      </c>
      <c r="E147" s="43" t="s">
        <v>10</v>
      </c>
      <c r="F147" s="8">
        <f>_xlfn.IFNA(INDEX('OSA | 3GB'!J:L,MATCH(DATA!D147,'OSA | 3GB'!J:J,0),2),0)</f>
        <v>2</v>
      </c>
      <c r="G147" s="8">
        <f>_xlfn.IFNA(INDEX('OSA | 3GB'!J:L,MATCH(DATA!D147,'OSA | 3GB'!J:J,0),3),0)</f>
        <v>11958000</v>
      </c>
      <c r="H147" s="32" t="str">
        <f>_xlfn.IFNA(INDEX('OSA | 3GB'!A:C,MATCH(DATA!D147,'OSA | 3GB'!A:A,0),2),0)</f>
        <v xml:space="preserve"> -   </v>
      </c>
      <c r="I147" s="33">
        <f>_xlfn.IFNA(INDEX('OSA | 3GB'!A:C,MATCH(DATA!D147,'OSA | 3GB'!A:A,0),3),0)</f>
        <v>5000000</v>
      </c>
      <c r="J147" s="33">
        <f>INDEX('BIO WAHYU'!B:G,MATCH(DATA!D147,'BIO WAHYU'!B:B,0),5)</f>
        <v>3</v>
      </c>
      <c r="K147" s="34">
        <f>INDEX('BIO WAHYU'!B:G,MATCH(DATA!D147,'BIO WAHYU'!B:B,0),6)</f>
        <v>1</v>
      </c>
      <c r="L147" s="35">
        <f>INDEX('BIO WAHYU'!B:H,MATCH(DATA!D147,'BIO WAHYU'!B:B,0),7)</f>
        <v>0</v>
      </c>
      <c r="M147" s="34">
        <f>INDEX('BIO WAHYU'!B:H,MATCH(DATA!D147,'BIO WAHYU'!B:B,0),4)</f>
        <v>0</v>
      </c>
    </row>
    <row r="148" spans="1:13">
      <c r="A148" s="43" t="s">
        <v>1672</v>
      </c>
      <c r="B148" s="43" t="s">
        <v>156</v>
      </c>
      <c r="C148" s="43" t="s">
        <v>968</v>
      </c>
      <c r="D148" s="10">
        <v>107298</v>
      </c>
      <c r="E148" s="43" t="s">
        <v>10</v>
      </c>
      <c r="F148" s="8">
        <f>_xlfn.IFNA(INDEX('OSA | 3GB'!J:L,MATCH(DATA!D148,'OSA | 3GB'!J:J,0),2),0)</f>
        <v>1</v>
      </c>
      <c r="G148" s="8">
        <f>_xlfn.IFNA(INDEX('OSA | 3GB'!J:L,MATCH(DATA!D148,'OSA | 3GB'!J:J,0),3),0)</f>
        <v>2100000</v>
      </c>
      <c r="H148" s="32" t="str">
        <f>_xlfn.IFNA(INDEX('OSA | 3GB'!A:C,MATCH(DATA!D148,'OSA | 3GB'!A:A,0),2),0)</f>
        <v xml:space="preserve"> -   </v>
      </c>
      <c r="I148" s="33">
        <f>_xlfn.IFNA(INDEX('OSA | 3GB'!A:C,MATCH(DATA!D148,'OSA | 3GB'!A:A,0),3),0)</f>
        <v>1000000</v>
      </c>
      <c r="J148" s="33">
        <f>INDEX('BIO WAHYU'!B:G,MATCH(DATA!D148,'BIO WAHYU'!B:B,0),5)</f>
        <v>2</v>
      </c>
      <c r="K148" s="34">
        <f>INDEX('BIO WAHYU'!B:G,MATCH(DATA!D148,'BIO WAHYU'!B:B,0),6)</f>
        <v>0</v>
      </c>
      <c r="L148" s="35">
        <f>INDEX('BIO WAHYU'!B:H,MATCH(DATA!D148,'BIO WAHYU'!B:B,0),7)</f>
        <v>0</v>
      </c>
      <c r="M148" s="34">
        <f>INDEX('BIO WAHYU'!B:H,MATCH(DATA!D148,'BIO WAHYU'!B:B,0),4)</f>
        <v>0</v>
      </c>
    </row>
    <row r="149" spans="1:13">
      <c r="A149" s="43" t="s">
        <v>1672</v>
      </c>
      <c r="B149" s="43" t="s">
        <v>150</v>
      </c>
      <c r="C149" s="43" t="s">
        <v>824</v>
      </c>
      <c r="D149" s="10">
        <v>305323</v>
      </c>
      <c r="E149" s="43" t="s">
        <v>10</v>
      </c>
      <c r="F149" s="8">
        <f>_xlfn.IFNA(INDEX('OSA | 3GB'!J:L,MATCH(DATA!D149,'OSA | 3GB'!J:J,0),2),0)</f>
        <v>0</v>
      </c>
      <c r="G149" s="8">
        <f>_xlfn.IFNA(INDEX('OSA | 3GB'!J:L,MATCH(DATA!D149,'OSA | 3GB'!J:J,0),3),0)</f>
        <v>0</v>
      </c>
      <c r="H149" s="32" t="str">
        <f>_xlfn.IFNA(INDEX('OSA | 3GB'!A:C,MATCH(DATA!D149,'OSA | 3GB'!A:A,0),2),0)</f>
        <v xml:space="preserve"> -   </v>
      </c>
      <c r="I149" s="33" t="str">
        <f>_xlfn.IFNA(INDEX('OSA | 3GB'!A:C,MATCH(DATA!D149,'OSA | 3GB'!A:A,0),3),0)</f>
        <v xml:space="preserve"> -   </v>
      </c>
      <c r="J149" s="33">
        <f>INDEX('BIO WAHYU'!B:G,MATCH(DATA!D149,'BIO WAHYU'!B:B,0),5)</f>
        <v>1</v>
      </c>
      <c r="K149" s="34">
        <f>INDEX('BIO WAHYU'!B:G,MATCH(DATA!D149,'BIO WAHYU'!B:B,0),6)</f>
        <v>0</v>
      </c>
      <c r="L149" s="35">
        <f>INDEX('BIO WAHYU'!B:H,MATCH(DATA!D149,'BIO WAHYU'!B:B,0),7)</f>
        <v>0</v>
      </c>
      <c r="M149" s="34">
        <f>INDEX('BIO WAHYU'!B:H,MATCH(DATA!D149,'BIO WAHYU'!B:B,0),4)</f>
        <v>0</v>
      </c>
    </row>
    <row r="150" spans="1:13">
      <c r="A150" s="43" t="s">
        <v>1674</v>
      </c>
      <c r="B150" s="43" t="s">
        <v>154</v>
      </c>
      <c r="C150" s="43" t="s">
        <v>1184</v>
      </c>
      <c r="D150" s="10">
        <v>278868</v>
      </c>
      <c r="E150" s="43" t="s">
        <v>10</v>
      </c>
      <c r="F150" s="8">
        <f>_xlfn.IFNA(INDEX('OSA | 3GB'!J:L,MATCH(DATA!D150,'OSA | 3GB'!J:J,0),2),0)</f>
        <v>1</v>
      </c>
      <c r="G150" s="8">
        <f>_xlfn.IFNA(INDEX('OSA | 3GB'!J:L,MATCH(DATA!D150,'OSA | 3GB'!J:J,0),3),0)</f>
        <v>100000</v>
      </c>
      <c r="H150" s="32" t="str">
        <f>_xlfn.IFNA(INDEX('OSA | 3GB'!A:C,MATCH(DATA!D150,'OSA | 3GB'!A:A,0),2),0)</f>
        <v xml:space="preserve"> -   </v>
      </c>
      <c r="I150" s="33">
        <f>_xlfn.IFNA(INDEX('OSA | 3GB'!A:C,MATCH(DATA!D150,'OSA | 3GB'!A:A,0),3),0)</f>
        <v>200000</v>
      </c>
      <c r="J150" s="33">
        <f>INDEX('BIO WAHYU'!B:G,MATCH(DATA!D150,'BIO WAHYU'!B:B,0),5)</f>
        <v>0</v>
      </c>
      <c r="K150" s="34">
        <f>INDEX('BIO WAHYU'!B:G,MATCH(DATA!D150,'BIO WAHYU'!B:B,0),6)</f>
        <v>0</v>
      </c>
      <c r="L150" s="35">
        <f>INDEX('BIO WAHYU'!B:H,MATCH(DATA!D150,'BIO WAHYU'!B:B,0),7)</f>
        <v>0</v>
      </c>
      <c r="M150" s="34">
        <f>INDEX('BIO WAHYU'!B:H,MATCH(DATA!D150,'BIO WAHYU'!B:B,0),4)</f>
        <v>0</v>
      </c>
    </row>
    <row r="151" spans="1:13">
      <c r="A151" s="43" t="s">
        <v>1672</v>
      </c>
      <c r="B151" s="43" t="s">
        <v>156</v>
      </c>
      <c r="C151" s="43" t="s">
        <v>1185</v>
      </c>
      <c r="D151" s="10">
        <v>357182</v>
      </c>
      <c r="E151" s="43" t="s">
        <v>15</v>
      </c>
      <c r="F151" s="8">
        <f>_xlfn.IFNA(INDEX('OSA | 3GB'!J:L,MATCH(DATA!D151,'OSA | 3GB'!J:J,0),2),0)</f>
        <v>0</v>
      </c>
      <c r="G151" s="8">
        <f>_xlfn.IFNA(INDEX('OSA | 3GB'!J:L,MATCH(DATA!D151,'OSA | 3GB'!J:J,0),3),0)</f>
        <v>300000</v>
      </c>
      <c r="H151" s="32" t="str">
        <f>_xlfn.IFNA(INDEX('OSA | 3GB'!A:C,MATCH(DATA!D151,'OSA | 3GB'!A:A,0),2),0)</f>
        <v xml:space="preserve"> -   </v>
      </c>
      <c r="I151" s="33" t="str">
        <f>_xlfn.IFNA(INDEX('OSA | 3GB'!A:C,MATCH(DATA!D151,'OSA | 3GB'!A:A,0),3),0)</f>
        <v xml:space="preserve"> -   </v>
      </c>
      <c r="J151" s="33">
        <f>INDEX('BIO WAHYU'!B:G,MATCH(DATA!D151,'BIO WAHYU'!B:B,0),5)</f>
        <v>1</v>
      </c>
      <c r="K151" s="34">
        <f>INDEX('BIO WAHYU'!B:G,MATCH(DATA!D151,'BIO WAHYU'!B:B,0),6)</f>
        <v>0</v>
      </c>
      <c r="L151" s="35">
        <f>INDEX('BIO WAHYU'!B:H,MATCH(DATA!D151,'BIO WAHYU'!B:B,0),7)</f>
        <v>0</v>
      </c>
      <c r="M151" s="34">
        <f>INDEX('BIO WAHYU'!B:H,MATCH(DATA!D151,'BIO WAHYU'!B:B,0),4)</f>
        <v>0</v>
      </c>
    </row>
    <row r="152" spans="1:13">
      <c r="A152" s="43" t="s">
        <v>1675</v>
      </c>
      <c r="B152" s="43">
        <v>2613051043</v>
      </c>
      <c r="C152" s="43" t="s">
        <v>1186</v>
      </c>
      <c r="D152" s="10">
        <v>12325965</v>
      </c>
      <c r="E152" s="43" t="s">
        <v>10</v>
      </c>
      <c r="F152" s="8">
        <f>_xlfn.IFNA(INDEX('OSA | 3GB'!J:L,MATCH(DATA!D152,'OSA | 3GB'!J:J,0),2),0)</f>
        <v>0</v>
      </c>
      <c r="G152" s="8">
        <f>_xlfn.IFNA(INDEX('OSA | 3GB'!J:L,MATCH(DATA!D152,'OSA | 3GB'!J:J,0),3),0)</f>
        <v>0</v>
      </c>
      <c r="H152" s="32" t="str">
        <f>_xlfn.IFNA(INDEX('OSA | 3GB'!A:C,MATCH(DATA!D152,'OSA | 3GB'!A:A,0),2),0)</f>
        <v xml:space="preserve"> -   </v>
      </c>
      <c r="I152" s="33" t="str">
        <f>_xlfn.IFNA(INDEX('OSA | 3GB'!A:C,MATCH(DATA!D152,'OSA | 3GB'!A:A,0),3),0)</f>
        <v xml:space="preserve"> -   </v>
      </c>
      <c r="J152" s="33">
        <f>INDEX('BIO WAHYU'!B:G,MATCH(DATA!D152,'BIO WAHYU'!B:B,0),5)</f>
        <v>0</v>
      </c>
      <c r="K152" s="34">
        <f>INDEX('BIO WAHYU'!B:G,MATCH(DATA!D152,'BIO WAHYU'!B:B,0),6)</f>
        <v>0</v>
      </c>
      <c r="L152" s="35">
        <f>INDEX('BIO WAHYU'!B:H,MATCH(DATA!D152,'BIO WAHYU'!B:B,0),7)</f>
        <v>0</v>
      </c>
      <c r="M152" s="34">
        <f>INDEX('BIO WAHYU'!B:H,MATCH(DATA!D152,'BIO WAHYU'!B:B,0),4)</f>
        <v>0</v>
      </c>
    </row>
    <row r="153" spans="1:13">
      <c r="A153" s="43" t="s">
        <v>1671</v>
      </c>
      <c r="B153" s="43" t="s">
        <v>142</v>
      </c>
      <c r="C153" s="43" t="s">
        <v>1187</v>
      </c>
      <c r="D153" s="10">
        <v>12300218</v>
      </c>
      <c r="E153" s="43" t="s">
        <v>15</v>
      </c>
      <c r="F153" s="8">
        <f>_xlfn.IFNA(INDEX('OSA | 3GB'!J:L,MATCH(DATA!D153,'OSA | 3GB'!J:J,0),2),0)</f>
        <v>6</v>
      </c>
      <c r="G153" s="8">
        <f>_xlfn.IFNA(INDEX('OSA | 3GB'!J:L,MATCH(DATA!D153,'OSA | 3GB'!J:J,0),3),0)</f>
        <v>8037000</v>
      </c>
      <c r="H153" s="32">
        <f>_xlfn.IFNA(INDEX('OSA | 3GB'!A:C,MATCH(DATA!D153,'OSA | 3GB'!A:A,0),2),0)</f>
        <v>18</v>
      </c>
      <c r="I153" s="33">
        <f>_xlfn.IFNA(INDEX('OSA | 3GB'!A:C,MATCH(DATA!D153,'OSA | 3GB'!A:A,0),3),0)</f>
        <v>2487000</v>
      </c>
      <c r="J153" s="33">
        <f>INDEX('BIO WAHYU'!B:G,MATCH(DATA!D153,'BIO WAHYU'!B:B,0),5)</f>
        <v>2</v>
      </c>
      <c r="K153" s="34">
        <f>INDEX('BIO WAHYU'!B:G,MATCH(DATA!D153,'BIO WAHYU'!B:B,0),6)</f>
        <v>5</v>
      </c>
      <c r="L153" s="35">
        <f>INDEX('BIO WAHYU'!B:H,MATCH(DATA!D153,'BIO WAHYU'!B:B,0),7)</f>
        <v>3</v>
      </c>
      <c r="M153" s="34">
        <f>INDEX('BIO WAHYU'!B:H,MATCH(DATA!D153,'BIO WAHYU'!B:B,0),4)</f>
        <v>0</v>
      </c>
    </row>
    <row r="154" spans="1:13">
      <c r="A154" s="43" t="s">
        <v>1675</v>
      </c>
      <c r="B154" s="43">
        <v>2613051043</v>
      </c>
      <c r="C154" s="43" t="s">
        <v>443</v>
      </c>
      <c r="D154" s="10">
        <v>12296823</v>
      </c>
      <c r="E154" s="43" t="s">
        <v>15</v>
      </c>
      <c r="F154" s="8">
        <f>_xlfn.IFNA(INDEX('OSA | 3GB'!J:L,MATCH(DATA!D154,'OSA | 3GB'!J:J,0),2),0)</f>
        <v>0</v>
      </c>
      <c r="G154" s="8">
        <f>_xlfn.IFNA(INDEX('OSA | 3GB'!J:L,MATCH(DATA!D154,'OSA | 3GB'!J:J,0),3),0)</f>
        <v>123000</v>
      </c>
      <c r="H154" s="32" t="str">
        <f>_xlfn.IFNA(INDEX('OSA | 3GB'!A:C,MATCH(DATA!D154,'OSA | 3GB'!A:A,0),2),0)</f>
        <v xml:space="preserve"> -   </v>
      </c>
      <c r="I154" s="33">
        <f>_xlfn.IFNA(INDEX('OSA | 3GB'!A:C,MATCH(DATA!D154,'OSA | 3GB'!A:A,0),3),0)</f>
        <v>700000</v>
      </c>
      <c r="J154" s="33">
        <f>INDEX('BIO WAHYU'!B:G,MATCH(DATA!D154,'BIO WAHYU'!B:B,0),5)</f>
        <v>0</v>
      </c>
      <c r="K154" s="34">
        <f>INDEX('BIO WAHYU'!B:G,MATCH(DATA!D154,'BIO WAHYU'!B:B,0),6)</f>
        <v>0</v>
      </c>
      <c r="L154" s="35">
        <f>INDEX('BIO WAHYU'!B:H,MATCH(DATA!D154,'BIO WAHYU'!B:B,0),7)</f>
        <v>0</v>
      </c>
      <c r="M154" s="34">
        <f>INDEX('BIO WAHYU'!B:H,MATCH(DATA!D154,'BIO WAHYU'!B:B,0),4)</f>
        <v>0</v>
      </c>
    </row>
    <row r="155" spans="1:13">
      <c r="A155" s="43" t="s">
        <v>1672</v>
      </c>
      <c r="B155" s="43" t="s">
        <v>156</v>
      </c>
      <c r="C155" s="43" t="s">
        <v>1188</v>
      </c>
      <c r="D155" s="10">
        <v>63849</v>
      </c>
      <c r="E155" s="43" t="s">
        <v>10</v>
      </c>
      <c r="F155" s="8">
        <f>_xlfn.IFNA(INDEX('OSA | 3GB'!J:L,MATCH(DATA!D155,'OSA | 3GB'!J:J,0),2),0)</f>
        <v>0</v>
      </c>
      <c r="G155" s="8">
        <f>_xlfn.IFNA(INDEX('OSA | 3GB'!J:L,MATCH(DATA!D155,'OSA | 3GB'!J:J,0),3),0)</f>
        <v>4600000</v>
      </c>
      <c r="H155" s="32" t="str">
        <f>_xlfn.IFNA(INDEX('OSA | 3GB'!A:C,MATCH(DATA!D155,'OSA | 3GB'!A:A,0),2),0)</f>
        <v xml:space="preserve"> -   </v>
      </c>
      <c r="I155" s="33">
        <f>_xlfn.IFNA(INDEX('OSA | 3GB'!A:C,MATCH(DATA!D155,'OSA | 3GB'!A:A,0),3),0)</f>
        <v>1500000</v>
      </c>
      <c r="J155" s="33">
        <f>INDEX('BIO WAHYU'!B:G,MATCH(DATA!D155,'BIO WAHYU'!B:B,0),5)</f>
        <v>3</v>
      </c>
      <c r="K155" s="34">
        <f>INDEX('BIO WAHYU'!B:G,MATCH(DATA!D155,'BIO WAHYU'!B:B,0),6)</f>
        <v>0</v>
      </c>
      <c r="L155" s="35">
        <f>INDEX('BIO WAHYU'!B:H,MATCH(DATA!D155,'BIO WAHYU'!B:B,0),7)</f>
        <v>0</v>
      </c>
      <c r="M155" s="34">
        <f>INDEX('BIO WAHYU'!B:H,MATCH(DATA!D155,'BIO WAHYU'!B:B,0),4)</f>
        <v>0</v>
      </c>
    </row>
    <row r="156" spans="1:13">
      <c r="A156" s="43" t="s">
        <v>1673</v>
      </c>
      <c r="B156" s="43" t="s">
        <v>143</v>
      </c>
      <c r="C156" s="43" t="s">
        <v>277</v>
      </c>
      <c r="D156" s="10">
        <v>62420</v>
      </c>
      <c r="E156" s="43" t="s">
        <v>15</v>
      </c>
      <c r="F156" s="8">
        <f>_xlfn.IFNA(INDEX('OSA | 3GB'!J:L,MATCH(DATA!D156,'OSA | 3GB'!J:J,0),2),0)</f>
        <v>3</v>
      </c>
      <c r="G156" s="8">
        <f>_xlfn.IFNA(INDEX('OSA | 3GB'!J:L,MATCH(DATA!D156,'OSA | 3GB'!J:J,0),3),0)</f>
        <v>812000</v>
      </c>
      <c r="H156" s="32">
        <f>_xlfn.IFNA(INDEX('OSA | 3GB'!A:C,MATCH(DATA!D156,'OSA | 3GB'!A:A,0),2),0)</f>
        <v>2</v>
      </c>
      <c r="I156" s="33">
        <f>_xlfn.IFNA(INDEX('OSA | 3GB'!A:C,MATCH(DATA!D156,'OSA | 3GB'!A:A,0),3),0)</f>
        <v>300000</v>
      </c>
      <c r="J156" s="33">
        <f>INDEX('BIO WAHYU'!B:G,MATCH(DATA!D156,'BIO WAHYU'!B:B,0),5)</f>
        <v>3</v>
      </c>
      <c r="K156" s="34">
        <f>INDEX('BIO WAHYU'!B:G,MATCH(DATA!D156,'BIO WAHYU'!B:B,0),6)</f>
        <v>1</v>
      </c>
      <c r="L156" s="35">
        <f>INDEX('BIO WAHYU'!B:H,MATCH(DATA!D156,'BIO WAHYU'!B:B,0),7)</f>
        <v>0</v>
      </c>
      <c r="M156" s="34">
        <f>INDEX('BIO WAHYU'!B:H,MATCH(DATA!D156,'BIO WAHYU'!B:B,0),4)</f>
        <v>0</v>
      </c>
    </row>
    <row r="157" spans="1:13">
      <c r="A157" s="43" t="s">
        <v>1671</v>
      </c>
      <c r="B157" s="43">
        <v>2613050886</v>
      </c>
      <c r="C157" s="43" t="s">
        <v>1189</v>
      </c>
      <c r="D157" s="10">
        <v>533758</v>
      </c>
      <c r="E157" s="43" t="s">
        <v>15</v>
      </c>
      <c r="F157" s="8">
        <f>_xlfn.IFNA(INDEX('OSA | 3GB'!J:L,MATCH(DATA!D157,'OSA | 3GB'!J:J,0),2),0)</f>
        <v>1</v>
      </c>
      <c r="G157" s="8">
        <f>_xlfn.IFNA(INDEX('OSA | 3GB'!J:L,MATCH(DATA!D157,'OSA | 3GB'!J:J,0),3),0)</f>
        <v>400000</v>
      </c>
      <c r="H157" s="32" t="str">
        <f>_xlfn.IFNA(INDEX('OSA | 3GB'!A:C,MATCH(DATA!D157,'OSA | 3GB'!A:A,0),2),0)</f>
        <v xml:space="preserve"> -   </v>
      </c>
      <c r="I157" s="33">
        <f>_xlfn.IFNA(INDEX('OSA | 3GB'!A:C,MATCH(DATA!D157,'OSA | 3GB'!A:A,0),3),0)</f>
        <v>200000</v>
      </c>
      <c r="J157" s="33">
        <f>INDEX('BIO WAHYU'!B:G,MATCH(DATA!D157,'BIO WAHYU'!B:B,0),5)</f>
        <v>1</v>
      </c>
      <c r="K157" s="34">
        <f>INDEX('BIO WAHYU'!B:G,MATCH(DATA!D157,'BIO WAHYU'!B:B,0),6)</f>
        <v>0</v>
      </c>
      <c r="L157" s="35">
        <f>INDEX('BIO WAHYU'!B:H,MATCH(DATA!D157,'BIO WAHYU'!B:B,0),7)</f>
        <v>0</v>
      </c>
      <c r="M157" s="34">
        <f>INDEX('BIO WAHYU'!B:H,MATCH(DATA!D157,'BIO WAHYU'!B:B,0),4)</f>
        <v>0</v>
      </c>
    </row>
    <row r="158" spans="1:13">
      <c r="A158" s="43" t="s">
        <v>1670</v>
      </c>
      <c r="B158" s="43" t="s">
        <v>145</v>
      </c>
      <c r="C158" s="43" t="s">
        <v>503</v>
      </c>
      <c r="D158" s="10">
        <v>358156</v>
      </c>
      <c r="E158" s="43" t="s">
        <v>23</v>
      </c>
      <c r="F158" s="8">
        <f>_xlfn.IFNA(INDEX('OSA | 3GB'!J:L,MATCH(DATA!D158,'OSA | 3GB'!J:J,0),2),0)</f>
        <v>12</v>
      </c>
      <c r="G158" s="8">
        <f>_xlfn.IFNA(INDEX('OSA | 3GB'!J:L,MATCH(DATA!D158,'OSA | 3GB'!J:J,0),3),0)</f>
        <v>9668000</v>
      </c>
      <c r="H158" s="32">
        <f>_xlfn.IFNA(INDEX('OSA | 3GB'!A:C,MATCH(DATA!D158,'OSA | 3GB'!A:A,0),2),0)</f>
        <v>29</v>
      </c>
      <c r="I158" s="33">
        <f>_xlfn.IFNA(INDEX('OSA | 3GB'!A:C,MATCH(DATA!D158,'OSA | 3GB'!A:A,0),3),0)</f>
        <v>5296000</v>
      </c>
      <c r="J158" s="33">
        <f>INDEX('BIO WAHYU'!B:G,MATCH(DATA!D158,'BIO WAHYU'!B:B,0),5)</f>
        <v>47</v>
      </c>
      <c r="K158" s="34">
        <f>INDEX('BIO WAHYU'!B:G,MATCH(DATA!D158,'BIO WAHYU'!B:B,0),6)</f>
        <v>26</v>
      </c>
      <c r="L158" s="35">
        <f>INDEX('BIO WAHYU'!B:H,MATCH(DATA!D158,'BIO WAHYU'!B:B,0),7)</f>
        <v>0</v>
      </c>
      <c r="M158" s="34">
        <f>INDEX('BIO WAHYU'!B:H,MATCH(DATA!D158,'BIO WAHYU'!B:B,0),4)</f>
        <v>1</v>
      </c>
    </row>
    <row r="159" spans="1:13">
      <c r="A159" s="43" t="s">
        <v>1674</v>
      </c>
      <c r="B159" s="43" t="s">
        <v>148</v>
      </c>
      <c r="C159" s="43" t="s">
        <v>1190</v>
      </c>
      <c r="D159" s="10">
        <v>211825</v>
      </c>
      <c r="E159" s="43" t="s">
        <v>23</v>
      </c>
      <c r="F159" s="8">
        <f>_xlfn.IFNA(INDEX('OSA | 3GB'!J:L,MATCH(DATA!D159,'OSA | 3GB'!J:J,0),2),0)</f>
        <v>0</v>
      </c>
      <c r="G159" s="8">
        <f>_xlfn.IFNA(INDEX('OSA | 3GB'!J:L,MATCH(DATA!D159,'OSA | 3GB'!J:J,0),3),0)</f>
        <v>0</v>
      </c>
      <c r="H159" s="32" t="str">
        <f>_xlfn.IFNA(INDEX('OSA | 3GB'!A:C,MATCH(DATA!D159,'OSA | 3GB'!A:A,0),2),0)</f>
        <v xml:space="preserve"> -   </v>
      </c>
      <c r="I159" s="33" t="str">
        <f>_xlfn.IFNA(INDEX('OSA | 3GB'!A:C,MATCH(DATA!D159,'OSA | 3GB'!A:A,0),3),0)</f>
        <v xml:space="preserve"> -   </v>
      </c>
      <c r="J159" s="33">
        <f>INDEX('BIO WAHYU'!B:G,MATCH(DATA!D159,'BIO WAHYU'!B:B,0),5)</f>
        <v>0</v>
      </c>
      <c r="K159" s="34">
        <f>INDEX('BIO WAHYU'!B:G,MATCH(DATA!D159,'BIO WAHYU'!B:B,0),6)</f>
        <v>1</v>
      </c>
      <c r="L159" s="35">
        <f>INDEX('BIO WAHYU'!B:H,MATCH(DATA!D159,'BIO WAHYU'!B:B,0),7)</f>
        <v>1</v>
      </c>
      <c r="M159" s="34">
        <f>INDEX('BIO WAHYU'!B:H,MATCH(DATA!D159,'BIO WAHYU'!B:B,0),4)</f>
        <v>0</v>
      </c>
    </row>
    <row r="160" spans="1:13">
      <c r="A160" s="43" t="s">
        <v>1670</v>
      </c>
      <c r="B160" s="43" t="s">
        <v>145</v>
      </c>
      <c r="C160" s="43" t="s">
        <v>1191</v>
      </c>
      <c r="D160" s="10">
        <v>61816</v>
      </c>
      <c r="E160" s="43" t="s">
        <v>23</v>
      </c>
      <c r="F160" s="8">
        <f>_xlfn.IFNA(INDEX('OSA | 3GB'!J:L,MATCH(DATA!D160,'OSA | 3GB'!J:J,0),2),0)</f>
        <v>5</v>
      </c>
      <c r="G160" s="8">
        <f>_xlfn.IFNA(INDEX('OSA | 3GB'!J:L,MATCH(DATA!D160,'OSA | 3GB'!J:J,0),3),0)</f>
        <v>5188300</v>
      </c>
      <c r="H160" s="32">
        <f>_xlfn.IFNA(INDEX('OSA | 3GB'!A:C,MATCH(DATA!D160,'OSA | 3GB'!A:A,0),2),0)</f>
        <v>9</v>
      </c>
      <c r="I160" s="33">
        <f>_xlfn.IFNA(INDEX('OSA | 3GB'!A:C,MATCH(DATA!D160,'OSA | 3GB'!A:A,0),3),0)</f>
        <v>298000</v>
      </c>
      <c r="J160" s="33">
        <f>INDEX('BIO WAHYU'!B:G,MATCH(DATA!D160,'BIO WAHYU'!B:B,0),5)</f>
        <v>5</v>
      </c>
      <c r="K160" s="34">
        <f>INDEX('BIO WAHYU'!B:G,MATCH(DATA!D160,'BIO WAHYU'!B:B,0),6)</f>
        <v>6</v>
      </c>
      <c r="L160" s="35">
        <f>INDEX('BIO WAHYU'!B:H,MATCH(DATA!D160,'BIO WAHYU'!B:B,0),7)</f>
        <v>1</v>
      </c>
      <c r="M160" s="34">
        <f>INDEX('BIO WAHYU'!B:H,MATCH(DATA!D160,'BIO WAHYU'!B:B,0),4)</f>
        <v>0</v>
      </c>
    </row>
    <row r="161" spans="1:13">
      <c r="A161" s="43" t="s">
        <v>1673</v>
      </c>
      <c r="B161" s="43" t="s">
        <v>141</v>
      </c>
      <c r="C161" s="43" t="s">
        <v>1192</v>
      </c>
      <c r="D161" s="10">
        <v>550632</v>
      </c>
      <c r="E161" s="43" t="s">
        <v>10</v>
      </c>
      <c r="F161" s="8">
        <f>_xlfn.IFNA(INDEX('OSA | 3GB'!J:L,MATCH(DATA!D161,'OSA | 3GB'!J:J,0),2),0)</f>
        <v>0</v>
      </c>
      <c r="G161" s="8">
        <f>_xlfn.IFNA(INDEX('OSA | 3GB'!J:L,MATCH(DATA!D161,'OSA | 3GB'!J:J,0),3),0)</f>
        <v>100000</v>
      </c>
      <c r="H161" s="32" t="str">
        <f>_xlfn.IFNA(INDEX('OSA | 3GB'!A:C,MATCH(DATA!D161,'OSA | 3GB'!A:A,0),2),0)</f>
        <v xml:space="preserve"> -   </v>
      </c>
      <c r="I161" s="33" t="str">
        <f>_xlfn.IFNA(INDEX('OSA | 3GB'!A:C,MATCH(DATA!D161,'OSA | 3GB'!A:A,0),3),0)</f>
        <v xml:space="preserve"> -   </v>
      </c>
      <c r="J161" s="33">
        <f>INDEX('BIO WAHYU'!B:G,MATCH(DATA!D161,'BIO WAHYU'!B:B,0),5)</f>
        <v>1</v>
      </c>
      <c r="K161" s="34">
        <f>INDEX('BIO WAHYU'!B:G,MATCH(DATA!D161,'BIO WAHYU'!B:B,0),6)</f>
        <v>0</v>
      </c>
      <c r="L161" s="35">
        <f>INDEX('BIO WAHYU'!B:H,MATCH(DATA!D161,'BIO WAHYU'!B:B,0),7)</f>
        <v>0</v>
      </c>
      <c r="M161" s="34">
        <f>INDEX('BIO WAHYU'!B:H,MATCH(DATA!D161,'BIO WAHYU'!B:B,0),4)</f>
        <v>0</v>
      </c>
    </row>
    <row r="162" spans="1:13">
      <c r="A162" s="43" t="s">
        <v>1672</v>
      </c>
      <c r="B162" s="43">
        <v>2613051475</v>
      </c>
      <c r="C162" s="43" t="s">
        <v>910</v>
      </c>
      <c r="D162" s="10">
        <v>522468</v>
      </c>
      <c r="E162" s="43" t="s">
        <v>10</v>
      </c>
      <c r="F162" s="8">
        <f>_xlfn.IFNA(INDEX('OSA | 3GB'!J:L,MATCH(DATA!D162,'OSA | 3GB'!J:J,0),2),0)</f>
        <v>3</v>
      </c>
      <c r="G162" s="8">
        <f>_xlfn.IFNA(INDEX('OSA | 3GB'!J:L,MATCH(DATA!D162,'OSA | 3GB'!J:J,0),3),0)</f>
        <v>750000</v>
      </c>
      <c r="H162" s="32" t="str">
        <f>_xlfn.IFNA(INDEX('OSA | 3GB'!A:C,MATCH(DATA!D162,'OSA | 3GB'!A:A,0),2),0)</f>
        <v xml:space="preserve"> -   </v>
      </c>
      <c r="I162" s="33">
        <f>_xlfn.IFNA(INDEX('OSA | 3GB'!A:C,MATCH(DATA!D162,'OSA | 3GB'!A:A,0),3),0)</f>
        <v>100000</v>
      </c>
      <c r="J162" s="33">
        <f>INDEX('BIO WAHYU'!B:G,MATCH(DATA!D162,'BIO WAHYU'!B:B,0),5)</f>
        <v>3</v>
      </c>
      <c r="K162" s="34">
        <f>INDEX('BIO WAHYU'!B:G,MATCH(DATA!D162,'BIO WAHYU'!B:B,0),6)</f>
        <v>0</v>
      </c>
      <c r="L162" s="35">
        <f>INDEX('BIO WAHYU'!B:H,MATCH(DATA!D162,'BIO WAHYU'!B:B,0),7)</f>
        <v>0</v>
      </c>
      <c r="M162" s="34">
        <f>INDEX('BIO WAHYU'!B:H,MATCH(DATA!D162,'BIO WAHYU'!B:B,0),4)</f>
        <v>0</v>
      </c>
    </row>
    <row r="163" spans="1:13">
      <c r="A163" s="43" t="s">
        <v>1670</v>
      </c>
      <c r="B163" s="43">
        <v>2613052584</v>
      </c>
      <c r="C163" s="43" t="s">
        <v>1193</v>
      </c>
      <c r="D163" s="10">
        <v>300024</v>
      </c>
      <c r="E163" s="43" t="s">
        <v>10</v>
      </c>
      <c r="F163" s="8">
        <f>_xlfn.IFNA(INDEX('OSA | 3GB'!J:L,MATCH(DATA!D163,'OSA | 3GB'!J:J,0),2),0)</f>
        <v>3</v>
      </c>
      <c r="G163" s="8">
        <f>_xlfn.IFNA(INDEX('OSA | 3GB'!J:L,MATCH(DATA!D163,'OSA | 3GB'!J:J,0),3),0)</f>
        <v>1123000</v>
      </c>
      <c r="H163" s="32" t="str">
        <f>_xlfn.IFNA(INDEX('OSA | 3GB'!A:C,MATCH(DATA!D163,'OSA | 3GB'!A:A,0),2),0)</f>
        <v xml:space="preserve"> -   </v>
      </c>
      <c r="I163" s="33" t="str">
        <f>_xlfn.IFNA(INDEX('OSA | 3GB'!A:C,MATCH(DATA!D163,'OSA | 3GB'!A:A,0),3),0)</f>
        <v xml:space="preserve"> -   </v>
      </c>
      <c r="J163" s="33">
        <f>INDEX('BIO WAHYU'!B:G,MATCH(DATA!D163,'BIO WAHYU'!B:B,0),5)</f>
        <v>0</v>
      </c>
      <c r="K163" s="34">
        <f>INDEX('BIO WAHYU'!B:G,MATCH(DATA!D163,'BIO WAHYU'!B:B,0),6)</f>
        <v>0</v>
      </c>
      <c r="L163" s="35">
        <f>INDEX('BIO WAHYU'!B:H,MATCH(DATA!D163,'BIO WAHYU'!B:B,0),7)</f>
        <v>0</v>
      </c>
      <c r="M163" s="34">
        <f>INDEX('BIO WAHYU'!B:H,MATCH(DATA!D163,'BIO WAHYU'!B:B,0),4)</f>
        <v>0</v>
      </c>
    </row>
    <row r="164" spans="1:13">
      <c r="A164" s="43" t="s">
        <v>1672</v>
      </c>
      <c r="B164" s="43" t="s">
        <v>150</v>
      </c>
      <c r="C164" s="43" t="s">
        <v>833</v>
      </c>
      <c r="D164" s="10">
        <v>535762</v>
      </c>
      <c r="E164" s="43" t="s">
        <v>10</v>
      </c>
      <c r="F164" s="8">
        <f>_xlfn.IFNA(INDEX('OSA | 3GB'!J:L,MATCH(DATA!D164,'OSA | 3GB'!J:J,0),2),0)</f>
        <v>0</v>
      </c>
      <c r="G164" s="8">
        <f>_xlfn.IFNA(INDEX('OSA | 3GB'!J:L,MATCH(DATA!D164,'OSA | 3GB'!J:J,0),3),0)</f>
        <v>850000</v>
      </c>
      <c r="H164" s="32" t="str">
        <f>_xlfn.IFNA(INDEX('OSA | 3GB'!A:C,MATCH(DATA!D164,'OSA | 3GB'!A:A,0),2),0)</f>
        <v xml:space="preserve"> -   </v>
      </c>
      <c r="I164" s="33" t="str">
        <f>_xlfn.IFNA(INDEX('OSA | 3GB'!A:C,MATCH(DATA!D164,'OSA | 3GB'!A:A,0),3),0)</f>
        <v xml:space="preserve"> -   </v>
      </c>
      <c r="J164" s="33">
        <f>INDEX('BIO WAHYU'!B:G,MATCH(DATA!D164,'BIO WAHYU'!B:B,0),5)</f>
        <v>0</v>
      </c>
      <c r="K164" s="34">
        <f>INDEX('BIO WAHYU'!B:G,MATCH(DATA!D164,'BIO WAHYU'!B:B,0),6)</f>
        <v>0</v>
      </c>
      <c r="L164" s="35">
        <f>INDEX('BIO WAHYU'!B:H,MATCH(DATA!D164,'BIO WAHYU'!B:B,0),7)</f>
        <v>0</v>
      </c>
      <c r="M164" s="34">
        <f>INDEX('BIO WAHYU'!B:H,MATCH(DATA!D164,'BIO WAHYU'!B:B,0),4)</f>
        <v>0</v>
      </c>
    </row>
    <row r="165" spans="1:13">
      <c r="A165" s="43" t="s">
        <v>1673</v>
      </c>
      <c r="B165" s="43" t="s">
        <v>1136</v>
      </c>
      <c r="C165" s="43" t="s">
        <v>1194</v>
      </c>
      <c r="D165" s="10">
        <v>238651</v>
      </c>
      <c r="E165" s="43" t="s">
        <v>10</v>
      </c>
      <c r="F165" s="8">
        <f>_xlfn.IFNA(INDEX('OSA | 3GB'!J:L,MATCH(DATA!D165,'OSA | 3GB'!J:J,0),2),0)</f>
        <v>2</v>
      </c>
      <c r="G165" s="8">
        <f>_xlfn.IFNA(INDEX('OSA | 3GB'!J:L,MATCH(DATA!D165,'OSA | 3GB'!J:J,0),3),0)</f>
        <v>1000000</v>
      </c>
      <c r="H165" s="32" t="str">
        <f>_xlfn.IFNA(INDEX('OSA | 3GB'!A:C,MATCH(DATA!D165,'OSA | 3GB'!A:A,0),2),0)</f>
        <v xml:space="preserve"> -   </v>
      </c>
      <c r="I165" s="33">
        <f>_xlfn.IFNA(INDEX('OSA | 3GB'!A:C,MATCH(DATA!D165,'OSA | 3GB'!A:A,0),3),0)</f>
        <v>400000</v>
      </c>
      <c r="J165" s="33">
        <f>INDEX('BIO WAHYU'!B:G,MATCH(DATA!D165,'BIO WAHYU'!B:B,0),5)</f>
        <v>1</v>
      </c>
      <c r="K165" s="34">
        <f>INDEX('BIO WAHYU'!B:G,MATCH(DATA!D165,'BIO WAHYU'!B:B,0),6)</f>
        <v>1</v>
      </c>
      <c r="L165" s="35">
        <f>INDEX('BIO WAHYU'!B:H,MATCH(DATA!D165,'BIO WAHYU'!B:B,0),7)</f>
        <v>0</v>
      </c>
      <c r="M165" s="34">
        <f>INDEX('BIO WAHYU'!B:H,MATCH(DATA!D165,'BIO WAHYU'!B:B,0),4)</f>
        <v>0</v>
      </c>
    </row>
    <row r="166" spans="1:13">
      <c r="A166" s="43" t="s">
        <v>1670</v>
      </c>
      <c r="B166" s="43" t="s">
        <v>140</v>
      </c>
      <c r="C166" s="43" t="s">
        <v>1108</v>
      </c>
      <c r="D166" s="10">
        <v>127079</v>
      </c>
      <c r="E166" s="43" t="s">
        <v>10</v>
      </c>
      <c r="F166" s="8">
        <f>_xlfn.IFNA(INDEX('OSA | 3GB'!J:L,MATCH(DATA!D166,'OSA | 3GB'!J:J,0),2),0)</f>
        <v>2</v>
      </c>
      <c r="G166" s="8">
        <f>_xlfn.IFNA(INDEX('OSA | 3GB'!J:L,MATCH(DATA!D166,'OSA | 3GB'!J:J,0),3),0)</f>
        <v>12200000</v>
      </c>
      <c r="H166" s="32" t="str">
        <f>_xlfn.IFNA(INDEX('OSA | 3GB'!A:C,MATCH(DATA!D166,'OSA | 3GB'!A:A,0),2),0)</f>
        <v xml:space="preserve"> -   </v>
      </c>
      <c r="I166" s="33">
        <f>_xlfn.IFNA(INDEX('OSA | 3GB'!A:C,MATCH(DATA!D166,'OSA | 3GB'!A:A,0),3),0)</f>
        <v>5500000</v>
      </c>
      <c r="J166" s="33">
        <f>INDEX('BIO WAHYU'!B:G,MATCH(DATA!D166,'BIO WAHYU'!B:B,0),5)</f>
        <v>3</v>
      </c>
      <c r="K166" s="34">
        <f>INDEX('BIO WAHYU'!B:G,MATCH(DATA!D166,'BIO WAHYU'!B:B,0),6)</f>
        <v>0</v>
      </c>
      <c r="L166" s="35">
        <f>INDEX('BIO WAHYU'!B:H,MATCH(DATA!D166,'BIO WAHYU'!B:B,0),7)</f>
        <v>0</v>
      </c>
      <c r="M166" s="34">
        <f>INDEX('BIO WAHYU'!B:H,MATCH(DATA!D166,'BIO WAHYU'!B:B,0),4)</f>
        <v>0</v>
      </c>
    </row>
    <row r="167" spans="1:13">
      <c r="A167" s="43" t="s">
        <v>1674</v>
      </c>
      <c r="B167" s="43" t="s">
        <v>148</v>
      </c>
      <c r="C167" s="43" t="s">
        <v>627</v>
      </c>
      <c r="D167" s="10">
        <v>12327278</v>
      </c>
      <c r="E167" s="43" t="s">
        <v>10</v>
      </c>
      <c r="F167" s="8">
        <f>_xlfn.IFNA(INDEX('OSA | 3GB'!J:L,MATCH(DATA!D167,'OSA | 3GB'!J:J,0),2),0)</f>
        <v>48</v>
      </c>
      <c r="G167" s="8">
        <f>_xlfn.IFNA(INDEX('OSA | 3GB'!J:L,MATCH(DATA!D167,'OSA | 3GB'!J:J,0),3),0)</f>
        <v>9050000</v>
      </c>
      <c r="H167" s="32" t="str">
        <f>_xlfn.IFNA(INDEX('OSA | 3GB'!A:C,MATCH(DATA!D167,'OSA | 3GB'!A:A,0),2),0)</f>
        <v xml:space="preserve"> -   </v>
      </c>
      <c r="I167" s="33">
        <f>_xlfn.IFNA(INDEX('OSA | 3GB'!A:C,MATCH(DATA!D167,'OSA | 3GB'!A:A,0),3),0)</f>
        <v>700000</v>
      </c>
      <c r="J167" s="33">
        <f>INDEX('BIO WAHYU'!B:G,MATCH(DATA!D167,'BIO WAHYU'!B:B,0),5)</f>
        <v>14</v>
      </c>
      <c r="K167" s="34">
        <f>INDEX('BIO WAHYU'!B:G,MATCH(DATA!D167,'BIO WAHYU'!B:B,0),6)</f>
        <v>6</v>
      </c>
      <c r="L167" s="35">
        <f>INDEX('BIO WAHYU'!B:H,MATCH(DATA!D167,'BIO WAHYU'!B:B,0),7)</f>
        <v>0</v>
      </c>
      <c r="M167" s="34">
        <f>INDEX('BIO WAHYU'!B:H,MATCH(DATA!D167,'BIO WAHYU'!B:B,0),4)</f>
        <v>0</v>
      </c>
    </row>
    <row r="168" spans="1:13">
      <c r="A168" s="43" t="s">
        <v>1671</v>
      </c>
      <c r="B168" s="43">
        <v>2613050886</v>
      </c>
      <c r="C168" s="43" t="s">
        <v>331</v>
      </c>
      <c r="D168" s="10">
        <v>528795</v>
      </c>
      <c r="E168" s="43" t="s">
        <v>15</v>
      </c>
      <c r="F168" s="8">
        <f>_xlfn.IFNA(INDEX('OSA | 3GB'!J:L,MATCH(DATA!D168,'OSA | 3GB'!J:J,0),2),0)</f>
        <v>4</v>
      </c>
      <c r="G168" s="8">
        <f>_xlfn.IFNA(INDEX('OSA | 3GB'!J:L,MATCH(DATA!D168,'OSA | 3GB'!J:J,0),3),0)</f>
        <v>1200000</v>
      </c>
      <c r="H168" s="32" t="str">
        <f>_xlfn.IFNA(INDEX('OSA | 3GB'!A:C,MATCH(DATA!D168,'OSA | 3GB'!A:A,0),2),0)</f>
        <v xml:space="preserve"> -   </v>
      </c>
      <c r="I168" s="33">
        <f>_xlfn.IFNA(INDEX('OSA | 3GB'!A:C,MATCH(DATA!D168,'OSA | 3GB'!A:A,0),3),0)</f>
        <v>100000</v>
      </c>
      <c r="J168" s="33">
        <f>INDEX('BIO WAHYU'!B:G,MATCH(DATA!D168,'BIO WAHYU'!B:B,0),5)</f>
        <v>4</v>
      </c>
      <c r="K168" s="34">
        <f>INDEX('BIO WAHYU'!B:G,MATCH(DATA!D168,'BIO WAHYU'!B:B,0),6)</f>
        <v>0</v>
      </c>
      <c r="L168" s="35">
        <f>INDEX('BIO WAHYU'!B:H,MATCH(DATA!D168,'BIO WAHYU'!B:B,0),7)</f>
        <v>0</v>
      </c>
      <c r="M168" s="34">
        <f>INDEX('BIO WAHYU'!B:H,MATCH(DATA!D168,'BIO WAHYU'!B:B,0),4)</f>
        <v>0</v>
      </c>
    </row>
    <row r="169" spans="1:13">
      <c r="A169" s="43" t="s">
        <v>1675</v>
      </c>
      <c r="B169" s="43" t="s">
        <v>136</v>
      </c>
      <c r="C169" s="43" t="s">
        <v>1195</v>
      </c>
      <c r="D169" s="10">
        <v>12324316</v>
      </c>
      <c r="E169" s="43" t="s">
        <v>10</v>
      </c>
      <c r="F169" s="8">
        <f>_xlfn.IFNA(INDEX('OSA | 3GB'!J:L,MATCH(DATA!D169,'OSA | 3GB'!J:J,0),2),0)</f>
        <v>0</v>
      </c>
      <c r="G169" s="8">
        <f>_xlfn.IFNA(INDEX('OSA | 3GB'!J:L,MATCH(DATA!D169,'OSA | 3GB'!J:J,0),3),0)</f>
        <v>0</v>
      </c>
      <c r="H169" s="32" t="str">
        <f>_xlfn.IFNA(INDEX('OSA | 3GB'!A:C,MATCH(DATA!D169,'OSA | 3GB'!A:A,0),2),0)</f>
        <v xml:space="preserve"> -   </v>
      </c>
      <c r="I169" s="33" t="str">
        <f>_xlfn.IFNA(INDEX('OSA | 3GB'!A:C,MATCH(DATA!D169,'OSA | 3GB'!A:A,0),3),0)</f>
        <v xml:space="preserve"> -   </v>
      </c>
      <c r="J169" s="33">
        <f>INDEX('BIO WAHYU'!B:G,MATCH(DATA!D169,'BIO WAHYU'!B:B,0),5)</f>
        <v>1</v>
      </c>
      <c r="K169" s="34">
        <f>INDEX('BIO WAHYU'!B:G,MATCH(DATA!D169,'BIO WAHYU'!B:B,0),6)</f>
        <v>0</v>
      </c>
      <c r="L169" s="35">
        <f>INDEX('BIO WAHYU'!B:H,MATCH(DATA!D169,'BIO WAHYU'!B:B,0),7)</f>
        <v>0</v>
      </c>
      <c r="M169" s="34">
        <f>INDEX('BIO WAHYU'!B:H,MATCH(DATA!D169,'BIO WAHYU'!B:B,0),4)</f>
        <v>0</v>
      </c>
    </row>
    <row r="170" spans="1:13">
      <c r="A170" s="43" t="s">
        <v>1670</v>
      </c>
      <c r="B170" s="43" t="s">
        <v>145</v>
      </c>
      <c r="C170" s="43" t="s">
        <v>484</v>
      </c>
      <c r="D170" s="10">
        <v>12300160</v>
      </c>
      <c r="E170" s="43" t="s">
        <v>10</v>
      </c>
      <c r="F170" s="8">
        <f>_xlfn.IFNA(INDEX('OSA | 3GB'!J:L,MATCH(DATA!D170,'OSA | 3GB'!J:J,0),2),0)</f>
        <v>334</v>
      </c>
      <c r="G170" s="8">
        <f>_xlfn.IFNA(INDEX('OSA | 3GB'!J:L,MATCH(DATA!D170,'OSA | 3GB'!J:J,0),3),0)</f>
        <v>26339300</v>
      </c>
      <c r="H170" s="32">
        <f>_xlfn.IFNA(INDEX('OSA | 3GB'!A:C,MATCH(DATA!D170,'OSA | 3GB'!A:A,0),2),0)</f>
        <v>279</v>
      </c>
      <c r="I170" s="33">
        <f>_xlfn.IFNA(INDEX('OSA | 3GB'!A:C,MATCH(DATA!D170,'OSA | 3GB'!A:A,0),3),0)</f>
        <v>8971000</v>
      </c>
      <c r="J170" s="33">
        <f>INDEX('BIO WAHYU'!B:G,MATCH(DATA!D170,'BIO WAHYU'!B:B,0),5)</f>
        <v>41</v>
      </c>
      <c r="K170" s="34">
        <f>INDEX('BIO WAHYU'!B:G,MATCH(DATA!D170,'BIO WAHYU'!B:B,0),6)</f>
        <v>14</v>
      </c>
      <c r="L170" s="35">
        <f>INDEX('BIO WAHYU'!B:H,MATCH(DATA!D170,'BIO WAHYU'!B:B,0),7)</f>
        <v>0</v>
      </c>
      <c r="M170" s="34">
        <f>INDEX('BIO WAHYU'!B:H,MATCH(DATA!D170,'BIO WAHYU'!B:B,0),4)</f>
        <v>0</v>
      </c>
    </row>
    <row r="171" spans="1:13">
      <c r="A171" s="43" t="s">
        <v>1672</v>
      </c>
      <c r="B171" s="43" t="s">
        <v>151</v>
      </c>
      <c r="C171" s="43" t="s">
        <v>1196</v>
      </c>
      <c r="D171" s="10">
        <v>551710</v>
      </c>
      <c r="E171" s="43" t="s">
        <v>10</v>
      </c>
      <c r="F171" s="8">
        <f>_xlfn.IFNA(INDEX('OSA | 3GB'!J:L,MATCH(DATA!D171,'OSA | 3GB'!J:J,0),2),0)</f>
        <v>5</v>
      </c>
      <c r="G171" s="8">
        <f>_xlfn.IFNA(INDEX('OSA | 3GB'!J:L,MATCH(DATA!D171,'OSA | 3GB'!J:J,0),3),0)</f>
        <v>5300000</v>
      </c>
      <c r="H171" s="32">
        <f>_xlfn.IFNA(INDEX('OSA | 3GB'!A:C,MATCH(DATA!D171,'OSA | 3GB'!A:A,0),2),0)</f>
        <v>2</v>
      </c>
      <c r="I171" s="33">
        <f>_xlfn.IFNA(INDEX('OSA | 3GB'!A:C,MATCH(DATA!D171,'OSA | 3GB'!A:A,0),3),0)</f>
        <v>458000</v>
      </c>
      <c r="J171" s="33">
        <f>INDEX('BIO WAHYU'!B:G,MATCH(DATA!D171,'BIO WAHYU'!B:B,0),5)</f>
        <v>3</v>
      </c>
      <c r="K171" s="34">
        <f>INDEX('BIO WAHYU'!B:G,MATCH(DATA!D171,'BIO WAHYU'!B:B,0),6)</f>
        <v>1</v>
      </c>
      <c r="L171" s="35">
        <f>INDEX('BIO WAHYU'!B:H,MATCH(DATA!D171,'BIO WAHYU'!B:B,0),7)</f>
        <v>0</v>
      </c>
      <c r="M171" s="34">
        <f>INDEX('BIO WAHYU'!B:H,MATCH(DATA!D171,'BIO WAHYU'!B:B,0),4)</f>
        <v>0</v>
      </c>
    </row>
    <row r="172" spans="1:13">
      <c r="A172" s="43" t="s">
        <v>1673</v>
      </c>
      <c r="B172" s="43" t="s">
        <v>141</v>
      </c>
      <c r="C172" s="43" t="s">
        <v>195</v>
      </c>
      <c r="D172" s="10">
        <v>2111</v>
      </c>
      <c r="E172" s="43" t="s">
        <v>10</v>
      </c>
      <c r="F172" s="8">
        <f>_xlfn.IFNA(INDEX('OSA | 3GB'!J:L,MATCH(DATA!D172,'OSA | 3GB'!J:J,0),2),0)</f>
        <v>19</v>
      </c>
      <c r="G172" s="8">
        <f>_xlfn.IFNA(INDEX('OSA | 3GB'!J:L,MATCH(DATA!D172,'OSA | 3GB'!J:J,0),3),0)</f>
        <v>600000</v>
      </c>
      <c r="H172" s="32" t="str">
        <f>_xlfn.IFNA(INDEX('OSA | 3GB'!A:C,MATCH(DATA!D172,'OSA | 3GB'!A:A,0),2),0)</f>
        <v xml:space="preserve"> -   </v>
      </c>
      <c r="I172" s="33">
        <f>_xlfn.IFNA(INDEX('OSA | 3GB'!A:C,MATCH(DATA!D172,'OSA | 3GB'!A:A,0),3),0)</f>
        <v>350000</v>
      </c>
      <c r="J172" s="33">
        <f>INDEX('BIO WAHYU'!B:G,MATCH(DATA!D172,'BIO WAHYU'!B:B,0),5)</f>
        <v>8</v>
      </c>
      <c r="K172" s="34">
        <f>INDEX('BIO WAHYU'!B:G,MATCH(DATA!D172,'BIO WAHYU'!B:B,0),6)</f>
        <v>7</v>
      </c>
      <c r="L172" s="35">
        <f>INDEX('BIO WAHYU'!B:H,MATCH(DATA!D172,'BIO WAHYU'!B:B,0),7)</f>
        <v>0</v>
      </c>
      <c r="M172" s="34">
        <f>INDEX('BIO WAHYU'!B:H,MATCH(DATA!D172,'BIO WAHYU'!B:B,0),4)</f>
        <v>0</v>
      </c>
    </row>
    <row r="173" spans="1:13">
      <c r="A173" s="43" t="s">
        <v>1674</v>
      </c>
      <c r="B173" s="43" t="s">
        <v>148</v>
      </c>
      <c r="C173" s="43" t="s">
        <v>1197</v>
      </c>
      <c r="D173" s="10">
        <v>244443</v>
      </c>
      <c r="E173" s="43" t="s">
        <v>10</v>
      </c>
      <c r="F173" s="8">
        <f>_xlfn.IFNA(INDEX('OSA | 3GB'!J:L,MATCH(DATA!D173,'OSA | 3GB'!J:J,0),2),0)</f>
        <v>0</v>
      </c>
      <c r="G173" s="8">
        <f>_xlfn.IFNA(INDEX('OSA | 3GB'!J:L,MATCH(DATA!D173,'OSA | 3GB'!J:J,0),3),0)</f>
        <v>18200000</v>
      </c>
      <c r="H173" s="32" t="str">
        <f>_xlfn.IFNA(INDEX('OSA | 3GB'!A:C,MATCH(DATA!D173,'OSA | 3GB'!A:A,0),2),0)</f>
        <v xml:space="preserve"> -   </v>
      </c>
      <c r="I173" s="33">
        <f>_xlfn.IFNA(INDEX('OSA | 3GB'!A:C,MATCH(DATA!D173,'OSA | 3GB'!A:A,0),3),0)</f>
        <v>7615000</v>
      </c>
      <c r="J173" s="33">
        <f>INDEX('BIO WAHYU'!B:G,MATCH(DATA!D173,'BIO WAHYU'!B:B,0),5)</f>
        <v>10</v>
      </c>
      <c r="K173" s="34">
        <f>INDEX('BIO WAHYU'!B:G,MATCH(DATA!D173,'BIO WAHYU'!B:B,0),6)</f>
        <v>6</v>
      </c>
      <c r="L173" s="35">
        <f>INDEX('BIO WAHYU'!B:H,MATCH(DATA!D173,'BIO WAHYU'!B:B,0),7)</f>
        <v>0</v>
      </c>
      <c r="M173" s="34">
        <f>INDEX('BIO WAHYU'!B:H,MATCH(DATA!D173,'BIO WAHYU'!B:B,0),4)</f>
        <v>0</v>
      </c>
    </row>
    <row r="174" spans="1:13">
      <c r="A174" s="43" t="s">
        <v>1670</v>
      </c>
      <c r="B174" s="43">
        <v>2613052584</v>
      </c>
      <c r="C174" s="43" t="s">
        <v>575</v>
      </c>
      <c r="D174" s="10">
        <v>12325929</v>
      </c>
      <c r="E174" s="43" t="s">
        <v>10</v>
      </c>
      <c r="F174" s="8">
        <f>_xlfn.IFNA(INDEX('OSA | 3GB'!J:L,MATCH(DATA!D174,'OSA | 3GB'!J:J,0),2),0)</f>
        <v>11</v>
      </c>
      <c r="G174" s="8">
        <f>_xlfn.IFNA(INDEX('OSA | 3GB'!J:L,MATCH(DATA!D174,'OSA | 3GB'!J:J,0),3),0)</f>
        <v>800000</v>
      </c>
      <c r="H174" s="32" t="str">
        <f>_xlfn.IFNA(INDEX('OSA | 3GB'!A:C,MATCH(DATA!D174,'OSA | 3GB'!A:A,0),2),0)</f>
        <v xml:space="preserve"> -   </v>
      </c>
      <c r="I174" s="33">
        <f>_xlfn.IFNA(INDEX('OSA | 3GB'!A:C,MATCH(DATA!D174,'OSA | 3GB'!A:A,0),3),0)</f>
        <v>150000</v>
      </c>
      <c r="J174" s="33">
        <f>INDEX('BIO WAHYU'!B:G,MATCH(DATA!D174,'BIO WAHYU'!B:B,0),5)</f>
        <v>3</v>
      </c>
      <c r="K174" s="34">
        <f>INDEX('BIO WAHYU'!B:G,MATCH(DATA!D174,'BIO WAHYU'!B:B,0),6)</f>
        <v>2</v>
      </c>
      <c r="L174" s="35">
        <f>INDEX('BIO WAHYU'!B:H,MATCH(DATA!D174,'BIO WAHYU'!B:B,0),7)</f>
        <v>0</v>
      </c>
      <c r="M174" s="34">
        <f>INDEX('BIO WAHYU'!B:H,MATCH(DATA!D174,'BIO WAHYU'!B:B,0),4)</f>
        <v>0</v>
      </c>
    </row>
    <row r="175" spans="1:13">
      <c r="A175" s="43" t="s">
        <v>1673</v>
      </c>
      <c r="B175" s="43" t="s">
        <v>141</v>
      </c>
      <c r="C175" s="43" t="s">
        <v>190</v>
      </c>
      <c r="D175" s="10">
        <v>12319342</v>
      </c>
      <c r="E175" s="43" t="s">
        <v>15</v>
      </c>
      <c r="F175" s="8">
        <f>_xlfn.IFNA(INDEX('OSA | 3GB'!J:L,MATCH(DATA!D175,'OSA | 3GB'!J:J,0),2),0)</f>
        <v>3</v>
      </c>
      <c r="G175" s="8">
        <f>_xlfn.IFNA(INDEX('OSA | 3GB'!J:L,MATCH(DATA!D175,'OSA | 3GB'!J:J,0),3),0)</f>
        <v>1050000</v>
      </c>
      <c r="H175" s="32" t="str">
        <f>_xlfn.IFNA(INDEX('OSA | 3GB'!A:C,MATCH(DATA!D175,'OSA | 3GB'!A:A,0),2),0)</f>
        <v xml:space="preserve"> -   </v>
      </c>
      <c r="I175" s="33" t="str">
        <f>_xlfn.IFNA(INDEX('OSA | 3GB'!A:C,MATCH(DATA!D175,'OSA | 3GB'!A:A,0),3),0)</f>
        <v xml:space="preserve"> -   </v>
      </c>
      <c r="J175" s="33">
        <f>INDEX('BIO WAHYU'!B:G,MATCH(DATA!D175,'BIO WAHYU'!B:B,0),5)</f>
        <v>0</v>
      </c>
      <c r="K175" s="34">
        <f>INDEX('BIO WAHYU'!B:G,MATCH(DATA!D175,'BIO WAHYU'!B:B,0),6)</f>
        <v>0</v>
      </c>
      <c r="L175" s="35">
        <f>INDEX('BIO WAHYU'!B:H,MATCH(DATA!D175,'BIO WAHYU'!B:B,0),7)</f>
        <v>0</v>
      </c>
      <c r="M175" s="34">
        <f>INDEX('BIO WAHYU'!B:H,MATCH(DATA!D175,'BIO WAHYU'!B:B,0),4)</f>
        <v>0</v>
      </c>
    </row>
    <row r="176" spans="1:13">
      <c r="A176" s="43" t="s">
        <v>1672</v>
      </c>
      <c r="B176" s="43" t="s">
        <v>151</v>
      </c>
      <c r="C176" s="43" t="s">
        <v>850</v>
      </c>
      <c r="D176" s="10">
        <v>12297387</v>
      </c>
      <c r="E176" s="43" t="s">
        <v>10</v>
      </c>
      <c r="F176" s="8">
        <f>_xlfn.IFNA(INDEX('OSA | 3GB'!J:L,MATCH(DATA!D176,'OSA | 3GB'!J:J,0),2),0)</f>
        <v>45</v>
      </c>
      <c r="G176" s="8">
        <f>_xlfn.IFNA(INDEX('OSA | 3GB'!J:L,MATCH(DATA!D176,'OSA | 3GB'!J:J,0),3),0)</f>
        <v>1325000</v>
      </c>
      <c r="H176" s="32" t="str">
        <f>_xlfn.IFNA(INDEX('OSA | 3GB'!A:C,MATCH(DATA!D176,'OSA | 3GB'!A:A,0),2),0)</f>
        <v xml:space="preserve"> -   </v>
      </c>
      <c r="I176" s="33">
        <f>_xlfn.IFNA(INDEX('OSA | 3GB'!A:C,MATCH(DATA!D176,'OSA | 3GB'!A:A,0),3),0)</f>
        <v>600000</v>
      </c>
      <c r="J176" s="33">
        <f>INDEX('BIO WAHYU'!B:G,MATCH(DATA!D176,'BIO WAHYU'!B:B,0),5)</f>
        <v>1</v>
      </c>
      <c r="K176" s="34">
        <f>INDEX('BIO WAHYU'!B:G,MATCH(DATA!D176,'BIO WAHYU'!B:B,0),6)</f>
        <v>1</v>
      </c>
      <c r="L176" s="35">
        <f>INDEX('BIO WAHYU'!B:H,MATCH(DATA!D176,'BIO WAHYU'!B:B,0),7)</f>
        <v>0</v>
      </c>
      <c r="M176" s="34">
        <f>INDEX('BIO WAHYU'!B:H,MATCH(DATA!D176,'BIO WAHYU'!B:B,0),4)</f>
        <v>0</v>
      </c>
    </row>
    <row r="177" spans="1:13">
      <c r="A177" s="43" t="s">
        <v>1672</v>
      </c>
      <c r="B177" s="43" t="s">
        <v>151</v>
      </c>
      <c r="C177" s="43" t="s">
        <v>863</v>
      </c>
      <c r="D177" s="10">
        <v>244518</v>
      </c>
      <c r="E177" s="43" t="s">
        <v>10</v>
      </c>
      <c r="F177" s="8">
        <f>_xlfn.IFNA(INDEX('OSA | 3GB'!J:L,MATCH(DATA!D177,'OSA | 3GB'!J:J,0),2),0)</f>
        <v>5</v>
      </c>
      <c r="G177" s="8">
        <f>_xlfn.IFNA(INDEX('OSA | 3GB'!J:L,MATCH(DATA!D177,'OSA | 3GB'!J:J,0),3),0)</f>
        <v>9200000</v>
      </c>
      <c r="H177" s="32" t="str">
        <f>_xlfn.IFNA(INDEX('OSA | 3GB'!A:C,MATCH(DATA!D177,'OSA | 3GB'!A:A,0),2),0)</f>
        <v xml:space="preserve"> -   </v>
      </c>
      <c r="I177" s="33">
        <f>_xlfn.IFNA(INDEX('OSA | 3GB'!A:C,MATCH(DATA!D177,'OSA | 3GB'!A:A,0),3),0)</f>
        <v>2500000</v>
      </c>
      <c r="J177" s="33">
        <f>INDEX('BIO WAHYU'!B:G,MATCH(DATA!D177,'BIO WAHYU'!B:B,0),5)</f>
        <v>3</v>
      </c>
      <c r="K177" s="34">
        <f>INDEX('BIO WAHYU'!B:G,MATCH(DATA!D177,'BIO WAHYU'!B:B,0),6)</f>
        <v>1</v>
      </c>
      <c r="L177" s="35">
        <f>INDEX('BIO WAHYU'!B:H,MATCH(DATA!D177,'BIO WAHYU'!B:B,0),7)</f>
        <v>0</v>
      </c>
      <c r="M177" s="34">
        <f>INDEX('BIO WAHYU'!B:H,MATCH(DATA!D177,'BIO WAHYU'!B:B,0),4)</f>
        <v>0</v>
      </c>
    </row>
    <row r="178" spans="1:13">
      <c r="A178" s="43" t="s">
        <v>1673</v>
      </c>
      <c r="B178" s="43" t="s">
        <v>141</v>
      </c>
      <c r="C178" s="43" t="s">
        <v>196</v>
      </c>
      <c r="D178" s="10">
        <v>347681</v>
      </c>
      <c r="E178" s="43" t="s">
        <v>15</v>
      </c>
      <c r="F178" s="8">
        <f>_xlfn.IFNA(INDEX('OSA | 3GB'!J:L,MATCH(DATA!D178,'OSA | 3GB'!J:J,0),2),0)</f>
        <v>31</v>
      </c>
      <c r="G178" s="8">
        <f>_xlfn.IFNA(INDEX('OSA | 3GB'!J:L,MATCH(DATA!D178,'OSA | 3GB'!J:J,0),3),0)</f>
        <v>450000</v>
      </c>
      <c r="H178" s="32" t="str">
        <f>_xlfn.IFNA(INDEX('OSA | 3GB'!A:C,MATCH(DATA!D178,'OSA | 3GB'!A:A,0),2),0)</f>
        <v xml:space="preserve"> -   </v>
      </c>
      <c r="I178" s="33">
        <f>_xlfn.IFNA(INDEX('OSA | 3GB'!A:C,MATCH(DATA!D178,'OSA | 3GB'!A:A,0),3),0)</f>
        <v>150000</v>
      </c>
      <c r="J178" s="33">
        <f>INDEX('BIO WAHYU'!B:G,MATCH(DATA!D178,'BIO WAHYU'!B:B,0),5)</f>
        <v>3</v>
      </c>
      <c r="K178" s="34">
        <f>INDEX('BIO WAHYU'!B:G,MATCH(DATA!D178,'BIO WAHYU'!B:B,0),6)</f>
        <v>0</v>
      </c>
      <c r="L178" s="35">
        <f>INDEX('BIO WAHYU'!B:H,MATCH(DATA!D178,'BIO WAHYU'!B:B,0),7)</f>
        <v>0</v>
      </c>
      <c r="M178" s="34">
        <f>INDEX('BIO WAHYU'!B:H,MATCH(DATA!D178,'BIO WAHYU'!B:B,0),4)</f>
        <v>0</v>
      </c>
    </row>
    <row r="179" spans="1:13">
      <c r="A179" s="43" t="s">
        <v>1672</v>
      </c>
      <c r="B179" s="43" t="s">
        <v>157</v>
      </c>
      <c r="C179" s="43" t="s">
        <v>1057</v>
      </c>
      <c r="D179" s="10">
        <v>579763</v>
      </c>
      <c r="E179" s="43" t="s">
        <v>10</v>
      </c>
      <c r="F179" s="8">
        <f>_xlfn.IFNA(INDEX('OSA | 3GB'!J:L,MATCH(DATA!D179,'OSA | 3GB'!J:J,0),2),0)</f>
        <v>4</v>
      </c>
      <c r="G179" s="8">
        <f>_xlfn.IFNA(INDEX('OSA | 3GB'!J:L,MATCH(DATA!D179,'OSA | 3GB'!J:J,0),3),0)</f>
        <v>5158000</v>
      </c>
      <c r="H179" s="32">
        <f>_xlfn.IFNA(INDEX('OSA | 3GB'!A:C,MATCH(DATA!D179,'OSA | 3GB'!A:A,0),2),0)</f>
        <v>3</v>
      </c>
      <c r="I179" s="33">
        <f>_xlfn.IFNA(INDEX('OSA | 3GB'!A:C,MATCH(DATA!D179,'OSA | 3GB'!A:A,0),3),0)</f>
        <v>2587000</v>
      </c>
      <c r="J179" s="33">
        <f>INDEX('BIO WAHYU'!B:G,MATCH(DATA!D179,'BIO WAHYU'!B:B,0),5)</f>
        <v>3</v>
      </c>
      <c r="K179" s="34">
        <f>INDEX('BIO WAHYU'!B:G,MATCH(DATA!D179,'BIO WAHYU'!B:B,0),6)</f>
        <v>3</v>
      </c>
      <c r="L179" s="35">
        <f>INDEX('BIO WAHYU'!B:H,MATCH(DATA!D179,'BIO WAHYU'!B:B,0),7)</f>
        <v>0</v>
      </c>
      <c r="M179" s="34">
        <f>INDEX('BIO WAHYU'!B:H,MATCH(DATA!D179,'BIO WAHYU'!B:B,0),4)</f>
        <v>0</v>
      </c>
    </row>
    <row r="180" spans="1:13">
      <c r="A180" s="43" t="s">
        <v>1672</v>
      </c>
      <c r="B180" s="43">
        <v>2613051475</v>
      </c>
      <c r="C180" s="43" t="s">
        <v>901</v>
      </c>
      <c r="D180" s="10">
        <v>377602</v>
      </c>
      <c r="E180" s="43" t="s">
        <v>10</v>
      </c>
      <c r="F180" s="8">
        <f>_xlfn.IFNA(INDEX('OSA | 3GB'!J:L,MATCH(DATA!D180,'OSA | 3GB'!J:J,0),2),0)</f>
        <v>3</v>
      </c>
      <c r="G180" s="8">
        <f>_xlfn.IFNA(INDEX('OSA | 3GB'!J:L,MATCH(DATA!D180,'OSA | 3GB'!J:J,0),3),0)</f>
        <v>500000</v>
      </c>
      <c r="H180" s="32" t="str">
        <f>_xlfn.IFNA(INDEX('OSA | 3GB'!A:C,MATCH(DATA!D180,'OSA | 3GB'!A:A,0),2),0)</f>
        <v xml:space="preserve"> -   </v>
      </c>
      <c r="I180" s="33">
        <f>_xlfn.IFNA(INDEX('OSA | 3GB'!A:C,MATCH(DATA!D180,'OSA | 3GB'!A:A,0),3),0)</f>
        <v>100000</v>
      </c>
      <c r="J180" s="33">
        <f>INDEX('BIO WAHYU'!B:G,MATCH(DATA!D180,'BIO WAHYU'!B:B,0),5)</f>
        <v>2</v>
      </c>
      <c r="K180" s="34">
        <f>INDEX('BIO WAHYU'!B:G,MATCH(DATA!D180,'BIO WAHYU'!B:B,0),6)</f>
        <v>0</v>
      </c>
      <c r="L180" s="35">
        <f>INDEX('BIO WAHYU'!B:H,MATCH(DATA!D180,'BIO WAHYU'!B:B,0),7)</f>
        <v>0</v>
      </c>
      <c r="M180" s="34">
        <f>INDEX('BIO WAHYU'!B:H,MATCH(DATA!D180,'BIO WAHYU'!B:B,0),4)</f>
        <v>0</v>
      </c>
    </row>
    <row r="181" spans="1:13">
      <c r="A181" s="43" t="s">
        <v>1672</v>
      </c>
      <c r="B181" s="43" t="s">
        <v>157</v>
      </c>
      <c r="C181" s="43" t="s">
        <v>200</v>
      </c>
      <c r="D181" s="10">
        <v>243830</v>
      </c>
      <c r="E181" s="43" t="s">
        <v>15</v>
      </c>
      <c r="F181" s="8">
        <f>_xlfn.IFNA(INDEX('OSA | 3GB'!J:L,MATCH(DATA!D181,'OSA | 3GB'!J:J,0),2),0)</f>
        <v>1</v>
      </c>
      <c r="G181" s="8">
        <f>_xlfn.IFNA(INDEX('OSA | 3GB'!J:L,MATCH(DATA!D181,'OSA | 3GB'!J:J,0),3),0)</f>
        <v>550000</v>
      </c>
      <c r="H181" s="32" t="str">
        <f>_xlfn.IFNA(INDEX('OSA | 3GB'!A:C,MATCH(DATA!D181,'OSA | 3GB'!A:A,0),2),0)</f>
        <v xml:space="preserve"> -   </v>
      </c>
      <c r="I181" s="33" t="str">
        <f>_xlfn.IFNA(INDEX('OSA | 3GB'!A:C,MATCH(DATA!D181,'OSA | 3GB'!A:A,0),3),0)</f>
        <v xml:space="preserve"> -   </v>
      </c>
      <c r="J181" s="33">
        <f>INDEX('BIO WAHYU'!B:G,MATCH(DATA!D181,'BIO WAHYU'!B:B,0),5)</f>
        <v>0</v>
      </c>
      <c r="K181" s="34">
        <f>INDEX('BIO WAHYU'!B:G,MATCH(DATA!D181,'BIO WAHYU'!B:B,0),6)</f>
        <v>1</v>
      </c>
      <c r="L181" s="35">
        <f>INDEX('BIO WAHYU'!B:H,MATCH(DATA!D181,'BIO WAHYU'!B:B,0),7)</f>
        <v>1</v>
      </c>
      <c r="M181" s="34">
        <f>INDEX('BIO WAHYU'!B:H,MATCH(DATA!D181,'BIO WAHYU'!B:B,0),4)</f>
        <v>0</v>
      </c>
    </row>
    <row r="182" spans="1:13">
      <c r="A182" s="43" t="s">
        <v>1674</v>
      </c>
      <c r="B182" s="43" t="s">
        <v>153</v>
      </c>
      <c r="C182" s="43" t="s">
        <v>1198</v>
      </c>
      <c r="D182" s="10">
        <v>1222</v>
      </c>
      <c r="E182" s="43" t="s">
        <v>10</v>
      </c>
      <c r="F182" s="8">
        <f>_xlfn.IFNA(INDEX('OSA | 3GB'!J:L,MATCH(DATA!D182,'OSA | 3GB'!J:J,0),2),0)</f>
        <v>1</v>
      </c>
      <c r="G182" s="8">
        <f>_xlfn.IFNA(INDEX('OSA | 3GB'!J:L,MATCH(DATA!D182,'OSA | 3GB'!J:J,0),3),0)</f>
        <v>200000</v>
      </c>
      <c r="H182" s="32" t="str">
        <f>_xlfn.IFNA(INDEX('OSA | 3GB'!A:C,MATCH(DATA!D182,'OSA | 3GB'!A:A,0),2),0)</f>
        <v xml:space="preserve"> -   </v>
      </c>
      <c r="I182" s="33">
        <f>_xlfn.IFNA(INDEX('OSA | 3GB'!A:C,MATCH(DATA!D182,'OSA | 3GB'!A:A,0),3),0)</f>
        <v>100000</v>
      </c>
      <c r="J182" s="33">
        <f>INDEX('BIO WAHYU'!B:G,MATCH(DATA!D182,'BIO WAHYU'!B:B,0),5)</f>
        <v>1</v>
      </c>
      <c r="K182" s="34">
        <f>INDEX('BIO WAHYU'!B:G,MATCH(DATA!D182,'BIO WAHYU'!B:B,0),6)</f>
        <v>0</v>
      </c>
      <c r="L182" s="35">
        <f>INDEX('BIO WAHYU'!B:H,MATCH(DATA!D182,'BIO WAHYU'!B:B,0),7)</f>
        <v>0</v>
      </c>
      <c r="M182" s="34">
        <f>INDEX('BIO WAHYU'!B:H,MATCH(DATA!D182,'BIO WAHYU'!B:B,0),4)</f>
        <v>1</v>
      </c>
    </row>
    <row r="183" spans="1:13">
      <c r="A183" s="43" t="s">
        <v>1670</v>
      </c>
      <c r="B183" s="43" t="s">
        <v>145</v>
      </c>
      <c r="C183" s="43" t="s">
        <v>497</v>
      </c>
      <c r="D183" s="10">
        <v>211616</v>
      </c>
      <c r="E183" s="43" t="s">
        <v>15</v>
      </c>
      <c r="F183" s="8">
        <f>_xlfn.IFNA(INDEX('OSA | 3GB'!J:L,MATCH(DATA!D183,'OSA | 3GB'!J:J,0),2),0)</f>
        <v>5</v>
      </c>
      <c r="G183" s="8">
        <f>_xlfn.IFNA(INDEX('OSA | 3GB'!J:L,MATCH(DATA!D183,'OSA | 3GB'!J:J,0),3),0)</f>
        <v>1500000</v>
      </c>
      <c r="H183" s="32">
        <f>_xlfn.IFNA(INDEX('OSA | 3GB'!A:C,MATCH(DATA!D183,'OSA | 3GB'!A:A,0),2),0)</f>
        <v>3</v>
      </c>
      <c r="I183" s="33" t="str">
        <f>_xlfn.IFNA(INDEX('OSA | 3GB'!A:C,MATCH(DATA!D183,'OSA | 3GB'!A:A,0),3),0)</f>
        <v xml:space="preserve"> -   </v>
      </c>
      <c r="J183" s="33">
        <f>INDEX('BIO WAHYU'!B:G,MATCH(DATA!D183,'BIO WAHYU'!B:B,0),5)</f>
        <v>3</v>
      </c>
      <c r="K183" s="34">
        <f>INDEX('BIO WAHYU'!B:G,MATCH(DATA!D183,'BIO WAHYU'!B:B,0),6)</f>
        <v>0</v>
      </c>
      <c r="L183" s="35">
        <f>INDEX('BIO WAHYU'!B:H,MATCH(DATA!D183,'BIO WAHYU'!B:B,0),7)</f>
        <v>0</v>
      </c>
      <c r="M183" s="34">
        <f>INDEX('BIO WAHYU'!B:H,MATCH(DATA!D183,'BIO WAHYU'!B:B,0),4)</f>
        <v>0</v>
      </c>
    </row>
    <row r="184" spans="1:13">
      <c r="A184" s="43" t="s">
        <v>1672</v>
      </c>
      <c r="B184" s="43" t="s">
        <v>155</v>
      </c>
      <c r="C184" s="43" t="s">
        <v>931</v>
      </c>
      <c r="D184" s="10">
        <v>225921</v>
      </c>
      <c r="E184" s="43" t="s">
        <v>15</v>
      </c>
      <c r="F184" s="8">
        <f>_xlfn.IFNA(INDEX('OSA | 3GB'!J:L,MATCH(DATA!D184,'OSA | 3GB'!J:J,0),2),0)</f>
        <v>10</v>
      </c>
      <c r="G184" s="8">
        <f>_xlfn.IFNA(INDEX('OSA | 3GB'!J:L,MATCH(DATA!D184,'OSA | 3GB'!J:J,0),3),0)</f>
        <v>150000</v>
      </c>
      <c r="H184" s="32">
        <f>_xlfn.IFNA(INDEX('OSA | 3GB'!A:C,MATCH(DATA!D184,'OSA | 3GB'!A:A,0),2),0)</f>
        <v>13</v>
      </c>
      <c r="I184" s="33">
        <f>_xlfn.IFNA(INDEX('OSA | 3GB'!A:C,MATCH(DATA!D184,'OSA | 3GB'!A:A,0),3),0)</f>
        <v>390000</v>
      </c>
      <c r="J184" s="33">
        <f>INDEX('BIO WAHYU'!B:G,MATCH(DATA!D184,'BIO WAHYU'!B:B,0),5)</f>
        <v>1</v>
      </c>
      <c r="K184" s="34">
        <f>INDEX('BIO WAHYU'!B:G,MATCH(DATA!D184,'BIO WAHYU'!B:B,0),6)</f>
        <v>3</v>
      </c>
      <c r="L184" s="35">
        <f>INDEX('BIO WAHYU'!B:H,MATCH(DATA!D184,'BIO WAHYU'!B:B,0),7)</f>
        <v>2</v>
      </c>
      <c r="M184" s="34">
        <f>INDEX('BIO WAHYU'!B:H,MATCH(DATA!D184,'BIO WAHYU'!B:B,0),4)</f>
        <v>0</v>
      </c>
    </row>
    <row r="185" spans="1:13">
      <c r="A185" s="43" t="s">
        <v>1673</v>
      </c>
      <c r="B185" s="43" t="s">
        <v>1136</v>
      </c>
      <c r="C185" s="43" t="s">
        <v>1128</v>
      </c>
      <c r="D185" s="10">
        <v>366732</v>
      </c>
      <c r="E185" s="43" t="s">
        <v>10</v>
      </c>
      <c r="F185" s="8">
        <f>_xlfn.IFNA(INDEX('OSA | 3GB'!J:L,MATCH(DATA!D185,'OSA | 3GB'!J:J,0),2),0)</f>
        <v>17</v>
      </c>
      <c r="G185" s="8">
        <f>_xlfn.IFNA(INDEX('OSA | 3GB'!J:L,MATCH(DATA!D185,'OSA | 3GB'!J:J,0),3),0)</f>
        <v>1512500</v>
      </c>
      <c r="H185" s="32" t="str">
        <f>_xlfn.IFNA(INDEX('OSA | 3GB'!A:C,MATCH(DATA!D185,'OSA | 3GB'!A:A,0),2),0)</f>
        <v xml:space="preserve"> -   </v>
      </c>
      <c r="I185" s="33">
        <f>_xlfn.IFNA(INDEX('OSA | 3GB'!A:C,MATCH(DATA!D185,'OSA | 3GB'!A:A,0),3),0)</f>
        <v>500000</v>
      </c>
      <c r="J185" s="33">
        <f>INDEX('BIO WAHYU'!B:G,MATCH(DATA!D185,'BIO WAHYU'!B:B,0),5)</f>
        <v>1</v>
      </c>
      <c r="K185" s="34">
        <f>INDEX('BIO WAHYU'!B:G,MATCH(DATA!D185,'BIO WAHYU'!B:B,0),6)</f>
        <v>2</v>
      </c>
      <c r="L185" s="35">
        <f>INDEX('BIO WAHYU'!B:H,MATCH(DATA!D185,'BIO WAHYU'!B:B,0),7)</f>
        <v>1</v>
      </c>
      <c r="M185" s="34">
        <f>INDEX('BIO WAHYU'!B:H,MATCH(DATA!D185,'BIO WAHYU'!B:B,0),4)</f>
        <v>0</v>
      </c>
    </row>
    <row r="186" spans="1:13">
      <c r="A186" s="43" t="s">
        <v>1672</v>
      </c>
      <c r="B186" s="43" t="s">
        <v>149</v>
      </c>
      <c r="C186" s="43" t="s">
        <v>791</v>
      </c>
      <c r="D186" s="10">
        <v>422775</v>
      </c>
      <c r="E186" s="43" t="s">
        <v>23</v>
      </c>
      <c r="F186" s="8">
        <f>_xlfn.IFNA(INDEX('OSA | 3GB'!J:L,MATCH(DATA!D186,'OSA | 3GB'!J:J,0),2),0)</f>
        <v>8</v>
      </c>
      <c r="G186" s="8">
        <f>_xlfn.IFNA(INDEX('OSA | 3GB'!J:L,MATCH(DATA!D186,'OSA | 3GB'!J:J,0),3),0)</f>
        <v>63587896</v>
      </c>
      <c r="H186" s="32">
        <f>_xlfn.IFNA(INDEX('OSA | 3GB'!A:C,MATCH(DATA!D186,'OSA | 3GB'!A:A,0),2),0)</f>
        <v>4</v>
      </c>
      <c r="I186" s="33">
        <f>_xlfn.IFNA(INDEX('OSA | 3GB'!A:C,MATCH(DATA!D186,'OSA | 3GB'!A:A,0),3),0)</f>
        <v>23380986</v>
      </c>
      <c r="J186" s="33">
        <f>INDEX('BIO WAHYU'!B:G,MATCH(DATA!D186,'BIO WAHYU'!B:B,0),5)</f>
        <v>16</v>
      </c>
      <c r="K186" s="34">
        <f>INDEX('BIO WAHYU'!B:G,MATCH(DATA!D186,'BIO WAHYU'!B:B,0),6)</f>
        <v>10</v>
      </c>
      <c r="L186" s="35">
        <f>INDEX('BIO WAHYU'!B:H,MATCH(DATA!D186,'BIO WAHYU'!B:B,0),7)</f>
        <v>0</v>
      </c>
      <c r="M186" s="34">
        <f>INDEX('BIO WAHYU'!B:H,MATCH(DATA!D186,'BIO WAHYU'!B:B,0),4)</f>
        <v>2</v>
      </c>
    </row>
    <row r="187" spans="1:13">
      <c r="A187" s="43" t="s">
        <v>1672</v>
      </c>
      <c r="B187" s="43">
        <v>2613051475</v>
      </c>
      <c r="C187" s="43" t="s">
        <v>888</v>
      </c>
      <c r="D187" s="10">
        <v>186842</v>
      </c>
      <c r="E187" s="43" t="s">
        <v>10</v>
      </c>
      <c r="F187" s="8">
        <f>_xlfn.IFNA(INDEX('OSA | 3GB'!J:L,MATCH(DATA!D187,'OSA | 3GB'!J:J,0),2),0)</f>
        <v>0</v>
      </c>
      <c r="G187" s="8">
        <f>_xlfn.IFNA(INDEX('OSA | 3GB'!J:L,MATCH(DATA!D187,'OSA | 3GB'!J:J,0),3),0)</f>
        <v>2879000</v>
      </c>
      <c r="H187" s="32">
        <f>_xlfn.IFNA(INDEX('OSA | 3GB'!A:C,MATCH(DATA!D187,'OSA | 3GB'!A:A,0),2),0)</f>
        <v>4</v>
      </c>
      <c r="I187" s="33">
        <f>_xlfn.IFNA(INDEX('OSA | 3GB'!A:C,MATCH(DATA!D187,'OSA | 3GB'!A:A,0),3),0)</f>
        <v>3300000</v>
      </c>
      <c r="J187" s="33">
        <f>INDEX('BIO WAHYU'!B:G,MATCH(DATA!D187,'BIO WAHYU'!B:B,0),5)</f>
        <v>2</v>
      </c>
      <c r="K187" s="34">
        <f>INDEX('BIO WAHYU'!B:G,MATCH(DATA!D187,'BIO WAHYU'!B:B,0),6)</f>
        <v>4</v>
      </c>
      <c r="L187" s="35">
        <f>INDEX('BIO WAHYU'!B:H,MATCH(DATA!D187,'BIO WAHYU'!B:B,0),7)</f>
        <v>2</v>
      </c>
      <c r="M187" s="34">
        <f>INDEX('BIO WAHYU'!B:H,MATCH(DATA!D187,'BIO WAHYU'!B:B,0),4)</f>
        <v>0</v>
      </c>
    </row>
    <row r="188" spans="1:13">
      <c r="A188" s="43" t="s">
        <v>1673</v>
      </c>
      <c r="B188" s="43" t="s">
        <v>1140</v>
      </c>
      <c r="C188" s="43" t="s">
        <v>1199</v>
      </c>
      <c r="D188" s="10">
        <v>362684</v>
      </c>
      <c r="E188" s="43" t="s">
        <v>15</v>
      </c>
      <c r="F188" s="8">
        <f>_xlfn.IFNA(INDEX('OSA | 3GB'!J:L,MATCH(DATA!D188,'OSA | 3GB'!J:J,0),2),0)</f>
        <v>3</v>
      </c>
      <c r="G188" s="8">
        <f>_xlfn.IFNA(INDEX('OSA | 3GB'!J:L,MATCH(DATA!D188,'OSA | 3GB'!J:J,0),3),0)</f>
        <v>100000</v>
      </c>
      <c r="H188" s="32" t="str">
        <f>_xlfn.IFNA(INDEX('OSA | 3GB'!A:C,MATCH(DATA!D188,'OSA | 3GB'!A:A,0),2),0)</f>
        <v xml:space="preserve"> -   </v>
      </c>
      <c r="I188" s="33" t="str">
        <f>_xlfn.IFNA(INDEX('OSA | 3GB'!A:C,MATCH(DATA!D188,'OSA | 3GB'!A:A,0),3),0)</f>
        <v xml:space="preserve"> -   </v>
      </c>
      <c r="J188" s="33">
        <f>INDEX('BIO WAHYU'!B:G,MATCH(DATA!D188,'BIO WAHYU'!B:B,0),5)</f>
        <v>2</v>
      </c>
      <c r="K188" s="34">
        <f>INDEX('BIO WAHYU'!B:G,MATCH(DATA!D188,'BIO WAHYU'!B:B,0),6)</f>
        <v>1</v>
      </c>
      <c r="L188" s="35">
        <f>INDEX('BIO WAHYU'!B:H,MATCH(DATA!D188,'BIO WAHYU'!B:B,0),7)</f>
        <v>0</v>
      </c>
      <c r="M188" s="34">
        <f>INDEX('BIO WAHYU'!B:H,MATCH(DATA!D188,'BIO WAHYU'!B:B,0),4)</f>
        <v>0</v>
      </c>
    </row>
    <row r="189" spans="1:13">
      <c r="A189" s="43" t="s">
        <v>1672</v>
      </c>
      <c r="B189" s="43" t="s">
        <v>151</v>
      </c>
      <c r="C189" s="43" t="s">
        <v>875</v>
      </c>
      <c r="D189" s="10">
        <v>509739</v>
      </c>
      <c r="E189" s="43" t="s">
        <v>10</v>
      </c>
      <c r="F189" s="8">
        <f>_xlfn.IFNA(INDEX('OSA | 3GB'!J:L,MATCH(DATA!D189,'OSA | 3GB'!J:J,0),2),0)</f>
        <v>1</v>
      </c>
      <c r="G189" s="8">
        <f>_xlfn.IFNA(INDEX('OSA | 3GB'!J:L,MATCH(DATA!D189,'OSA | 3GB'!J:J,0),3),0)</f>
        <v>900000</v>
      </c>
      <c r="H189" s="32">
        <f>_xlfn.IFNA(INDEX('OSA | 3GB'!A:C,MATCH(DATA!D189,'OSA | 3GB'!A:A,0),2),0)</f>
        <v>2</v>
      </c>
      <c r="I189" s="33">
        <f>_xlfn.IFNA(INDEX('OSA | 3GB'!A:C,MATCH(DATA!D189,'OSA | 3GB'!A:A,0),3),0)</f>
        <v>358000</v>
      </c>
      <c r="J189" s="33">
        <f>INDEX('BIO WAHYU'!B:G,MATCH(DATA!D189,'BIO WAHYU'!B:B,0),5)</f>
        <v>1</v>
      </c>
      <c r="K189" s="34">
        <f>INDEX('BIO WAHYU'!B:G,MATCH(DATA!D189,'BIO WAHYU'!B:B,0),6)</f>
        <v>0</v>
      </c>
      <c r="L189" s="35">
        <f>INDEX('BIO WAHYU'!B:H,MATCH(DATA!D189,'BIO WAHYU'!B:B,0),7)</f>
        <v>0</v>
      </c>
      <c r="M189" s="34">
        <f>INDEX('BIO WAHYU'!B:H,MATCH(DATA!D189,'BIO WAHYU'!B:B,0),4)</f>
        <v>0</v>
      </c>
    </row>
    <row r="190" spans="1:13">
      <c r="A190" s="43" t="s">
        <v>1674</v>
      </c>
      <c r="B190" s="43" t="s">
        <v>152</v>
      </c>
      <c r="C190" s="43" t="s">
        <v>675</v>
      </c>
      <c r="D190" s="10">
        <v>526700</v>
      </c>
      <c r="E190" s="43" t="s">
        <v>10</v>
      </c>
      <c r="F190" s="8">
        <f>_xlfn.IFNA(INDEX('OSA | 3GB'!J:L,MATCH(DATA!D190,'OSA | 3GB'!J:J,0),2),0)</f>
        <v>3</v>
      </c>
      <c r="G190" s="8">
        <f>_xlfn.IFNA(INDEX('OSA | 3GB'!J:L,MATCH(DATA!D190,'OSA | 3GB'!J:J,0),3),0)</f>
        <v>10382265</v>
      </c>
      <c r="H190" s="32" t="str">
        <f>_xlfn.IFNA(INDEX('OSA | 3GB'!A:C,MATCH(DATA!D190,'OSA | 3GB'!A:A,0),2),0)</f>
        <v xml:space="preserve"> -   </v>
      </c>
      <c r="I190" s="33">
        <f>_xlfn.IFNA(INDEX('OSA | 3GB'!A:C,MATCH(DATA!D190,'OSA | 3GB'!A:A,0),3),0)</f>
        <v>1930000</v>
      </c>
      <c r="J190" s="33">
        <f>INDEX('BIO WAHYU'!B:G,MATCH(DATA!D190,'BIO WAHYU'!B:B,0),5)</f>
        <v>4</v>
      </c>
      <c r="K190" s="34">
        <f>INDEX('BIO WAHYU'!B:G,MATCH(DATA!D190,'BIO WAHYU'!B:B,0),6)</f>
        <v>6</v>
      </c>
      <c r="L190" s="35">
        <f>INDEX('BIO WAHYU'!B:H,MATCH(DATA!D190,'BIO WAHYU'!B:B,0),7)</f>
        <v>2</v>
      </c>
      <c r="M190" s="34">
        <f>INDEX('BIO WAHYU'!B:H,MATCH(DATA!D190,'BIO WAHYU'!B:B,0),4)</f>
        <v>0</v>
      </c>
    </row>
    <row r="191" spans="1:13">
      <c r="A191" s="43" t="s">
        <v>1674</v>
      </c>
      <c r="B191" s="43" t="s">
        <v>152</v>
      </c>
      <c r="C191" s="43" t="s">
        <v>1200</v>
      </c>
      <c r="D191" s="10">
        <v>117823</v>
      </c>
      <c r="E191" s="43" t="s">
        <v>10</v>
      </c>
      <c r="F191" s="8">
        <f>_xlfn.IFNA(INDEX('OSA | 3GB'!J:L,MATCH(DATA!D191,'OSA | 3GB'!J:J,0),2),0)</f>
        <v>4</v>
      </c>
      <c r="G191" s="8">
        <f>_xlfn.IFNA(INDEX('OSA | 3GB'!J:L,MATCH(DATA!D191,'OSA | 3GB'!J:J,0),3),0)</f>
        <v>200000</v>
      </c>
      <c r="H191" s="32" t="str">
        <f>_xlfn.IFNA(INDEX('OSA | 3GB'!A:C,MATCH(DATA!D191,'OSA | 3GB'!A:A,0),2),0)</f>
        <v xml:space="preserve"> -   </v>
      </c>
      <c r="I191" s="33">
        <f>_xlfn.IFNA(INDEX('OSA | 3GB'!A:C,MATCH(DATA!D191,'OSA | 3GB'!A:A,0),3),0)</f>
        <v>100000</v>
      </c>
      <c r="J191" s="33">
        <f>INDEX('BIO WAHYU'!B:G,MATCH(DATA!D191,'BIO WAHYU'!B:B,0),5)</f>
        <v>0</v>
      </c>
      <c r="K191" s="34">
        <f>INDEX('BIO WAHYU'!B:G,MATCH(DATA!D191,'BIO WAHYU'!B:B,0),6)</f>
        <v>2</v>
      </c>
      <c r="L191" s="35">
        <f>INDEX('BIO WAHYU'!B:H,MATCH(DATA!D191,'BIO WAHYU'!B:B,0),7)</f>
        <v>2</v>
      </c>
      <c r="M191" s="34">
        <f>INDEX('BIO WAHYU'!B:H,MATCH(DATA!D191,'BIO WAHYU'!B:B,0),4)</f>
        <v>0</v>
      </c>
    </row>
    <row r="192" spans="1:13">
      <c r="A192" s="43" t="s">
        <v>1675</v>
      </c>
      <c r="B192" s="43" t="s">
        <v>137</v>
      </c>
      <c r="C192" s="43" t="s">
        <v>1201</v>
      </c>
      <c r="D192" s="10">
        <v>12295992</v>
      </c>
      <c r="E192" s="43" t="s">
        <v>10</v>
      </c>
      <c r="F192" s="8">
        <f>_xlfn.IFNA(INDEX('OSA | 3GB'!J:L,MATCH(DATA!D192,'OSA | 3GB'!J:J,0),2),0)</f>
        <v>3</v>
      </c>
      <c r="G192" s="8">
        <f>_xlfn.IFNA(INDEX('OSA | 3GB'!J:L,MATCH(DATA!D192,'OSA | 3GB'!J:J,0),3),0)</f>
        <v>650000</v>
      </c>
      <c r="H192" s="32" t="str">
        <f>_xlfn.IFNA(INDEX('OSA | 3GB'!A:C,MATCH(DATA!D192,'OSA | 3GB'!A:A,0),2),0)</f>
        <v xml:space="preserve"> -   </v>
      </c>
      <c r="I192" s="33">
        <f>_xlfn.IFNA(INDEX('OSA | 3GB'!A:C,MATCH(DATA!D192,'OSA | 3GB'!A:A,0),3),0)</f>
        <v>150000</v>
      </c>
      <c r="J192" s="33">
        <f>INDEX('BIO WAHYU'!B:G,MATCH(DATA!D192,'BIO WAHYU'!B:B,0),5)</f>
        <v>1</v>
      </c>
      <c r="K192" s="34">
        <f>INDEX('BIO WAHYU'!B:G,MATCH(DATA!D192,'BIO WAHYU'!B:B,0),6)</f>
        <v>0</v>
      </c>
      <c r="L192" s="35">
        <f>INDEX('BIO WAHYU'!B:H,MATCH(DATA!D192,'BIO WAHYU'!B:B,0),7)</f>
        <v>0</v>
      </c>
      <c r="M192" s="34">
        <f>INDEX('BIO WAHYU'!B:H,MATCH(DATA!D192,'BIO WAHYU'!B:B,0),4)</f>
        <v>0</v>
      </c>
    </row>
    <row r="193" spans="1:13">
      <c r="A193" s="43" t="s">
        <v>1</v>
      </c>
      <c r="B193" s="43" t="s">
        <v>4</v>
      </c>
      <c r="C193" s="43" t="s">
        <v>56</v>
      </c>
      <c r="D193" s="10">
        <v>366702</v>
      </c>
      <c r="E193" s="43" t="s">
        <v>10</v>
      </c>
      <c r="F193" s="8">
        <f>_xlfn.IFNA(INDEX('OSA | 3GB'!J:L,MATCH(DATA!D193,'OSA | 3GB'!J:J,0),2),0)</f>
        <v>2</v>
      </c>
      <c r="G193" s="8">
        <f>_xlfn.IFNA(INDEX('OSA | 3GB'!J:L,MATCH(DATA!D193,'OSA | 3GB'!J:J,0),3),0)</f>
        <v>9550000</v>
      </c>
      <c r="H193" s="32" t="str">
        <f>_xlfn.IFNA(INDEX('OSA | 3GB'!A:C,MATCH(DATA!D193,'OSA | 3GB'!A:A,0),2),0)</f>
        <v xml:space="preserve"> -   </v>
      </c>
      <c r="I193" s="33">
        <f>_xlfn.IFNA(INDEX('OSA | 3GB'!A:C,MATCH(DATA!D193,'OSA | 3GB'!A:A,0),3),0)</f>
        <v>1600000</v>
      </c>
      <c r="J193" s="33">
        <f>INDEX('BIO WAHYU'!B:G,MATCH(DATA!D193,'BIO WAHYU'!B:B,0),5)</f>
        <v>4</v>
      </c>
      <c r="K193" s="34">
        <f>INDEX('BIO WAHYU'!B:G,MATCH(DATA!D193,'BIO WAHYU'!B:B,0),6)</f>
        <v>4</v>
      </c>
      <c r="L193" s="35">
        <f>INDEX('BIO WAHYU'!B:H,MATCH(DATA!D193,'BIO WAHYU'!B:B,0),7)</f>
        <v>0</v>
      </c>
      <c r="M193" s="34">
        <f>INDEX('BIO WAHYU'!B:H,MATCH(DATA!D193,'BIO WAHYU'!B:B,0),4)</f>
        <v>0</v>
      </c>
    </row>
    <row r="194" spans="1:13">
      <c r="A194" s="43" t="s">
        <v>1671</v>
      </c>
      <c r="B194" s="43" t="s">
        <v>142</v>
      </c>
      <c r="C194" s="43" t="s">
        <v>355</v>
      </c>
      <c r="D194" s="10">
        <v>497599</v>
      </c>
      <c r="E194" s="43" t="s">
        <v>15</v>
      </c>
      <c r="F194" s="8">
        <f>_xlfn.IFNA(INDEX('OSA | 3GB'!J:L,MATCH(DATA!D194,'OSA | 3GB'!J:J,0),2),0)</f>
        <v>1</v>
      </c>
      <c r="G194" s="8">
        <f>_xlfn.IFNA(INDEX('OSA | 3GB'!J:L,MATCH(DATA!D194,'OSA | 3GB'!J:J,0),3),0)</f>
        <v>1350000</v>
      </c>
      <c r="H194" s="32" t="str">
        <f>_xlfn.IFNA(INDEX('OSA | 3GB'!A:C,MATCH(DATA!D194,'OSA | 3GB'!A:A,0),2),0)</f>
        <v xml:space="preserve"> -   </v>
      </c>
      <c r="I194" s="33">
        <f>_xlfn.IFNA(INDEX('OSA | 3GB'!A:C,MATCH(DATA!D194,'OSA | 3GB'!A:A,0),3),0)</f>
        <v>350000</v>
      </c>
      <c r="J194" s="33">
        <f>INDEX('BIO WAHYU'!B:G,MATCH(DATA!D194,'BIO WAHYU'!B:B,0),5)</f>
        <v>1</v>
      </c>
      <c r="K194" s="34">
        <f>INDEX('BIO WAHYU'!B:G,MATCH(DATA!D194,'BIO WAHYU'!B:B,0),6)</f>
        <v>1</v>
      </c>
      <c r="L194" s="35">
        <f>INDEX('BIO WAHYU'!B:H,MATCH(DATA!D194,'BIO WAHYU'!B:B,0),7)</f>
        <v>0</v>
      </c>
      <c r="M194" s="34">
        <f>INDEX('BIO WAHYU'!B:H,MATCH(DATA!D194,'BIO WAHYU'!B:B,0),4)</f>
        <v>0</v>
      </c>
    </row>
    <row r="195" spans="1:13">
      <c r="A195" s="43" t="s">
        <v>1674</v>
      </c>
      <c r="B195" s="43" t="s">
        <v>147</v>
      </c>
      <c r="C195" s="43" t="s">
        <v>620</v>
      </c>
      <c r="D195" s="10">
        <v>62304</v>
      </c>
      <c r="E195" s="43" t="s">
        <v>10</v>
      </c>
      <c r="F195" s="8">
        <f>_xlfn.IFNA(INDEX('OSA | 3GB'!J:L,MATCH(DATA!D195,'OSA | 3GB'!J:J,0),2),0)</f>
        <v>3</v>
      </c>
      <c r="G195" s="8">
        <f>_xlfn.IFNA(INDEX('OSA | 3GB'!J:L,MATCH(DATA!D195,'OSA | 3GB'!J:J,0),3),0)</f>
        <v>1100000</v>
      </c>
      <c r="H195" s="32" t="str">
        <f>_xlfn.IFNA(INDEX('OSA | 3GB'!A:C,MATCH(DATA!D195,'OSA | 3GB'!A:A,0),2),0)</f>
        <v xml:space="preserve"> -   </v>
      </c>
      <c r="I195" s="33">
        <f>_xlfn.IFNA(INDEX('OSA | 3GB'!A:C,MATCH(DATA!D195,'OSA | 3GB'!A:A,0),3),0)</f>
        <v>400000</v>
      </c>
      <c r="J195" s="33">
        <f>INDEX('BIO WAHYU'!B:G,MATCH(DATA!D195,'BIO WAHYU'!B:B,0),5)</f>
        <v>1</v>
      </c>
      <c r="K195" s="34">
        <f>INDEX('BIO WAHYU'!B:G,MATCH(DATA!D195,'BIO WAHYU'!B:B,0),6)</f>
        <v>0</v>
      </c>
      <c r="L195" s="35">
        <f>INDEX('BIO WAHYU'!B:H,MATCH(DATA!D195,'BIO WAHYU'!B:B,0),7)</f>
        <v>0</v>
      </c>
      <c r="M195" s="34">
        <f>INDEX('BIO WAHYU'!B:H,MATCH(DATA!D195,'BIO WAHYU'!B:B,0),4)</f>
        <v>0</v>
      </c>
    </row>
    <row r="196" spans="1:13">
      <c r="A196" s="43" t="s">
        <v>1674</v>
      </c>
      <c r="B196" s="43" t="s">
        <v>154</v>
      </c>
      <c r="C196" s="43" t="s">
        <v>1202</v>
      </c>
      <c r="D196" s="10">
        <v>317775</v>
      </c>
      <c r="E196" s="43" t="s">
        <v>10</v>
      </c>
      <c r="F196" s="8">
        <f>_xlfn.IFNA(INDEX('OSA | 3GB'!J:L,MATCH(DATA!D196,'OSA | 3GB'!J:J,0),2),0)</f>
        <v>4</v>
      </c>
      <c r="G196" s="8">
        <f>_xlfn.IFNA(INDEX('OSA | 3GB'!J:L,MATCH(DATA!D196,'OSA | 3GB'!J:J,0),3),0)</f>
        <v>300000</v>
      </c>
      <c r="H196" s="32" t="str">
        <f>_xlfn.IFNA(INDEX('OSA | 3GB'!A:C,MATCH(DATA!D196,'OSA | 3GB'!A:A,0),2),0)</f>
        <v xml:space="preserve"> -   </v>
      </c>
      <c r="I196" s="33">
        <f>_xlfn.IFNA(INDEX('OSA | 3GB'!A:C,MATCH(DATA!D196,'OSA | 3GB'!A:A,0),3),0)</f>
        <v>500000</v>
      </c>
      <c r="J196" s="33">
        <f>INDEX('BIO WAHYU'!B:G,MATCH(DATA!D196,'BIO WAHYU'!B:B,0),5)</f>
        <v>1</v>
      </c>
      <c r="K196" s="34">
        <f>INDEX('BIO WAHYU'!B:G,MATCH(DATA!D196,'BIO WAHYU'!B:B,0),6)</f>
        <v>0</v>
      </c>
      <c r="L196" s="35">
        <f>INDEX('BIO WAHYU'!B:H,MATCH(DATA!D196,'BIO WAHYU'!B:B,0),7)</f>
        <v>0</v>
      </c>
      <c r="M196" s="34">
        <f>INDEX('BIO WAHYU'!B:H,MATCH(DATA!D196,'BIO WAHYU'!B:B,0),4)</f>
        <v>0</v>
      </c>
    </row>
    <row r="197" spans="1:13">
      <c r="A197" s="43" t="s">
        <v>1674</v>
      </c>
      <c r="B197" s="43" t="s">
        <v>152</v>
      </c>
      <c r="C197" s="43" t="s">
        <v>656</v>
      </c>
      <c r="D197" s="10">
        <v>160260</v>
      </c>
      <c r="E197" s="43" t="s">
        <v>10</v>
      </c>
      <c r="F197" s="8">
        <f>_xlfn.IFNA(INDEX('OSA | 3GB'!J:L,MATCH(DATA!D197,'OSA | 3GB'!J:J,0),2),0)</f>
        <v>7</v>
      </c>
      <c r="G197" s="8">
        <f>_xlfn.IFNA(INDEX('OSA | 3GB'!J:L,MATCH(DATA!D197,'OSA | 3GB'!J:J,0),3),0)</f>
        <v>424500</v>
      </c>
      <c r="H197" s="32" t="str">
        <f>_xlfn.IFNA(INDEX('OSA | 3GB'!A:C,MATCH(DATA!D197,'OSA | 3GB'!A:A,0),2),0)</f>
        <v xml:space="preserve"> -   </v>
      </c>
      <c r="I197" s="33">
        <f>_xlfn.IFNA(INDEX('OSA | 3GB'!A:C,MATCH(DATA!D197,'OSA | 3GB'!A:A,0),3),0)</f>
        <v>150000</v>
      </c>
      <c r="J197" s="33">
        <f>INDEX('BIO WAHYU'!B:G,MATCH(DATA!D197,'BIO WAHYU'!B:B,0),5)</f>
        <v>2</v>
      </c>
      <c r="K197" s="34">
        <f>INDEX('BIO WAHYU'!B:G,MATCH(DATA!D197,'BIO WAHYU'!B:B,0),6)</f>
        <v>3</v>
      </c>
      <c r="L197" s="35">
        <f>INDEX('BIO WAHYU'!B:H,MATCH(DATA!D197,'BIO WAHYU'!B:B,0),7)</f>
        <v>1</v>
      </c>
      <c r="M197" s="34">
        <f>INDEX('BIO WAHYU'!B:H,MATCH(DATA!D197,'BIO WAHYU'!B:B,0),4)</f>
        <v>0</v>
      </c>
    </row>
    <row r="198" spans="1:13">
      <c r="A198" s="43" t="s">
        <v>1673</v>
      </c>
      <c r="B198" s="43" t="s">
        <v>158</v>
      </c>
      <c r="C198" s="43" t="s">
        <v>1203</v>
      </c>
      <c r="D198" s="10">
        <v>492959</v>
      </c>
      <c r="E198" s="43" t="s">
        <v>15</v>
      </c>
      <c r="F198" s="8">
        <f>_xlfn.IFNA(INDEX('OSA | 3GB'!J:L,MATCH(DATA!D198,'OSA | 3GB'!J:J,0),2),0)</f>
        <v>2</v>
      </c>
      <c r="G198" s="8">
        <f>_xlfn.IFNA(INDEX('OSA | 3GB'!J:L,MATCH(DATA!D198,'OSA | 3GB'!J:J,0),3),0)</f>
        <v>0</v>
      </c>
      <c r="H198" s="32" t="str">
        <f>_xlfn.IFNA(INDEX('OSA | 3GB'!A:C,MATCH(DATA!D198,'OSA | 3GB'!A:A,0),2),0)</f>
        <v xml:space="preserve"> -   </v>
      </c>
      <c r="I198" s="33" t="str">
        <f>_xlfn.IFNA(INDEX('OSA | 3GB'!A:C,MATCH(DATA!D198,'OSA | 3GB'!A:A,0),3),0)</f>
        <v xml:space="preserve"> -   </v>
      </c>
      <c r="J198" s="33">
        <f>INDEX('BIO WAHYU'!B:G,MATCH(DATA!D198,'BIO WAHYU'!B:B,0),5)</f>
        <v>2</v>
      </c>
      <c r="K198" s="34">
        <f>INDEX('BIO WAHYU'!B:G,MATCH(DATA!D198,'BIO WAHYU'!B:B,0),6)</f>
        <v>0</v>
      </c>
      <c r="L198" s="35">
        <f>INDEX('BIO WAHYU'!B:H,MATCH(DATA!D198,'BIO WAHYU'!B:B,0),7)</f>
        <v>0</v>
      </c>
      <c r="M198" s="34">
        <f>INDEX('BIO WAHYU'!B:H,MATCH(DATA!D198,'BIO WAHYU'!B:B,0),4)</f>
        <v>0</v>
      </c>
    </row>
    <row r="199" spans="1:13">
      <c r="A199" s="43" t="s">
        <v>1672</v>
      </c>
      <c r="B199" s="43" t="s">
        <v>150</v>
      </c>
      <c r="C199" s="43" t="s">
        <v>1204</v>
      </c>
      <c r="D199" s="10">
        <v>298581</v>
      </c>
      <c r="E199" s="43" t="s">
        <v>10</v>
      </c>
      <c r="F199" s="8">
        <f>_xlfn.IFNA(INDEX('OSA | 3GB'!J:L,MATCH(DATA!D199,'OSA | 3GB'!J:J,0),2),0)</f>
        <v>7</v>
      </c>
      <c r="G199" s="8">
        <f>_xlfn.IFNA(INDEX('OSA | 3GB'!J:L,MATCH(DATA!D199,'OSA | 3GB'!J:J,0),3),0)</f>
        <v>5000000</v>
      </c>
      <c r="H199" s="32" t="str">
        <f>_xlfn.IFNA(INDEX('OSA | 3GB'!A:C,MATCH(DATA!D199,'OSA | 3GB'!A:A,0),2),0)</f>
        <v xml:space="preserve"> -   </v>
      </c>
      <c r="I199" s="33">
        <f>_xlfn.IFNA(INDEX('OSA | 3GB'!A:C,MATCH(DATA!D199,'OSA | 3GB'!A:A,0),3),0)</f>
        <v>1800000</v>
      </c>
      <c r="J199" s="33">
        <f>INDEX('BIO WAHYU'!B:G,MATCH(DATA!D199,'BIO WAHYU'!B:B,0),5)</f>
        <v>4</v>
      </c>
      <c r="K199" s="34">
        <f>INDEX('BIO WAHYU'!B:G,MATCH(DATA!D199,'BIO WAHYU'!B:B,0),6)</f>
        <v>2</v>
      </c>
      <c r="L199" s="35">
        <f>INDEX('BIO WAHYU'!B:H,MATCH(DATA!D199,'BIO WAHYU'!B:B,0),7)</f>
        <v>0</v>
      </c>
      <c r="M199" s="34">
        <f>INDEX('BIO WAHYU'!B:H,MATCH(DATA!D199,'BIO WAHYU'!B:B,0),4)</f>
        <v>0</v>
      </c>
    </row>
    <row r="200" spans="1:13">
      <c r="A200" s="43" t="s">
        <v>1671</v>
      </c>
      <c r="B200" s="43">
        <v>2613050886</v>
      </c>
      <c r="C200" s="43" t="s">
        <v>1205</v>
      </c>
      <c r="D200" s="10">
        <v>159895</v>
      </c>
      <c r="E200" s="43" t="s">
        <v>10</v>
      </c>
      <c r="F200" s="8">
        <f>_xlfn.IFNA(INDEX('OSA | 3GB'!J:L,MATCH(DATA!D200,'OSA | 3GB'!J:J,0),2),0)</f>
        <v>3</v>
      </c>
      <c r="G200" s="8">
        <f>_xlfn.IFNA(INDEX('OSA | 3GB'!J:L,MATCH(DATA!D200,'OSA | 3GB'!J:J,0),3),0)</f>
        <v>6500000</v>
      </c>
      <c r="H200" s="32" t="str">
        <f>_xlfn.IFNA(INDEX('OSA | 3GB'!A:C,MATCH(DATA!D200,'OSA | 3GB'!A:A,0),2),0)</f>
        <v xml:space="preserve"> -   </v>
      </c>
      <c r="I200" s="33">
        <f>_xlfn.IFNA(INDEX('OSA | 3GB'!A:C,MATCH(DATA!D200,'OSA | 3GB'!A:A,0),3),0)</f>
        <v>2000000</v>
      </c>
      <c r="J200" s="33">
        <f>INDEX('BIO WAHYU'!B:G,MATCH(DATA!D200,'BIO WAHYU'!B:B,0),5)</f>
        <v>13</v>
      </c>
      <c r="K200" s="34">
        <f>INDEX('BIO WAHYU'!B:G,MATCH(DATA!D200,'BIO WAHYU'!B:B,0),6)</f>
        <v>3</v>
      </c>
      <c r="L200" s="35">
        <f>INDEX('BIO WAHYU'!B:H,MATCH(DATA!D200,'BIO WAHYU'!B:B,0),7)</f>
        <v>0</v>
      </c>
      <c r="M200" s="34">
        <f>INDEX('BIO WAHYU'!B:H,MATCH(DATA!D200,'BIO WAHYU'!B:B,0),4)</f>
        <v>0</v>
      </c>
    </row>
    <row r="201" spans="1:13">
      <c r="A201" s="43" t="s">
        <v>1672</v>
      </c>
      <c r="B201" s="43" t="s">
        <v>155</v>
      </c>
      <c r="C201" s="43" t="s">
        <v>947</v>
      </c>
      <c r="D201" s="10">
        <v>520800</v>
      </c>
      <c r="E201" s="43" t="s">
        <v>10</v>
      </c>
      <c r="F201" s="8">
        <f>_xlfn.IFNA(INDEX('OSA | 3GB'!J:L,MATCH(DATA!D201,'OSA | 3GB'!J:J,0),2),0)</f>
        <v>2</v>
      </c>
      <c r="G201" s="8">
        <f>_xlfn.IFNA(INDEX('OSA | 3GB'!J:L,MATCH(DATA!D201,'OSA | 3GB'!J:J,0),3),0)</f>
        <v>479000</v>
      </c>
      <c r="H201" s="32">
        <f>_xlfn.IFNA(INDEX('OSA | 3GB'!A:C,MATCH(DATA!D201,'OSA | 3GB'!A:A,0),2),0)</f>
        <v>3</v>
      </c>
      <c r="I201" s="33">
        <f>_xlfn.IFNA(INDEX('OSA | 3GB'!A:C,MATCH(DATA!D201,'OSA | 3GB'!A:A,0),3),0)</f>
        <v>150000</v>
      </c>
      <c r="J201" s="33">
        <f>INDEX('BIO WAHYU'!B:G,MATCH(DATA!D201,'BIO WAHYU'!B:B,0),5)</f>
        <v>3</v>
      </c>
      <c r="K201" s="34">
        <f>INDEX('BIO WAHYU'!B:G,MATCH(DATA!D201,'BIO WAHYU'!B:B,0),6)</f>
        <v>2</v>
      </c>
      <c r="L201" s="35">
        <f>INDEX('BIO WAHYU'!B:H,MATCH(DATA!D201,'BIO WAHYU'!B:B,0),7)</f>
        <v>0</v>
      </c>
      <c r="M201" s="34">
        <f>INDEX('BIO WAHYU'!B:H,MATCH(DATA!D201,'BIO WAHYU'!B:B,0),4)</f>
        <v>0</v>
      </c>
    </row>
    <row r="202" spans="1:13">
      <c r="A202" s="43" t="s">
        <v>1673</v>
      </c>
      <c r="B202" s="43" t="s">
        <v>141</v>
      </c>
      <c r="C202" s="43" t="s">
        <v>205</v>
      </c>
      <c r="D202" s="10">
        <v>541331</v>
      </c>
      <c r="E202" s="43" t="s">
        <v>10</v>
      </c>
      <c r="F202" s="8">
        <f>_xlfn.IFNA(INDEX('OSA | 3GB'!J:L,MATCH(DATA!D202,'OSA | 3GB'!J:J,0),2),0)</f>
        <v>13</v>
      </c>
      <c r="G202" s="8">
        <f>_xlfn.IFNA(INDEX('OSA | 3GB'!J:L,MATCH(DATA!D202,'OSA | 3GB'!J:J,0),3),0)</f>
        <v>400000</v>
      </c>
      <c r="H202" s="32" t="str">
        <f>_xlfn.IFNA(INDEX('OSA | 3GB'!A:C,MATCH(DATA!D202,'OSA | 3GB'!A:A,0),2),0)</f>
        <v xml:space="preserve"> -   </v>
      </c>
      <c r="I202" s="33">
        <f>_xlfn.IFNA(INDEX('OSA | 3GB'!A:C,MATCH(DATA!D202,'OSA | 3GB'!A:A,0),3),0)</f>
        <v>150000</v>
      </c>
      <c r="J202" s="33">
        <f>INDEX('BIO WAHYU'!B:G,MATCH(DATA!D202,'BIO WAHYU'!B:B,0),5)</f>
        <v>11</v>
      </c>
      <c r="K202" s="34">
        <f>INDEX('BIO WAHYU'!B:G,MATCH(DATA!D202,'BIO WAHYU'!B:B,0),6)</f>
        <v>0</v>
      </c>
      <c r="L202" s="35">
        <f>INDEX('BIO WAHYU'!B:H,MATCH(DATA!D202,'BIO WAHYU'!B:B,0),7)</f>
        <v>0</v>
      </c>
      <c r="M202" s="34">
        <f>INDEX('BIO WAHYU'!B:H,MATCH(DATA!D202,'BIO WAHYU'!B:B,0),4)</f>
        <v>0</v>
      </c>
    </row>
    <row r="203" spans="1:13">
      <c r="A203" s="43" t="s">
        <v>1674</v>
      </c>
      <c r="B203" s="43" t="s">
        <v>152</v>
      </c>
      <c r="C203" s="43" t="s">
        <v>659</v>
      </c>
      <c r="D203" s="10">
        <v>236236</v>
      </c>
      <c r="E203" s="43" t="s">
        <v>10</v>
      </c>
      <c r="F203" s="8">
        <f>_xlfn.IFNA(INDEX('OSA | 3GB'!J:L,MATCH(DATA!D203,'OSA | 3GB'!J:J,0),2),0)</f>
        <v>4</v>
      </c>
      <c r="G203" s="8">
        <f>_xlfn.IFNA(INDEX('OSA | 3GB'!J:L,MATCH(DATA!D203,'OSA | 3GB'!J:J,0),3),0)</f>
        <v>2279000</v>
      </c>
      <c r="H203" s="32" t="str">
        <f>_xlfn.IFNA(INDEX('OSA | 3GB'!A:C,MATCH(DATA!D203,'OSA | 3GB'!A:A,0),2),0)</f>
        <v xml:space="preserve"> -   </v>
      </c>
      <c r="I203" s="33">
        <f>_xlfn.IFNA(INDEX('OSA | 3GB'!A:C,MATCH(DATA!D203,'OSA | 3GB'!A:A,0),3),0)</f>
        <v>350000</v>
      </c>
      <c r="J203" s="33">
        <f>INDEX('BIO WAHYU'!B:G,MATCH(DATA!D203,'BIO WAHYU'!B:B,0),5)</f>
        <v>2</v>
      </c>
      <c r="K203" s="34">
        <f>INDEX('BIO WAHYU'!B:G,MATCH(DATA!D203,'BIO WAHYU'!B:B,0),6)</f>
        <v>2</v>
      </c>
      <c r="L203" s="35">
        <f>INDEX('BIO WAHYU'!B:H,MATCH(DATA!D203,'BIO WAHYU'!B:B,0),7)</f>
        <v>0</v>
      </c>
      <c r="M203" s="34">
        <f>INDEX('BIO WAHYU'!B:H,MATCH(DATA!D203,'BIO WAHYU'!B:B,0),4)</f>
        <v>0</v>
      </c>
    </row>
    <row r="204" spans="1:13">
      <c r="A204" s="43" t="s">
        <v>1</v>
      </c>
      <c r="B204" s="43" t="s">
        <v>5</v>
      </c>
      <c r="C204" s="43" t="s">
        <v>98</v>
      </c>
      <c r="D204" s="10">
        <v>501141</v>
      </c>
      <c r="E204" s="43" t="s">
        <v>15</v>
      </c>
      <c r="F204" s="8">
        <f>_xlfn.IFNA(INDEX('OSA | 3GB'!J:L,MATCH(DATA!D204,'OSA | 3GB'!J:J,0),2),0)</f>
        <v>0</v>
      </c>
      <c r="G204" s="8">
        <f>_xlfn.IFNA(INDEX('OSA | 3GB'!J:L,MATCH(DATA!D204,'OSA | 3GB'!J:J,0),3),0)</f>
        <v>100000</v>
      </c>
      <c r="H204" s="32" t="str">
        <f>_xlfn.IFNA(INDEX('OSA | 3GB'!A:C,MATCH(DATA!D204,'OSA | 3GB'!A:A,0),2),0)</f>
        <v xml:space="preserve"> -   </v>
      </c>
      <c r="I204" s="33" t="str">
        <f>_xlfn.IFNA(INDEX('OSA | 3GB'!A:C,MATCH(DATA!D204,'OSA | 3GB'!A:A,0),3),0)</f>
        <v xml:space="preserve"> -   </v>
      </c>
      <c r="J204" s="33">
        <f>INDEX('BIO WAHYU'!B:G,MATCH(DATA!D204,'BIO WAHYU'!B:B,0),5)</f>
        <v>0</v>
      </c>
      <c r="K204" s="34">
        <f>INDEX('BIO WAHYU'!B:G,MATCH(DATA!D204,'BIO WAHYU'!B:B,0),6)</f>
        <v>0</v>
      </c>
      <c r="L204" s="35">
        <f>INDEX('BIO WAHYU'!B:H,MATCH(DATA!D204,'BIO WAHYU'!B:B,0),7)</f>
        <v>0</v>
      </c>
      <c r="M204" s="34">
        <f>INDEX('BIO WAHYU'!B:H,MATCH(DATA!D204,'BIO WAHYU'!B:B,0),4)</f>
        <v>0</v>
      </c>
    </row>
    <row r="205" spans="1:13">
      <c r="A205" s="43" t="s">
        <v>1672</v>
      </c>
      <c r="B205" s="43" t="s">
        <v>157</v>
      </c>
      <c r="C205" s="43" t="s">
        <v>1036</v>
      </c>
      <c r="D205" s="10">
        <v>298944</v>
      </c>
      <c r="E205" s="43" t="s">
        <v>10</v>
      </c>
      <c r="F205" s="8">
        <f>_xlfn.IFNA(INDEX('OSA | 3GB'!J:L,MATCH(DATA!D205,'OSA | 3GB'!J:J,0),2),0)</f>
        <v>1</v>
      </c>
      <c r="G205" s="8">
        <f>_xlfn.IFNA(INDEX('OSA | 3GB'!J:L,MATCH(DATA!D205,'OSA | 3GB'!J:J,0),3),0)</f>
        <v>379000</v>
      </c>
      <c r="H205" s="32">
        <f>_xlfn.IFNA(INDEX('OSA | 3GB'!A:C,MATCH(DATA!D205,'OSA | 3GB'!A:A,0),2),0)</f>
        <v>4</v>
      </c>
      <c r="I205" s="33">
        <f>_xlfn.IFNA(INDEX('OSA | 3GB'!A:C,MATCH(DATA!D205,'OSA | 3GB'!A:A,0),3),0)</f>
        <v>116000</v>
      </c>
      <c r="J205" s="33">
        <f>INDEX('BIO WAHYU'!B:G,MATCH(DATA!D205,'BIO WAHYU'!B:B,0),5)</f>
        <v>3</v>
      </c>
      <c r="K205" s="34">
        <f>INDEX('BIO WAHYU'!B:G,MATCH(DATA!D205,'BIO WAHYU'!B:B,0),6)</f>
        <v>0</v>
      </c>
      <c r="L205" s="35">
        <f>INDEX('BIO WAHYU'!B:H,MATCH(DATA!D205,'BIO WAHYU'!B:B,0),7)</f>
        <v>0</v>
      </c>
      <c r="M205" s="34">
        <f>INDEX('BIO WAHYU'!B:H,MATCH(DATA!D205,'BIO WAHYU'!B:B,0),4)</f>
        <v>0</v>
      </c>
    </row>
    <row r="206" spans="1:13">
      <c r="A206" s="43" t="s">
        <v>1673</v>
      </c>
      <c r="B206" s="43" t="s">
        <v>158</v>
      </c>
      <c r="C206" s="43" t="s">
        <v>1206</v>
      </c>
      <c r="D206" s="10">
        <v>214409</v>
      </c>
      <c r="E206" s="43" t="s">
        <v>10</v>
      </c>
      <c r="F206" s="8">
        <f>_xlfn.IFNA(INDEX('OSA | 3GB'!J:L,MATCH(DATA!D206,'OSA | 3GB'!J:J,0),2),0)</f>
        <v>0</v>
      </c>
      <c r="G206" s="8">
        <f>_xlfn.IFNA(INDEX('OSA | 3GB'!J:L,MATCH(DATA!D206,'OSA | 3GB'!J:J,0),3),0)</f>
        <v>0</v>
      </c>
      <c r="H206" s="32" t="str">
        <f>_xlfn.IFNA(INDEX('OSA | 3GB'!A:C,MATCH(DATA!D206,'OSA | 3GB'!A:A,0),2),0)</f>
        <v xml:space="preserve"> -   </v>
      </c>
      <c r="I206" s="33" t="str">
        <f>_xlfn.IFNA(INDEX('OSA | 3GB'!A:C,MATCH(DATA!D206,'OSA | 3GB'!A:A,0),3),0)</f>
        <v xml:space="preserve"> -   </v>
      </c>
      <c r="J206" s="33">
        <f>INDEX('BIO WAHYU'!B:G,MATCH(DATA!D206,'BIO WAHYU'!B:B,0),5)</f>
        <v>0</v>
      </c>
      <c r="K206" s="34">
        <f>INDEX('BIO WAHYU'!B:G,MATCH(DATA!D206,'BIO WAHYU'!B:B,0),6)</f>
        <v>0</v>
      </c>
      <c r="L206" s="35">
        <f>INDEX('BIO WAHYU'!B:H,MATCH(DATA!D206,'BIO WAHYU'!B:B,0),7)</f>
        <v>0</v>
      </c>
      <c r="M206" s="34">
        <f>INDEX('BIO WAHYU'!B:H,MATCH(DATA!D206,'BIO WAHYU'!B:B,0),4)</f>
        <v>0</v>
      </c>
    </row>
    <row r="207" spans="1:13">
      <c r="A207" s="43" t="s">
        <v>1674</v>
      </c>
      <c r="B207" s="43" t="s">
        <v>147</v>
      </c>
      <c r="C207" s="43" t="s">
        <v>600</v>
      </c>
      <c r="D207" s="10">
        <v>228736</v>
      </c>
      <c r="E207" s="43" t="s">
        <v>10</v>
      </c>
      <c r="F207" s="8">
        <f>_xlfn.IFNA(INDEX('OSA | 3GB'!J:L,MATCH(DATA!D207,'OSA | 3GB'!J:J,0),2),0)</f>
        <v>3</v>
      </c>
      <c r="G207" s="8">
        <f>_xlfn.IFNA(INDEX('OSA | 3GB'!J:L,MATCH(DATA!D207,'OSA | 3GB'!J:J,0),3),0)</f>
        <v>1950000</v>
      </c>
      <c r="H207" s="32" t="str">
        <f>_xlfn.IFNA(INDEX('OSA | 3GB'!A:C,MATCH(DATA!D207,'OSA | 3GB'!A:A,0),2),0)</f>
        <v xml:space="preserve"> -   </v>
      </c>
      <c r="I207" s="33">
        <f>_xlfn.IFNA(INDEX('OSA | 3GB'!A:C,MATCH(DATA!D207,'OSA | 3GB'!A:A,0),3),0)</f>
        <v>1000000</v>
      </c>
      <c r="J207" s="33">
        <f>INDEX('BIO WAHYU'!B:G,MATCH(DATA!D207,'BIO WAHYU'!B:B,0),5)</f>
        <v>1</v>
      </c>
      <c r="K207" s="34">
        <f>INDEX('BIO WAHYU'!B:G,MATCH(DATA!D207,'BIO WAHYU'!B:B,0),6)</f>
        <v>0</v>
      </c>
      <c r="L207" s="35">
        <f>INDEX('BIO WAHYU'!B:H,MATCH(DATA!D207,'BIO WAHYU'!B:B,0),7)</f>
        <v>0</v>
      </c>
      <c r="M207" s="34">
        <f>INDEX('BIO WAHYU'!B:H,MATCH(DATA!D207,'BIO WAHYU'!B:B,0),4)</f>
        <v>0</v>
      </c>
    </row>
    <row r="208" spans="1:13">
      <c r="A208" s="43" t="s">
        <v>1673</v>
      </c>
      <c r="B208" s="43" t="s">
        <v>141</v>
      </c>
      <c r="C208" s="43" t="s">
        <v>208</v>
      </c>
      <c r="D208" s="10">
        <v>568255</v>
      </c>
      <c r="E208" s="43" t="s">
        <v>10</v>
      </c>
      <c r="F208" s="8">
        <f>_xlfn.IFNA(INDEX('OSA | 3GB'!J:L,MATCH(DATA!D208,'OSA | 3GB'!J:J,0),2),0)</f>
        <v>16</v>
      </c>
      <c r="G208" s="8">
        <f>_xlfn.IFNA(INDEX('OSA | 3GB'!J:L,MATCH(DATA!D208,'OSA | 3GB'!J:J,0),3),0)</f>
        <v>1550000</v>
      </c>
      <c r="H208" s="32" t="str">
        <f>_xlfn.IFNA(INDEX('OSA | 3GB'!A:C,MATCH(DATA!D208,'OSA | 3GB'!A:A,0),2),0)</f>
        <v xml:space="preserve"> -   </v>
      </c>
      <c r="I208" s="33">
        <f>_xlfn.IFNA(INDEX('OSA | 3GB'!A:C,MATCH(DATA!D208,'OSA | 3GB'!A:A,0),3),0)</f>
        <v>600000</v>
      </c>
      <c r="J208" s="33">
        <f>INDEX('BIO WAHYU'!B:G,MATCH(DATA!D208,'BIO WAHYU'!B:B,0),5)</f>
        <v>1</v>
      </c>
      <c r="K208" s="34">
        <f>INDEX('BIO WAHYU'!B:G,MATCH(DATA!D208,'BIO WAHYU'!B:B,0),6)</f>
        <v>3</v>
      </c>
      <c r="L208" s="35">
        <f>INDEX('BIO WAHYU'!B:H,MATCH(DATA!D208,'BIO WAHYU'!B:B,0),7)</f>
        <v>2</v>
      </c>
      <c r="M208" s="34">
        <f>INDEX('BIO WAHYU'!B:H,MATCH(DATA!D208,'BIO WAHYU'!B:B,0),4)</f>
        <v>0</v>
      </c>
    </row>
    <row r="209" spans="1:13">
      <c r="A209" s="43" t="s">
        <v>1674</v>
      </c>
      <c r="B209" s="43" t="s">
        <v>152</v>
      </c>
      <c r="C209" s="43" t="s">
        <v>1207</v>
      </c>
      <c r="D209" s="10">
        <v>325845</v>
      </c>
      <c r="E209" s="43" t="s">
        <v>10</v>
      </c>
      <c r="F209" s="8">
        <f>_xlfn.IFNA(INDEX('OSA | 3GB'!J:L,MATCH(DATA!D209,'OSA | 3GB'!J:J,0),2),0)</f>
        <v>0</v>
      </c>
      <c r="G209" s="8">
        <f>_xlfn.IFNA(INDEX('OSA | 3GB'!J:L,MATCH(DATA!D209,'OSA | 3GB'!J:J,0),3),0)</f>
        <v>0</v>
      </c>
      <c r="H209" s="32" t="str">
        <f>_xlfn.IFNA(INDEX('OSA | 3GB'!A:C,MATCH(DATA!D209,'OSA | 3GB'!A:A,0),2),0)</f>
        <v xml:space="preserve"> -   </v>
      </c>
      <c r="I209" s="33">
        <f>_xlfn.IFNA(INDEX('OSA | 3GB'!A:C,MATCH(DATA!D209,'OSA | 3GB'!A:A,0),3),0)</f>
        <v>42000</v>
      </c>
      <c r="J209" s="33">
        <f>INDEX('BIO WAHYU'!B:G,MATCH(DATA!D209,'BIO WAHYU'!B:B,0),5)</f>
        <v>0</v>
      </c>
      <c r="K209" s="34">
        <f>INDEX('BIO WAHYU'!B:G,MATCH(DATA!D209,'BIO WAHYU'!B:B,0),6)</f>
        <v>28</v>
      </c>
      <c r="L209" s="35">
        <f>INDEX('BIO WAHYU'!B:H,MATCH(DATA!D209,'BIO WAHYU'!B:B,0),7)</f>
        <v>28</v>
      </c>
      <c r="M209" s="34">
        <f>INDEX('BIO WAHYU'!B:H,MATCH(DATA!D209,'BIO WAHYU'!B:B,0),4)</f>
        <v>0</v>
      </c>
    </row>
    <row r="210" spans="1:13">
      <c r="A210" s="43" t="s">
        <v>1672</v>
      </c>
      <c r="B210" s="43" t="s">
        <v>157</v>
      </c>
      <c r="C210" s="43" t="s">
        <v>1049</v>
      </c>
      <c r="D210" s="10">
        <v>511396</v>
      </c>
      <c r="E210" s="43" t="s">
        <v>10</v>
      </c>
      <c r="F210" s="8">
        <f>_xlfn.IFNA(INDEX('OSA | 3GB'!J:L,MATCH(DATA!D210,'OSA | 3GB'!J:J,0),2),0)</f>
        <v>4</v>
      </c>
      <c r="G210" s="8">
        <f>_xlfn.IFNA(INDEX('OSA | 3GB'!J:L,MATCH(DATA!D210,'OSA | 3GB'!J:J,0),3),0)</f>
        <v>2929000</v>
      </c>
      <c r="H210" s="32" t="str">
        <f>_xlfn.IFNA(INDEX('OSA | 3GB'!A:C,MATCH(DATA!D210,'OSA | 3GB'!A:A,0),2),0)</f>
        <v xml:space="preserve"> -   </v>
      </c>
      <c r="I210" s="33">
        <f>_xlfn.IFNA(INDEX('OSA | 3GB'!A:C,MATCH(DATA!D210,'OSA | 3GB'!A:A,0),3),0)</f>
        <v>900000</v>
      </c>
      <c r="J210" s="33">
        <f>INDEX('BIO WAHYU'!B:G,MATCH(DATA!D210,'BIO WAHYU'!B:B,0),5)</f>
        <v>3</v>
      </c>
      <c r="K210" s="34">
        <f>INDEX('BIO WAHYU'!B:G,MATCH(DATA!D210,'BIO WAHYU'!B:B,0),6)</f>
        <v>0</v>
      </c>
      <c r="L210" s="35">
        <f>INDEX('BIO WAHYU'!B:H,MATCH(DATA!D210,'BIO WAHYU'!B:B,0),7)</f>
        <v>0</v>
      </c>
      <c r="M210" s="34">
        <f>INDEX('BIO WAHYU'!B:H,MATCH(DATA!D210,'BIO WAHYU'!B:B,0),4)</f>
        <v>0</v>
      </c>
    </row>
    <row r="211" spans="1:13">
      <c r="A211" s="43" t="s">
        <v>1670</v>
      </c>
      <c r="B211" s="43" t="s">
        <v>145</v>
      </c>
      <c r="C211" s="43" t="s">
        <v>37</v>
      </c>
      <c r="D211" s="10">
        <v>388487</v>
      </c>
      <c r="E211" s="43" t="s">
        <v>10</v>
      </c>
      <c r="F211" s="8">
        <f>_xlfn.IFNA(INDEX('OSA | 3GB'!J:L,MATCH(DATA!D211,'OSA | 3GB'!J:J,0),2),0)</f>
        <v>5</v>
      </c>
      <c r="G211" s="8">
        <f>_xlfn.IFNA(INDEX('OSA | 3GB'!J:L,MATCH(DATA!D211,'OSA | 3GB'!J:J,0),3),0)</f>
        <v>2000000</v>
      </c>
      <c r="H211" s="32">
        <f>_xlfn.IFNA(INDEX('OSA | 3GB'!A:C,MATCH(DATA!D211,'OSA | 3GB'!A:A,0),2),0)</f>
        <v>3</v>
      </c>
      <c r="I211" s="33">
        <f>_xlfn.IFNA(INDEX('OSA | 3GB'!A:C,MATCH(DATA!D211,'OSA | 3GB'!A:A,0),3),0)</f>
        <v>500000</v>
      </c>
      <c r="J211" s="33">
        <f>INDEX('BIO WAHYU'!B:G,MATCH(DATA!D211,'BIO WAHYU'!B:B,0),5)</f>
        <v>3</v>
      </c>
      <c r="K211" s="34">
        <f>INDEX('BIO WAHYU'!B:G,MATCH(DATA!D211,'BIO WAHYU'!B:B,0),6)</f>
        <v>0</v>
      </c>
      <c r="L211" s="35">
        <f>INDEX('BIO WAHYU'!B:H,MATCH(DATA!D211,'BIO WAHYU'!B:B,0),7)</f>
        <v>0</v>
      </c>
      <c r="M211" s="34">
        <f>INDEX('BIO WAHYU'!B:H,MATCH(DATA!D211,'BIO WAHYU'!B:B,0),4)</f>
        <v>0</v>
      </c>
    </row>
    <row r="212" spans="1:13">
      <c r="A212" s="43" t="s">
        <v>1672</v>
      </c>
      <c r="B212" s="43" t="s">
        <v>157</v>
      </c>
      <c r="C212" s="43" t="s">
        <v>1024</v>
      </c>
      <c r="D212" s="10">
        <v>12323037</v>
      </c>
      <c r="E212" s="43" t="s">
        <v>10</v>
      </c>
      <c r="F212" s="8">
        <f>_xlfn.IFNA(INDEX('OSA | 3GB'!J:L,MATCH(DATA!D212,'OSA | 3GB'!J:J,0),2),0)</f>
        <v>5</v>
      </c>
      <c r="G212" s="8">
        <f>_xlfn.IFNA(INDEX('OSA | 3GB'!J:L,MATCH(DATA!D212,'OSA | 3GB'!J:J,0),3),0)</f>
        <v>1579000</v>
      </c>
      <c r="H212" s="32" t="str">
        <f>_xlfn.IFNA(INDEX('OSA | 3GB'!A:C,MATCH(DATA!D212,'OSA | 3GB'!A:A,0),2),0)</f>
        <v xml:space="preserve"> -   </v>
      </c>
      <c r="I212" s="33">
        <f>_xlfn.IFNA(INDEX('OSA | 3GB'!A:C,MATCH(DATA!D212,'OSA | 3GB'!A:A,0),3),0)</f>
        <v>700000</v>
      </c>
      <c r="J212" s="33">
        <f>INDEX('BIO WAHYU'!B:G,MATCH(DATA!D212,'BIO WAHYU'!B:B,0),5)</f>
        <v>1</v>
      </c>
      <c r="K212" s="34">
        <f>INDEX('BIO WAHYU'!B:G,MATCH(DATA!D212,'BIO WAHYU'!B:B,0),6)</f>
        <v>4</v>
      </c>
      <c r="L212" s="35">
        <f>INDEX('BIO WAHYU'!B:H,MATCH(DATA!D212,'BIO WAHYU'!B:B,0),7)</f>
        <v>3</v>
      </c>
      <c r="M212" s="34">
        <f>INDEX('BIO WAHYU'!B:H,MATCH(DATA!D212,'BIO WAHYU'!B:B,0),4)</f>
        <v>0</v>
      </c>
    </row>
    <row r="213" spans="1:13">
      <c r="A213" s="43" t="s">
        <v>1672</v>
      </c>
      <c r="B213" s="43" t="s">
        <v>156</v>
      </c>
      <c r="C213" s="43" t="s">
        <v>973</v>
      </c>
      <c r="D213" s="10">
        <v>12319702</v>
      </c>
      <c r="E213" s="43" t="s">
        <v>15</v>
      </c>
      <c r="F213" s="8">
        <f>_xlfn.IFNA(INDEX('OSA | 3GB'!J:L,MATCH(DATA!D213,'OSA | 3GB'!J:J,0),2),0)</f>
        <v>0</v>
      </c>
      <c r="G213" s="8">
        <f>_xlfn.IFNA(INDEX('OSA | 3GB'!J:L,MATCH(DATA!D213,'OSA | 3GB'!J:J,0),3),0)</f>
        <v>0</v>
      </c>
      <c r="H213" s="32" t="str">
        <f>_xlfn.IFNA(INDEX('OSA | 3GB'!A:C,MATCH(DATA!D213,'OSA | 3GB'!A:A,0),2),0)</f>
        <v xml:space="preserve"> -   </v>
      </c>
      <c r="I213" s="33" t="str">
        <f>_xlfn.IFNA(INDEX('OSA | 3GB'!A:C,MATCH(DATA!D213,'OSA | 3GB'!A:A,0),3),0)</f>
        <v xml:space="preserve"> -   </v>
      </c>
      <c r="J213" s="33">
        <f>INDEX('BIO WAHYU'!B:G,MATCH(DATA!D213,'BIO WAHYU'!B:B,0),5)</f>
        <v>0</v>
      </c>
      <c r="K213" s="34">
        <f>INDEX('BIO WAHYU'!B:G,MATCH(DATA!D213,'BIO WAHYU'!B:B,0),6)</f>
        <v>0</v>
      </c>
      <c r="L213" s="35">
        <f>INDEX('BIO WAHYU'!B:H,MATCH(DATA!D213,'BIO WAHYU'!B:B,0),7)</f>
        <v>0</v>
      </c>
      <c r="M213" s="34">
        <f>INDEX('BIO WAHYU'!B:H,MATCH(DATA!D213,'BIO WAHYU'!B:B,0),4)</f>
        <v>0</v>
      </c>
    </row>
    <row r="214" spans="1:13">
      <c r="A214" s="43" t="s">
        <v>1672</v>
      </c>
      <c r="B214" s="43" t="s">
        <v>155</v>
      </c>
      <c r="C214" s="43" t="s">
        <v>1208</v>
      </c>
      <c r="D214" s="10">
        <v>13053</v>
      </c>
      <c r="E214" s="43" t="s">
        <v>10</v>
      </c>
      <c r="F214" s="8">
        <f>_xlfn.IFNA(INDEX('OSA | 3GB'!J:L,MATCH(DATA!D214,'OSA | 3GB'!J:J,0),2),0)</f>
        <v>0</v>
      </c>
      <c r="G214" s="8">
        <f>_xlfn.IFNA(INDEX('OSA | 3GB'!J:L,MATCH(DATA!D214,'OSA | 3GB'!J:J,0),3),0)</f>
        <v>0</v>
      </c>
      <c r="H214" s="32" t="str">
        <f>_xlfn.IFNA(INDEX('OSA | 3GB'!A:C,MATCH(DATA!D214,'OSA | 3GB'!A:A,0),2),0)</f>
        <v xml:space="preserve"> -   </v>
      </c>
      <c r="I214" s="33" t="str">
        <f>_xlfn.IFNA(INDEX('OSA | 3GB'!A:C,MATCH(DATA!D214,'OSA | 3GB'!A:A,0),3),0)</f>
        <v xml:space="preserve"> -   </v>
      </c>
      <c r="J214" s="33">
        <f>INDEX('BIO WAHYU'!B:G,MATCH(DATA!D214,'BIO WAHYU'!B:B,0),5)</f>
        <v>0</v>
      </c>
      <c r="K214" s="34">
        <f>INDEX('BIO WAHYU'!B:G,MATCH(DATA!D214,'BIO WAHYU'!B:B,0),6)</f>
        <v>0</v>
      </c>
      <c r="L214" s="35">
        <f>INDEX('BIO WAHYU'!B:H,MATCH(DATA!D214,'BIO WAHYU'!B:B,0),7)</f>
        <v>0</v>
      </c>
      <c r="M214" s="34">
        <f>INDEX('BIO WAHYU'!B:H,MATCH(DATA!D214,'BIO WAHYU'!B:B,0),4)</f>
        <v>0</v>
      </c>
    </row>
    <row r="215" spans="1:13">
      <c r="A215" s="43" t="s">
        <v>1675</v>
      </c>
      <c r="B215" s="43" t="s">
        <v>136</v>
      </c>
      <c r="C215" s="43" t="s">
        <v>1209</v>
      </c>
      <c r="D215" s="10">
        <v>459969</v>
      </c>
      <c r="E215" s="43" t="s">
        <v>23</v>
      </c>
      <c r="F215" s="8">
        <f>_xlfn.IFNA(INDEX('OSA | 3GB'!J:L,MATCH(DATA!D215,'OSA | 3GB'!J:J,0),2),0)</f>
        <v>1</v>
      </c>
      <c r="G215" s="8">
        <f>_xlfn.IFNA(INDEX('OSA | 3GB'!J:L,MATCH(DATA!D215,'OSA | 3GB'!J:J,0),3),0)</f>
        <v>129000</v>
      </c>
      <c r="H215" s="32" t="str">
        <f>_xlfn.IFNA(INDEX('OSA | 3GB'!A:C,MATCH(DATA!D215,'OSA | 3GB'!A:A,0),2),0)</f>
        <v xml:space="preserve"> -   </v>
      </c>
      <c r="I215" s="33">
        <f>_xlfn.IFNA(INDEX('OSA | 3GB'!A:C,MATCH(DATA!D215,'OSA | 3GB'!A:A,0),3),0)</f>
        <v>1000000</v>
      </c>
      <c r="J215" s="33">
        <f>INDEX('BIO WAHYU'!B:G,MATCH(DATA!D215,'BIO WAHYU'!B:B,0),5)</f>
        <v>2</v>
      </c>
      <c r="K215" s="34">
        <f>INDEX('BIO WAHYU'!B:G,MATCH(DATA!D215,'BIO WAHYU'!B:B,0),6)</f>
        <v>0</v>
      </c>
      <c r="L215" s="35">
        <f>INDEX('BIO WAHYU'!B:H,MATCH(DATA!D215,'BIO WAHYU'!B:B,0),7)</f>
        <v>0</v>
      </c>
      <c r="M215" s="34">
        <f>INDEX('BIO WAHYU'!B:H,MATCH(DATA!D215,'BIO WAHYU'!B:B,0),4)</f>
        <v>0</v>
      </c>
    </row>
    <row r="216" spans="1:13">
      <c r="A216" s="43" t="s">
        <v>1672</v>
      </c>
      <c r="B216" s="43" t="s">
        <v>150</v>
      </c>
      <c r="C216" s="43" t="s">
        <v>834</v>
      </c>
      <c r="D216" s="10">
        <v>548720</v>
      </c>
      <c r="E216" s="43" t="s">
        <v>10</v>
      </c>
      <c r="F216" s="8">
        <f>_xlfn.IFNA(INDEX('OSA | 3GB'!J:L,MATCH(DATA!D216,'OSA | 3GB'!J:J,0),2),0)</f>
        <v>3</v>
      </c>
      <c r="G216" s="8">
        <f>_xlfn.IFNA(INDEX('OSA | 3GB'!J:L,MATCH(DATA!D216,'OSA | 3GB'!J:J,0),3),0)</f>
        <v>537000</v>
      </c>
      <c r="H216" s="32" t="str">
        <f>_xlfn.IFNA(INDEX('OSA | 3GB'!A:C,MATCH(DATA!D216,'OSA | 3GB'!A:A,0),2),0)</f>
        <v xml:space="preserve"> -   </v>
      </c>
      <c r="I216" s="33" t="str">
        <f>_xlfn.IFNA(INDEX('OSA | 3GB'!A:C,MATCH(DATA!D216,'OSA | 3GB'!A:A,0),3),0)</f>
        <v xml:space="preserve"> -   </v>
      </c>
      <c r="J216" s="33">
        <f>INDEX('BIO WAHYU'!B:G,MATCH(DATA!D216,'BIO WAHYU'!B:B,0),5)</f>
        <v>1</v>
      </c>
      <c r="K216" s="34">
        <f>INDEX('BIO WAHYU'!B:G,MATCH(DATA!D216,'BIO WAHYU'!B:B,0),6)</f>
        <v>0</v>
      </c>
      <c r="L216" s="35">
        <f>INDEX('BIO WAHYU'!B:H,MATCH(DATA!D216,'BIO WAHYU'!B:B,0),7)</f>
        <v>0</v>
      </c>
      <c r="M216" s="34">
        <f>INDEX('BIO WAHYU'!B:H,MATCH(DATA!D216,'BIO WAHYU'!B:B,0),4)</f>
        <v>0</v>
      </c>
    </row>
    <row r="217" spans="1:13">
      <c r="A217" s="43" t="s">
        <v>1672</v>
      </c>
      <c r="B217" s="43">
        <v>2613051475</v>
      </c>
      <c r="C217" s="43" t="s">
        <v>892</v>
      </c>
      <c r="D217" s="10">
        <v>269588</v>
      </c>
      <c r="E217" s="43" t="s">
        <v>10</v>
      </c>
      <c r="F217" s="8">
        <f>_xlfn.IFNA(INDEX('OSA | 3GB'!J:L,MATCH(DATA!D217,'OSA | 3GB'!J:J,0),2),0)</f>
        <v>3</v>
      </c>
      <c r="G217" s="8">
        <f>_xlfn.IFNA(INDEX('OSA | 3GB'!J:L,MATCH(DATA!D217,'OSA | 3GB'!J:J,0),3),0)</f>
        <v>200000</v>
      </c>
      <c r="H217" s="32" t="str">
        <f>_xlfn.IFNA(INDEX('OSA | 3GB'!A:C,MATCH(DATA!D217,'OSA | 3GB'!A:A,0),2),0)</f>
        <v xml:space="preserve"> -   </v>
      </c>
      <c r="I217" s="33">
        <f>_xlfn.IFNA(INDEX('OSA | 3GB'!A:C,MATCH(DATA!D217,'OSA | 3GB'!A:A,0),3),0)</f>
        <v>50000</v>
      </c>
      <c r="J217" s="33">
        <f>INDEX('BIO WAHYU'!B:G,MATCH(DATA!D217,'BIO WAHYU'!B:B,0),5)</f>
        <v>0</v>
      </c>
      <c r="K217" s="34">
        <f>INDEX('BIO WAHYU'!B:G,MATCH(DATA!D217,'BIO WAHYU'!B:B,0),6)</f>
        <v>0</v>
      </c>
      <c r="L217" s="35">
        <f>INDEX('BIO WAHYU'!B:H,MATCH(DATA!D217,'BIO WAHYU'!B:B,0),7)</f>
        <v>0</v>
      </c>
      <c r="M217" s="34">
        <f>INDEX('BIO WAHYU'!B:H,MATCH(DATA!D217,'BIO WAHYU'!B:B,0),4)</f>
        <v>0</v>
      </c>
    </row>
    <row r="218" spans="1:13">
      <c r="A218" s="43" t="s">
        <v>1674</v>
      </c>
      <c r="B218" s="43" t="s">
        <v>148</v>
      </c>
      <c r="C218" s="43" t="s">
        <v>640</v>
      </c>
      <c r="D218" s="10">
        <v>263476</v>
      </c>
      <c r="E218" s="43" t="s">
        <v>10</v>
      </c>
      <c r="F218" s="8">
        <f>_xlfn.IFNA(INDEX('OSA | 3GB'!J:L,MATCH(DATA!D218,'OSA | 3GB'!J:J,0),2),0)</f>
        <v>3</v>
      </c>
      <c r="G218" s="8">
        <f>_xlfn.IFNA(INDEX('OSA | 3GB'!J:L,MATCH(DATA!D218,'OSA | 3GB'!J:J,0),3),0)</f>
        <v>5000000</v>
      </c>
      <c r="H218" s="32" t="str">
        <f>_xlfn.IFNA(INDEX('OSA | 3GB'!A:C,MATCH(DATA!D218,'OSA | 3GB'!A:A,0),2),0)</f>
        <v xml:space="preserve"> -   </v>
      </c>
      <c r="I218" s="33" t="str">
        <f>_xlfn.IFNA(INDEX('OSA | 3GB'!A:C,MATCH(DATA!D218,'OSA | 3GB'!A:A,0),3),0)</f>
        <v xml:space="preserve"> -   </v>
      </c>
      <c r="J218" s="33">
        <f>INDEX('BIO WAHYU'!B:G,MATCH(DATA!D218,'BIO WAHYU'!B:B,0),5)</f>
        <v>3</v>
      </c>
      <c r="K218" s="34">
        <f>INDEX('BIO WAHYU'!B:G,MATCH(DATA!D218,'BIO WAHYU'!B:B,0),6)</f>
        <v>2</v>
      </c>
      <c r="L218" s="35">
        <f>INDEX('BIO WAHYU'!B:H,MATCH(DATA!D218,'BIO WAHYU'!B:B,0),7)</f>
        <v>0</v>
      </c>
      <c r="M218" s="34">
        <f>INDEX('BIO WAHYU'!B:H,MATCH(DATA!D218,'BIO WAHYU'!B:B,0),4)</f>
        <v>0</v>
      </c>
    </row>
    <row r="219" spans="1:13">
      <c r="A219" s="43" t="s">
        <v>1675</v>
      </c>
      <c r="B219" s="43">
        <v>2613051043</v>
      </c>
      <c r="C219" s="43" t="s">
        <v>449</v>
      </c>
      <c r="D219" s="10">
        <v>12297190</v>
      </c>
      <c r="E219" s="43" t="s">
        <v>15</v>
      </c>
      <c r="F219" s="8">
        <f>_xlfn.IFNA(INDEX('OSA | 3GB'!J:L,MATCH(DATA!D219,'OSA | 3GB'!J:J,0),2),0)</f>
        <v>0</v>
      </c>
      <c r="G219" s="8">
        <f>_xlfn.IFNA(INDEX('OSA | 3GB'!J:L,MATCH(DATA!D219,'OSA | 3GB'!J:J,0),3),0)</f>
        <v>0</v>
      </c>
      <c r="H219" s="32" t="str">
        <f>_xlfn.IFNA(INDEX('OSA | 3GB'!A:C,MATCH(DATA!D219,'OSA | 3GB'!A:A,0),2),0)</f>
        <v xml:space="preserve"> -   </v>
      </c>
      <c r="I219" s="33" t="str">
        <f>_xlfn.IFNA(INDEX('OSA | 3GB'!A:C,MATCH(DATA!D219,'OSA | 3GB'!A:A,0),3),0)</f>
        <v xml:space="preserve"> -   </v>
      </c>
      <c r="J219" s="33">
        <f>INDEX('BIO WAHYU'!B:G,MATCH(DATA!D219,'BIO WAHYU'!B:B,0),5)</f>
        <v>0</v>
      </c>
      <c r="K219" s="34">
        <f>INDEX('BIO WAHYU'!B:G,MATCH(DATA!D219,'BIO WAHYU'!B:B,0),6)</f>
        <v>0</v>
      </c>
      <c r="L219" s="35">
        <f>INDEX('BIO WAHYU'!B:H,MATCH(DATA!D219,'BIO WAHYU'!B:B,0),7)</f>
        <v>0</v>
      </c>
      <c r="M219" s="34">
        <f>INDEX('BIO WAHYU'!B:H,MATCH(DATA!D219,'BIO WAHYU'!B:B,0),4)</f>
        <v>0</v>
      </c>
    </row>
    <row r="220" spans="1:13">
      <c r="A220" s="43" t="s">
        <v>1672</v>
      </c>
      <c r="B220" s="43" t="s">
        <v>156</v>
      </c>
      <c r="C220" s="43" t="s">
        <v>980</v>
      </c>
      <c r="D220" s="10">
        <v>258245</v>
      </c>
      <c r="E220" s="43" t="s">
        <v>10</v>
      </c>
      <c r="F220" s="8">
        <f>_xlfn.IFNA(INDEX('OSA | 3GB'!J:L,MATCH(DATA!D220,'OSA | 3GB'!J:J,0),2),0)</f>
        <v>0</v>
      </c>
      <c r="G220" s="8">
        <f>_xlfn.IFNA(INDEX('OSA | 3GB'!J:L,MATCH(DATA!D220,'OSA | 3GB'!J:J,0),3),0)</f>
        <v>0</v>
      </c>
      <c r="H220" s="32" t="str">
        <f>_xlfn.IFNA(INDEX('OSA | 3GB'!A:C,MATCH(DATA!D220,'OSA | 3GB'!A:A,0),2),0)</f>
        <v xml:space="preserve"> -   </v>
      </c>
      <c r="I220" s="33" t="str">
        <f>_xlfn.IFNA(INDEX('OSA | 3GB'!A:C,MATCH(DATA!D220,'OSA | 3GB'!A:A,0),3),0)</f>
        <v xml:space="preserve"> -   </v>
      </c>
      <c r="J220" s="33">
        <f>INDEX('BIO WAHYU'!B:G,MATCH(DATA!D220,'BIO WAHYU'!B:B,0),5)</f>
        <v>1</v>
      </c>
      <c r="K220" s="34">
        <f>INDEX('BIO WAHYU'!B:G,MATCH(DATA!D220,'BIO WAHYU'!B:B,0),6)</f>
        <v>0</v>
      </c>
      <c r="L220" s="35">
        <f>INDEX('BIO WAHYU'!B:H,MATCH(DATA!D220,'BIO WAHYU'!B:B,0),7)</f>
        <v>0</v>
      </c>
      <c r="M220" s="34">
        <f>INDEX('BIO WAHYU'!B:H,MATCH(DATA!D220,'BIO WAHYU'!B:B,0),4)</f>
        <v>0</v>
      </c>
    </row>
    <row r="221" spans="1:13">
      <c r="A221" s="43" t="s">
        <v>1672</v>
      </c>
      <c r="B221" s="43">
        <v>2613051475</v>
      </c>
      <c r="C221" s="43" t="s">
        <v>891</v>
      </c>
      <c r="D221" s="10">
        <v>260825</v>
      </c>
      <c r="E221" s="43" t="s">
        <v>10</v>
      </c>
      <c r="F221" s="8">
        <f>_xlfn.IFNA(INDEX('OSA | 3GB'!J:L,MATCH(DATA!D221,'OSA | 3GB'!J:J,0),2),0)</f>
        <v>2</v>
      </c>
      <c r="G221" s="8">
        <f>_xlfn.IFNA(INDEX('OSA | 3GB'!J:L,MATCH(DATA!D221,'OSA | 3GB'!J:J,0),3),0)</f>
        <v>350000</v>
      </c>
      <c r="H221" s="32" t="str">
        <f>_xlfn.IFNA(INDEX('OSA | 3GB'!A:C,MATCH(DATA!D221,'OSA | 3GB'!A:A,0),2),0)</f>
        <v xml:space="preserve"> -   </v>
      </c>
      <c r="I221" s="33">
        <f>_xlfn.IFNA(INDEX('OSA | 3GB'!A:C,MATCH(DATA!D221,'OSA | 3GB'!A:A,0),3),0)</f>
        <v>250000</v>
      </c>
      <c r="J221" s="33">
        <f>INDEX('BIO WAHYU'!B:G,MATCH(DATA!D221,'BIO WAHYU'!B:B,0),5)</f>
        <v>0</v>
      </c>
      <c r="K221" s="34">
        <f>INDEX('BIO WAHYU'!B:G,MATCH(DATA!D221,'BIO WAHYU'!B:B,0),6)</f>
        <v>0</v>
      </c>
      <c r="L221" s="35">
        <f>INDEX('BIO WAHYU'!B:H,MATCH(DATA!D221,'BIO WAHYU'!B:B,0),7)</f>
        <v>0</v>
      </c>
      <c r="M221" s="34">
        <f>INDEX('BIO WAHYU'!B:H,MATCH(DATA!D221,'BIO WAHYU'!B:B,0),4)</f>
        <v>0</v>
      </c>
    </row>
    <row r="222" spans="1:13">
      <c r="A222" s="43" t="s">
        <v>1672</v>
      </c>
      <c r="B222" s="43" t="s">
        <v>156</v>
      </c>
      <c r="C222" s="43" t="s">
        <v>985</v>
      </c>
      <c r="D222" s="10">
        <v>344001</v>
      </c>
      <c r="E222" s="43" t="s">
        <v>10</v>
      </c>
      <c r="F222" s="8">
        <f>_xlfn.IFNA(INDEX('OSA | 3GB'!J:L,MATCH(DATA!D222,'OSA | 3GB'!J:J,0),2),0)</f>
        <v>0</v>
      </c>
      <c r="G222" s="8">
        <f>_xlfn.IFNA(INDEX('OSA | 3GB'!J:L,MATCH(DATA!D222,'OSA | 3GB'!J:J,0),3),0)</f>
        <v>300000</v>
      </c>
      <c r="H222" s="32" t="str">
        <f>_xlfn.IFNA(INDEX('OSA | 3GB'!A:C,MATCH(DATA!D222,'OSA | 3GB'!A:A,0),2),0)</f>
        <v xml:space="preserve"> -   </v>
      </c>
      <c r="I222" s="33">
        <f>_xlfn.IFNA(INDEX('OSA | 3GB'!A:C,MATCH(DATA!D222,'OSA | 3GB'!A:A,0),3),0)</f>
        <v>750000</v>
      </c>
      <c r="J222" s="33">
        <f>INDEX('BIO WAHYU'!B:G,MATCH(DATA!D222,'BIO WAHYU'!B:B,0),5)</f>
        <v>0</v>
      </c>
      <c r="K222" s="34">
        <f>INDEX('BIO WAHYU'!B:G,MATCH(DATA!D222,'BIO WAHYU'!B:B,0),6)</f>
        <v>0</v>
      </c>
      <c r="L222" s="35">
        <f>INDEX('BIO WAHYU'!B:H,MATCH(DATA!D222,'BIO WAHYU'!B:B,0),7)</f>
        <v>0</v>
      </c>
      <c r="M222" s="34">
        <f>INDEX('BIO WAHYU'!B:H,MATCH(DATA!D222,'BIO WAHYU'!B:B,0),4)</f>
        <v>0</v>
      </c>
    </row>
    <row r="223" spans="1:13">
      <c r="A223" s="43" t="s">
        <v>1674</v>
      </c>
      <c r="B223" s="43" t="s">
        <v>147</v>
      </c>
      <c r="C223" s="43" t="s">
        <v>623</v>
      </c>
      <c r="D223" s="10">
        <v>62439</v>
      </c>
      <c r="E223" s="43" t="s">
        <v>10</v>
      </c>
      <c r="F223" s="8">
        <f>_xlfn.IFNA(INDEX('OSA | 3GB'!J:L,MATCH(DATA!D223,'OSA | 3GB'!J:J,0),2),0)</f>
        <v>0</v>
      </c>
      <c r="G223" s="8">
        <f>_xlfn.IFNA(INDEX('OSA | 3GB'!J:L,MATCH(DATA!D223,'OSA | 3GB'!J:J,0),3),0)</f>
        <v>400000</v>
      </c>
      <c r="H223" s="32" t="str">
        <f>_xlfn.IFNA(INDEX('OSA | 3GB'!A:C,MATCH(DATA!D223,'OSA | 3GB'!A:A,0),2),0)</f>
        <v xml:space="preserve"> -   </v>
      </c>
      <c r="I223" s="33" t="str">
        <f>_xlfn.IFNA(INDEX('OSA | 3GB'!A:C,MATCH(DATA!D223,'OSA | 3GB'!A:A,0),3),0)</f>
        <v xml:space="preserve"> -   </v>
      </c>
      <c r="J223" s="33">
        <f>INDEX('BIO WAHYU'!B:G,MATCH(DATA!D223,'BIO WAHYU'!B:B,0),5)</f>
        <v>0</v>
      </c>
      <c r="K223" s="34">
        <f>INDEX('BIO WAHYU'!B:G,MATCH(DATA!D223,'BIO WAHYU'!B:B,0),6)</f>
        <v>0</v>
      </c>
      <c r="L223" s="35">
        <f>INDEX('BIO WAHYU'!B:H,MATCH(DATA!D223,'BIO WAHYU'!B:B,0),7)</f>
        <v>0</v>
      </c>
      <c r="M223" s="34">
        <f>INDEX('BIO WAHYU'!B:H,MATCH(DATA!D223,'BIO WAHYU'!B:B,0),4)</f>
        <v>0</v>
      </c>
    </row>
    <row r="224" spans="1:13">
      <c r="A224" s="43" t="s">
        <v>1673</v>
      </c>
      <c r="B224" s="43" t="s">
        <v>141</v>
      </c>
      <c r="C224" s="43" t="s">
        <v>209</v>
      </c>
      <c r="D224" s="10">
        <v>572944</v>
      </c>
      <c r="E224" s="43" t="s">
        <v>10</v>
      </c>
      <c r="F224" s="8">
        <f>_xlfn.IFNA(INDEX('OSA | 3GB'!J:L,MATCH(DATA!D224,'OSA | 3GB'!J:J,0),2),0)</f>
        <v>6</v>
      </c>
      <c r="G224" s="8">
        <f>_xlfn.IFNA(INDEX('OSA | 3GB'!J:L,MATCH(DATA!D224,'OSA | 3GB'!J:J,0),3),0)</f>
        <v>50000</v>
      </c>
      <c r="H224" s="32" t="str">
        <f>_xlfn.IFNA(INDEX('OSA | 3GB'!A:C,MATCH(DATA!D224,'OSA | 3GB'!A:A,0),2),0)</f>
        <v xml:space="preserve"> -   </v>
      </c>
      <c r="I224" s="33" t="str">
        <f>_xlfn.IFNA(INDEX('OSA | 3GB'!A:C,MATCH(DATA!D224,'OSA | 3GB'!A:A,0),3),0)</f>
        <v xml:space="preserve"> -   </v>
      </c>
      <c r="J224" s="33">
        <f>INDEX('BIO WAHYU'!B:G,MATCH(DATA!D224,'BIO WAHYU'!B:B,0),5)</f>
        <v>1</v>
      </c>
      <c r="K224" s="34">
        <f>INDEX('BIO WAHYU'!B:G,MATCH(DATA!D224,'BIO WAHYU'!B:B,0),6)</f>
        <v>0</v>
      </c>
      <c r="L224" s="35">
        <f>INDEX('BIO WAHYU'!B:H,MATCH(DATA!D224,'BIO WAHYU'!B:B,0),7)</f>
        <v>0</v>
      </c>
      <c r="M224" s="34">
        <f>INDEX('BIO WAHYU'!B:H,MATCH(DATA!D224,'BIO WAHYU'!B:B,0),4)</f>
        <v>0</v>
      </c>
    </row>
    <row r="225" spans="1:13">
      <c r="A225" s="43" t="s">
        <v>1674</v>
      </c>
      <c r="B225" s="43" t="s">
        <v>148</v>
      </c>
      <c r="C225" s="43" t="s">
        <v>643</v>
      </c>
      <c r="D225" s="10">
        <v>358177</v>
      </c>
      <c r="E225" s="43" t="s">
        <v>10</v>
      </c>
      <c r="F225" s="8">
        <f>_xlfn.IFNA(INDEX('OSA | 3GB'!J:L,MATCH(DATA!D225,'OSA | 3GB'!J:J,0),2),0)</f>
        <v>3</v>
      </c>
      <c r="G225" s="8">
        <f>_xlfn.IFNA(INDEX('OSA | 3GB'!J:L,MATCH(DATA!D225,'OSA | 3GB'!J:J,0),3),0)</f>
        <v>150000</v>
      </c>
      <c r="H225" s="32" t="str">
        <f>_xlfn.IFNA(INDEX('OSA | 3GB'!A:C,MATCH(DATA!D225,'OSA | 3GB'!A:A,0),2),0)</f>
        <v xml:space="preserve"> -   </v>
      </c>
      <c r="I225" s="33" t="str">
        <f>_xlfn.IFNA(INDEX('OSA | 3GB'!A:C,MATCH(DATA!D225,'OSA | 3GB'!A:A,0),3),0)</f>
        <v xml:space="preserve"> -   </v>
      </c>
      <c r="J225" s="33">
        <f>INDEX('BIO WAHYU'!B:G,MATCH(DATA!D225,'BIO WAHYU'!B:B,0),5)</f>
        <v>3</v>
      </c>
      <c r="K225" s="34">
        <f>INDEX('BIO WAHYU'!B:G,MATCH(DATA!D225,'BIO WAHYU'!B:B,0),6)</f>
        <v>1</v>
      </c>
      <c r="L225" s="35">
        <f>INDEX('BIO WAHYU'!B:H,MATCH(DATA!D225,'BIO WAHYU'!B:B,0),7)</f>
        <v>0</v>
      </c>
      <c r="M225" s="34">
        <f>INDEX('BIO WAHYU'!B:H,MATCH(DATA!D225,'BIO WAHYU'!B:B,0),4)</f>
        <v>0</v>
      </c>
    </row>
    <row r="226" spans="1:13">
      <c r="A226" s="43" t="s">
        <v>1674</v>
      </c>
      <c r="B226" s="43" t="s">
        <v>147</v>
      </c>
      <c r="C226" s="43" t="s">
        <v>1210</v>
      </c>
      <c r="D226" s="10">
        <v>527832</v>
      </c>
      <c r="E226" s="43" t="s">
        <v>10</v>
      </c>
      <c r="F226" s="8">
        <f>_xlfn.IFNA(INDEX('OSA | 3GB'!J:L,MATCH(DATA!D226,'OSA | 3GB'!J:J,0),2),0)</f>
        <v>0</v>
      </c>
      <c r="G226" s="8">
        <f>_xlfn.IFNA(INDEX('OSA | 3GB'!J:L,MATCH(DATA!D226,'OSA | 3GB'!J:J,0),3),0)</f>
        <v>1500000</v>
      </c>
      <c r="H226" s="32" t="str">
        <f>_xlfn.IFNA(INDEX('OSA | 3GB'!A:C,MATCH(DATA!D226,'OSA | 3GB'!A:A,0),2),0)</f>
        <v xml:space="preserve"> -   </v>
      </c>
      <c r="I226" s="33" t="str">
        <f>_xlfn.IFNA(INDEX('OSA | 3GB'!A:C,MATCH(DATA!D226,'OSA | 3GB'!A:A,0),3),0)</f>
        <v xml:space="preserve"> -   </v>
      </c>
      <c r="J226" s="33">
        <f>INDEX('BIO WAHYU'!B:G,MATCH(DATA!D226,'BIO WAHYU'!B:B,0),5)</f>
        <v>1</v>
      </c>
      <c r="K226" s="34">
        <f>INDEX('BIO WAHYU'!B:G,MATCH(DATA!D226,'BIO WAHYU'!B:B,0),6)</f>
        <v>0</v>
      </c>
      <c r="L226" s="35">
        <f>INDEX('BIO WAHYU'!B:H,MATCH(DATA!D226,'BIO WAHYU'!B:B,0),7)</f>
        <v>0</v>
      </c>
      <c r="M226" s="34">
        <f>INDEX('BIO WAHYU'!B:H,MATCH(DATA!D226,'BIO WAHYU'!B:B,0),4)</f>
        <v>0</v>
      </c>
    </row>
    <row r="227" spans="1:13">
      <c r="A227" s="43" t="s">
        <v>1675</v>
      </c>
      <c r="B227" s="43" t="s">
        <v>137</v>
      </c>
      <c r="C227" s="43" t="s">
        <v>1211</v>
      </c>
      <c r="D227" s="10">
        <v>12296276</v>
      </c>
      <c r="E227" s="43" t="s">
        <v>15</v>
      </c>
      <c r="F227" s="8">
        <f>_xlfn.IFNA(INDEX('OSA | 3GB'!J:L,MATCH(DATA!D227,'OSA | 3GB'!J:J,0),2),0)</f>
        <v>0</v>
      </c>
      <c r="G227" s="8">
        <f>_xlfn.IFNA(INDEX('OSA | 3GB'!J:L,MATCH(DATA!D227,'OSA | 3GB'!J:J,0),3),0)</f>
        <v>450000</v>
      </c>
      <c r="H227" s="32" t="str">
        <f>_xlfn.IFNA(INDEX('OSA | 3GB'!A:C,MATCH(DATA!D227,'OSA | 3GB'!A:A,0),2),0)</f>
        <v xml:space="preserve"> -   </v>
      </c>
      <c r="I227" s="33" t="str">
        <f>_xlfn.IFNA(INDEX('OSA | 3GB'!A:C,MATCH(DATA!D227,'OSA | 3GB'!A:A,0),3),0)</f>
        <v xml:space="preserve"> -   </v>
      </c>
      <c r="J227" s="33">
        <f>INDEX('BIO WAHYU'!B:G,MATCH(DATA!D227,'BIO WAHYU'!B:B,0),5)</f>
        <v>0</v>
      </c>
      <c r="K227" s="34">
        <f>INDEX('BIO WAHYU'!B:G,MATCH(DATA!D227,'BIO WAHYU'!B:B,0),6)</f>
        <v>0</v>
      </c>
      <c r="L227" s="35">
        <f>INDEX('BIO WAHYU'!B:H,MATCH(DATA!D227,'BIO WAHYU'!B:B,0),7)</f>
        <v>0</v>
      </c>
      <c r="M227" s="34">
        <f>INDEX('BIO WAHYU'!B:H,MATCH(DATA!D227,'BIO WAHYU'!B:B,0),4)</f>
        <v>0</v>
      </c>
    </row>
    <row r="228" spans="1:13">
      <c r="A228" s="43" t="s">
        <v>1672</v>
      </c>
      <c r="B228" s="43" t="s">
        <v>150</v>
      </c>
      <c r="C228" s="43" t="s">
        <v>825</v>
      </c>
      <c r="D228" s="10">
        <v>327725</v>
      </c>
      <c r="E228" s="43" t="s">
        <v>10</v>
      </c>
      <c r="F228" s="8">
        <f>_xlfn.IFNA(INDEX('OSA | 3GB'!J:L,MATCH(DATA!D228,'OSA | 3GB'!J:J,0),2),0)</f>
        <v>5</v>
      </c>
      <c r="G228" s="8">
        <f>_xlfn.IFNA(INDEX('OSA | 3GB'!J:L,MATCH(DATA!D228,'OSA | 3GB'!J:J,0),3),0)</f>
        <v>2900000</v>
      </c>
      <c r="H228" s="32" t="str">
        <f>_xlfn.IFNA(INDEX('OSA | 3GB'!A:C,MATCH(DATA!D228,'OSA | 3GB'!A:A,0),2),0)</f>
        <v xml:space="preserve"> -   </v>
      </c>
      <c r="I228" s="33">
        <f>_xlfn.IFNA(INDEX('OSA | 3GB'!A:C,MATCH(DATA!D228,'OSA | 3GB'!A:A,0),3),0)</f>
        <v>600000</v>
      </c>
      <c r="J228" s="33">
        <f>INDEX('BIO WAHYU'!B:G,MATCH(DATA!D228,'BIO WAHYU'!B:B,0),5)</f>
        <v>0</v>
      </c>
      <c r="K228" s="34">
        <f>INDEX('BIO WAHYU'!B:G,MATCH(DATA!D228,'BIO WAHYU'!B:B,0),6)</f>
        <v>0</v>
      </c>
      <c r="L228" s="35">
        <f>INDEX('BIO WAHYU'!B:H,MATCH(DATA!D228,'BIO WAHYU'!B:B,0),7)</f>
        <v>0</v>
      </c>
      <c r="M228" s="34">
        <f>INDEX('BIO WAHYU'!B:H,MATCH(DATA!D228,'BIO WAHYU'!B:B,0),4)</f>
        <v>0</v>
      </c>
    </row>
    <row r="229" spans="1:13">
      <c r="A229" s="43" t="s">
        <v>1670</v>
      </c>
      <c r="B229" s="43">
        <v>2613052584</v>
      </c>
      <c r="C229" s="43" t="s">
        <v>586</v>
      </c>
      <c r="D229" s="10">
        <v>336387</v>
      </c>
      <c r="E229" s="43" t="s">
        <v>10</v>
      </c>
      <c r="F229" s="8">
        <f>_xlfn.IFNA(INDEX('OSA | 3GB'!J:L,MATCH(DATA!D229,'OSA | 3GB'!J:J,0),2),0)</f>
        <v>4</v>
      </c>
      <c r="G229" s="8">
        <f>_xlfn.IFNA(INDEX('OSA | 3GB'!J:L,MATCH(DATA!D229,'OSA | 3GB'!J:J,0),3),0)</f>
        <v>311500</v>
      </c>
      <c r="H229" s="32" t="str">
        <f>_xlfn.IFNA(INDEX('OSA | 3GB'!A:C,MATCH(DATA!D229,'OSA | 3GB'!A:A,0),2),0)</f>
        <v xml:space="preserve"> -   </v>
      </c>
      <c r="I229" s="33">
        <f>_xlfn.IFNA(INDEX('OSA | 3GB'!A:C,MATCH(DATA!D229,'OSA | 3GB'!A:A,0),3),0)</f>
        <v>50000</v>
      </c>
      <c r="J229" s="33">
        <f>INDEX('BIO WAHYU'!B:G,MATCH(DATA!D229,'BIO WAHYU'!B:B,0),5)</f>
        <v>0</v>
      </c>
      <c r="K229" s="34">
        <f>INDEX('BIO WAHYU'!B:G,MATCH(DATA!D229,'BIO WAHYU'!B:B,0),6)</f>
        <v>0</v>
      </c>
      <c r="L229" s="35">
        <f>INDEX('BIO WAHYU'!B:H,MATCH(DATA!D229,'BIO WAHYU'!B:B,0),7)</f>
        <v>0</v>
      </c>
      <c r="M229" s="34">
        <f>INDEX('BIO WAHYU'!B:H,MATCH(DATA!D229,'BIO WAHYU'!B:B,0),4)</f>
        <v>0</v>
      </c>
    </row>
    <row r="230" spans="1:13">
      <c r="A230" s="43" t="s">
        <v>1673</v>
      </c>
      <c r="B230" s="43" t="s">
        <v>158</v>
      </c>
      <c r="C230" s="43" t="s">
        <v>1212</v>
      </c>
      <c r="D230" s="10">
        <v>529785</v>
      </c>
      <c r="E230" s="43" t="s">
        <v>15</v>
      </c>
      <c r="F230" s="8">
        <f>_xlfn.IFNA(INDEX('OSA | 3GB'!J:L,MATCH(DATA!D230,'OSA | 3GB'!J:J,0),2),0)</f>
        <v>3</v>
      </c>
      <c r="G230" s="8">
        <f>_xlfn.IFNA(INDEX('OSA | 3GB'!J:L,MATCH(DATA!D230,'OSA | 3GB'!J:J,0),3),0)</f>
        <v>0</v>
      </c>
      <c r="H230" s="32" t="str">
        <f>_xlfn.IFNA(INDEX('OSA | 3GB'!A:C,MATCH(DATA!D230,'OSA | 3GB'!A:A,0),2),0)</f>
        <v xml:space="preserve"> -   </v>
      </c>
      <c r="I230" s="33" t="str">
        <f>_xlfn.IFNA(INDEX('OSA | 3GB'!A:C,MATCH(DATA!D230,'OSA | 3GB'!A:A,0),3),0)</f>
        <v xml:space="preserve"> -   </v>
      </c>
      <c r="J230" s="33">
        <f>INDEX('BIO WAHYU'!B:G,MATCH(DATA!D230,'BIO WAHYU'!B:B,0),5)</f>
        <v>2</v>
      </c>
      <c r="K230" s="34">
        <f>INDEX('BIO WAHYU'!B:G,MATCH(DATA!D230,'BIO WAHYU'!B:B,0),6)</f>
        <v>0</v>
      </c>
      <c r="L230" s="35">
        <f>INDEX('BIO WAHYU'!B:H,MATCH(DATA!D230,'BIO WAHYU'!B:B,0),7)</f>
        <v>0</v>
      </c>
      <c r="M230" s="34">
        <f>INDEX('BIO WAHYU'!B:H,MATCH(DATA!D230,'BIO WAHYU'!B:B,0),4)</f>
        <v>0</v>
      </c>
    </row>
    <row r="231" spans="1:13">
      <c r="A231" s="43" t="s">
        <v>1672</v>
      </c>
      <c r="B231" s="43">
        <v>2613051475</v>
      </c>
      <c r="C231" s="43" t="s">
        <v>900</v>
      </c>
      <c r="D231" s="10">
        <v>366676</v>
      </c>
      <c r="E231" s="43" t="s">
        <v>10</v>
      </c>
      <c r="F231" s="8">
        <f>_xlfn.IFNA(INDEX('OSA | 3GB'!J:L,MATCH(DATA!D231,'OSA | 3GB'!J:J,0),2),0)</f>
        <v>3</v>
      </c>
      <c r="G231" s="8">
        <f>_xlfn.IFNA(INDEX('OSA | 3GB'!J:L,MATCH(DATA!D231,'OSA | 3GB'!J:J,0),3),0)</f>
        <v>3079000</v>
      </c>
      <c r="H231" s="32" t="str">
        <f>_xlfn.IFNA(INDEX('OSA | 3GB'!A:C,MATCH(DATA!D231,'OSA | 3GB'!A:A,0),2),0)</f>
        <v xml:space="preserve"> -   </v>
      </c>
      <c r="I231" s="33">
        <f>_xlfn.IFNA(INDEX('OSA | 3GB'!A:C,MATCH(DATA!D231,'OSA | 3GB'!A:A,0),3),0)</f>
        <v>150000</v>
      </c>
      <c r="J231" s="33">
        <f>INDEX('BIO WAHYU'!B:G,MATCH(DATA!D231,'BIO WAHYU'!B:B,0),5)</f>
        <v>3</v>
      </c>
      <c r="K231" s="34">
        <f>INDEX('BIO WAHYU'!B:G,MATCH(DATA!D231,'BIO WAHYU'!B:B,0),6)</f>
        <v>0</v>
      </c>
      <c r="L231" s="35">
        <f>INDEX('BIO WAHYU'!B:H,MATCH(DATA!D231,'BIO WAHYU'!B:B,0),7)</f>
        <v>0</v>
      </c>
      <c r="M231" s="34">
        <f>INDEX('BIO WAHYU'!B:H,MATCH(DATA!D231,'BIO WAHYU'!B:B,0),4)</f>
        <v>0</v>
      </c>
    </row>
    <row r="232" spans="1:13">
      <c r="A232" s="43" t="s">
        <v>1670</v>
      </c>
      <c r="B232" s="43" t="s">
        <v>145</v>
      </c>
      <c r="C232" s="43" t="s">
        <v>1213</v>
      </c>
      <c r="D232" s="10">
        <v>211644</v>
      </c>
      <c r="E232" s="43" t="s">
        <v>10</v>
      </c>
      <c r="F232" s="8">
        <f>_xlfn.IFNA(INDEX('OSA | 3GB'!J:L,MATCH(DATA!D232,'OSA | 3GB'!J:J,0),2),0)</f>
        <v>0</v>
      </c>
      <c r="G232" s="8">
        <f>_xlfn.IFNA(INDEX('OSA | 3GB'!J:L,MATCH(DATA!D232,'OSA | 3GB'!J:J,0),3),0)</f>
        <v>4045000</v>
      </c>
      <c r="H232" s="32">
        <f>_xlfn.IFNA(INDEX('OSA | 3GB'!A:C,MATCH(DATA!D232,'OSA | 3GB'!A:A,0),2),0)</f>
        <v>3</v>
      </c>
      <c r="I232" s="33">
        <f>_xlfn.IFNA(INDEX('OSA | 3GB'!A:C,MATCH(DATA!D232,'OSA | 3GB'!A:A,0),3),0)</f>
        <v>1200000</v>
      </c>
      <c r="J232" s="33">
        <f>INDEX('BIO WAHYU'!B:G,MATCH(DATA!D232,'BIO WAHYU'!B:B,0),5)</f>
        <v>4</v>
      </c>
      <c r="K232" s="34">
        <f>INDEX('BIO WAHYU'!B:G,MATCH(DATA!D232,'BIO WAHYU'!B:B,0),6)</f>
        <v>2</v>
      </c>
      <c r="L232" s="35">
        <f>INDEX('BIO WAHYU'!B:H,MATCH(DATA!D232,'BIO WAHYU'!B:B,0),7)</f>
        <v>0</v>
      </c>
      <c r="M232" s="34">
        <f>INDEX('BIO WAHYU'!B:H,MATCH(DATA!D232,'BIO WAHYU'!B:B,0),4)</f>
        <v>0</v>
      </c>
    </row>
    <row r="233" spans="1:13">
      <c r="A233" s="43" t="s">
        <v>1674</v>
      </c>
      <c r="B233" s="43">
        <v>2613052222</v>
      </c>
      <c r="C233" s="43" t="s">
        <v>1214</v>
      </c>
      <c r="D233" s="10">
        <v>221350</v>
      </c>
      <c r="E233" s="43" t="s">
        <v>10</v>
      </c>
      <c r="F233" s="8">
        <f>_xlfn.IFNA(INDEX('OSA | 3GB'!J:L,MATCH(DATA!D233,'OSA | 3GB'!J:J,0),2),0)</f>
        <v>3</v>
      </c>
      <c r="G233" s="8">
        <f>_xlfn.IFNA(INDEX('OSA | 3GB'!J:L,MATCH(DATA!D233,'OSA | 3GB'!J:J,0),3),0)</f>
        <v>800000</v>
      </c>
      <c r="H233" s="32" t="str">
        <f>_xlfn.IFNA(INDEX('OSA | 3GB'!A:C,MATCH(DATA!D233,'OSA | 3GB'!A:A,0),2),0)</f>
        <v xml:space="preserve"> -   </v>
      </c>
      <c r="I233" s="33" t="str">
        <f>_xlfn.IFNA(INDEX('OSA | 3GB'!A:C,MATCH(DATA!D233,'OSA | 3GB'!A:A,0),3),0)</f>
        <v xml:space="preserve"> -   </v>
      </c>
      <c r="J233" s="33">
        <f>INDEX('BIO WAHYU'!B:G,MATCH(DATA!D233,'BIO WAHYU'!B:B,0),5)</f>
        <v>4</v>
      </c>
      <c r="K233" s="34">
        <f>INDEX('BIO WAHYU'!B:G,MATCH(DATA!D233,'BIO WAHYU'!B:B,0),6)</f>
        <v>4</v>
      </c>
      <c r="L233" s="35">
        <f>INDEX('BIO WAHYU'!B:H,MATCH(DATA!D233,'BIO WAHYU'!B:B,0),7)</f>
        <v>0</v>
      </c>
      <c r="M233" s="34">
        <f>INDEX('BIO WAHYU'!B:H,MATCH(DATA!D233,'BIO WAHYU'!B:B,0),4)</f>
        <v>0</v>
      </c>
    </row>
    <row r="234" spans="1:13">
      <c r="A234" s="43" t="s">
        <v>1670</v>
      </c>
      <c r="B234" s="43" t="s">
        <v>145</v>
      </c>
      <c r="C234" s="43" t="s">
        <v>506</v>
      </c>
      <c r="D234" s="10">
        <v>399091</v>
      </c>
      <c r="E234" s="43" t="s">
        <v>15</v>
      </c>
      <c r="F234" s="8">
        <f>_xlfn.IFNA(INDEX('OSA | 3GB'!J:L,MATCH(DATA!D234,'OSA | 3GB'!J:J,0),2),0)</f>
        <v>0</v>
      </c>
      <c r="G234" s="8">
        <f>_xlfn.IFNA(INDEX('OSA | 3GB'!J:L,MATCH(DATA!D234,'OSA | 3GB'!J:J,0),3),0)</f>
        <v>629000</v>
      </c>
      <c r="H234" s="32" t="str">
        <f>_xlfn.IFNA(INDEX('OSA | 3GB'!A:C,MATCH(DATA!D234,'OSA | 3GB'!A:A,0),2),0)</f>
        <v xml:space="preserve"> -   </v>
      </c>
      <c r="I234" s="33">
        <f>_xlfn.IFNA(INDEX('OSA | 3GB'!A:C,MATCH(DATA!D234,'OSA | 3GB'!A:A,0),3),0)</f>
        <v>200000</v>
      </c>
      <c r="J234" s="33">
        <f>INDEX('BIO WAHYU'!B:G,MATCH(DATA!D234,'BIO WAHYU'!B:B,0),5)</f>
        <v>0</v>
      </c>
      <c r="K234" s="34">
        <f>INDEX('BIO WAHYU'!B:G,MATCH(DATA!D234,'BIO WAHYU'!B:B,0),6)</f>
        <v>1</v>
      </c>
      <c r="L234" s="35">
        <f>INDEX('BIO WAHYU'!B:H,MATCH(DATA!D234,'BIO WAHYU'!B:B,0),7)</f>
        <v>1</v>
      </c>
      <c r="M234" s="34">
        <f>INDEX('BIO WAHYU'!B:H,MATCH(DATA!D234,'BIO WAHYU'!B:B,0),4)</f>
        <v>0</v>
      </c>
    </row>
    <row r="235" spans="1:13">
      <c r="A235" s="43" t="s">
        <v>1674</v>
      </c>
      <c r="B235" s="43" t="s">
        <v>153</v>
      </c>
      <c r="C235" s="43" t="s">
        <v>1215</v>
      </c>
      <c r="D235" s="10">
        <v>211752</v>
      </c>
      <c r="E235" s="43" t="s">
        <v>23</v>
      </c>
      <c r="F235" s="8">
        <f>_xlfn.IFNA(INDEX('OSA | 3GB'!J:L,MATCH(DATA!D235,'OSA | 3GB'!J:J,0),2),0)</f>
        <v>0</v>
      </c>
      <c r="G235" s="8">
        <f>_xlfn.IFNA(INDEX('OSA | 3GB'!J:L,MATCH(DATA!D235,'OSA | 3GB'!J:J,0),3),0)</f>
        <v>0</v>
      </c>
      <c r="H235" s="32">
        <f>_xlfn.IFNA(INDEX('OSA | 3GB'!A:C,MATCH(DATA!D235,'OSA | 3GB'!A:A,0),2),0)</f>
        <v>10</v>
      </c>
      <c r="I235" s="33" t="str">
        <f>_xlfn.IFNA(INDEX('OSA | 3GB'!A:C,MATCH(DATA!D235,'OSA | 3GB'!A:A,0),3),0)</f>
        <v xml:space="preserve"> -   </v>
      </c>
      <c r="J235" s="33">
        <f>INDEX('BIO WAHYU'!B:G,MATCH(DATA!D235,'BIO WAHYU'!B:B,0),5)</f>
        <v>0</v>
      </c>
      <c r="K235" s="34">
        <f>INDEX('BIO WAHYU'!B:G,MATCH(DATA!D235,'BIO WAHYU'!B:B,0),6)</f>
        <v>37</v>
      </c>
      <c r="L235" s="35">
        <f>INDEX('BIO WAHYU'!B:H,MATCH(DATA!D235,'BIO WAHYU'!B:B,0),7)</f>
        <v>37</v>
      </c>
      <c r="M235" s="34">
        <f>INDEX('BIO WAHYU'!B:H,MATCH(DATA!D235,'BIO WAHYU'!B:B,0),4)</f>
        <v>0</v>
      </c>
    </row>
    <row r="236" spans="1:13">
      <c r="A236" s="43" t="s">
        <v>1670</v>
      </c>
      <c r="B236" s="43" t="s">
        <v>140</v>
      </c>
      <c r="C236" s="43" t="s">
        <v>458</v>
      </c>
      <c r="D236" s="10">
        <v>12321896</v>
      </c>
      <c r="E236" s="43" t="s">
        <v>15</v>
      </c>
      <c r="F236" s="8">
        <f>_xlfn.IFNA(INDEX('OSA | 3GB'!J:L,MATCH(DATA!D236,'OSA | 3GB'!J:J,0),2),0)</f>
        <v>3</v>
      </c>
      <c r="G236" s="8">
        <f>_xlfn.IFNA(INDEX('OSA | 3GB'!J:L,MATCH(DATA!D236,'OSA | 3GB'!J:J,0),3),0)</f>
        <v>1250000</v>
      </c>
      <c r="H236" s="32" t="str">
        <f>_xlfn.IFNA(INDEX('OSA | 3GB'!A:C,MATCH(DATA!D236,'OSA | 3GB'!A:A,0),2),0)</f>
        <v xml:space="preserve"> -   </v>
      </c>
      <c r="I236" s="33">
        <f>_xlfn.IFNA(INDEX('OSA | 3GB'!A:C,MATCH(DATA!D236,'OSA | 3GB'!A:A,0),3),0)</f>
        <v>500000</v>
      </c>
      <c r="J236" s="33">
        <f>INDEX('BIO WAHYU'!B:G,MATCH(DATA!D236,'BIO WAHYU'!B:B,0),5)</f>
        <v>4</v>
      </c>
      <c r="K236" s="34">
        <f>INDEX('BIO WAHYU'!B:G,MATCH(DATA!D236,'BIO WAHYU'!B:B,0),6)</f>
        <v>0</v>
      </c>
      <c r="L236" s="35">
        <f>INDEX('BIO WAHYU'!B:H,MATCH(DATA!D236,'BIO WAHYU'!B:B,0),7)</f>
        <v>0</v>
      </c>
      <c r="M236" s="34">
        <f>INDEX('BIO WAHYU'!B:H,MATCH(DATA!D236,'BIO WAHYU'!B:B,0),4)</f>
        <v>0</v>
      </c>
    </row>
    <row r="237" spans="1:13">
      <c r="A237" s="43" t="s">
        <v>1672</v>
      </c>
      <c r="B237" s="43" t="s">
        <v>150</v>
      </c>
      <c r="C237" s="43" t="s">
        <v>1216</v>
      </c>
      <c r="D237" s="10">
        <v>8334</v>
      </c>
      <c r="E237" s="43" t="s">
        <v>10</v>
      </c>
      <c r="F237" s="8">
        <f>_xlfn.IFNA(INDEX('OSA | 3GB'!J:L,MATCH(DATA!D237,'OSA | 3GB'!J:J,0),2),0)</f>
        <v>70</v>
      </c>
      <c r="G237" s="8">
        <f>_xlfn.IFNA(INDEX('OSA | 3GB'!J:L,MATCH(DATA!D237,'OSA | 3GB'!J:J,0),3),0)</f>
        <v>10229000</v>
      </c>
      <c r="H237" s="32" t="str">
        <f>_xlfn.IFNA(INDEX('OSA | 3GB'!A:C,MATCH(DATA!D237,'OSA | 3GB'!A:A,0),2),0)</f>
        <v xml:space="preserve"> -   </v>
      </c>
      <c r="I237" s="33">
        <f>_xlfn.IFNA(INDEX('OSA | 3GB'!A:C,MATCH(DATA!D237,'OSA | 3GB'!A:A,0),3),0)</f>
        <v>400000</v>
      </c>
      <c r="J237" s="33">
        <f>INDEX('BIO WAHYU'!B:G,MATCH(DATA!D237,'BIO WAHYU'!B:B,0),5)</f>
        <v>6</v>
      </c>
      <c r="K237" s="34">
        <f>INDEX('BIO WAHYU'!B:G,MATCH(DATA!D237,'BIO WAHYU'!B:B,0),6)</f>
        <v>0</v>
      </c>
      <c r="L237" s="35">
        <f>INDEX('BIO WAHYU'!B:H,MATCH(DATA!D237,'BIO WAHYU'!B:B,0),7)</f>
        <v>0</v>
      </c>
      <c r="M237" s="34">
        <f>INDEX('BIO WAHYU'!B:H,MATCH(DATA!D237,'BIO WAHYU'!B:B,0),4)</f>
        <v>0</v>
      </c>
    </row>
    <row r="238" spans="1:13">
      <c r="A238" s="43" t="s">
        <v>1670</v>
      </c>
      <c r="B238" s="43" t="s">
        <v>145</v>
      </c>
      <c r="C238" s="43" t="s">
        <v>522</v>
      </c>
      <c r="D238" s="10">
        <v>63914</v>
      </c>
      <c r="E238" s="43" t="s">
        <v>10</v>
      </c>
      <c r="F238" s="8">
        <f>_xlfn.IFNA(INDEX('OSA | 3GB'!J:L,MATCH(DATA!D238,'OSA | 3GB'!J:J,0),2),0)</f>
        <v>4</v>
      </c>
      <c r="G238" s="8">
        <f>_xlfn.IFNA(INDEX('OSA | 3GB'!J:L,MATCH(DATA!D238,'OSA | 3GB'!J:J,0),3),0)</f>
        <v>829000</v>
      </c>
      <c r="H238" s="32" t="str">
        <f>_xlfn.IFNA(INDEX('OSA | 3GB'!A:C,MATCH(DATA!D238,'OSA | 3GB'!A:A,0),2),0)</f>
        <v xml:space="preserve"> -   </v>
      </c>
      <c r="I238" s="33" t="str">
        <f>_xlfn.IFNA(INDEX('OSA | 3GB'!A:C,MATCH(DATA!D238,'OSA | 3GB'!A:A,0),3),0)</f>
        <v xml:space="preserve"> -   </v>
      </c>
      <c r="J238" s="33">
        <f>INDEX('BIO WAHYU'!B:G,MATCH(DATA!D238,'BIO WAHYU'!B:B,0),5)</f>
        <v>0</v>
      </c>
      <c r="K238" s="34">
        <f>INDEX('BIO WAHYU'!B:G,MATCH(DATA!D238,'BIO WAHYU'!B:B,0),6)</f>
        <v>0</v>
      </c>
      <c r="L238" s="35">
        <f>INDEX('BIO WAHYU'!B:H,MATCH(DATA!D238,'BIO WAHYU'!B:B,0),7)</f>
        <v>0</v>
      </c>
      <c r="M238" s="34">
        <f>INDEX('BIO WAHYU'!B:H,MATCH(DATA!D238,'BIO WAHYU'!B:B,0),4)</f>
        <v>0</v>
      </c>
    </row>
    <row r="239" spans="1:13">
      <c r="A239" s="43" t="s">
        <v>1673</v>
      </c>
      <c r="B239" s="43" t="s">
        <v>141</v>
      </c>
      <c r="C239" s="43" t="s">
        <v>199</v>
      </c>
      <c r="D239" s="10">
        <v>416899</v>
      </c>
      <c r="E239" s="43" t="s">
        <v>15</v>
      </c>
      <c r="F239" s="8">
        <f>_xlfn.IFNA(INDEX('OSA | 3GB'!J:L,MATCH(DATA!D239,'OSA | 3GB'!J:J,0),2),0)</f>
        <v>30</v>
      </c>
      <c r="G239" s="8">
        <f>_xlfn.IFNA(INDEX('OSA | 3GB'!J:L,MATCH(DATA!D239,'OSA | 3GB'!J:J,0),3),0)</f>
        <v>650000</v>
      </c>
      <c r="H239" s="32" t="str">
        <f>_xlfn.IFNA(INDEX('OSA | 3GB'!A:C,MATCH(DATA!D239,'OSA | 3GB'!A:A,0),2),0)</f>
        <v xml:space="preserve"> -   </v>
      </c>
      <c r="I239" s="33">
        <f>_xlfn.IFNA(INDEX('OSA | 3GB'!A:C,MATCH(DATA!D239,'OSA | 3GB'!A:A,0),3),0)</f>
        <v>400000</v>
      </c>
      <c r="J239" s="33">
        <f>INDEX('BIO WAHYU'!B:G,MATCH(DATA!D239,'BIO WAHYU'!B:B,0),5)</f>
        <v>3</v>
      </c>
      <c r="K239" s="34">
        <f>INDEX('BIO WAHYU'!B:G,MATCH(DATA!D239,'BIO WAHYU'!B:B,0),6)</f>
        <v>3</v>
      </c>
      <c r="L239" s="35">
        <f>INDEX('BIO WAHYU'!B:H,MATCH(DATA!D239,'BIO WAHYU'!B:B,0),7)</f>
        <v>0</v>
      </c>
      <c r="M239" s="34">
        <f>INDEX('BIO WAHYU'!B:H,MATCH(DATA!D239,'BIO WAHYU'!B:B,0),4)</f>
        <v>0</v>
      </c>
    </row>
    <row r="240" spans="1:13">
      <c r="A240" s="43" t="s">
        <v>1672</v>
      </c>
      <c r="B240" s="43" t="s">
        <v>155</v>
      </c>
      <c r="C240" s="43" t="s">
        <v>1217</v>
      </c>
      <c r="D240" s="10">
        <v>2385</v>
      </c>
      <c r="E240" s="43" t="s">
        <v>10</v>
      </c>
      <c r="F240" s="8">
        <f>_xlfn.IFNA(INDEX('OSA | 3GB'!J:L,MATCH(DATA!D240,'OSA | 3GB'!J:J,0),2),0)</f>
        <v>6</v>
      </c>
      <c r="G240" s="8">
        <f>_xlfn.IFNA(INDEX('OSA | 3GB'!J:L,MATCH(DATA!D240,'OSA | 3GB'!J:J,0),3),0)</f>
        <v>3100000</v>
      </c>
      <c r="H240" s="32">
        <f>_xlfn.IFNA(INDEX('OSA | 3GB'!A:C,MATCH(DATA!D240,'OSA | 3GB'!A:A,0),2),0)</f>
        <v>3</v>
      </c>
      <c r="I240" s="33">
        <f>_xlfn.IFNA(INDEX('OSA | 3GB'!A:C,MATCH(DATA!D240,'OSA | 3GB'!A:A,0),3),0)</f>
        <v>1200000</v>
      </c>
      <c r="J240" s="33">
        <f>INDEX('BIO WAHYU'!B:G,MATCH(DATA!D240,'BIO WAHYU'!B:B,0),5)</f>
        <v>2</v>
      </c>
      <c r="K240" s="34">
        <f>INDEX('BIO WAHYU'!B:G,MATCH(DATA!D240,'BIO WAHYU'!B:B,0),6)</f>
        <v>3</v>
      </c>
      <c r="L240" s="35">
        <f>INDEX('BIO WAHYU'!B:H,MATCH(DATA!D240,'BIO WAHYU'!B:B,0),7)</f>
        <v>1</v>
      </c>
      <c r="M240" s="34">
        <f>INDEX('BIO WAHYU'!B:H,MATCH(DATA!D240,'BIO WAHYU'!B:B,0),4)</f>
        <v>0</v>
      </c>
    </row>
    <row r="241" spans="1:13">
      <c r="A241" s="43" t="s">
        <v>1673</v>
      </c>
      <c r="B241" s="43" t="s">
        <v>143</v>
      </c>
      <c r="C241" s="43" t="s">
        <v>269</v>
      </c>
      <c r="D241" s="10">
        <v>523878</v>
      </c>
      <c r="E241" s="43" t="s">
        <v>10</v>
      </c>
      <c r="F241" s="8">
        <f>_xlfn.IFNA(INDEX('OSA | 3GB'!J:L,MATCH(DATA!D241,'OSA | 3GB'!J:J,0),2),0)</f>
        <v>4</v>
      </c>
      <c r="G241" s="8">
        <f>_xlfn.IFNA(INDEX('OSA | 3GB'!J:L,MATCH(DATA!D241,'OSA | 3GB'!J:J,0),3),0)</f>
        <v>5200000</v>
      </c>
      <c r="H241" s="32">
        <f>_xlfn.IFNA(INDEX('OSA | 3GB'!A:C,MATCH(DATA!D241,'OSA | 3GB'!A:A,0),2),0)</f>
        <v>1</v>
      </c>
      <c r="I241" s="33">
        <f>_xlfn.IFNA(INDEX('OSA | 3GB'!A:C,MATCH(DATA!D241,'OSA | 3GB'!A:A,0),3),0)</f>
        <v>3470000</v>
      </c>
      <c r="J241" s="33">
        <f>INDEX('BIO WAHYU'!B:G,MATCH(DATA!D241,'BIO WAHYU'!B:B,0),5)</f>
        <v>4</v>
      </c>
      <c r="K241" s="34">
        <f>INDEX('BIO WAHYU'!B:G,MATCH(DATA!D241,'BIO WAHYU'!B:B,0),6)</f>
        <v>2</v>
      </c>
      <c r="L241" s="35">
        <f>INDEX('BIO WAHYU'!B:H,MATCH(DATA!D241,'BIO WAHYU'!B:B,0),7)</f>
        <v>0</v>
      </c>
      <c r="M241" s="34">
        <f>INDEX('BIO WAHYU'!B:H,MATCH(DATA!D241,'BIO WAHYU'!B:B,0),4)</f>
        <v>0</v>
      </c>
    </row>
    <row r="242" spans="1:13">
      <c r="A242" s="43" t="s">
        <v>1671</v>
      </c>
      <c r="B242" s="43">
        <v>2613050886</v>
      </c>
      <c r="C242" s="43" t="s">
        <v>320</v>
      </c>
      <c r="D242" s="10">
        <v>240661</v>
      </c>
      <c r="E242" s="43" t="s">
        <v>15</v>
      </c>
      <c r="F242" s="8">
        <f>_xlfn.IFNA(INDEX('OSA | 3GB'!J:L,MATCH(DATA!D242,'OSA | 3GB'!J:J,0),2),0)</f>
        <v>4</v>
      </c>
      <c r="G242" s="8">
        <f>_xlfn.IFNA(INDEX('OSA | 3GB'!J:L,MATCH(DATA!D242,'OSA | 3GB'!J:J,0),3),0)</f>
        <v>2000000</v>
      </c>
      <c r="H242" s="32" t="str">
        <f>_xlfn.IFNA(INDEX('OSA | 3GB'!A:C,MATCH(DATA!D242,'OSA | 3GB'!A:A,0),2),0)</f>
        <v xml:space="preserve"> -   </v>
      </c>
      <c r="I242" s="33">
        <f>_xlfn.IFNA(INDEX('OSA | 3GB'!A:C,MATCH(DATA!D242,'OSA | 3GB'!A:A,0),3),0)</f>
        <v>500000</v>
      </c>
      <c r="J242" s="33">
        <f>INDEX('BIO WAHYU'!B:G,MATCH(DATA!D242,'BIO WAHYU'!B:B,0),5)</f>
        <v>2</v>
      </c>
      <c r="K242" s="34">
        <f>INDEX('BIO WAHYU'!B:G,MATCH(DATA!D242,'BIO WAHYU'!B:B,0),6)</f>
        <v>0</v>
      </c>
      <c r="L242" s="35">
        <f>INDEX('BIO WAHYU'!B:H,MATCH(DATA!D242,'BIO WAHYU'!B:B,0),7)</f>
        <v>0</v>
      </c>
      <c r="M242" s="34">
        <f>INDEX('BIO WAHYU'!B:H,MATCH(DATA!D242,'BIO WAHYU'!B:B,0),4)</f>
        <v>0</v>
      </c>
    </row>
    <row r="243" spans="1:13">
      <c r="A243" s="43" t="s">
        <v>1673</v>
      </c>
      <c r="B243" s="43" t="s">
        <v>141</v>
      </c>
      <c r="C243" s="43" t="s">
        <v>201</v>
      </c>
      <c r="D243" s="10">
        <v>440835</v>
      </c>
      <c r="E243" s="43" t="s">
        <v>15</v>
      </c>
      <c r="F243" s="8">
        <f>_xlfn.IFNA(INDEX('OSA | 3GB'!J:L,MATCH(DATA!D243,'OSA | 3GB'!J:J,0),2),0)</f>
        <v>6</v>
      </c>
      <c r="G243" s="8">
        <f>_xlfn.IFNA(INDEX('OSA | 3GB'!J:L,MATCH(DATA!D243,'OSA | 3GB'!J:J,0),3),0)</f>
        <v>1129000</v>
      </c>
      <c r="H243" s="32" t="str">
        <f>_xlfn.IFNA(INDEX('OSA | 3GB'!A:C,MATCH(DATA!D243,'OSA | 3GB'!A:A,0),2),0)</f>
        <v xml:space="preserve"> -   </v>
      </c>
      <c r="I243" s="33">
        <f>_xlfn.IFNA(INDEX('OSA | 3GB'!A:C,MATCH(DATA!D243,'OSA | 3GB'!A:A,0),3),0)</f>
        <v>100000</v>
      </c>
      <c r="J243" s="33">
        <f>INDEX('BIO WAHYU'!B:G,MATCH(DATA!D243,'BIO WAHYU'!B:B,0),5)</f>
        <v>2</v>
      </c>
      <c r="K243" s="34">
        <f>INDEX('BIO WAHYU'!B:G,MATCH(DATA!D243,'BIO WAHYU'!B:B,0),6)</f>
        <v>1</v>
      </c>
      <c r="L243" s="35">
        <f>INDEX('BIO WAHYU'!B:H,MATCH(DATA!D243,'BIO WAHYU'!B:B,0),7)</f>
        <v>0</v>
      </c>
      <c r="M243" s="34">
        <f>INDEX('BIO WAHYU'!B:H,MATCH(DATA!D243,'BIO WAHYU'!B:B,0),4)</f>
        <v>0</v>
      </c>
    </row>
    <row r="244" spans="1:13">
      <c r="A244" s="43" t="s">
        <v>1</v>
      </c>
      <c r="B244" s="43" t="s">
        <v>5</v>
      </c>
      <c r="C244" s="43" t="s">
        <v>1078</v>
      </c>
      <c r="D244" s="10">
        <v>12303072</v>
      </c>
      <c r="E244" s="43" t="s">
        <v>15</v>
      </c>
      <c r="F244" s="8">
        <f>_xlfn.IFNA(INDEX('OSA | 3GB'!J:L,MATCH(DATA!D244,'OSA | 3GB'!J:J,0),2),0)</f>
        <v>4</v>
      </c>
      <c r="G244" s="8">
        <f>_xlfn.IFNA(INDEX('OSA | 3GB'!J:L,MATCH(DATA!D244,'OSA | 3GB'!J:J,0),3),0)</f>
        <v>500000</v>
      </c>
      <c r="H244" s="32" t="str">
        <f>_xlfn.IFNA(INDEX('OSA | 3GB'!A:C,MATCH(DATA!D244,'OSA | 3GB'!A:A,0),2),0)</f>
        <v xml:space="preserve"> -   </v>
      </c>
      <c r="I244" s="33" t="str">
        <f>_xlfn.IFNA(INDEX('OSA | 3GB'!A:C,MATCH(DATA!D244,'OSA | 3GB'!A:A,0),3),0)</f>
        <v xml:space="preserve"> -   </v>
      </c>
      <c r="J244" s="33">
        <f>INDEX('BIO WAHYU'!B:G,MATCH(DATA!D244,'BIO WAHYU'!B:B,0),5)</f>
        <v>2</v>
      </c>
      <c r="K244" s="34">
        <f>INDEX('BIO WAHYU'!B:G,MATCH(DATA!D244,'BIO WAHYU'!B:B,0),6)</f>
        <v>0</v>
      </c>
      <c r="L244" s="35">
        <f>INDEX('BIO WAHYU'!B:H,MATCH(DATA!D244,'BIO WAHYU'!B:B,0),7)</f>
        <v>0</v>
      </c>
      <c r="M244" s="34">
        <f>INDEX('BIO WAHYU'!B:H,MATCH(DATA!D244,'BIO WAHYU'!B:B,0),4)</f>
        <v>0</v>
      </c>
    </row>
    <row r="245" spans="1:13">
      <c r="A245" s="43" t="s">
        <v>1671</v>
      </c>
      <c r="B245" s="43" t="s">
        <v>142</v>
      </c>
      <c r="C245" s="43" t="s">
        <v>362</v>
      </c>
      <c r="D245" s="10">
        <v>526409</v>
      </c>
      <c r="E245" s="43" t="s">
        <v>10</v>
      </c>
      <c r="F245" s="8">
        <f>_xlfn.IFNA(INDEX('OSA | 3GB'!J:L,MATCH(DATA!D245,'OSA | 3GB'!J:J,0),2),0)</f>
        <v>3</v>
      </c>
      <c r="G245" s="8">
        <f>_xlfn.IFNA(INDEX('OSA | 3GB'!J:L,MATCH(DATA!D245,'OSA | 3GB'!J:J,0),3),0)</f>
        <v>450000</v>
      </c>
      <c r="H245" s="32" t="str">
        <f>_xlfn.IFNA(INDEX('OSA | 3GB'!A:C,MATCH(DATA!D245,'OSA | 3GB'!A:A,0),2),0)</f>
        <v xml:space="preserve"> -   </v>
      </c>
      <c r="I245" s="33">
        <f>_xlfn.IFNA(INDEX('OSA | 3GB'!A:C,MATCH(DATA!D245,'OSA | 3GB'!A:A,0),3),0)</f>
        <v>400000</v>
      </c>
      <c r="J245" s="33">
        <f>INDEX('BIO WAHYU'!B:G,MATCH(DATA!D245,'BIO WAHYU'!B:B,0),5)</f>
        <v>0</v>
      </c>
      <c r="K245" s="34">
        <f>INDEX('BIO WAHYU'!B:G,MATCH(DATA!D245,'BIO WAHYU'!B:B,0),6)</f>
        <v>1</v>
      </c>
      <c r="L245" s="35">
        <f>INDEX('BIO WAHYU'!B:H,MATCH(DATA!D245,'BIO WAHYU'!B:B,0),7)</f>
        <v>1</v>
      </c>
      <c r="M245" s="34">
        <f>INDEX('BIO WAHYU'!B:H,MATCH(DATA!D245,'BIO WAHYU'!B:B,0),4)</f>
        <v>0</v>
      </c>
    </row>
    <row r="246" spans="1:13">
      <c r="A246" s="43" t="s">
        <v>1673</v>
      </c>
      <c r="B246" s="43" t="s">
        <v>144</v>
      </c>
      <c r="C246" s="43" t="s">
        <v>1218</v>
      </c>
      <c r="D246" s="10">
        <v>513078</v>
      </c>
      <c r="E246" s="43" t="s">
        <v>15</v>
      </c>
      <c r="F246" s="8">
        <f>_xlfn.IFNA(INDEX('OSA | 3GB'!J:L,MATCH(DATA!D246,'OSA | 3GB'!J:J,0),2),0)</f>
        <v>3</v>
      </c>
      <c r="G246" s="8">
        <f>_xlfn.IFNA(INDEX('OSA | 3GB'!J:L,MATCH(DATA!D246,'OSA | 3GB'!J:J,0),3),0)</f>
        <v>129000</v>
      </c>
      <c r="H246" s="32" t="str">
        <f>_xlfn.IFNA(INDEX('OSA | 3GB'!A:C,MATCH(DATA!D246,'OSA | 3GB'!A:A,0),2),0)</f>
        <v xml:space="preserve"> -   </v>
      </c>
      <c r="I246" s="33" t="str">
        <f>_xlfn.IFNA(INDEX('OSA | 3GB'!A:C,MATCH(DATA!D246,'OSA | 3GB'!A:A,0),3),0)</f>
        <v xml:space="preserve"> -   </v>
      </c>
      <c r="J246" s="33">
        <f>INDEX('BIO WAHYU'!B:G,MATCH(DATA!D246,'BIO WAHYU'!B:B,0),5)</f>
        <v>1</v>
      </c>
      <c r="K246" s="34">
        <f>INDEX('BIO WAHYU'!B:G,MATCH(DATA!D246,'BIO WAHYU'!B:B,0),6)</f>
        <v>0</v>
      </c>
      <c r="L246" s="35">
        <f>INDEX('BIO WAHYU'!B:H,MATCH(DATA!D246,'BIO WAHYU'!B:B,0),7)</f>
        <v>0</v>
      </c>
      <c r="M246" s="34">
        <f>INDEX('BIO WAHYU'!B:H,MATCH(DATA!D246,'BIO WAHYU'!B:B,0),4)</f>
        <v>0</v>
      </c>
    </row>
    <row r="247" spans="1:13">
      <c r="A247" s="43" t="s">
        <v>1672</v>
      </c>
      <c r="B247" s="43" t="s">
        <v>150</v>
      </c>
      <c r="C247" s="43" t="s">
        <v>819</v>
      </c>
      <c r="D247" s="10">
        <v>264668</v>
      </c>
      <c r="E247" s="43" t="s">
        <v>10</v>
      </c>
      <c r="F247" s="8">
        <f>_xlfn.IFNA(INDEX('OSA | 3GB'!J:L,MATCH(DATA!D247,'OSA | 3GB'!J:J,0),2),0)</f>
        <v>3</v>
      </c>
      <c r="G247" s="8">
        <f>_xlfn.IFNA(INDEX('OSA | 3GB'!J:L,MATCH(DATA!D247,'OSA | 3GB'!J:J,0),3),0)</f>
        <v>2170000</v>
      </c>
      <c r="H247" s="32" t="str">
        <f>_xlfn.IFNA(INDEX('OSA | 3GB'!A:C,MATCH(DATA!D247,'OSA | 3GB'!A:A,0),2),0)</f>
        <v xml:space="preserve"> -   </v>
      </c>
      <c r="I247" s="33">
        <f>_xlfn.IFNA(INDEX('OSA | 3GB'!A:C,MATCH(DATA!D247,'OSA | 3GB'!A:A,0),3),0)</f>
        <v>950000</v>
      </c>
      <c r="J247" s="33">
        <f>INDEX('BIO WAHYU'!B:G,MATCH(DATA!D247,'BIO WAHYU'!B:B,0),5)</f>
        <v>2</v>
      </c>
      <c r="K247" s="34">
        <f>INDEX('BIO WAHYU'!B:G,MATCH(DATA!D247,'BIO WAHYU'!B:B,0),6)</f>
        <v>1</v>
      </c>
      <c r="L247" s="35">
        <f>INDEX('BIO WAHYU'!B:H,MATCH(DATA!D247,'BIO WAHYU'!B:B,0),7)</f>
        <v>0</v>
      </c>
      <c r="M247" s="34">
        <f>INDEX('BIO WAHYU'!B:H,MATCH(DATA!D247,'BIO WAHYU'!B:B,0),4)</f>
        <v>0</v>
      </c>
    </row>
    <row r="248" spans="1:13">
      <c r="A248" s="43" t="s">
        <v>1673</v>
      </c>
      <c r="B248" s="43" t="s">
        <v>1136</v>
      </c>
      <c r="C248" s="43" t="s">
        <v>1219</v>
      </c>
      <c r="D248" s="10">
        <v>61603</v>
      </c>
      <c r="E248" s="43" t="s">
        <v>10</v>
      </c>
      <c r="F248" s="8">
        <f>_xlfn.IFNA(INDEX('OSA | 3GB'!J:L,MATCH(DATA!D248,'OSA | 3GB'!J:J,0),2),0)</f>
        <v>1</v>
      </c>
      <c r="G248" s="8">
        <f>_xlfn.IFNA(INDEX('OSA | 3GB'!J:L,MATCH(DATA!D248,'OSA | 3GB'!J:J,0),3),0)</f>
        <v>2129000</v>
      </c>
      <c r="H248" s="32" t="str">
        <f>_xlfn.IFNA(INDEX('OSA | 3GB'!A:C,MATCH(DATA!D248,'OSA | 3GB'!A:A,0),2),0)</f>
        <v xml:space="preserve"> -   </v>
      </c>
      <c r="I248" s="33">
        <f>_xlfn.IFNA(INDEX('OSA | 3GB'!A:C,MATCH(DATA!D248,'OSA | 3GB'!A:A,0),3),0)</f>
        <v>600000</v>
      </c>
      <c r="J248" s="33">
        <f>INDEX('BIO WAHYU'!B:G,MATCH(DATA!D248,'BIO WAHYU'!B:B,0),5)</f>
        <v>3</v>
      </c>
      <c r="K248" s="34">
        <f>INDEX('BIO WAHYU'!B:G,MATCH(DATA!D248,'BIO WAHYU'!B:B,0),6)</f>
        <v>0</v>
      </c>
      <c r="L248" s="35">
        <f>INDEX('BIO WAHYU'!B:H,MATCH(DATA!D248,'BIO WAHYU'!B:B,0),7)</f>
        <v>0</v>
      </c>
      <c r="M248" s="34">
        <f>INDEX('BIO WAHYU'!B:H,MATCH(DATA!D248,'BIO WAHYU'!B:B,0),4)</f>
        <v>0</v>
      </c>
    </row>
    <row r="249" spans="1:13">
      <c r="A249" s="43" t="s">
        <v>1672</v>
      </c>
      <c r="B249" s="43" t="s">
        <v>155</v>
      </c>
      <c r="C249" s="43" t="s">
        <v>926</v>
      </c>
      <c r="D249" s="10">
        <v>12327984</v>
      </c>
      <c r="E249" s="43" t="s">
        <v>10</v>
      </c>
      <c r="F249" s="8">
        <f>_xlfn.IFNA(INDEX('OSA | 3GB'!J:L,MATCH(DATA!D249,'OSA | 3GB'!J:J,0),2),0)</f>
        <v>4</v>
      </c>
      <c r="G249" s="8">
        <f>_xlfn.IFNA(INDEX('OSA | 3GB'!J:L,MATCH(DATA!D249,'OSA | 3GB'!J:J,0),3),0)</f>
        <v>4300000</v>
      </c>
      <c r="H249" s="32">
        <f>_xlfn.IFNA(INDEX('OSA | 3GB'!A:C,MATCH(DATA!D249,'OSA | 3GB'!A:A,0),2),0)</f>
        <v>3</v>
      </c>
      <c r="I249" s="33">
        <f>_xlfn.IFNA(INDEX('OSA | 3GB'!A:C,MATCH(DATA!D249,'OSA | 3GB'!A:A,0),3),0)</f>
        <v>900000</v>
      </c>
      <c r="J249" s="33">
        <f>INDEX('BIO WAHYU'!B:G,MATCH(DATA!D249,'BIO WAHYU'!B:B,0),5)</f>
        <v>3</v>
      </c>
      <c r="K249" s="34">
        <f>INDEX('BIO WAHYU'!B:G,MATCH(DATA!D249,'BIO WAHYU'!B:B,0),6)</f>
        <v>3</v>
      </c>
      <c r="L249" s="35">
        <f>INDEX('BIO WAHYU'!B:H,MATCH(DATA!D249,'BIO WAHYU'!B:B,0),7)</f>
        <v>0</v>
      </c>
      <c r="M249" s="34">
        <f>INDEX('BIO WAHYU'!B:H,MATCH(DATA!D249,'BIO WAHYU'!B:B,0),4)</f>
        <v>0</v>
      </c>
    </row>
    <row r="250" spans="1:13">
      <c r="A250" s="43" t="s">
        <v>1673</v>
      </c>
      <c r="B250" s="43" t="s">
        <v>158</v>
      </c>
      <c r="C250" s="43" t="s">
        <v>1220</v>
      </c>
      <c r="D250" s="10">
        <v>12323735</v>
      </c>
      <c r="E250" s="43" t="s">
        <v>10</v>
      </c>
      <c r="F250" s="8">
        <f>_xlfn.IFNA(INDEX('OSA | 3GB'!J:L,MATCH(DATA!D250,'OSA | 3GB'!J:J,0),2),0)</f>
        <v>0</v>
      </c>
      <c r="G250" s="8">
        <f>_xlfn.IFNA(INDEX('OSA | 3GB'!J:L,MATCH(DATA!D250,'OSA | 3GB'!J:J,0),3),0)</f>
        <v>2000000</v>
      </c>
      <c r="H250" s="32" t="str">
        <f>_xlfn.IFNA(INDEX('OSA | 3GB'!A:C,MATCH(DATA!D250,'OSA | 3GB'!A:A,0),2),0)</f>
        <v xml:space="preserve"> -   </v>
      </c>
      <c r="I250" s="33">
        <f>_xlfn.IFNA(INDEX('OSA | 3GB'!A:C,MATCH(DATA!D250,'OSA | 3GB'!A:A,0),3),0)</f>
        <v>1700000</v>
      </c>
      <c r="J250" s="33">
        <f>INDEX('BIO WAHYU'!B:G,MATCH(DATA!D250,'BIO WAHYU'!B:B,0),5)</f>
        <v>0</v>
      </c>
      <c r="K250" s="34">
        <f>INDEX('BIO WAHYU'!B:G,MATCH(DATA!D250,'BIO WAHYU'!B:B,0),6)</f>
        <v>0</v>
      </c>
      <c r="L250" s="35">
        <f>INDEX('BIO WAHYU'!B:H,MATCH(DATA!D250,'BIO WAHYU'!B:B,0),7)</f>
        <v>0</v>
      </c>
      <c r="M250" s="34">
        <f>INDEX('BIO WAHYU'!B:H,MATCH(DATA!D250,'BIO WAHYU'!B:B,0),4)</f>
        <v>0</v>
      </c>
    </row>
    <row r="251" spans="1:13">
      <c r="A251" s="43" t="s">
        <v>1674</v>
      </c>
      <c r="B251" s="43" t="s">
        <v>152</v>
      </c>
      <c r="C251" s="43" t="s">
        <v>1221</v>
      </c>
      <c r="D251" s="10">
        <v>339975</v>
      </c>
      <c r="E251" s="43" t="s">
        <v>10</v>
      </c>
      <c r="F251" s="8">
        <f>_xlfn.IFNA(INDEX('OSA | 3GB'!J:L,MATCH(DATA!D251,'OSA | 3GB'!J:J,0),2),0)</f>
        <v>6</v>
      </c>
      <c r="G251" s="8">
        <f>_xlfn.IFNA(INDEX('OSA | 3GB'!J:L,MATCH(DATA!D251,'OSA | 3GB'!J:J,0),3),0)</f>
        <v>1758000</v>
      </c>
      <c r="H251" s="32" t="str">
        <f>_xlfn.IFNA(INDEX('OSA | 3GB'!A:C,MATCH(DATA!D251,'OSA | 3GB'!A:A,0),2),0)</f>
        <v xml:space="preserve"> -   </v>
      </c>
      <c r="I251" s="33">
        <f>_xlfn.IFNA(INDEX('OSA | 3GB'!A:C,MATCH(DATA!D251,'OSA | 3GB'!A:A,0),3),0)</f>
        <v>500000</v>
      </c>
      <c r="J251" s="33">
        <f>INDEX('BIO WAHYU'!B:G,MATCH(DATA!D251,'BIO WAHYU'!B:B,0),5)</f>
        <v>2</v>
      </c>
      <c r="K251" s="34">
        <f>INDEX('BIO WAHYU'!B:G,MATCH(DATA!D251,'BIO WAHYU'!B:B,0),6)</f>
        <v>0</v>
      </c>
      <c r="L251" s="35">
        <f>INDEX('BIO WAHYU'!B:H,MATCH(DATA!D251,'BIO WAHYU'!B:B,0),7)</f>
        <v>0</v>
      </c>
      <c r="M251" s="34">
        <f>INDEX('BIO WAHYU'!B:H,MATCH(DATA!D251,'BIO WAHYU'!B:B,0),4)</f>
        <v>0</v>
      </c>
    </row>
    <row r="252" spans="1:13">
      <c r="A252" s="43" t="s">
        <v>1672</v>
      </c>
      <c r="B252" s="43">
        <v>2613051475</v>
      </c>
      <c r="C252" s="43" t="s">
        <v>912</v>
      </c>
      <c r="D252" s="10">
        <v>531733</v>
      </c>
      <c r="E252" s="43" t="s">
        <v>10</v>
      </c>
      <c r="F252" s="8">
        <f>_xlfn.IFNA(INDEX('OSA | 3GB'!J:L,MATCH(DATA!D252,'OSA | 3GB'!J:J,0),2),0)</f>
        <v>0</v>
      </c>
      <c r="G252" s="8">
        <f>_xlfn.IFNA(INDEX('OSA | 3GB'!J:L,MATCH(DATA!D252,'OSA | 3GB'!J:J,0),3),0)</f>
        <v>8200000</v>
      </c>
      <c r="H252" s="32">
        <f>_xlfn.IFNA(INDEX('OSA | 3GB'!A:C,MATCH(DATA!D252,'OSA | 3GB'!A:A,0),2),0)</f>
        <v>3</v>
      </c>
      <c r="I252" s="33">
        <f>_xlfn.IFNA(INDEX('OSA | 3GB'!A:C,MATCH(DATA!D252,'OSA | 3GB'!A:A,0),3),0)</f>
        <v>3300000</v>
      </c>
      <c r="J252" s="33">
        <f>INDEX('BIO WAHYU'!B:G,MATCH(DATA!D252,'BIO WAHYU'!B:B,0),5)</f>
        <v>4</v>
      </c>
      <c r="K252" s="34">
        <f>INDEX('BIO WAHYU'!B:G,MATCH(DATA!D252,'BIO WAHYU'!B:B,0),6)</f>
        <v>1</v>
      </c>
      <c r="L252" s="35">
        <f>INDEX('BIO WAHYU'!B:H,MATCH(DATA!D252,'BIO WAHYU'!B:B,0),7)</f>
        <v>0</v>
      </c>
      <c r="M252" s="34">
        <f>INDEX('BIO WAHYU'!B:H,MATCH(DATA!D252,'BIO WAHYU'!B:B,0),4)</f>
        <v>0</v>
      </c>
    </row>
    <row r="253" spans="1:13">
      <c r="A253" s="43" t="s">
        <v>1675</v>
      </c>
      <c r="B253" s="43" t="s">
        <v>136</v>
      </c>
      <c r="C253" s="43" t="s">
        <v>409</v>
      </c>
      <c r="D253" s="10">
        <v>546628</v>
      </c>
      <c r="E253" s="43" t="s">
        <v>10</v>
      </c>
      <c r="F253" s="8">
        <f>_xlfn.IFNA(INDEX('OSA | 3GB'!J:L,MATCH(DATA!D253,'OSA | 3GB'!J:J,0),2),0)</f>
        <v>15</v>
      </c>
      <c r="G253" s="8">
        <f>_xlfn.IFNA(INDEX('OSA | 3GB'!J:L,MATCH(DATA!D253,'OSA | 3GB'!J:J,0),3),0)</f>
        <v>815000</v>
      </c>
      <c r="H253" s="32">
        <f>_xlfn.IFNA(INDEX('OSA | 3GB'!A:C,MATCH(DATA!D253,'OSA | 3GB'!A:A,0),2),0)</f>
        <v>10</v>
      </c>
      <c r="I253" s="33" t="str">
        <f>_xlfn.IFNA(INDEX('OSA | 3GB'!A:C,MATCH(DATA!D253,'OSA | 3GB'!A:A,0),3),0)</f>
        <v xml:space="preserve"> -   </v>
      </c>
      <c r="J253" s="33">
        <f>INDEX('BIO WAHYU'!B:G,MATCH(DATA!D253,'BIO WAHYU'!B:B,0),5)</f>
        <v>24</v>
      </c>
      <c r="K253" s="34">
        <f>INDEX('BIO WAHYU'!B:G,MATCH(DATA!D253,'BIO WAHYU'!B:B,0),6)</f>
        <v>12</v>
      </c>
      <c r="L253" s="35">
        <f>INDEX('BIO WAHYU'!B:H,MATCH(DATA!D253,'BIO WAHYU'!B:B,0),7)</f>
        <v>0</v>
      </c>
      <c r="M253" s="34">
        <f>INDEX('BIO WAHYU'!B:H,MATCH(DATA!D253,'BIO WAHYU'!B:B,0),4)</f>
        <v>0</v>
      </c>
    </row>
    <row r="254" spans="1:13">
      <c r="A254" s="43" t="s">
        <v>1672</v>
      </c>
      <c r="B254" s="43" t="s">
        <v>155</v>
      </c>
      <c r="C254" s="43" t="s">
        <v>929</v>
      </c>
      <c r="D254" s="10">
        <v>13057</v>
      </c>
      <c r="E254" s="43" t="s">
        <v>10</v>
      </c>
      <c r="F254" s="8">
        <f>_xlfn.IFNA(INDEX('OSA | 3GB'!J:L,MATCH(DATA!D254,'OSA | 3GB'!J:J,0),2),0)</f>
        <v>18</v>
      </c>
      <c r="G254" s="8">
        <f>_xlfn.IFNA(INDEX('OSA | 3GB'!J:L,MATCH(DATA!D254,'OSA | 3GB'!J:J,0),3),0)</f>
        <v>8724905</v>
      </c>
      <c r="H254" s="32">
        <f>_xlfn.IFNA(INDEX('OSA | 3GB'!A:C,MATCH(DATA!D254,'OSA | 3GB'!A:A,0),2),0)</f>
        <v>2</v>
      </c>
      <c r="I254" s="33">
        <f>_xlfn.IFNA(INDEX('OSA | 3GB'!A:C,MATCH(DATA!D254,'OSA | 3GB'!A:A,0),3),0)</f>
        <v>4558000</v>
      </c>
      <c r="J254" s="33">
        <f>INDEX('BIO WAHYU'!B:G,MATCH(DATA!D254,'BIO WAHYU'!B:B,0),5)</f>
        <v>3</v>
      </c>
      <c r="K254" s="34">
        <f>INDEX('BIO WAHYU'!B:G,MATCH(DATA!D254,'BIO WAHYU'!B:B,0),6)</f>
        <v>6</v>
      </c>
      <c r="L254" s="35">
        <f>INDEX('BIO WAHYU'!B:H,MATCH(DATA!D254,'BIO WAHYU'!B:B,0),7)</f>
        <v>3</v>
      </c>
      <c r="M254" s="34">
        <f>INDEX('BIO WAHYU'!B:H,MATCH(DATA!D254,'BIO WAHYU'!B:B,0),4)</f>
        <v>0</v>
      </c>
    </row>
    <row r="255" spans="1:13">
      <c r="A255" s="43" t="s">
        <v>1672</v>
      </c>
      <c r="B255" s="43" t="s">
        <v>155</v>
      </c>
      <c r="C255" s="43" t="s">
        <v>955</v>
      </c>
      <c r="D255" s="10">
        <v>61851</v>
      </c>
      <c r="E255" s="43" t="s">
        <v>10</v>
      </c>
      <c r="F255" s="8">
        <f>_xlfn.IFNA(INDEX('OSA | 3GB'!J:L,MATCH(DATA!D255,'OSA | 3GB'!J:J,0),2),0)</f>
        <v>3</v>
      </c>
      <c r="G255" s="8">
        <f>_xlfn.IFNA(INDEX('OSA | 3GB'!J:L,MATCH(DATA!D255,'OSA | 3GB'!J:J,0),3),0)</f>
        <v>1900000</v>
      </c>
      <c r="H255" s="32" t="str">
        <f>_xlfn.IFNA(INDEX('OSA | 3GB'!A:C,MATCH(DATA!D255,'OSA | 3GB'!A:A,0),2),0)</f>
        <v xml:space="preserve"> -   </v>
      </c>
      <c r="I255" s="33">
        <f>_xlfn.IFNA(INDEX('OSA | 3GB'!A:C,MATCH(DATA!D255,'OSA | 3GB'!A:A,0),3),0)</f>
        <v>400000</v>
      </c>
      <c r="J255" s="33">
        <f>INDEX('BIO WAHYU'!B:G,MATCH(DATA!D255,'BIO WAHYU'!B:B,0),5)</f>
        <v>3</v>
      </c>
      <c r="K255" s="34">
        <f>INDEX('BIO WAHYU'!B:G,MATCH(DATA!D255,'BIO WAHYU'!B:B,0),6)</f>
        <v>1</v>
      </c>
      <c r="L255" s="35">
        <f>INDEX('BIO WAHYU'!B:H,MATCH(DATA!D255,'BIO WAHYU'!B:B,0),7)</f>
        <v>0</v>
      </c>
      <c r="M255" s="34">
        <f>INDEX('BIO WAHYU'!B:H,MATCH(DATA!D255,'BIO WAHYU'!B:B,0),4)</f>
        <v>0</v>
      </c>
    </row>
    <row r="256" spans="1:13">
      <c r="A256" s="43" t="s">
        <v>1674</v>
      </c>
      <c r="B256" s="43" t="s">
        <v>154</v>
      </c>
      <c r="C256" s="43" t="s">
        <v>757</v>
      </c>
      <c r="D256" s="10">
        <v>62152</v>
      </c>
      <c r="E256" s="43" t="s">
        <v>10</v>
      </c>
      <c r="F256" s="8">
        <f>_xlfn.IFNA(INDEX('OSA | 3GB'!J:L,MATCH(DATA!D256,'OSA | 3GB'!J:J,0),2),0)</f>
        <v>3</v>
      </c>
      <c r="G256" s="8">
        <f>_xlfn.IFNA(INDEX('OSA | 3GB'!J:L,MATCH(DATA!D256,'OSA | 3GB'!J:J,0),3),0)</f>
        <v>87000</v>
      </c>
      <c r="H256" s="32" t="str">
        <f>_xlfn.IFNA(INDEX('OSA | 3GB'!A:C,MATCH(DATA!D256,'OSA | 3GB'!A:A,0),2),0)</f>
        <v xml:space="preserve"> -   </v>
      </c>
      <c r="I256" s="33" t="str">
        <f>_xlfn.IFNA(INDEX('OSA | 3GB'!A:C,MATCH(DATA!D256,'OSA | 3GB'!A:A,0),3),0)</f>
        <v xml:space="preserve"> -   </v>
      </c>
      <c r="J256" s="33">
        <f>INDEX('BIO WAHYU'!B:G,MATCH(DATA!D256,'BIO WAHYU'!B:B,0),5)</f>
        <v>1</v>
      </c>
      <c r="K256" s="34">
        <f>INDEX('BIO WAHYU'!B:G,MATCH(DATA!D256,'BIO WAHYU'!B:B,0),6)</f>
        <v>0</v>
      </c>
      <c r="L256" s="35">
        <f>INDEX('BIO WAHYU'!B:H,MATCH(DATA!D256,'BIO WAHYU'!B:B,0),7)</f>
        <v>0</v>
      </c>
      <c r="M256" s="34">
        <f>INDEX('BIO WAHYU'!B:H,MATCH(DATA!D256,'BIO WAHYU'!B:B,0),4)</f>
        <v>0</v>
      </c>
    </row>
    <row r="257" spans="1:13">
      <c r="A257" s="43" t="s">
        <v>1672</v>
      </c>
      <c r="B257" s="43" t="s">
        <v>151</v>
      </c>
      <c r="C257" s="43" t="s">
        <v>849</v>
      </c>
      <c r="D257" s="10">
        <v>107297</v>
      </c>
      <c r="E257" s="43" t="s">
        <v>23</v>
      </c>
      <c r="F257" s="8">
        <f>_xlfn.IFNA(INDEX('OSA | 3GB'!J:L,MATCH(DATA!D257,'OSA | 3GB'!J:J,0),2),0)</f>
        <v>29</v>
      </c>
      <c r="G257" s="8">
        <f>_xlfn.IFNA(INDEX('OSA | 3GB'!J:L,MATCH(DATA!D257,'OSA | 3GB'!J:J,0),3),0)</f>
        <v>23812000</v>
      </c>
      <c r="H257" s="32">
        <f>_xlfn.IFNA(INDEX('OSA | 3GB'!A:C,MATCH(DATA!D257,'OSA | 3GB'!A:A,0),2),0)</f>
        <v>3</v>
      </c>
      <c r="I257" s="33">
        <f>_xlfn.IFNA(INDEX('OSA | 3GB'!A:C,MATCH(DATA!D257,'OSA | 3GB'!A:A,0),3),0)</f>
        <v>3087000</v>
      </c>
      <c r="J257" s="33">
        <f>INDEX('BIO WAHYU'!B:G,MATCH(DATA!D257,'BIO WAHYU'!B:B,0),5)</f>
        <v>29</v>
      </c>
      <c r="K257" s="34">
        <f>INDEX('BIO WAHYU'!B:G,MATCH(DATA!D257,'BIO WAHYU'!B:B,0),6)</f>
        <v>18</v>
      </c>
      <c r="L257" s="35">
        <f>INDEX('BIO WAHYU'!B:H,MATCH(DATA!D257,'BIO WAHYU'!B:B,0),7)</f>
        <v>0</v>
      </c>
      <c r="M257" s="34">
        <f>INDEX('BIO WAHYU'!B:H,MATCH(DATA!D257,'BIO WAHYU'!B:B,0),4)</f>
        <v>0</v>
      </c>
    </row>
    <row r="258" spans="1:13">
      <c r="A258" s="43" t="s">
        <v>1673</v>
      </c>
      <c r="B258" s="43" t="s">
        <v>143</v>
      </c>
      <c r="C258" s="43" t="s">
        <v>1222</v>
      </c>
      <c r="D258" s="10">
        <v>512103</v>
      </c>
      <c r="E258" s="43" t="s">
        <v>10</v>
      </c>
      <c r="F258" s="8">
        <f>_xlfn.IFNA(INDEX('OSA | 3GB'!J:L,MATCH(DATA!D258,'OSA | 3GB'!J:J,0),2),0)</f>
        <v>5</v>
      </c>
      <c r="G258" s="8">
        <f>_xlfn.IFNA(INDEX('OSA | 3GB'!J:L,MATCH(DATA!D258,'OSA | 3GB'!J:J,0),3),0)</f>
        <v>3000000</v>
      </c>
      <c r="H258" s="32" t="str">
        <f>_xlfn.IFNA(INDEX('OSA | 3GB'!A:C,MATCH(DATA!D258,'OSA | 3GB'!A:A,0),2),0)</f>
        <v xml:space="preserve"> -   </v>
      </c>
      <c r="I258" s="33">
        <f>_xlfn.IFNA(INDEX('OSA | 3GB'!A:C,MATCH(DATA!D258,'OSA | 3GB'!A:A,0),3),0)</f>
        <v>1000000</v>
      </c>
      <c r="J258" s="33">
        <f>INDEX('BIO WAHYU'!B:G,MATCH(DATA!D258,'BIO WAHYU'!B:B,0),5)</f>
        <v>5</v>
      </c>
      <c r="K258" s="34">
        <f>INDEX('BIO WAHYU'!B:G,MATCH(DATA!D258,'BIO WAHYU'!B:B,0),6)</f>
        <v>1</v>
      </c>
      <c r="L258" s="35">
        <f>INDEX('BIO WAHYU'!B:H,MATCH(DATA!D258,'BIO WAHYU'!B:B,0),7)</f>
        <v>0</v>
      </c>
      <c r="M258" s="34">
        <f>INDEX('BIO WAHYU'!B:H,MATCH(DATA!D258,'BIO WAHYU'!B:B,0),4)</f>
        <v>0</v>
      </c>
    </row>
    <row r="259" spans="1:13">
      <c r="A259" s="43" t="s">
        <v>1673</v>
      </c>
      <c r="B259" s="43" t="s">
        <v>144</v>
      </c>
      <c r="C259" s="43" t="s">
        <v>235</v>
      </c>
      <c r="D259" s="10">
        <v>516003</v>
      </c>
      <c r="E259" s="43" t="s">
        <v>10</v>
      </c>
      <c r="F259" s="8">
        <f>_xlfn.IFNA(INDEX('OSA | 3GB'!J:L,MATCH(DATA!D259,'OSA | 3GB'!J:J,0),2),0)</f>
        <v>16</v>
      </c>
      <c r="G259" s="8">
        <f>_xlfn.IFNA(INDEX('OSA | 3GB'!J:L,MATCH(DATA!D259,'OSA | 3GB'!J:J,0),3),0)</f>
        <v>4074000</v>
      </c>
      <c r="H259" s="32">
        <f>_xlfn.IFNA(INDEX('OSA | 3GB'!A:C,MATCH(DATA!D259,'OSA | 3GB'!A:A,0),2),0)</f>
        <v>3</v>
      </c>
      <c r="I259" s="33">
        <f>_xlfn.IFNA(INDEX('OSA | 3GB'!A:C,MATCH(DATA!D259,'OSA | 3GB'!A:A,0),3),0)</f>
        <v>1937000</v>
      </c>
      <c r="J259" s="33">
        <f>INDEX('BIO WAHYU'!B:G,MATCH(DATA!D259,'BIO WAHYU'!B:B,0),5)</f>
        <v>5</v>
      </c>
      <c r="K259" s="34">
        <f>INDEX('BIO WAHYU'!B:G,MATCH(DATA!D259,'BIO WAHYU'!B:B,0),6)</f>
        <v>1</v>
      </c>
      <c r="L259" s="35">
        <f>INDEX('BIO WAHYU'!B:H,MATCH(DATA!D259,'BIO WAHYU'!B:B,0),7)</f>
        <v>0</v>
      </c>
      <c r="M259" s="34">
        <f>INDEX('BIO WAHYU'!B:H,MATCH(DATA!D259,'BIO WAHYU'!B:B,0),4)</f>
        <v>0</v>
      </c>
    </row>
    <row r="260" spans="1:13">
      <c r="A260" s="43" t="s">
        <v>1674</v>
      </c>
      <c r="B260" s="43" t="s">
        <v>153</v>
      </c>
      <c r="C260" s="43" t="s">
        <v>1223</v>
      </c>
      <c r="D260" s="10">
        <v>261367</v>
      </c>
      <c r="E260" s="43" t="s">
        <v>23</v>
      </c>
      <c r="F260" s="8">
        <f>_xlfn.IFNA(INDEX('OSA | 3GB'!J:L,MATCH(DATA!D260,'OSA | 3GB'!J:J,0),2),0)</f>
        <v>0</v>
      </c>
      <c r="G260" s="8">
        <f>_xlfn.IFNA(INDEX('OSA | 3GB'!J:L,MATCH(DATA!D260,'OSA | 3GB'!J:J,0),3),0)</f>
        <v>0</v>
      </c>
      <c r="H260" s="32">
        <f>_xlfn.IFNA(INDEX('OSA | 3GB'!A:C,MATCH(DATA!D260,'OSA | 3GB'!A:A,0),2),0)</f>
        <v>11</v>
      </c>
      <c r="I260" s="33">
        <f>_xlfn.IFNA(INDEX('OSA | 3GB'!A:C,MATCH(DATA!D260,'OSA | 3GB'!A:A,0),3),0)</f>
        <v>5750000</v>
      </c>
      <c r="J260" s="33">
        <f>INDEX('BIO WAHYU'!B:G,MATCH(DATA!D260,'BIO WAHYU'!B:B,0),5)</f>
        <v>0</v>
      </c>
      <c r="K260" s="34">
        <f>INDEX('BIO WAHYU'!B:G,MATCH(DATA!D260,'BIO WAHYU'!B:B,0),6)</f>
        <v>3</v>
      </c>
      <c r="L260" s="35">
        <f>INDEX('BIO WAHYU'!B:H,MATCH(DATA!D260,'BIO WAHYU'!B:B,0),7)</f>
        <v>3</v>
      </c>
      <c r="M260" s="34">
        <f>INDEX('BIO WAHYU'!B:H,MATCH(DATA!D260,'BIO WAHYU'!B:B,0),4)</f>
        <v>0</v>
      </c>
    </row>
    <row r="261" spans="1:13">
      <c r="A261" s="43" t="s">
        <v>1675</v>
      </c>
      <c r="B261" s="43">
        <v>2613051451</v>
      </c>
      <c r="C261" s="43" t="s">
        <v>387</v>
      </c>
      <c r="D261" s="10">
        <v>402411</v>
      </c>
      <c r="E261" s="43" t="s">
        <v>10</v>
      </c>
      <c r="F261" s="8">
        <f>_xlfn.IFNA(INDEX('OSA | 3GB'!J:L,MATCH(DATA!D261,'OSA | 3GB'!J:J,0),2),0)</f>
        <v>4</v>
      </c>
      <c r="G261" s="8">
        <f>_xlfn.IFNA(INDEX('OSA | 3GB'!J:L,MATCH(DATA!D261,'OSA | 3GB'!J:J,0),3),0)</f>
        <v>0</v>
      </c>
      <c r="H261" s="32" t="str">
        <f>_xlfn.IFNA(INDEX('OSA | 3GB'!A:C,MATCH(DATA!D261,'OSA | 3GB'!A:A,0),2),0)</f>
        <v xml:space="preserve"> -   </v>
      </c>
      <c r="I261" s="33" t="str">
        <f>_xlfn.IFNA(INDEX('OSA | 3GB'!A:C,MATCH(DATA!D261,'OSA | 3GB'!A:A,0),3),0)</f>
        <v xml:space="preserve"> -   </v>
      </c>
      <c r="J261" s="33">
        <f>INDEX('BIO WAHYU'!B:G,MATCH(DATA!D261,'BIO WAHYU'!B:B,0),5)</f>
        <v>4</v>
      </c>
      <c r="K261" s="34">
        <f>INDEX('BIO WAHYU'!B:G,MATCH(DATA!D261,'BIO WAHYU'!B:B,0),6)</f>
        <v>0</v>
      </c>
      <c r="L261" s="35">
        <f>INDEX('BIO WAHYU'!B:H,MATCH(DATA!D261,'BIO WAHYU'!B:B,0),7)</f>
        <v>0</v>
      </c>
      <c r="M261" s="34">
        <f>INDEX('BIO WAHYU'!B:H,MATCH(DATA!D261,'BIO WAHYU'!B:B,0),4)</f>
        <v>0</v>
      </c>
    </row>
    <row r="262" spans="1:13">
      <c r="A262" s="43" t="s">
        <v>1672</v>
      </c>
      <c r="B262" s="43" t="s">
        <v>157</v>
      </c>
      <c r="C262" s="43" t="s">
        <v>1224</v>
      </c>
      <c r="D262" s="10">
        <v>572180</v>
      </c>
      <c r="E262" s="43" t="s">
        <v>10</v>
      </c>
      <c r="F262" s="8">
        <f>_xlfn.IFNA(INDEX('OSA | 3GB'!J:L,MATCH(DATA!D262,'OSA | 3GB'!J:J,0),2),0)</f>
        <v>1</v>
      </c>
      <c r="G262" s="8">
        <f>_xlfn.IFNA(INDEX('OSA | 3GB'!J:L,MATCH(DATA!D262,'OSA | 3GB'!J:J,0),3),0)</f>
        <v>1929000</v>
      </c>
      <c r="H262" s="32" t="str">
        <f>_xlfn.IFNA(INDEX('OSA | 3GB'!A:C,MATCH(DATA!D262,'OSA | 3GB'!A:A,0),2),0)</f>
        <v xml:space="preserve"> -   </v>
      </c>
      <c r="I262" s="33">
        <f>_xlfn.IFNA(INDEX('OSA | 3GB'!A:C,MATCH(DATA!D262,'OSA | 3GB'!A:A,0),3),0)</f>
        <v>2000000</v>
      </c>
      <c r="J262" s="33">
        <f>INDEX('BIO WAHYU'!B:G,MATCH(DATA!D262,'BIO WAHYU'!B:B,0),5)</f>
        <v>3</v>
      </c>
      <c r="K262" s="34">
        <f>INDEX('BIO WAHYU'!B:G,MATCH(DATA!D262,'BIO WAHYU'!B:B,0),6)</f>
        <v>1</v>
      </c>
      <c r="L262" s="35">
        <f>INDEX('BIO WAHYU'!B:H,MATCH(DATA!D262,'BIO WAHYU'!B:B,0),7)</f>
        <v>0</v>
      </c>
      <c r="M262" s="34">
        <f>INDEX('BIO WAHYU'!B:H,MATCH(DATA!D262,'BIO WAHYU'!B:B,0),4)</f>
        <v>0</v>
      </c>
    </row>
    <row r="263" spans="1:13">
      <c r="A263" s="43" t="s">
        <v>1673</v>
      </c>
      <c r="B263" s="43" t="s">
        <v>144</v>
      </c>
      <c r="C263" s="43" t="s">
        <v>245</v>
      </c>
      <c r="D263" s="10">
        <v>62014</v>
      </c>
      <c r="E263" s="43" t="s">
        <v>15</v>
      </c>
      <c r="F263" s="8">
        <f>_xlfn.IFNA(INDEX('OSA | 3GB'!J:L,MATCH(DATA!D263,'OSA | 3GB'!J:J,0),2),0)</f>
        <v>6</v>
      </c>
      <c r="G263" s="8">
        <f>_xlfn.IFNA(INDEX('OSA | 3GB'!J:L,MATCH(DATA!D263,'OSA | 3GB'!J:J,0),3),0)</f>
        <v>4400000</v>
      </c>
      <c r="H263" s="32" t="str">
        <f>_xlfn.IFNA(INDEX('OSA | 3GB'!A:C,MATCH(DATA!D263,'OSA | 3GB'!A:A,0),2),0)</f>
        <v xml:space="preserve"> -   </v>
      </c>
      <c r="I263" s="33">
        <f>_xlfn.IFNA(INDEX('OSA | 3GB'!A:C,MATCH(DATA!D263,'OSA | 3GB'!A:A,0),3),0)</f>
        <v>500000</v>
      </c>
      <c r="J263" s="33">
        <f>INDEX('BIO WAHYU'!B:G,MATCH(DATA!D263,'BIO WAHYU'!B:B,0),5)</f>
        <v>7</v>
      </c>
      <c r="K263" s="34">
        <f>INDEX('BIO WAHYU'!B:G,MATCH(DATA!D263,'BIO WAHYU'!B:B,0),6)</f>
        <v>0</v>
      </c>
      <c r="L263" s="35">
        <f>INDEX('BIO WAHYU'!B:H,MATCH(DATA!D263,'BIO WAHYU'!B:B,0),7)</f>
        <v>0</v>
      </c>
      <c r="M263" s="34">
        <f>INDEX('BIO WAHYU'!B:H,MATCH(DATA!D263,'BIO WAHYU'!B:B,0),4)</f>
        <v>0</v>
      </c>
    </row>
    <row r="264" spans="1:13">
      <c r="A264" s="43" t="s">
        <v>1673</v>
      </c>
      <c r="B264" s="43" t="s">
        <v>144</v>
      </c>
      <c r="C264" s="43" t="s">
        <v>1225</v>
      </c>
      <c r="D264" s="10">
        <v>513017</v>
      </c>
      <c r="E264" s="43" t="s">
        <v>10</v>
      </c>
      <c r="F264" s="8">
        <f>_xlfn.IFNA(INDEX('OSA | 3GB'!J:L,MATCH(DATA!D264,'OSA | 3GB'!J:J,0),2),0)</f>
        <v>4</v>
      </c>
      <c r="G264" s="8">
        <f>_xlfn.IFNA(INDEX('OSA | 3GB'!J:L,MATCH(DATA!D264,'OSA | 3GB'!J:J,0),3),0)</f>
        <v>6068000</v>
      </c>
      <c r="H264" s="32" t="str">
        <f>_xlfn.IFNA(INDEX('OSA | 3GB'!A:C,MATCH(DATA!D264,'OSA | 3GB'!A:A,0),2),0)</f>
        <v xml:space="preserve"> -   </v>
      </c>
      <c r="I264" s="33">
        <f>_xlfn.IFNA(INDEX('OSA | 3GB'!A:C,MATCH(DATA!D264,'OSA | 3GB'!A:A,0),3),0)</f>
        <v>1700000</v>
      </c>
      <c r="J264" s="33">
        <f>INDEX('BIO WAHYU'!B:G,MATCH(DATA!D264,'BIO WAHYU'!B:B,0),5)</f>
        <v>2</v>
      </c>
      <c r="K264" s="34">
        <f>INDEX('BIO WAHYU'!B:G,MATCH(DATA!D264,'BIO WAHYU'!B:B,0),6)</f>
        <v>2</v>
      </c>
      <c r="L264" s="35">
        <f>INDEX('BIO WAHYU'!B:H,MATCH(DATA!D264,'BIO WAHYU'!B:B,0),7)</f>
        <v>0</v>
      </c>
      <c r="M264" s="34">
        <f>INDEX('BIO WAHYU'!B:H,MATCH(DATA!D264,'BIO WAHYU'!B:B,0),4)</f>
        <v>0</v>
      </c>
    </row>
    <row r="265" spans="1:13">
      <c r="A265" s="43" t="s">
        <v>1674</v>
      </c>
      <c r="B265" s="43" t="s">
        <v>148</v>
      </c>
      <c r="C265" s="43" t="s">
        <v>636</v>
      </c>
      <c r="D265" s="10">
        <v>244663</v>
      </c>
      <c r="E265" s="43" t="s">
        <v>10</v>
      </c>
      <c r="F265" s="8">
        <f>_xlfn.IFNA(INDEX('OSA | 3GB'!J:L,MATCH(DATA!D265,'OSA | 3GB'!J:J,0),2),0)</f>
        <v>6</v>
      </c>
      <c r="G265" s="8">
        <f>_xlfn.IFNA(INDEX('OSA | 3GB'!J:L,MATCH(DATA!D265,'OSA | 3GB'!J:J,0),3),0)</f>
        <v>3674000</v>
      </c>
      <c r="H265" s="32" t="str">
        <f>_xlfn.IFNA(INDEX('OSA | 3GB'!A:C,MATCH(DATA!D265,'OSA | 3GB'!A:A,0),2),0)</f>
        <v xml:space="preserve"> -   </v>
      </c>
      <c r="I265" s="33">
        <f>_xlfn.IFNA(INDEX('OSA | 3GB'!A:C,MATCH(DATA!D265,'OSA | 3GB'!A:A,0),3),0)</f>
        <v>1100000</v>
      </c>
      <c r="J265" s="33">
        <f>INDEX('BIO WAHYU'!B:G,MATCH(DATA!D265,'BIO WAHYU'!B:B,0),5)</f>
        <v>5</v>
      </c>
      <c r="K265" s="34">
        <f>INDEX('BIO WAHYU'!B:G,MATCH(DATA!D265,'BIO WAHYU'!B:B,0),6)</f>
        <v>0</v>
      </c>
      <c r="L265" s="35">
        <f>INDEX('BIO WAHYU'!B:H,MATCH(DATA!D265,'BIO WAHYU'!B:B,0),7)</f>
        <v>0</v>
      </c>
      <c r="M265" s="34">
        <f>INDEX('BIO WAHYU'!B:H,MATCH(DATA!D265,'BIO WAHYU'!B:B,0),4)</f>
        <v>0</v>
      </c>
    </row>
    <row r="266" spans="1:13">
      <c r="A266" s="43" t="s">
        <v>1674</v>
      </c>
      <c r="B266" s="43" t="s">
        <v>153</v>
      </c>
      <c r="C266" s="43" t="s">
        <v>712</v>
      </c>
      <c r="D266" s="10">
        <v>199313</v>
      </c>
      <c r="E266" s="43" t="s">
        <v>10</v>
      </c>
      <c r="F266" s="8">
        <f>_xlfn.IFNA(INDEX('OSA | 3GB'!J:L,MATCH(DATA!D266,'OSA | 3GB'!J:J,0),2),0)</f>
        <v>3</v>
      </c>
      <c r="G266" s="8">
        <f>_xlfn.IFNA(INDEX('OSA | 3GB'!J:L,MATCH(DATA!D266,'OSA | 3GB'!J:J,0),3),0)</f>
        <v>1000000</v>
      </c>
      <c r="H266" s="32" t="str">
        <f>_xlfn.IFNA(INDEX('OSA | 3GB'!A:C,MATCH(DATA!D266,'OSA | 3GB'!A:A,0),2),0)</f>
        <v xml:space="preserve"> -   </v>
      </c>
      <c r="I266" s="33">
        <f>_xlfn.IFNA(INDEX('OSA | 3GB'!A:C,MATCH(DATA!D266,'OSA | 3GB'!A:A,0),3),0)</f>
        <v>400000</v>
      </c>
      <c r="J266" s="33">
        <f>INDEX('BIO WAHYU'!B:G,MATCH(DATA!D266,'BIO WAHYU'!B:B,0),5)</f>
        <v>1</v>
      </c>
      <c r="K266" s="34">
        <f>INDEX('BIO WAHYU'!B:G,MATCH(DATA!D266,'BIO WAHYU'!B:B,0),6)</f>
        <v>0</v>
      </c>
      <c r="L266" s="35">
        <f>INDEX('BIO WAHYU'!B:H,MATCH(DATA!D266,'BIO WAHYU'!B:B,0),7)</f>
        <v>0</v>
      </c>
      <c r="M266" s="34">
        <f>INDEX('BIO WAHYU'!B:H,MATCH(DATA!D266,'BIO WAHYU'!B:B,0),4)</f>
        <v>0</v>
      </c>
    </row>
    <row r="267" spans="1:13">
      <c r="A267" s="43" t="s">
        <v>1670</v>
      </c>
      <c r="B267" s="43" t="s">
        <v>145</v>
      </c>
      <c r="C267" s="43" t="s">
        <v>516</v>
      </c>
      <c r="D267" s="10">
        <v>547256</v>
      </c>
      <c r="E267" s="43" t="s">
        <v>15</v>
      </c>
      <c r="F267" s="8">
        <f>_xlfn.IFNA(INDEX('OSA | 3GB'!J:L,MATCH(DATA!D267,'OSA | 3GB'!J:J,0),2),0)</f>
        <v>6</v>
      </c>
      <c r="G267" s="8">
        <f>_xlfn.IFNA(INDEX('OSA | 3GB'!J:L,MATCH(DATA!D267,'OSA | 3GB'!J:J,0),3),0)</f>
        <v>116000</v>
      </c>
      <c r="H267" s="32">
        <f>_xlfn.IFNA(INDEX('OSA | 3GB'!A:C,MATCH(DATA!D267,'OSA | 3GB'!A:A,0),2),0)</f>
        <v>3</v>
      </c>
      <c r="I267" s="33">
        <f>_xlfn.IFNA(INDEX('OSA | 3GB'!A:C,MATCH(DATA!D267,'OSA | 3GB'!A:A,0),3),0)</f>
        <v>50000</v>
      </c>
      <c r="J267" s="33">
        <f>INDEX('BIO WAHYU'!B:G,MATCH(DATA!D267,'BIO WAHYU'!B:B,0),5)</f>
        <v>5</v>
      </c>
      <c r="K267" s="34">
        <f>INDEX('BIO WAHYU'!B:G,MATCH(DATA!D267,'BIO WAHYU'!B:B,0),6)</f>
        <v>2</v>
      </c>
      <c r="L267" s="35">
        <f>INDEX('BIO WAHYU'!B:H,MATCH(DATA!D267,'BIO WAHYU'!B:B,0),7)</f>
        <v>0</v>
      </c>
      <c r="M267" s="34">
        <f>INDEX('BIO WAHYU'!B:H,MATCH(DATA!D267,'BIO WAHYU'!B:B,0),4)</f>
        <v>1</v>
      </c>
    </row>
    <row r="268" spans="1:13">
      <c r="A268" s="43" t="s">
        <v>1673</v>
      </c>
      <c r="B268" s="43" t="s">
        <v>1140</v>
      </c>
      <c r="C268" s="43" t="s">
        <v>1226</v>
      </c>
      <c r="D268" s="10">
        <v>517908</v>
      </c>
      <c r="E268" s="43" t="s">
        <v>15</v>
      </c>
      <c r="F268" s="8">
        <f>_xlfn.IFNA(INDEX('OSA | 3GB'!J:L,MATCH(DATA!D268,'OSA | 3GB'!J:J,0),2),0)</f>
        <v>3</v>
      </c>
      <c r="G268" s="8">
        <f>_xlfn.IFNA(INDEX('OSA | 3GB'!J:L,MATCH(DATA!D268,'OSA | 3GB'!J:J,0),3),0)</f>
        <v>750000</v>
      </c>
      <c r="H268" s="32" t="str">
        <f>_xlfn.IFNA(INDEX('OSA | 3GB'!A:C,MATCH(DATA!D268,'OSA | 3GB'!A:A,0),2),0)</f>
        <v xml:space="preserve"> -   </v>
      </c>
      <c r="I268" s="33">
        <f>_xlfn.IFNA(INDEX('OSA | 3GB'!A:C,MATCH(DATA!D268,'OSA | 3GB'!A:A,0),3),0)</f>
        <v>575000</v>
      </c>
      <c r="J268" s="33">
        <f>INDEX('BIO WAHYU'!B:G,MATCH(DATA!D268,'BIO WAHYU'!B:B,0),5)</f>
        <v>1</v>
      </c>
      <c r="K268" s="34">
        <f>INDEX('BIO WAHYU'!B:G,MATCH(DATA!D268,'BIO WAHYU'!B:B,0),6)</f>
        <v>0</v>
      </c>
      <c r="L268" s="35">
        <f>INDEX('BIO WAHYU'!B:H,MATCH(DATA!D268,'BIO WAHYU'!B:B,0),7)</f>
        <v>0</v>
      </c>
      <c r="M268" s="34">
        <f>INDEX('BIO WAHYU'!B:H,MATCH(DATA!D268,'BIO WAHYU'!B:B,0),4)</f>
        <v>0</v>
      </c>
    </row>
    <row r="269" spans="1:13">
      <c r="A269" s="43" t="s">
        <v>1675</v>
      </c>
      <c r="B269" s="43">
        <v>2613051043</v>
      </c>
      <c r="C269" s="43" t="s">
        <v>450</v>
      </c>
      <c r="D269" s="10">
        <v>12297195</v>
      </c>
      <c r="E269" s="43" t="s">
        <v>15</v>
      </c>
      <c r="F269" s="8">
        <f>_xlfn.IFNA(INDEX('OSA | 3GB'!J:L,MATCH(DATA!D269,'OSA | 3GB'!J:J,0),2),0)</f>
        <v>0</v>
      </c>
      <c r="G269" s="8">
        <f>_xlfn.IFNA(INDEX('OSA | 3GB'!J:L,MATCH(DATA!D269,'OSA | 3GB'!J:J,0),3),0)</f>
        <v>0</v>
      </c>
      <c r="H269" s="32" t="str">
        <f>_xlfn.IFNA(INDEX('OSA | 3GB'!A:C,MATCH(DATA!D269,'OSA | 3GB'!A:A,0),2),0)</f>
        <v xml:space="preserve"> -   </v>
      </c>
      <c r="I269" s="33" t="str">
        <f>_xlfn.IFNA(INDEX('OSA | 3GB'!A:C,MATCH(DATA!D269,'OSA | 3GB'!A:A,0),3),0)</f>
        <v xml:space="preserve"> -   </v>
      </c>
      <c r="J269" s="33">
        <f>INDEX('BIO WAHYU'!B:G,MATCH(DATA!D269,'BIO WAHYU'!B:B,0),5)</f>
        <v>0</v>
      </c>
      <c r="K269" s="34">
        <f>INDEX('BIO WAHYU'!B:G,MATCH(DATA!D269,'BIO WAHYU'!B:B,0),6)</f>
        <v>0</v>
      </c>
      <c r="L269" s="35">
        <f>INDEX('BIO WAHYU'!B:H,MATCH(DATA!D269,'BIO WAHYU'!B:B,0),7)</f>
        <v>0</v>
      </c>
      <c r="M269" s="34">
        <f>INDEX('BIO WAHYU'!B:H,MATCH(DATA!D269,'BIO WAHYU'!B:B,0),4)</f>
        <v>0</v>
      </c>
    </row>
    <row r="270" spans="1:13">
      <c r="A270" s="43" t="s">
        <v>1670</v>
      </c>
      <c r="B270" s="43" t="s">
        <v>140</v>
      </c>
      <c r="C270" s="43" t="s">
        <v>475</v>
      </c>
      <c r="D270" s="10">
        <v>480116</v>
      </c>
      <c r="E270" s="43" t="s">
        <v>10</v>
      </c>
      <c r="F270" s="8">
        <f>_xlfn.IFNA(INDEX('OSA | 3GB'!J:L,MATCH(DATA!D270,'OSA | 3GB'!J:J,0),2),0)</f>
        <v>6</v>
      </c>
      <c r="G270" s="8">
        <f>_xlfn.IFNA(INDEX('OSA | 3GB'!J:L,MATCH(DATA!D270,'OSA | 3GB'!J:J,0),3),0)</f>
        <v>200000</v>
      </c>
      <c r="H270" s="32" t="str">
        <f>_xlfn.IFNA(INDEX('OSA | 3GB'!A:C,MATCH(DATA!D270,'OSA | 3GB'!A:A,0),2),0)</f>
        <v xml:space="preserve"> -   </v>
      </c>
      <c r="I270" s="33" t="str">
        <f>_xlfn.IFNA(INDEX('OSA | 3GB'!A:C,MATCH(DATA!D270,'OSA | 3GB'!A:A,0),3),0)</f>
        <v xml:space="preserve"> -   </v>
      </c>
      <c r="J270" s="33">
        <f>INDEX('BIO WAHYU'!B:G,MATCH(DATA!D270,'BIO WAHYU'!B:B,0),5)</f>
        <v>3</v>
      </c>
      <c r="K270" s="34">
        <f>INDEX('BIO WAHYU'!B:G,MATCH(DATA!D270,'BIO WAHYU'!B:B,0),6)</f>
        <v>0</v>
      </c>
      <c r="L270" s="35">
        <f>INDEX('BIO WAHYU'!B:H,MATCH(DATA!D270,'BIO WAHYU'!B:B,0),7)</f>
        <v>0</v>
      </c>
      <c r="M270" s="34">
        <f>INDEX('BIO WAHYU'!B:H,MATCH(DATA!D270,'BIO WAHYU'!B:B,0),4)</f>
        <v>0</v>
      </c>
    </row>
    <row r="271" spans="1:13">
      <c r="A271" s="43" t="s">
        <v>1673</v>
      </c>
      <c r="B271" s="43" t="s">
        <v>1136</v>
      </c>
      <c r="C271" s="43" t="s">
        <v>1227</v>
      </c>
      <c r="D271" s="10">
        <v>127119</v>
      </c>
      <c r="E271" s="43" t="s">
        <v>10</v>
      </c>
      <c r="F271" s="8">
        <f>_xlfn.IFNA(INDEX('OSA | 3GB'!J:L,MATCH(DATA!D271,'OSA | 3GB'!J:J,0),2),0)</f>
        <v>3</v>
      </c>
      <c r="G271" s="8">
        <f>_xlfn.IFNA(INDEX('OSA | 3GB'!J:L,MATCH(DATA!D271,'OSA | 3GB'!J:J,0),3),0)</f>
        <v>500000</v>
      </c>
      <c r="H271" s="32" t="str">
        <f>_xlfn.IFNA(INDEX('OSA | 3GB'!A:C,MATCH(DATA!D271,'OSA | 3GB'!A:A,0),2),0)</f>
        <v xml:space="preserve"> -   </v>
      </c>
      <c r="I271" s="33">
        <f>_xlfn.IFNA(INDEX('OSA | 3GB'!A:C,MATCH(DATA!D271,'OSA | 3GB'!A:A,0),3),0)</f>
        <v>300000</v>
      </c>
      <c r="J271" s="33">
        <f>INDEX('BIO WAHYU'!B:G,MATCH(DATA!D271,'BIO WAHYU'!B:B,0),5)</f>
        <v>2</v>
      </c>
      <c r="K271" s="34">
        <f>INDEX('BIO WAHYU'!B:G,MATCH(DATA!D271,'BIO WAHYU'!B:B,0),6)</f>
        <v>0</v>
      </c>
      <c r="L271" s="35">
        <f>INDEX('BIO WAHYU'!B:H,MATCH(DATA!D271,'BIO WAHYU'!B:B,0),7)</f>
        <v>0</v>
      </c>
      <c r="M271" s="34">
        <f>INDEX('BIO WAHYU'!B:H,MATCH(DATA!D271,'BIO WAHYU'!B:B,0),4)</f>
        <v>0</v>
      </c>
    </row>
    <row r="272" spans="1:13">
      <c r="A272" s="43" t="s">
        <v>1670</v>
      </c>
      <c r="B272" s="43">
        <v>2613052584</v>
      </c>
      <c r="C272" s="43" t="s">
        <v>578</v>
      </c>
      <c r="D272" s="10">
        <v>12326492</v>
      </c>
      <c r="E272" s="43" t="s">
        <v>10</v>
      </c>
      <c r="F272" s="8">
        <f>_xlfn.IFNA(INDEX('OSA | 3GB'!J:L,MATCH(DATA!D272,'OSA | 3GB'!J:J,0),2),0)</f>
        <v>3</v>
      </c>
      <c r="G272" s="8">
        <f>_xlfn.IFNA(INDEX('OSA | 3GB'!J:L,MATCH(DATA!D272,'OSA | 3GB'!J:J,0),3),0)</f>
        <v>0</v>
      </c>
      <c r="H272" s="32">
        <f>_xlfn.IFNA(INDEX('OSA | 3GB'!A:C,MATCH(DATA!D272,'OSA | 3GB'!A:A,0),2),0)</f>
        <v>5</v>
      </c>
      <c r="I272" s="33">
        <f>_xlfn.IFNA(INDEX('OSA | 3GB'!A:C,MATCH(DATA!D272,'OSA | 3GB'!A:A,0),3),0)</f>
        <v>9170000</v>
      </c>
      <c r="J272" s="33">
        <f>INDEX('BIO WAHYU'!B:G,MATCH(DATA!D272,'BIO WAHYU'!B:B,0),5)</f>
        <v>0</v>
      </c>
      <c r="K272" s="34">
        <f>INDEX('BIO WAHYU'!B:G,MATCH(DATA!D272,'BIO WAHYU'!B:B,0),6)</f>
        <v>5</v>
      </c>
      <c r="L272" s="35">
        <f>INDEX('BIO WAHYU'!B:H,MATCH(DATA!D272,'BIO WAHYU'!B:B,0),7)</f>
        <v>5</v>
      </c>
      <c r="M272" s="34">
        <f>INDEX('BIO WAHYU'!B:H,MATCH(DATA!D272,'BIO WAHYU'!B:B,0),4)</f>
        <v>0</v>
      </c>
    </row>
    <row r="273" spans="1:13">
      <c r="A273" s="43" t="s">
        <v>1674</v>
      </c>
      <c r="B273" s="43" t="s">
        <v>153</v>
      </c>
      <c r="C273" s="43" t="s">
        <v>705</v>
      </c>
      <c r="D273" s="10">
        <v>115396</v>
      </c>
      <c r="E273" s="43" t="s">
        <v>10</v>
      </c>
      <c r="F273" s="8">
        <f>_xlfn.IFNA(INDEX('OSA | 3GB'!J:L,MATCH(DATA!D273,'OSA | 3GB'!J:J,0),2),0)</f>
        <v>1</v>
      </c>
      <c r="G273" s="8">
        <f>_xlfn.IFNA(INDEX('OSA | 3GB'!J:L,MATCH(DATA!D273,'OSA | 3GB'!J:J,0),3),0)</f>
        <v>200000</v>
      </c>
      <c r="H273" s="32" t="str">
        <f>_xlfn.IFNA(INDEX('OSA | 3GB'!A:C,MATCH(DATA!D273,'OSA | 3GB'!A:A,0),2),0)</f>
        <v xml:space="preserve"> -   </v>
      </c>
      <c r="I273" s="33">
        <f>_xlfn.IFNA(INDEX('OSA | 3GB'!A:C,MATCH(DATA!D273,'OSA | 3GB'!A:A,0),3),0)</f>
        <v>200000</v>
      </c>
      <c r="J273" s="33">
        <f>INDEX('BIO WAHYU'!B:G,MATCH(DATA!D273,'BIO WAHYU'!B:B,0),5)</f>
        <v>1</v>
      </c>
      <c r="K273" s="34">
        <f>INDEX('BIO WAHYU'!B:G,MATCH(DATA!D273,'BIO WAHYU'!B:B,0),6)</f>
        <v>0</v>
      </c>
      <c r="L273" s="35">
        <f>INDEX('BIO WAHYU'!B:H,MATCH(DATA!D273,'BIO WAHYU'!B:B,0),7)</f>
        <v>0</v>
      </c>
      <c r="M273" s="34">
        <f>INDEX('BIO WAHYU'!B:H,MATCH(DATA!D273,'BIO WAHYU'!B:B,0),4)</f>
        <v>0</v>
      </c>
    </row>
    <row r="274" spans="1:13">
      <c r="A274" s="43" t="s">
        <v>1673</v>
      </c>
      <c r="B274" s="43" t="s">
        <v>158</v>
      </c>
      <c r="C274" s="43" t="s">
        <v>1228</v>
      </c>
      <c r="D274" s="10">
        <v>342882</v>
      </c>
      <c r="E274" s="43" t="s">
        <v>10</v>
      </c>
      <c r="F274" s="8">
        <f>_xlfn.IFNA(INDEX('OSA | 3GB'!J:L,MATCH(DATA!D274,'OSA | 3GB'!J:J,0),2),0)</f>
        <v>5</v>
      </c>
      <c r="G274" s="8">
        <f>_xlfn.IFNA(INDEX('OSA | 3GB'!J:L,MATCH(DATA!D274,'OSA | 3GB'!J:J,0),3),0)</f>
        <v>1550000</v>
      </c>
      <c r="H274" s="32" t="str">
        <f>_xlfn.IFNA(INDEX('OSA | 3GB'!A:C,MATCH(DATA!D274,'OSA | 3GB'!A:A,0),2),0)</f>
        <v xml:space="preserve"> -   </v>
      </c>
      <c r="I274" s="33">
        <f>_xlfn.IFNA(INDEX('OSA | 3GB'!A:C,MATCH(DATA!D274,'OSA | 3GB'!A:A,0),3),0)</f>
        <v>450000</v>
      </c>
      <c r="J274" s="33">
        <f>INDEX('BIO WAHYU'!B:G,MATCH(DATA!D274,'BIO WAHYU'!B:B,0),5)</f>
        <v>4</v>
      </c>
      <c r="K274" s="34">
        <f>INDEX('BIO WAHYU'!B:G,MATCH(DATA!D274,'BIO WAHYU'!B:B,0),6)</f>
        <v>1</v>
      </c>
      <c r="L274" s="35">
        <f>INDEX('BIO WAHYU'!B:H,MATCH(DATA!D274,'BIO WAHYU'!B:B,0),7)</f>
        <v>0</v>
      </c>
      <c r="M274" s="34">
        <f>INDEX('BIO WAHYU'!B:H,MATCH(DATA!D274,'BIO WAHYU'!B:B,0),4)</f>
        <v>0</v>
      </c>
    </row>
    <row r="275" spans="1:13">
      <c r="A275" s="43" t="s">
        <v>1673</v>
      </c>
      <c r="B275" s="43" t="s">
        <v>143</v>
      </c>
      <c r="C275" s="43" t="s">
        <v>1229</v>
      </c>
      <c r="D275" s="10">
        <v>489186</v>
      </c>
      <c r="E275" s="43" t="s">
        <v>10</v>
      </c>
      <c r="F275" s="8">
        <f>_xlfn.IFNA(INDEX('OSA | 3GB'!J:L,MATCH(DATA!D275,'OSA | 3GB'!J:J,0),2),0)</f>
        <v>4</v>
      </c>
      <c r="G275" s="8">
        <f>_xlfn.IFNA(INDEX('OSA | 3GB'!J:L,MATCH(DATA!D275,'OSA | 3GB'!J:J,0),3),0)</f>
        <v>6458000</v>
      </c>
      <c r="H275" s="32">
        <f>_xlfn.IFNA(INDEX('OSA | 3GB'!A:C,MATCH(DATA!D275,'OSA | 3GB'!A:A,0),2),0)</f>
        <v>2</v>
      </c>
      <c r="I275" s="33">
        <f>_xlfn.IFNA(INDEX('OSA | 3GB'!A:C,MATCH(DATA!D275,'OSA | 3GB'!A:A,0),3),0)</f>
        <v>2970000</v>
      </c>
      <c r="J275" s="33">
        <f>INDEX('BIO WAHYU'!B:G,MATCH(DATA!D275,'BIO WAHYU'!B:B,0),5)</f>
        <v>4</v>
      </c>
      <c r="K275" s="34">
        <f>INDEX('BIO WAHYU'!B:G,MATCH(DATA!D275,'BIO WAHYU'!B:B,0),6)</f>
        <v>1</v>
      </c>
      <c r="L275" s="35">
        <f>INDEX('BIO WAHYU'!B:H,MATCH(DATA!D275,'BIO WAHYU'!B:B,0),7)</f>
        <v>0</v>
      </c>
      <c r="M275" s="34">
        <f>INDEX('BIO WAHYU'!B:H,MATCH(DATA!D275,'BIO WAHYU'!B:B,0),4)</f>
        <v>0</v>
      </c>
    </row>
    <row r="276" spans="1:13">
      <c r="A276" s="43" t="s">
        <v>1670</v>
      </c>
      <c r="B276" s="43" t="s">
        <v>145</v>
      </c>
      <c r="C276" s="43" t="s">
        <v>492</v>
      </c>
      <c r="D276" s="10">
        <v>186913</v>
      </c>
      <c r="E276" s="43" t="s">
        <v>10</v>
      </c>
      <c r="F276" s="8">
        <f>_xlfn.IFNA(INDEX('OSA | 3GB'!J:L,MATCH(DATA!D276,'OSA | 3GB'!J:J,0),2),0)</f>
        <v>5</v>
      </c>
      <c r="G276" s="8">
        <f>_xlfn.IFNA(INDEX('OSA | 3GB'!J:L,MATCH(DATA!D276,'OSA | 3GB'!J:J,0),3),0)</f>
        <v>8100000</v>
      </c>
      <c r="H276" s="32">
        <f>_xlfn.IFNA(INDEX('OSA | 3GB'!A:C,MATCH(DATA!D276,'OSA | 3GB'!A:A,0),2),0)</f>
        <v>3</v>
      </c>
      <c r="I276" s="33">
        <f>_xlfn.IFNA(INDEX('OSA | 3GB'!A:C,MATCH(DATA!D276,'OSA | 3GB'!A:A,0),3),0)</f>
        <v>2816000</v>
      </c>
      <c r="J276" s="33">
        <f>INDEX('BIO WAHYU'!B:G,MATCH(DATA!D276,'BIO WAHYU'!B:B,0),5)</f>
        <v>11</v>
      </c>
      <c r="K276" s="34">
        <f>INDEX('BIO WAHYU'!B:G,MATCH(DATA!D276,'BIO WAHYU'!B:B,0),6)</f>
        <v>5</v>
      </c>
      <c r="L276" s="35">
        <f>INDEX('BIO WAHYU'!B:H,MATCH(DATA!D276,'BIO WAHYU'!B:B,0),7)</f>
        <v>0</v>
      </c>
      <c r="M276" s="34">
        <f>INDEX('BIO WAHYU'!B:H,MATCH(DATA!D276,'BIO WAHYU'!B:B,0),4)</f>
        <v>0</v>
      </c>
    </row>
    <row r="277" spans="1:13">
      <c r="A277" s="43" t="s">
        <v>1670</v>
      </c>
      <c r="B277" s="43" t="s">
        <v>145</v>
      </c>
      <c r="C277" s="43" t="s">
        <v>515</v>
      </c>
      <c r="D277" s="10">
        <v>546124</v>
      </c>
      <c r="E277" s="43" t="s">
        <v>15</v>
      </c>
      <c r="F277" s="8">
        <f>_xlfn.IFNA(INDEX('OSA | 3GB'!J:L,MATCH(DATA!D277,'OSA | 3GB'!J:J,0),2),0)</f>
        <v>0</v>
      </c>
      <c r="G277" s="8">
        <f>_xlfn.IFNA(INDEX('OSA | 3GB'!J:L,MATCH(DATA!D277,'OSA | 3GB'!J:J,0),3),0)</f>
        <v>980000</v>
      </c>
      <c r="H277" s="32">
        <f>_xlfn.IFNA(INDEX('OSA | 3GB'!A:C,MATCH(DATA!D277,'OSA | 3GB'!A:A,0),2),0)</f>
        <v>46</v>
      </c>
      <c r="I277" s="33">
        <f>_xlfn.IFNA(INDEX('OSA | 3GB'!A:C,MATCH(DATA!D277,'OSA | 3GB'!A:A,0),3),0)</f>
        <v>422000</v>
      </c>
      <c r="J277" s="33">
        <f>INDEX('BIO WAHYU'!B:G,MATCH(DATA!D277,'BIO WAHYU'!B:B,0),5)</f>
        <v>25</v>
      </c>
      <c r="K277" s="34">
        <f>INDEX('BIO WAHYU'!B:G,MATCH(DATA!D277,'BIO WAHYU'!B:B,0),6)</f>
        <v>17</v>
      </c>
      <c r="L277" s="35">
        <f>INDEX('BIO WAHYU'!B:H,MATCH(DATA!D277,'BIO WAHYU'!B:B,0),7)</f>
        <v>0</v>
      </c>
      <c r="M277" s="34">
        <f>INDEX('BIO WAHYU'!B:H,MATCH(DATA!D277,'BIO WAHYU'!B:B,0),4)</f>
        <v>0</v>
      </c>
    </row>
    <row r="278" spans="1:13">
      <c r="A278" s="43" t="s">
        <v>1672</v>
      </c>
      <c r="B278" s="43" t="s">
        <v>150</v>
      </c>
      <c r="C278" s="43" t="s">
        <v>818</v>
      </c>
      <c r="D278" s="10">
        <v>2628</v>
      </c>
      <c r="E278" s="43" t="s">
        <v>10</v>
      </c>
      <c r="F278" s="8">
        <f>_xlfn.IFNA(INDEX('OSA | 3GB'!J:L,MATCH(DATA!D278,'OSA | 3GB'!J:J,0),2),0)</f>
        <v>4</v>
      </c>
      <c r="G278" s="8">
        <f>_xlfn.IFNA(INDEX('OSA | 3GB'!J:L,MATCH(DATA!D278,'OSA | 3GB'!J:J,0),3),0)</f>
        <v>21049325</v>
      </c>
      <c r="H278" s="32" t="str">
        <f>_xlfn.IFNA(INDEX('OSA | 3GB'!A:C,MATCH(DATA!D278,'OSA | 3GB'!A:A,0),2),0)</f>
        <v xml:space="preserve"> -   </v>
      </c>
      <c r="I278" s="33">
        <f>_xlfn.IFNA(INDEX('OSA | 3GB'!A:C,MATCH(DATA!D278,'OSA | 3GB'!A:A,0),3),0)</f>
        <v>2293924</v>
      </c>
      <c r="J278" s="33">
        <f>INDEX('BIO WAHYU'!B:G,MATCH(DATA!D278,'BIO WAHYU'!B:B,0),5)</f>
        <v>5</v>
      </c>
      <c r="K278" s="34">
        <f>INDEX('BIO WAHYU'!B:G,MATCH(DATA!D278,'BIO WAHYU'!B:B,0),6)</f>
        <v>2</v>
      </c>
      <c r="L278" s="35">
        <f>INDEX('BIO WAHYU'!B:H,MATCH(DATA!D278,'BIO WAHYU'!B:B,0),7)</f>
        <v>0</v>
      </c>
      <c r="M278" s="34">
        <f>INDEX('BIO WAHYU'!B:H,MATCH(DATA!D278,'BIO WAHYU'!B:B,0),4)</f>
        <v>2</v>
      </c>
    </row>
    <row r="279" spans="1:13">
      <c r="A279" s="43" t="s">
        <v>1673</v>
      </c>
      <c r="B279" s="43" t="s">
        <v>144</v>
      </c>
      <c r="C279" s="43" t="s">
        <v>216</v>
      </c>
      <c r="D279" s="10">
        <v>12306416</v>
      </c>
      <c r="E279" s="43" t="s">
        <v>10</v>
      </c>
      <c r="F279" s="8">
        <f>_xlfn.IFNA(INDEX('OSA | 3GB'!J:L,MATCH(DATA!D279,'OSA | 3GB'!J:J,0),2),0)</f>
        <v>3</v>
      </c>
      <c r="G279" s="8">
        <f>_xlfn.IFNA(INDEX('OSA | 3GB'!J:L,MATCH(DATA!D279,'OSA | 3GB'!J:J,0),3),0)</f>
        <v>2029000</v>
      </c>
      <c r="H279" s="32" t="str">
        <f>_xlfn.IFNA(INDEX('OSA | 3GB'!A:C,MATCH(DATA!D279,'OSA | 3GB'!A:A,0),2),0)</f>
        <v xml:space="preserve"> -   </v>
      </c>
      <c r="I279" s="33" t="str">
        <f>_xlfn.IFNA(INDEX('OSA | 3GB'!A:C,MATCH(DATA!D279,'OSA | 3GB'!A:A,0),3),0)</f>
        <v xml:space="preserve"> -   </v>
      </c>
      <c r="J279" s="33">
        <f>INDEX('BIO WAHYU'!B:G,MATCH(DATA!D279,'BIO WAHYU'!B:B,0),5)</f>
        <v>1</v>
      </c>
      <c r="K279" s="34">
        <f>INDEX('BIO WAHYU'!B:G,MATCH(DATA!D279,'BIO WAHYU'!B:B,0),6)</f>
        <v>0</v>
      </c>
      <c r="L279" s="35">
        <f>INDEX('BIO WAHYU'!B:H,MATCH(DATA!D279,'BIO WAHYU'!B:B,0),7)</f>
        <v>0</v>
      </c>
      <c r="M279" s="34">
        <f>INDEX('BIO WAHYU'!B:H,MATCH(DATA!D279,'BIO WAHYU'!B:B,0),4)</f>
        <v>0</v>
      </c>
    </row>
    <row r="280" spans="1:13">
      <c r="A280" s="43" t="s">
        <v>1670</v>
      </c>
      <c r="B280" s="43">
        <v>2613052584</v>
      </c>
      <c r="C280" s="43" t="s">
        <v>576</v>
      </c>
      <c r="D280" s="10">
        <v>12325950</v>
      </c>
      <c r="E280" s="43" t="s">
        <v>10</v>
      </c>
      <c r="F280" s="8">
        <f>_xlfn.IFNA(INDEX('OSA | 3GB'!J:L,MATCH(DATA!D280,'OSA | 3GB'!J:J,0),2),0)</f>
        <v>3</v>
      </c>
      <c r="G280" s="8">
        <f>_xlfn.IFNA(INDEX('OSA | 3GB'!J:L,MATCH(DATA!D280,'OSA | 3GB'!J:J,0),3),0)</f>
        <v>0</v>
      </c>
      <c r="H280" s="32">
        <f>_xlfn.IFNA(INDEX('OSA | 3GB'!A:C,MATCH(DATA!D280,'OSA | 3GB'!A:A,0),2),0)</f>
        <v>5</v>
      </c>
      <c r="I280" s="33">
        <f>_xlfn.IFNA(INDEX('OSA | 3GB'!A:C,MATCH(DATA!D280,'OSA | 3GB'!A:A,0),3),0)</f>
        <v>50000</v>
      </c>
      <c r="J280" s="33">
        <f>INDEX('BIO WAHYU'!B:G,MATCH(DATA!D280,'BIO WAHYU'!B:B,0),5)</f>
        <v>0</v>
      </c>
      <c r="K280" s="34">
        <f>INDEX('BIO WAHYU'!B:G,MATCH(DATA!D280,'BIO WAHYU'!B:B,0),6)</f>
        <v>5</v>
      </c>
      <c r="L280" s="35">
        <f>INDEX('BIO WAHYU'!B:H,MATCH(DATA!D280,'BIO WAHYU'!B:B,0),7)</f>
        <v>5</v>
      </c>
      <c r="M280" s="34">
        <f>INDEX('BIO WAHYU'!B:H,MATCH(DATA!D280,'BIO WAHYU'!B:B,0),4)</f>
        <v>0</v>
      </c>
    </row>
    <row r="281" spans="1:13">
      <c r="A281" s="43" t="s">
        <v>1673</v>
      </c>
      <c r="B281" s="43" t="s">
        <v>144</v>
      </c>
      <c r="C281" s="43" t="s">
        <v>1230</v>
      </c>
      <c r="D281" s="10">
        <v>127104</v>
      </c>
      <c r="E281" s="43" t="s">
        <v>10</v>
      </c>
      <c r="F281" s="8">
        <f>_xlfn.IFNA(INDEX('OSA | 3GB'!J:L,MATCH(DATA!D281,'OSA | 3GB'!J:J,0),2),0)</f>
        <v>2</v>
      </c>
      <c r="G281" s="8">
        <f>_xlfn.IFNA(INDEX('OSA | 3GB'!J:L,MATCH(DATA!D281,'OSA | 3GB'!J:J,0),3),0)</f>
        <v>7851000</v>
      </c>
      <c r="H281" s="32" t="str">
        <f>_xlfn.IFNA(INDEX('OSA | 3GB'!A:C,MATCH(DATA!D281,'OSA | 3GB'!A:A,0),2),0)</f>
        <v xml:space="preserve"> -   </v>
      </c>
      <c r="I281" s="33">
        <f>_xlfn.IFNA(INDEX('OSA | 3GB'!A:C,MATCH(DATA!D281,'OSA | 3GB'!A:A,0),3),0)</f>
        <v>200000</v>
      </c>
      <c r="J281" s="33">
        <f>INDEX('BIO WAHYU'!B:G,MATCH(DATA!D281,'BIO WAHYU'!B:B,0),5)</f>
        <v>47</v>
      </c>
      <c r="K281" s="34">
        <f>INDEX('BIO WAHYU'!B:G,MATCH(DATA!D281,'BIO WAHYU'!B:B,0),6)</f>
        <v>0</v>
      </c>
      <c r="L281" s="35">
        <f>INDEX('BIO WAHYU'!B:H,MATCH(DATA!D281,'BIO WAHYU'!B:B,0),7)</f>
        <v>0</v>
      </c>
      <c r="M281" s="34">
        <f>INDEX('BIO WAHYU'!B:H,MATCH(DATA!D281,'BIO WAHYU'!B:B,0),4)</f>
        <v>1</v>
      </c>
    </row>
    <row r="282" spans="1:13">
      <c r="A282" s="43" t="s">
        <v>1674</v>
      </c>
      <c r="B282" s="43" t="s">
        <v>154</v>
      </c>
      <c r="C282" s="43" t="s">
        <v>1231</v>
      </c>
      <c r="D282" s="10">
        <v>355431</v>
      </c>
      <c r="E282" s="43" t="s">
        <v>10</v>
      </c>
      <c r="F282" s="8">
        <f>_xlfn.IFNA(INDEX('OSA | 3GB'!J:L,MATCH(DATA!D282,'OSA | 3GB'!J:J,0),2),0)</f>
        <v>3</v>
      </c>
      <c r="G282" s="8">
        <f>_xlfn.IFNA(INDEX('OSA | 3GB'!J:L,MATCH(DATA!D282,'OSA | 3GB'!J:J,0),3),0)</f>
        <v>600000</v>
      </c>
      <c r="H282" s="32">
        <f>_xlfn.IFNA(INDEX('OSA | 3GB'!A:C,MATCH(DATA!D282,'OSA | 3GB'!A:A,0),2),0)</f>
        <v>1</v>
      </c>
      <c r="I282" s="33">
        <f>_xlfn.IFNA(INDEX('OSA | 3GB'!A:C,MATCH(DATA!D282,'OSA | 3GB'!A:A,0),3),0)</f>
        <v>229000</v>
      </c>
      <c r="J282" s="33">
        <f>INDEX('BIO WAHYU'!B:G,MATCH(DATA!D282,'BIO WAHYU'!B:B,0),5)</f>
        <v>3</v>
      </c>
      <c r="K282" s="34">
        <f>INDEX('BIO WAHYU'!B:G,MATCH(DATA!D282,'BIO WAHYU'!B:B,0),6)</f>
        <v>2</v>
      </c>
      <c r="L282" s="35">
        <f>INDEX('BIO WAHYU'!B:H,MATCH(DATA!D282,'BIO WAHYU'!B:B,0),7)</f>
        <v>0</v>
      </c>
      <c r="M282" s="34">
        <f>INDEX('BIO WAHYU'!B:H,MATCH(DATA!D282,'BIO WAHYU'!B:B,0),4)</f>
        <v>0</v>
      </c>
    </row>
    <row r="283" spans="1:13">
      <c r="A283" s="43" t="s">
        <v>1672</v>
      </c>
      <c r="B283" s="43" t="s">
        <v>150</v>
      </c>
      <c r="C283" s="43" t="s">
        <v>837</v>
      </c>
      <c r="D283" s="10">
        <v>559287</v>
      </c>
      <c r="E283" s="43" t="s">
        <v>10</v>
      </c>
      <c r="F283" s="8">
        <f>_xlfn.IFNA(INDEX('OSA | 3GB'!J:L,MATCH(DATA!D283,'OSA | 3GB'!J:J,0),2),0)</f>
        <v>0</v>
      </c>
      <c r="G283" s="8">
        <f>_xlfn.IFNA(INDEX('OSA | 3GB'!J:L,MATCH(DATA!D283,'OSA | 3GB'!J:J,0),3),0)</f>
        <v>1562500</v>
      </c>
      <c r="H283" s="32" t="str">
        <f>_xlfn.IFNA(INDEX('OSA | 3GB'!A:C,MATCH(DATA!D283,'OSA | 3GB'!A:A,0),2),0)</f>
        <v xml:space="preserve"> -   </v>
      </c>
      <c r="I283" s="33">
        <f>_xlfn.IFNA(INDEX('OSA | 3GB'!A:C,MATCH(DATA!D283,'OSA | 3GB'!A:A,0),3),0)</f>
        <v>4600000</v>
      </c>
      <c r="J283" s="33">
        <f>INDEX('BIO WAHYU'!B:G,MATCH(DATA!D283,'BIO WAHYU'!B:B,0),5)</f>
        <v>2</v>
      </c>
      <c r="K283" s="34">
        <f>INDEX('BIO WAHYU'!B:G,MATCH(DATA!D283,'BIO WAHYU'!B:B,0),6)</f>
        <v>3</v>
      </c>
      <c r="L283" s="35">
        <f>INDEX('BIO WAHYU'!B:H,MATCH(DATA!D283,'BIO WAHYU'!B:B,0),7)</f>
        <v>1</v>
      </c>
      <c r="M283" s="34">
        <f>INDEX('BIO WAHYU'!B:H,MATCH(DATA!D283,'BIO WAHYU'!B:B,0),4)</f>
        <v>0</v>
      </c>
    </row>
    <row r="284" spans="1:13">
      <c r="A284" s="43" t="s">
        <v>1673</v>
      </c>
      <c r="B284" s="43" t="s">
        <v>158</v>
      </c>
      <c r="C284" s="43" t="s">
        <v>1232</v>
      </c>
      <c r="D284" s="10">
        <v>234536</v>
      </c>
      <c r="E284" s="43" t="s">
        <v>10</v>
      </c>
      <c r="F284" s="8">
        <f>_xlfn.IFNA(INDEX('OSA | 3GB'!J:L,MATCH(DATA!D284,'OSA | 3GB'!J:J,0),2),0)</f>
        <v>3</v>
      </c>
      <c r="G284" s="8">
        <f>_xlfn.IFNA(INDEX('OSA | 3GB'!J:L,MATCH(DATA!D284,'OSA | 3GB'!J:J,0),3),0)</f>
        <v>0</v>
      </c>
      <c r="H284" s="32" t="str">
        <f>_xlfn.IFNA(INDEX('OSA | 3GB'!A:C,MATCH(DATA!D284,'OSA | 3GB'!A:A,0),2),0)</f>
        <v xml:space="preserve"> -   </v>
      </c>
      <c r="I284" s="33">
        <f>_xlfn.IFNA(INDEX('OSA | 3GB'!A:C,MATCH(DATA!D284,'OSA | 3GB'!A:A,0),3),0)</f>
        <v>150000</v>
      </c>
      <c r="J284" s="33">
        <f>INDEX('BIO WAHYU'!B:G,MATCH(DATA!D284,'BIO WAHYU'!B:B,0),5)</f>
        <v>1</v>
      </c>
      <c r="K284" s="34">
        <f>INDEX('BIO WAHYU'!B:G,MATCH(DATA!D284,'BIO WAHYU'!B:B,0),6)</f>
        <v>1</v>
      </c>
      <c r="L284" s="35">
        <f>INDEX('BIO WAHYU'!B:H,MATCH(DATA!D284,'BIO WAHYU'!B:B,0),7)</f>
        <v>0</v>
      </c>
      <c r="M284" s="34">
        <f>INDEX('BIO WAHYU'!B:H,MATCH(DATA!D284,'BIO WAHYU'!B:B,0),4)</f>
        <v>0</v>
      </c>
    </row>
    <row r="285" spans="1:13">
      <c r="A285" s="43" t="s">
        <v>1672</v>
      </c>
      <c r="B285" s="43" t="s">
        <v>156</v>
      </c>
      <c r="C285" s="43" t="s">
        <v>986</v>
      </c>
      <c r="D285" s="10">
        <v>347320</v>
      </c>
      <c r="E285" s="43" t="s">
        <v>10</v>
      </c>
      <c r="F285" s="8">
        <f>_xlfn.IFNA(INDEX('OSA | 3GB'!J:L,MATCH(DATA!D285,'OSA | 3GB'!J:J,0),2),0)</f>
        <v>0</v>
      </c>
      <c r="G285" s="8">
        <f>_xlfn.IFNA(INDEX('OSA | 3GB'!J:L,MATCH(DATA!D285,'OSA | 3GB'!J:J,0),3),0)</f>
        <v>3450000</v>
      </c>
      <c r="H285" s="32">
        <f>_xlfn.IFNA(INDEX('OSA | 3GB'!A:C,MATCH(DATA!D285,'OSA | 3GB'!A:A,0),2),0)</f>
        <v>2</v>
      </c>
      <c r="I285" s="33">
        <f>_xlfn.IFNA(INDEX('OSA | 3GB'!A:C,MATCH(DATA!D285,'OSA | 3GB'!A:A,0),3),0)</f>
        <v>2738000</v>
      </c>
      <c r="J285" s="33">
        <f>INDEX('BIO WAHYU'!B:G,MATCH(DATA!D285,'BIO WAHYU'!B:B,0),5)</f>
        <v>9</v>
      </c>
      <c r="K285" s="34">
        <f>INDEX('BIO WAHYU'!B:G,MATCH(DATA!D285,'BIO WAHYU'!B:B,0),6)</f>
        <v>3</v>
      </c>
      <c r="L285" s="35">
        <f>INDEX('BIO WAHYU'!B:H,MATCH(DATA!D285,'BIO WAHYU'!B:B,0),7)</f>
        <v>0</v>
      </c>
      <c r="M285" s="34">
        <f>INDEX('BIO WAHYU'!B:H,MATCH(DATA!D285,'BIO WAHYU'!B:B,0),4)</f>
        <v>0</v>
      </c>
    </row>
    <row r="286" spans="1:13">
      <c r="A286" s="43" t="s">
        <v>1672</v>
      </c>
      <c r="B286" s="43" t="s">
        <v>157</v>
      </c>
      <c r="C286" s="43" t="s">
        <v>1030</v>
      </c>
      <c r="D286" s="10">
        <v>260342</v>
      </c>
      <c r="E286" s="43" t="s">
        <v>10</v>
      </c>
      <c r="F286" s="8">
        <f>_xlfn.IFNA(INDEX('OSA | 3GB'!J:L,MATCH(DATA!D286,'OSA | 3GB'!J:J,0),2),0)</f>
        <v>6</v>
      </c>
      <c r="G286" s="8">
        <f>_xlfn.IFNA(INDEX('OSA | 3GB'!J:L,MATCH(DATA!D286,'OSA | 3GB'!J:J,0),3),0)</f>
        <v>2700000</v>
      </c>
      <c r="H286" s="32" t="str">
        <f>_xlfn.IFNA(INDEX('OSA | 3GB'!A:C,MATCH(DATA!D286,'OSA | 3GB'!A:A,0),2),0)</f>
        <v xml:space="preserve"> -   </v>
      </c>
      <c r="I286" s="33">
        <f>_xlfn.IFNA(INDEX('OSA | 3GB'!A:C,MATCH(DATA!D286,'OSA | 3GB'!A:A,0),3),0)</f>
        <v>1600000</v>
      </c>
      <c r="J286" s="33">
        <f>INDEX('BIO WAHYU'!B:G,MATCH(DATA!D286,'BIO WAHYU'!B:B,0),5)</f>
        <v>3</v>
      </c>
      <c r="K286" s="34">
        <f>INDEX('BIO WAHYU'!B:G,MATCH(DATA!D286,'BIO WAHYU'!B:B,0),6)</f>
        <v>0</v>
      </c>
      <c r="L286" s="35">
        <f>INDEX('BIO WAHYU'!B:H,MATCH(DATA!D286,'BIO WAHYU'!B:B,0),7)</f>
        <v>0</v>
      </c>
      <c r="M286" s="34">
        <f>INDEX('BIO WAHYU'!B:H,MATCH(DATA!D286,'BIO WAHYU'!B:B,0),4)</f>
        <v>0</v>
      </c>
    </row>
    <row r="287" spans="1:13">
      <c r="A287" s="43" t="s">
        <v>1674</v>
      </c>
      <c r="B287" s="43">
        <v>2613052222</v>
      </c>
      <c r="C287" s="43" t="s">
        <v>698</v>
      </c>
      <c r="D287" s="10">
        <v>458953</v>
      </c>
      <c r="E287" s="43" t="s">
        <v>10</v>
      </c>
      <c r="F287" s="8">
        <f>_xlfn.IFNA(INDEX('OSA | 3GB'!J:L,MATCH(DATA!D287,'OSA | 3GB'!J:J,0),2),0)</f>
        <v>3</v>
      </c>
      <c r="G287" s="8">
        <f>_xlfn.IFNA(INDEX('OSA | 3GB'!J:L,MATCH(DATA!D287,'OSA | 3GB'!J:J,0),3),0)</f>
        <v>137000</v>
      </c>
      <c r="H287" s="32" t="str">
        <f>_xlfn.IFNA(INDEX('OSA | 3GB'!A:C,MATCH(DATA!D287,'OSA | 3GB'!A:A,0),2),0)</f>
        <v xml:space="preserve"> -   </v>
      </c>
      <c r="I287" s="33" t="str">
        <f>_xlfn.IFNA(INDEX('OSA | 3GB'!A:C,MATCH(DATA!D287,'OSA | 3GB'!A:A,0),3),0)</f>
        <v xml:space="preserve"> -   </v>
      </c>
      <c r="J287" s="33">
        <f>INDEX('BIO WAHYU'!B:G,MATCH(DATA!D287,'BIO WAHYU'!B:B,0),5)</f>
        <v>2</v>
      </c>
      <c r="K287" s="34">
        <f>INDEX('BIO WAHYU'!B:G,MATCH(DATA!D287,'BIO WAHYU'!B:B,0),6)</f>
        <v>0</v>
      </c>
      <c r="L287" s="35">
        <f>INDEX('BIO WAHYU'!B:H,MATCH(DATA!D287,'BIO WAHYU'!B:B,0),7)</f>
        <v>0</v>
      </c>
      <c r="M287" s="34">
        <f>INDEX('BIO WAHYU'!B:H,MATCH(DATA!D287,'BIO WAHYU'!B:B,0),4)</f>
        <v>0</v>
      </c>
    </row>
    <row r="288" spans="1:13">
      <c r="A288" s="43" t="s">
        <v>1671</v>
      </c>
      <c r="B288" s="43">
        <v>2613050885</v>
      </c>
      <c r="C288" s="43" t="s">
        <v>288</v>
      </c>
      <c r="D288" s="10">
        <v>383011</v>
      </c>
      <c r="E288" s="43" t="s">
        <v>15</v>
      </c>
      <c r="F288" s="8">
        <f>_xlfn.IFNA(INDEX('OSA | 3GB'!J:L,MATCH(DATA!D288,'OSA | 3GB'!J:J,0),2),0)</f>
        <v>3</v>
      </c>
      <c r="G288" s="8">
        <f>_xlfn.IFNA(INDEX('OSA | 3GB'!J:L,MATCH(DATA!D288,'OSA | 3GB'!J:J,0),3),0)</f>
        <v>6015000</v>
      </c>
      <c r="H288" s="32">
        <f>_xlfn.IFNA(INDEX('OSA | 3GB'!A:C,MATCH(DATA!D288,'OSA | 3GB'!A:A,0),2),0)</f>
        <v>3</v>
      </c>
      <c r="I288" s="33" t="str">
        <f>_xlfn.IFNA(INDEX('OSA | 3GB'!A:C,MATCH(DATA!D288,'OSA | 3GB'!A:A,0),3),0)</f>
        <v xml:space="preserve"> -   </v>
      </c>
      <c r="J288" s="33">
        <f>INDEX('BIO WAHYU'!B:G,MATCH(DATA!D288,'BIO WAHYU'!B:B,0),5)</f>
        <v>1</v>
      </c>
      <c r="K288" s="34">
        <f>INDEX('BIO WAHYU'!B:G,MATCH(DATA!D288,'BIO WAHYU'!B:B,0),6)</f>
        <v>3</v>
      </c>
      <c r="L288" s="35">
        <f>INDEX('BIO WAHYU'!B:H,MATCH(DATA!D288,'BIO WAHYU'!B:B,0),7)</f>
        <v>2</v>
      </c>
      <c r="M288" s="34">
        <f>INDEX('BIO WAHYU'!B:H,MATCH(DATA!D288,'BIO WAHYU'!B:B,0),4)</f>
        <v>0</v>
      </c>
    </row>
    <row r="289" spans="1:13">
      <c r="A289" s="43" t="s">
        <v>1674</v>
      </c>
      <c r="B289" s="43" t="s">
        <v>154</v>
      </c>
      <c r="C289" s="43" t="s">
        <v>740</v>
      </c>
      <c r="D289" s="10">
        <v>229466</v>
      </c>
      <c r="E289" s="43" t="s">
        <v>10</v>
      </c>
      <c r="F289" s="8">
        <f>_xlfn.IFNA(INDEX('OSA | 3GB'!J:L,MATCH(DATA!D289,'OSA | 3GB'!J:J,0),2),0)</f>
        <v>5</v>
      </c>
      <c r="G289" s="8">
        <f>_xlfn.IFNA(INDEX('OSA | 3GB'!J:L,MATCH(DATA!D289,'OSA | 3GB'!J:J,0),3),0)</f>
        <v>21072715</v>
      </c>
      <c r="H289" s="32" t="str">
        <f>_xlfn.IFNA(INDEX('OSA | 3GB'!A:C,MATCH(DATA!D289,'OSA | 3GB'!A:A,0),2),0)</f>
        <v xml:space="preserve"> -   </v>
      </c>
      <c r="I289" s="33">
        <f>_xlfn.IFNA(INDEX('OSA | 3GB'!A:C,MATCH(DATA!D289,'OSA | 3GB'!A:A,0),3),0)</f>
        <v>9000000</v>
      </c>
      <c r="J289" s="33">
        <f>INDEX('BIO WAHYU'!B:G,MATCH(DATA!D289,'BIO WAHYU'!B:B,0),5)</f>
        <v>9</v>
      </c>
      <c r="K289" s="34">
        <f>INDEX('BIO WAHYU'!B:G,MATCH(DATA!D289,'BIO WAHYU'!B:B,0),6)</f>
        <v>1</v>
      </c>
      <c r="L289" s="35">
        <f>INDEX('BIO WAHYU'!B:H,MATCH(DATA!D289,'BIO WAHYU'!B:B,0),7)</f>
        <v>0</v>
      </c>
      <c r="M289" s="34">
        <f>INDEX('BIO WAHYU'!B:H,MATCH(DATA!D289,'BIO WAHYU'!B:B,0),4)</f>
        <v>0</v>
      </c>
    </row>
    <row r="290" spans="1:13">
      <c r="A290" s="43" t="s">
        <v>1673</v>
      </c>
      <c r="B290" s="43" t="s">
        <v>144</v>
      </c>
      <c r="C290" s="43" t="s">
        <v>1233</v>
      </c>
      <c r="D290" s="10">
        <v>12318668</v>
      </c>
      <c r="E290" s="43" t="s">
        <v>10</v>
      </c>
      <c r="F290" s="8">
        <f>_xlfn.IFNA(INDEX('OSA | 3GB'!J:L,MATCH(DATA!D290,'OSA | 3GB'!J:J,0),2),0)</f>
        <v>6</v>
      </c>
      <c r="G290" s="8">
        <f>_xlfn.IFNA(INDEX('OSA | 3GB'!J:L,MATCH(DATA!D290,'OSA | 3GB'!J:J,0),3),0)</f>
        <v>400000</v>
      </c>
      <c r="H290" s="32">
        <f>_xlfn.IFNA(INDEX('OSA | 3GB'!A:C,MATCH(DATA!D290,'OSA | 3GB'!A:A,0),2),0)</f>
        <v>5</v>
      </c>
      <c r="I290" s="33">
        <f>_xlfn.IFNA(INDEX('OSA | 3GB'!A:C,MATCH(DATA!D290,'OSA | 3GB'!A:A,0),3),0)</f>
        <v>295000</v>
      </c>
      <c r="J290" s="33">
        <f>INDEX('BIO WAHYU'!B:G,MATCH(DATA!D290,'BIO WAHYU'!B:B,0),5)</f>
        <v>20</v>
      </c>
      <c r="K290" s="34">
        <f>INDEX('BIO WAHYU'!B:G,MATCH(DATA!D290,'BIO WAHYU'!B:B,0),6)</f>
        <v>4</v>
      </c>
      <c r="L290" s="35">
        <f>INDEX('BIO WAHYU'!B:H,MATCH(DATA!D290,'BIO WAHYU'!B:B,0),7)</f>
        <v>0</v>
      </c>
      <c r="M290" s="34">
        <f>INDEX('BIO WAHYU'!B:H,MATCH(DATA!D290,'BIO WAHYU'!B:B,0),4)</f>
        <v>0</v>
      </c>
    </row>
    <row r="291" spans="1:13">
      <c r="A291" s="43" t="s">
        <v>1673</v>
      </c>
      <c r="B291" s="43" t="s">
        <v>143</v>
      </c>
      <c r="C291" s="43" t="s">
        <v>263</v>
      </c>
      <c r="D291" s="10">
        <v>418007</v>
      </c>
      <c r="E291" s="43" t="s">
        <v>10</v>
      </c>
      <c r="F291" s="8">
        <f>_xlfn.IFNA(INDEX('OSA | 3GB'!J:L,MATCH(DATA!D291,'OSA | 3GB'!J:J,0),2),0)</f>
        <v>1</v>
      </c>
      <c r="G291" s="8">
        <f>_xlfn.IFNA(INDEX('OSA | 3GB'!J:L,MATCH(DATA!D291,'OSA | 3GB'!J:J,0),3),0)</f>
        <v>1400000</v>
      </c>
      <c r="H291" s="32">
        <f>_xlfn.IFNA(INDEX('OSA | 3GB'!A:C,MATCH(DATA!D291,'OSA | 3GB'!A:A,0),2),0)</f>
        <v>2</v>
      </c>
      <c r="I291" s="33">
        <f>_xlfn.IFNA(INDEX('OSA | 3GB'!A:C,MATCH(DATA!D291,'OSA | 3GB'!A:A,0),3),0)</f>
        <v>1070000</v>
      </c>
      <c r="J291" s="33">
        <f>INDEX('BIO WAHYU'!B:G,MATCH(DATA!D291,'BIO WAHYU'!B:B,0),5)</f>
        <v>0</v>
      </c>
      <c r="K291" s="34">
        <f>INDEX('BIO WAHYU'!B:G,MATCH(DATA!D291,'BIO WAHYU'!B:B,0),6)</f>
        <v>1</v>
      </c>
      <c r="L291" s="35">
        <f>INDEX('BIO WAHYU'!B:H,MATCH(DATA!D291,'BIO WAHYU'!B:B,0),7)</f>
        <v>1</v>
      </c>
      <c r="M291" s="34">
        <f>INDEX('BIO WAHYU'!B:H,MATCH(DATA!D291,'BIO WAHYU'!B:B,0),4)</f>
        <v>0</v>
      </c>
    </row>
    <row r="292" spans="1:13">
      <c r="A292" s="43" t="s">
        <v>1670</v>
      </c>
      <c r="B292" s="43" t="s">
        <v>140</v>
      </c>
      <c r="C292" s="43" t="s">
        <v>1234</v>
      </c>
      <c r="D292" s="10">
        <v>506237</v>
      </c>
      <c r="E292" s="43" t="s">
        <v>10</v>
      </c>
      <c r="F292" s="8">
        <f>_xlfn.IFNA(INDEX('OSA | 3GB'!J:L,MATCH(DATA!D292,'OSA | 3GB'!J:J,0),2),0)</f>
        <v>5</v>
      </c>
      <c r="G292" s="8">
        <f>_xlfn.IFNA(INDEX('OSA | 3GB'!J:L,MATCH(DATA!D292,'OSA | 3GB'!J:J,0),3),0)</f>
        <v>7650000</v>
      </c>
      <c r="H292" s="32" t="str">
        <f>_xlfn.IFNA(INDEX('OSA | 3GB'!A:C,MATCH(DATA!D292,'OSA | 3GB'!A:A,0),2),0)</f>
        <v xml:space="preserve"> -   </v>
      </c>
      <c r="I292" s="33">
        <f>_xlfn.IFNA(INDEX('OSA | 3GB'!A:C,MATCH(DATA!D292,'OSA | 3GB'!A:A,0),3),0)</f>
        <v>2600000</v>
      </c>
      <c r="J292" s="33">
        <f>INDEX('BIO WAHYU'!B:G,MATCH(DATA!D292,'BIO WAHYU'!B:B,0),5)</f>
        <v>3</v>
      </c>
      <c r="K292" s="34">
        <f>INDEX('BIO WAHYU'!B:G,MATCH(DATA!D292,'BIO WAHYU'!B:B,0),6)</f>
        <v>2</v>
      </c>
      <c r="L292" s="35">
        <f>INDEX('BIO WAHYU'!B:H,MATCH(DATA!D292,'BIO WAHYU'!B:B,0),7)</f>
        <v>0</v>
      </c>
      <c r="M292" s="34">
        <f>INDEX('BIO WAHYU'!B:H,MATCH(DATA!D292,'BIO WAHYU'!B:B,0),4)</f>
        <v>0</v>
      </c>
    </row>
    <row r="293" spans="1:13">
      <c r="A293" s="43" t="s">
        <v>1671</v>
      </c>
      <c r="B293" s="43" t="s">
        <v>142</v>
      </c>
      <c r="C293" s="43" t="s">
        <v>352</v>
      </c>
      <c r="D293" s="10">
        <v>373755</v>
      </c>
      <c r="E293" s="43" t="s">
        <v>15</v>
      </c>
      <c r="F293" s="8">
        <f>_xlfn.IFNA(INDEX('OSA | 3GB'!J:L,MATCH(DATA!D293,'OSA | 3GB'!J:J,0),2),0)</f>
        <v>3</v>
      </c>
      <c r="G293" s="8">
        <f>_xlfn.IFNA(INDEX('OSA | 3GB'!J:L,MATCH(DATA!D293,'OSA | 3GB'!J:J,0),3),0)</f>
        <v>700000</v>
      </c>
      <c r="H293" s="32" t="str">
        <f>_xlfn.IFNA(INDEX('OSA | 3GB'!A:C,MATCH(DATA!D293,'OSA | 3GB'!A:A,0),2),0)</f>
        <v xml:space="preserve"> -   </v>
      </c>
      <c r="I293" s="33">
        <f>_xlfn.IFNA(INDEX('OSA | 3GB'!A:C,MATCH(DATA!D293,'OSA | 3GB'!A:A,0),3),0)</f>
        <v>350000</v>
      </c>
      <c r="J293" s="33">
        <f>INDEX('BIO WAHYU'!B:G,MATCH(DATA!D293,'BIO WAHYU'!B:B,0),5)</f>
        <v>3</v>
      </c>
      <c r="K293" s="34">
        <f>INDEX('BIO WAHYU'!B:G,MATCH(DATA!D293,'BIO WAHYU'!B:B,0),6)</f>
        <v>1</v>
      </c>
      <c r="L293" s="35">
        <f>INDEX('BIO WAHYU'!B:H,MATCH(DATA!D293,'BIO WAHYU'!B:B,0),7)</f>
        <v>0</v>
      </c>
      <c r="M293" s="34">
        <f>INDEX('BIO WAHYU'!B:H,MATCH(DATA!D293,'BIO WAHYU'!B:B,0),4)</f>
        <v>0</v>
      </c>
    </row>
    <row r="294" spans="1:13">
      <c r="A294" s="43" t="s">
        <v>1671</v>
      </c>
      <c r="B294" s="43">
        <v>2613050885</v>
      </c>
      <c r="C294" s="43" t="s">
        <v>284</v>
      </c>
      <c r="D294" s="10">
        <v>240316</v>
      </c>
      <c r="E294" s="43" t="s">
        <v>10</v>
      </c>
      <c r="F294" s="8">
        <f>_xlfn.IFNA(INDEX('OSA | 3GB'!J:L,MATCH(DATA!D294,'OSA | 3GB'!J:J,0),2),0)</f>
        <v>6</v>
      </c>
      <c r="G294" s="8">
        <f>_xlfn.IFNA(INDEX('OSA | 3GB'!J:L,MATCH(DATA!D294,'OSA | 3GB'!J:J,0),3),0)</f>
        <v>12180000</v>
      </c>
      <c r="H294" s="32">
        <f>_xlfn.IFNA(INDEX('OSA | 3GB'!A:C,MATCH(DATA!D294,'OSA | 3GB'!A:A,0),2),0)</f>
        <v>3</v>
      </c>
      <c r="I294" s="33" t="str">
        <f>_xlfn.IFNA(INDEX('OSA | 3GB'!A:C,MATCH(DATA!D294,'OSA | 3GB'!A:A,0),3),0)</f>
        <v xml:space="preserve"> -   </v>
      </c>
      <c r="J294" s="33">
        <f>INDEX('BIO WAHYU'!B:G,MATCH(DATA!D294,'BIO WAHYU'!B:B,0),5)</f>
        <v>3</v>
      </c>
      <c r="K294" s="34">
        <f>INDEX('BIO WAHYU'!B:G,MATCH(DATA!D294,'BIO WAHYU'!B:B,0),6)</f>
        <v>3</v>
      </c>
      <c r="L294" s="35">
        <f>INDEX('BIO WAHYU'!B:H,MATCH(DATA!D294,'BIO WAHYU'!B:B,0),7)</f>
        <v>0</v>
      </c>
      <c r="M294" s="34">
        <f>INDEX('BIO WAHYU'!B:H,MATCH(DATA!D294,'BIO WAHYU'!B:B,0),4)</f>
        <v>0</v>
      </c>
    </row>
    <row r="295" spans="1:13">
      <c r="A295" s="43" t="s">
        <v>1671</v>
      </c>
      <c r="B295" s="43">
        <v>2613050885</v>
      </c>
      <c r="C295" s="43" t="s">
        <v>298</v>
      </c>
      <c r="D295" s="10">
        <v>518940</v>
      </c>
      <c r="E295" s="43" t="s">
        <v>15</v>
      </c>
      <c r="F295" s="8">
        <f>_xlfn.IFNA(INDEX('OSA | 3GB'!J:L,MATCH(DATA!D295,'OSA | 3GB'!J:J,0),2),0)</f>
        <v>0</v>
      </c>
      <c r="G295" s="8">
        <f>_xlfn.IFNA(INDEX('OSA | 3GB'!J:L,MATCH(DATA!D295,'OSA | 3GB'!J:J,0),3),0)</f>
        <v>5000000</v>
      </c>
      <c r="H295" s="32">
        <f>_xlfn.IFNA(INDEX('OSA | 3GB'!A:C,MATCH(DATA!D295,'OSA | 3GB'!A:A,0),2),0)</f>
        <v>2</v>
      </c>
      <c r="I295" s="33">
        <f>_xlfn.IFNA(INDEX('OSA | 3GB'!A:C,MATCH(DATA!D295,'OSA | 3GB'!A:A,0),3),0)</f>
        <v>2300000</v>
      </c>
      <c r="J295" s="33">
        <f>INDEX('BIO WAHYU'!B:G,MATCH(DATA!D295,'BIO WAHYU'!B:B,0),5)</f>
        <v>0</v>
      </c>
      <c r="K295" s="34">
        <f>INDEX('BIO WAHYU'!B:G,MATCH(DATA!D295,'BIO WAHYU'!B:B,0),6)</f>
        <v>2</v>
      </c>
      <c r="L295" s="35">
        <f>INDEX('BIO WAHYU'!B:H,MATCH(DATA!D295,'BIO WAHYU'!B:B,0),7)</f>
        <v>2</v>
      </c>
      <c r="M295" s="34">
        <f>INDEX('BIO WAHYU'!B:H,MATCH(DATA!D295,'BIO WAHYU'!B:B,0),4)</f>
        <v>0</v>
      </c>
    </row>
    <row r="296" spans="1:13">
      <c r="A296" s="43" t="s">
        <v>1672</v>
      </c>
      <c r="B296" s="43">
        <v>2613051475</v>
      </c>
      <c r="C296" s="43" t="s">
        <v>916</v>
      </c>
      <c r="D296" s="10">
        <v>551969</v>
      </c>
      <c r="E296" s="43" t="s">
        <v>10</v>
      </c>
      <c r="F296" s="8">
        <f>_xlfn.IFNA(INDEX('OSA | 3GB'!J:L,MATCH(DATA!D296,'OSA | 3GB'!J:J,0),2),0)</f>
        <v>0</v>
      </c>
      <c r="G296" s="8">
        <f>_xlfn.IFNA(INDEX('OSA | 3GB'!J:L,MATCH(DATA!D296,'OSA | 3GB'!J:J,0),3),0)</f>
        <v>150000</v>
      </c>
      <c r="H296" s="32" t="str">
        <f>_xlfn.IFNA(INDEX('OSA | 3GB'!A:C,MATCH(DATA!D296,'OSA | 3GB'!A:A,0),2),0)</f>
        <v xml:space="preserve"> -   </v>
      </c>
      <c r="I296" s="33" t="str">
        <f>_xlfn.IFNA(INDEX('OSA | 3GB'!A:C,MATCH(DATA!D296,'OSA | 3GB'!A:A,0),3),0)</f>
        <v xml:space="preserve"> -   </v>
      </c>
      <c r="J296" s="33">
        <f>INDEX('BIO WAHYU'!B:G,MATCH(DATA!D296,'BIO WAHYU'!B:B,0),5)</f>
        <v>0</v>
      </c>
      <c r="K296" s="34">
        <f>INDEX('BIO WAHYU'!B:G,MATCH(DATA!D296,'BIO WAHYU'!B:B,0),6)</f>
        <v>0</v>
      </c>
      <c r="L296" s="35">
        <f>INDEX('BIO WAHYU'!B:H,MATCH(DATA!D296,'BIO WAHYU'!B:B,0),7)</f>
        <v>0</v>
      </c>
      <c r="M296" s="34">
        <f>INDEX('BIO WAHYU'!B:H,MATCH(DATA!D296,'BIO WAHYU'!B:B,0),4)</f>
        <v>0</v>
      </c>
    </row>
    <row r="297" spans="1:13">
      <c r="A297" s="43" t="s">
        <v>1674</v>
      </c>
      <c r="B297" s="43" t="s">
        <v>147</v>
      </c>
      <c r="C297" s="43" t="s">
        <v>614</v>
      </c>
      <c r="D297" s="10">
        <v>526539</v>
      </c>
      <c r="E297" s="43" t="s">
        <v>10</v>
      </c>
      <c r="F297" s="8">
        <f>_xlfn.IFNA(INDEX('OSA | 3GB'!J:L,MATCH(DATA!D297,'OSA | 3GB'!J:J,0),2),0)</f>
        <v>1</v>
      </c>
      <c r="G297" s="8">
        <f>_xlfn.IFNA(INDEX('OSA | 3GB'!J:L,MATCH(DATA!D297,'OSA | 3GB'!J:J,0),3),0)</f>
        <v>1000000</v>
      </c>
      <c r="H297" s="32" t="str">
        <f>_xlfn.IFNA(INDEX('OSA | 3GB'!A:C,MATCH(DATA!D297,'OSA | 3GB'!A:A,0),2),0)</f>
        <v xml:space="preserve"> -   </v>
      </c>
      <c r="I297" s="33">
        <f>_xlfn.IFNA(INDEX('OSA | 3GB'!A:C,MATCH(DATA!D297,'OSA | 3GB'!A:A,0),3),0)</f>
        <v>300000</v>
      </c>
      <c r="J297" s="33">
        <f>INDEX('BIO WAHYU'!B:G,MATCH(DATA!D297,'BIO WAHYU'!B:B,0),5)</f>
        <v>0</v>
      </c>
      <c r="K297" s="34">
        <f>INDEX('BIO WAHYU'!B:G,MATCH(DATA!D297,'BIO WAHYU'!B:B,0),6)</f>
        <v>0</v>
      </c>
      <c r="L297" s="35">
        <f>INDEX('BIO WAHYU'!B:H,MATCH(DATA!D297,'BIO WAHYU'!B:B,0),7)</f>
        <v>0</v>
      </c>
      <c r="M297" s="34">
        <f>INDEX('BIO WAHYU'!B:H,MATCH(DATA!D297,'BIO WAHYU'!B:B,0),4)</f>
        <v>0</v>
      </c>
    </row>
    <row r="298" spans="1:13">
      <c r="A298" s="43" t="s">
        <v>1674</v>
      </c>
      <c r="B298" s="43" t="s">
        <v>148</v>
      </c>
      <c r="C298" s="43" t="s">
        <v>648</v>
      </c>
      <c r="D298" s="10">
        <v>500429</v>
      </c>
      <c r="E298" s="43" t="s">
        <v>10</v>
      </c>
      <c r="F298" s="8">
        <f>_xlfn.IFNA(INDEX('OSA | 3GB'!J:L,MATCH(DATA!D298,'OSA | 3GB'!J:J,0),2),0)</f>
        <v>3</v>
      </c>
      <c r="G298" s="8">
        <f>_xlfn.IFNA(INDEX('OSA | 3GB'!J:L,MATCH(DATA!D298,'OSA | 3GB'!J:J,0),3),0)</f>
        <v>2100000</v>
      </c>
      <c r="H298" s="32" t="str">
        <f>_xlfn.IFNA(INDEX('OSA | 3GB'!A:C,MATCH(DATA!D298,'OSA | 3GB'!A:A,0),2),0)</f>
        <v xml:space="preserve"> -   </v>
      </c>
      <c r="I298" s="33">
        <f>_xlfn.IFNA(INDEX('OSA | 3GB'!A:C,MATCH(DATA!D298,'OSA | 3GB'!A:A,0),3),0)</f>
        <v>300000</v>
      </c>
      <c r="J298" s="33">
        <f>INDEX('BIO WAHYU'!B:G,MATCH(DATA!D298,'BIO WAHYU'!B:B,0),5)</f>
        <v>6</v>
      </c>
      <c r="K298" s="34">
        <f>INDEX('BIO WAHYU'!B:G,MATCH(DATA!D298,'BIO WAHYU'!B:B,0),6)</f>
        <v>0</v>
      </c>
      <c r="L298" s="35">
        <f>INDEX('BIO WAHYU'!B:H,MATCH(DATA!D298,'BIO WAHYU'!B:B,0),7)</f>
        <v>0</v>
      </c>
      <c r="M298" s="34">
        <f>INDEX('BIO WAHYU'!B:H,MATCH(DATA!D298,'BIO WAHYU'!B:B,0),4)</f>
        <v>0</v>
      </c>
    </row>
    <row r="299" spans="1:13">
      <c r="A299" s="43" t="s">
        <v>1670</v>
      </c>
      <c r="B299" s="43" t="s">
        <v>146</v>
      </c>
      <c r="C299" s="43" t="s">
        <v>539</v>
      </c>
      <c r="D299" s="10">
        <v>211706</v>
      </c>
      <c r="E299" s="43" t="s">
        <v>15</v>
      </c>
      <c r="F299" s="8">
        <f>_xlfn.IFNA(INDEX('OSA | 3GB'!J:L,MATCH(DATA!D299,'OSA | 3GB'!J:J,0),2),0)</f>
        <v>6</v>
      </c>
      <c r="G299" s="8">
        <f>_xlfn.IFNA(INDEX('OSA | 3GB'!J:L,MATCH(DATA!D299,'OSA | 3GB'!J:J,0),3),0)</f>
        <v>300000</v>
      </c>
      <c r="H299" s="32">
        <f>_xlfn.IFNA(INDEX('OSA | 3GB'!A:C,MATCH(DATA!D299,'OSA | 3GB'!A:A,0),2),0)</f>
        <v>3</v>
      </c>
      <c r="I299" s="33">
        <f>_xlfn.IFNA(INDEX('OSA | 3GB'!A:C,MATCH(DATA!D299,'OSA | 3GB'!A:A,0),3),0)</f>
        <v>300000</v>
      </c>
      <c r="J299" s="33">
        <f>INDEX('BIO WAHYU'!B:G,MATCH(DATA!D299,'BIO WAHYU'!B:B,0),5)</f>
        <v>4</v>
      </c>
      <c r="K299" s="34">
        <f>INDEX('BIO WAHYU'!B:G,MATCH(DATA!D299,'BIO WAHYU'!B:B,0),6)</f>
        <v>0</v>
      </c>
      <c r="L299" s="35">
        <f>INDEX('BIO WAHYU'!B:H,MATCH(DATA!D299,'BIO WAHYU'!B:B,0),7)</f>
        <v>0</v>
      </c>
      <c r="M299" s="34">
        <f>INDEX('BIO WAHYU'!B:H,MATCH(DATA!D299,'BIO WAHYU'!B:B,0),4)</f>
        <v>0</v>
      </c>
    </row>
    <row r="300" spans="1:13">
      <c r="A300" s="43" t="s">
        <v>1</v>
      </c>
      <c r="B300" s="43" t="s">
        <v>4</v>
      </c>
      <c r="C300" s="43" t="s">
        <v>57</v>
      </c>
      <c r="D300" s="10">
        <v>480658</v>
      </c>
      <c r="E300" s="43" t="s">
        <v>10</v>
      </c>
      <c r="F300" s="8">
        <f>_xlfn.IFNA(INDEX('OSA | 3GB'!J:L,MATCH(DATA!D300,'OSA | 3GB'!J:J,0),2),0)</f>
        <v>3</v>
      </c>
      <c r="G300" s="8">
        <f>_xlfn.IFNA(INDEX('OSA | 3GB'!J:L,MATCH(DATA!D300,'OSA | 3GB'!J:J,0),3),0)</f>
        <v>800000</v>
      </c>
      <c r="H300" s="32">
        <f>_xlfn.IFNA(INDEX('OSA | 3GB'!A:C,MATCH(DATA!D300,'OSA | 3GB'!A:A,0),2),0)</f>
        <v>8</v>
      </c>
      <c r="I300" s="33">
        <f>_xlfn.IFNA(INDEX('OSA | 3GB'!A:C,MATCH(DATA!D300,'OSA | 3GB'!A:A,0),3),0)</f>
        <v>400000</v>
      </c>
      <c r="J300" s="33">
        <f>INDEX('BIO WAHYU'!B:G,MATCH(DATA!D300,'BIO WAHYU'!B:B,0),5)</f>
        <v>5</v>
      </c>
      <c r="K300" s="34">
        <f>INDEX('BIO WAHYU'!B:G,MATCH(DATA!D300,'BIO WAHYU'!B:B,0),6)</f>
        <v>4</v>
      </c>
      <c r="L300" s="35">
        <f>INDEX('BIO WAHYU'!B:H,MATCH(DATA!D300,'BIO WAHYU'!B:B,0),7)</f>
        <v>0</v>
      </c>
      <c r="M300" s="34">
        <f>INDEX('BIO WAHYU'!B:H,MATCH(DATA!D300,'BIO WAHYU'!B:B,0),4)</f>
        <v>0</v>
      </c>
    </row>
    <row r="301" spans="1:13">
      <c r="A301" s="43" t="s">
        <v>1670</v>
      </c>
      <c r="B301" s="43" t="s">
        <v>145</v>
      </c>
      <c r="C301" s="43" t="s">
        <v>1235</v>
      </c>
      <c r="D301" s="10">
        <v>13450</v>
      </c>
      <c r="E301" s="43" t="s">
        <v>10</v>
      </c>
      <c r="F301" s="8">
        <f>_xlfn.IFNA(INDEX('OSA | 3GB'!J:L,MATCH(DATA!D301,'OSA | 3GB'!J:J,0),2),0)</f>
        <v>5</v>
      </c>
      <c r="G301" s="8">
        <f>_xlfn.IFNA(INDEX('OSA | 3GB'!J:L,MATCH(DATA!D301,'OSA | 3GB'!J:J,0),3),0)</f>
        <v>0</v>
      </c>
      <c r="H301" s="32" t="str">
        <f>_xlfn.IFNA(INDEX('OSA | 3GB'!A:C,MATCH(DATA!D301,'OSA | 3GB'!A:A,0),2),0)</f>
        <v xml:space="preserve"> -   </v>
      </c>
      <c r="I301" s="33" t="str">
        <f>_xlfn.IFNA(INDEX('OSA | 3GB'!A:C,MATCH(DATA!D301,'OSA | 3GB'!A:A,0),3),0)</f>
        <v xml:space="preserve"> -   </v>
      </c>
      <c r="J301" s="33">
        <f>INDEX('BIO WAHYU'!B:G,MATCH(DATA!D301,'BIO WAHYU'!B:B,0),5)</f>
        <v>3</v>
      </c>
      <c r="K301" s="34">
        <f>INDEX('BIO WAHYU'!B:G,MATCH(DATA!D301,'BIO WAHYU'!B:B,0),6)</f>
        <v>0</v>
      </c>
      <c r="L301" s="35">
        <f>INDEX('BIO WAHYU'!B:H,MATCH(DATA!D301,'BIO WAHYU'!B:B,0),7)</f>
        <v>0</v>
      </c>
      <c r="M301" s="34">
        <f>INDEX('BIO WAHYU'!B:H,MATCH(DATA!D301,'BIO WAHYU'!B:B,0),4)</f>
        <v>0</v>
      </c>
    </row>
    <row r="302" spans="1:13">
      <c r="A302" s="43" t="s">
        <v>1670</v>
      </c>
      <c r="B302" s="43" t="s">
        <v>145</v>
      </c>
      <c r="C302" s="43" t="s">
        <v>1236</v>
      </c>
      <c r="D302" s="10">
        <v>126982</v>
      </c>
      <c r="E302" s="43" t="s">
        <v>15</v>
      </c>
      <c r="F302" s="8">
        <f>_xlfn.IFNA(INDEX('OSA | 3GB'!J:L,MATCH(DATA!D302,'OSA | 3GB'!J:J,0),2),0)</f>
        <v>3</v>
      </c>
      <c r="G302" s="8">
        <f>_xlfn.IFNA(INDEX('OSA | 3GB'!J:L,MATCH(DATA!D302,'OSA | 3GB'!J:J,0),3),0)</f>
        <v>200000</v>
      </c>
      <c r="H302" s="32" t="str">
        <f>_xlfn.IFNA(INDEX('OSA | 3GB'!A:C,MATCH(DATA!D302,'OSA | 3GB'!A:A,0),2),0)</f>
        <v xml:space="preserve"> -   </v>
      </c>
      <c r="I302" s="33">
        <f>_xlfn.IFNA(INDEX('OSA | 3GB'!A:C,MATCH(DATA!D302,'OSA | 3GB'!A:A,0),3),0)</f>
        <v>200000</v>
      </c>
      <c r="J302" s="33">
        <f>INDEX('BIO WAHYU'!B:G,MATCH(DATA!D302,'BIO WAHYU'!B:B,0),5)</f>
        <v>3</v>
      </c>
      <c r="K302" s="34">
        <f>INDEX('BIO WAHYU'!B:G,MATCH(DATA!D302,'BIO WAHYU'!B:B,0),6)</f>
        <v>0</v>
      </c>
      <c r="L302" s="35">
        <f>INDEX('BIO WAHYU'!B:H,MATCH(DATA!D302,'BIO WAHYU'!B:B,0),7)</f>
        <v>0</v>
      </c>
      <c r="M302" s="34">
        <f>INDEX('BIO WAHYU'!B:H,MATCH(DATA!D302,'BIO WAHYU'!B:B,0),4)</f>
        <v>0</v>
      </c>
    </row>
    <row r="303" spans="1:13">
      <c r="A303" s="43" t="s">
        <v>1</v>
      </c>
      <c r="B303" s="43" t="s">
        <v>5</v>
      </c>
      <c r="C303" s="43" t="s">
        <v>1079</v>
      </c>
      <c r="D303" s="10">
        <v>501860</v>
      </c>
      <c r="E303" s="43" t="s">
        <v>10</v>
      </c>
      <c r="F303" s="8">
        <f>_xlfn.IFNA(INDEX('OSA | 3GB'!J:L,MATCH(DATA!D303,'OSA | 3GB'!J:J,0),2),0)</f>
        <v>4</v>
      </c>
      <c r="G303" s="8">
        <f>_xlfn.IFNA(INDEX('OSA | 3GB'!J:L,MATCH(DATA!D303,'OSA | 3GB'!J:J,0),3),0)</f>
        <v>916000</v>
      </c>
      <c r="H303" s="32">
        <f>_xlfn.IFNA(INDEX('OSA | 3GB'!A:C,MATCH(DATA!D303,'OSA | 3GB'!A:A,0),2),0)</f>
        <v>4</v>
      </c>
      <c r="I303" s="33">
        <f>_xlfn.IFNA(INDEX('OSA | 3GB'!A:C,MATCH(DATA!D303,'OSA | 3GB'!A:A,0),3),0)</f>
        <v>500000</v>
      </c>
      <c r="J303" s="33">
        <f>INDEX('BIO WAHYU'!B:G,MATCH(DATA!D303,'BIO WAHYU'!B:B,0),5)</f>
        <v>2</v>
      </c>
      <c r="K303" s="34">
        <f>INDEX('BIO WAHYU'!B:G,MATCH(DATA!D303,'BIO WAHYU'!B:B,0),6)</f>
        <v>1</v>
      </c>
      <c r="L303" s="35">
        <f>INDEX('BIO WAHYU'!B:H,MATCH(DATA!D303,'BIO WAHYU'!B:B,0),7)</f>
        <v>0</v>
      </c>
      <c r="M303" s="34">
        <f>INDEX('BIO WAHYU'!B:H,MATCH(DATA!D303,'BIO WAHYU'!B:B,0),4)</f>
        <v>0</v>
      </c>
    </row>
    <row r="304" spans="1:13">
      <c r="A304" s="43" t="s">
        <v>1670</v>
      </c>
      <c r="B304" s="43">
        <v>2613051412</v>
      </c>
      <c r="C304" s="43" t="s">
        <v>549</v>
      </c>
      <c r="D304" s="10">
        <v>12319785</v>
      </c>
      <c r="E304" s="43" t="s">
        <v>10</v>
      </c>
      <c r="F304" s="8">
        <f>_xlfn.IFNA(INDEX('OSA | 3GB'!J:L,MATCH(DATA!D304,'OSA | 3GB'!J:J,0),2),0)</f>
        <v>3</v>
      </c>
      <c r="G304" s="8">
        <f>_xlfn.IFNA(INDEX('OSA | 3GB'!J:L,MATCH(DATA!D304,'OSA | 3GB'!J:J,0),3),0)</f>
        <v>0</v>
      </c>
      <c r="H304" s="32" t="str">
        <f>_xlfn.IFNA(INDEX('OSA | 3GB'!A:C,MATCH(DATA!D304,'OSA | 3GB'!A:A,0),2),0)</f>
        <v xml:space="preserve"> -   </v>
      </c>
      <c r="I304" s="33" t="str">
        <f>_xlfn.IFNA(INDEX('OSA | 3GB'!A:C,MATCH(DATA!D304,'OSA | 3GB'!A:A,0),3),0)</f>
        <v xml:space="preserve"> -   </v>
      </c>
      <c r="J304" s="33">
        <f>INDEX('BIO WAHYU'!B:G,MATCH(DATA!D304,'BIO WAHYU'!B:B,0),5)</f>
        <v>4</v>
      </c>
      <c r="K304" s="34">
        <f>INDEX('BIO WAHYU'!B:G,MATCH(DATA!D304,'BIO WAHYU'!B:B,0),6)</f>
        <v>7</v>
      </c>
      <c r="L304" s="35">
        <f>INDEX('BIO WAHYU'!B:H,MATCH(DATA!D304,'BIO WAHYU'!B:B,0),7)</f>
        <v>3</v>
      </c>
      <c r="M304" s="34">
        <f>INDEX('BIO WAHYU'!B:H,MATCH(DATA!D304,'BIO WAHYU'!B:B,0),4)</f>
        <v>0</v>
      </c>
    </row>
    <row r="305" spans="1:13">
      <c r="A305" s="43" t="s">
        <v>1675</v>
      </c>
      <c r="B305" s="43">
        <v>2613051451</v>
      </c>
      <c r="C305" s="43" t="s">
        <v>1237</v>
      </c>
      <c r="D305" s="10">
        <v>211709</v>
      </c>
      <c r="E305" s="43" t="s">
        <v>10</v>
      </c>
      <c r="F305" s="8">
        <f>_xlfn.IFNA(INDEX('OSA | 3GB'!J:L,MATCH(DATA!D305,'OSA | 3GB'!J:J,0),2),0)</f>
        <v>40</v>
      </c>
      <c r="G305" s="8">
        <f>_xlfn.IFNA(INDEX('OSA | 3GB'!J:L,MATCH(DATA!D305,'OSA | 3GB'!J:J,0),3),0)</f>
        <v>1280000</v>
      </c>
      <c r="H305" s="32" t="str">
        <f>_xlfn.IFNA(INDEX('OSA | 3GB'!A:C,MATCH(DATA!D305,'OSA | 3GB'!A:A,0),2),0)</f>
        <v xml:space="preserve"> -   </v>
      </c>
      <c r="I305" s="33">
        <f>_xlfn.IFNA(INDEX('OSA | 3GB'!A:C,MATCH(DATA!D305,'OSA | 3GB'!A:A,0),3),0)</f>
        <v>300000</v>
      </c>
      <c r="J305" s="33">
        <f>INDEX('BIO WAHYU'!B:G,MATCH(DATA!D305,'BIO WAHYU'!B:B,0),5)</f>
        <v>1</v>
      </c>
      <c r="K305" s="34">
        <f>INDEX('BIO WAHYU'!B:G,MATCH(DATA!D305,'BIO WAHYU'!B:B,0),6)</f>
        <v>2</v>
      </c>
      <c r="L305" s="35">
        <f>INDEX('BIO WAHYU'!B:H,MATCH(DATA!D305,'BIO WAHYU'!B:B,0),7)</f>
        <v>1</v>
      </c>
      <c r="M305" s="34">
        <f>INDEX('BIO WAHYU'!B:H,MATCH(DATA!D305,'BIO WAHYU'!B:B,0),4)</f>
        <v>0</v>
      </c>
    </row>
    <row r="306" spans="1:13">
      <c r="A306" s="43" t="s">
        <v>1670</v>
      </c>
      <c r="B306" s="43" t="s">
        <v>140</v>
      </c>
      <c r="C306" s="43" t="s">
        <v>1238</v>
      </c>
      <c r="D306" s="10">
        <v>12304067</v>
      </c>
      <c r="E306" s="43" t="s">
        <v>10</v>
      </c>
      <c r="F306" s="8">
        <f>_xlfn.IFNA(INDEX('OSA | 3GB'!J:L,MATCH(DATA!D306,'OSA | 3GB'!J:J,0),2),0)</f>
        <v>7</v>
      </c>
      <c r="G306" s="8">
        <f>_xlfn.IFNA(INDEX('OSA | 3GB'!J:L,MATCH(DATA!D306,'OSA | 3GB'!J:J,0),3),0)</f>
        <v>0</v>
      </c>
      <c r="H306" s="32" t="str">
        <f>_xlfn.IFNA(INDEX('OSA | 3GB'!A:C,MATCH(DATA!D306,'OSA | 3GB'!A:A,0),2),0)</f>
        <v xml:space="preserve"> -   </v>
      </c>
      <c r="I306" s="33">
        <f>_xlfn.IFNA(INDEX('OSA | 3GB'!A:C,MATCH(DATA!D306,'OSA | 3GB'!A:A,0),3),0)</f>
        <v>475000</v>
      </c>
      <c r="J306" s="33">
        <f>INDEX('BIO WAHYU'!B:G,MATCH(DATA!D306,'BIO WAHYU'!B:B,0),5)</f>
        <v>4</v>
      </c>
      <c r="K306" s="34">
        <f>INDEX('BIO WAHYU'!B:G,MATCH(DATA!D306,'BIO WAHYU'!B:B,0),6)</f>
        <v>3</v>
      </c>
      <c r="L306" s="35">
        <f>INDEX('BIO WAHYU'!B:H,MATCH(DATA!D306,'BIO WAHYU'!B:B,0),7)</f>
        <v>0</v>
      </c>
      <c r="M306" s="34">
        <f>INDEX('BIO WAHYU'!B:H,MATCH(DATA!D306,'BIO WAHYU'!B:B,0),4)</f>
        <v>0</v>
      </c>
    </row>
    <row r="307" spans="1:13">
      <c r="A307" s="43" t="s">
        <v>1671</v>
      </c>
      <c r="B307" s="43">
        <v>2613050885</v>
      </c>
      <c r="C307" s="43" t="s">
        <v>304</v>
      </c>
      <c r="D307" s="10">
        <v>529182</v>
      </c>
      <c r="E307" s="43" t="s">
        <v>15</v>
      </c>
      <c r="F307" s="8">
        <f>_xlfn.IFNA(INDEX('OSA | 3GB'!J:L,MATCH(DATA!D307,'OSA | 3GB'!J:J,0),2),0)</f>
        <v>0</v>
      </c>
      <c r="G307" s="8">
        <f>_xlfn.IFNA(INDEX('OSA | 3GB'!J:L,MATCH(DATA!D307,'OSA | 3GB'!J:J,0),3),0)</f>
        <v>0</v>
      </c>
      <c r="H307" s="32" t="str">
        <f>_xlfn.IFNA(INDEX('OSA | 3GB'!A:C,MATCH(DATA!D307,'OSA | 3GB'!A:A,0),2),0)</f>
        <v xml:space="preserve"> -   </v>
      </c>
      <c r="I307" s="33" t="str">
        <f>_xlfn.IFNA(INDEX('OSA | 3GB'!A:C,MATCH(DATA!D307,'OSA | 3GB'!A:A,0),3),0)</f>
        <v xml:space="preserve"> -   </v>
      </c>
      <c r="J307" s="33">
        <f>INDEX('BIO WAHYU'!B:G,MATCH(DATA!D307,'BIO WAHYU'!B:B,0),5)</f>
        <v>0</v>
      </c>
      <c r="K307" s="34">
        <f>INDEX('BIO WAHYU'!B:G,MATCH(DATA!D307,'BIO WAHYU'!B:B,0),6)</f>
        <v>0</v>
      </c>
      <c r="L307" s="35">
        <f>INDEX('BIO WAHYU'!B:H,MATCH(DATA!D307,'BIO WAHYU'!B:B,0),7)</f>
        <v>0</v>
      </c>
      <c r="M307" s="34">
        <f>INDEX('BIO WAHYU'!B:H,MATCH(DATA!D307,'BIO WAHYU'!B:B,0),4)</f>
        <v>0</v>
      </c>
    </row>
    <row r="308" spans="1:13">
      <c r="A308" s="43" t="s">
        <v>1674</v>
      </c>
      <c r="B308" s="43" t="s">
        <v>147</v>
      </c>
      <c r="C308" s="43" t="s">
        <v>622</v>
      </c>
      <c r="D308" s="10">
        <v>62397</v>
      </c>
      <c r="E308" s="43" t="s">
        <v>10</v>
      </c>
      <c r="F308" s="8">
        <f>_xlfn.IFNA(INDEX('OSA | 3GB'!J:L,MATCH(DATA!D308,'OSA | 3GB'!J:J,0),2),0)</f>
        <v>0</v>
      </c>
      <c r="G308" s="8">
        <f>_xlfn.IFNA(INDEX('OSA | 3GB'!J:L,MATCH(DATA!D308,'OSA | 3GB'!J:J,0),3),0)</f>
        <v>2800000</v>
      </c>
      <c r="H308" s="32" t="str">
        <f>_xlfn.IFNA(INDEX('OSA | 3GB'!A:C,MATCH(DATA!D308,'OSA | 3GB'!A:A,0),2),0)</f>
        <v xml:space="preserve"> -   </v>
      </c>
      <c r="I308" s="33">
        <f>_xlfn.IFNA(INDEX('OSA | 3GB'!A:C,MATCH(DATA!D308,'OSA | 3GB'!A:A,0),3),0)</f>
        <v>1700000</v>
      </c>
      <c r="J308" s="33">
        <f>INDEX('BIO WAHYU'!B:G,MATCH(DATA!D308,'BIO WAHYU'!B:B,0),5)</f>
        <v>2</v>
      </c>
      <c r="K308" s="34">
        <f>INDEX('BIO WAHYU'!B:G,MATCH(DATA!D308,'BIO WAHYU'!B:B,0),6)</f>
        <v>0</v>
      </c>
      <c r="L308" s="35">
        <f>INDEX('BIO WAHYU'!B:H,MATCH(DATA!D308,'BIO WAHYU'!B:B,0),7)</f>
        <v>0</v>
      </c>
      <c r="M308" s="34">
        <f>INDEX('BIO WAHYU'!B:H,MATCH(DATA!D308,'BIO WAHYU'!B:B,0),4)</f>
        <v>0</v>
      </c>
    </row>
    <row r="309" spans="1:13">
      <c r="A309" s="43" t="s">
        <v>1673</v>
      </c>
      <c r="B309" s="43" t="s">
        <v>158</v>
      </c>
      <c r="C309" s="43" t="s">
        <v>1239</v>
      </c>
      <c r="D309" s="10">
        <v>524038</v>
      </c>
      <c r="E309" s="43" t="s">
        <v>15</v>
      </c>
      <c r="F309" s="8">
        <f>_xlfn.IFNA(INDEX('OSA | 3GB'!J:L,MATCH(DATA!D309,'OSA | 3GB'!J:J,0),2),0)</f>
        <v>0</v>
      </c>
      <c r="G309" s="8">
        <f>_xlfn.IFNA(INDEX('OSA | 3GB'!J:L,MATCH(DATA!D309,'OSA | 3GB'!J:J,0),3),0)</f>
        <v>0</v>
      </c>
      <c r="H309" s="32" t="str">
        <f>_xlfn.IFNA(INDEX('OSA | 3GB'!A:C,MATCH(DATA!D309,'OSA | 3GB'!A:A,0),2),0)</f>
        <v xml:space="preserve"> -   </v>
      </c>
      <c r="I309" s="33" t="str">
        <f>_xlfn.IFNA(INDEX('OSA | 3GB'!A:C,MATCH(DATA!D309,'OSA | 3GB'!A:A,0),3),0)</f>
        <v xml:space="preserve"> -   </v>
      </c>
      <c r="J309" s="33">
        <f>INDEX('BIO WAHYU'!B:G,MATCH(DATA!D309,'BIO WAHYU'!B:B,0),5)</f>
        <v>0</v>
      </c>
      <c r="K309" s="34">
        <f>INDEX('BIO WAHYU'!B:G,MATCH(DATA!D309,'BIO WAHYU'!B:B,0),6)</f>
        <v>0</v>
      </c>
      <c r="L309" s="35">
        <f>INDEX('BIO WAHYU'!B:H,MATCH(DATA!D309,'BIO WAHYU'!B:B,0),7)</f>
        <v>0</v>
      </c>
      <c r="M309" s="34">
        <f>INDEX('BIO WAHYU'!B:H,MATCH(DATA!D309,'BIO WAHYU'!B:B,0),4)</f>
        <v>0</v>
      </c>
    </row>
    <row r="310" spans="1:13">
      <c r="A310" s="43" t="s">
        <v>1671</v>
      </c>
      <c r="B310" s="43">
        <v>2613050885</v>
      </c>
      <c r="C310" s="43" t="s">
        <v>283</v>
      </c>
      <c r="D310" s="10">
        <v>199165</v>
      </c>
      <c r="E310" s="43" t="s">
        <v>15</v>
      </c>
      <c r="F310" s="8">
        <f>_xlfn.IFNA(INDEX('OSA | 3GB'!J:L,MATCH(DATA!D310,'OSA | 3GB'!J:J,0),2),0)</f>
        <v>0</v>
      </c>
      <c r="G310" s="8">
        <f>_xlfn.IFNA(INDEX('OSA | 3GB'!J:L,MATCH(DATA!D310,'OSA | 3GB'!J:J,0),3),0)</f>
        <v>700000</v>
      </c>
      <c r="H310" s="32" t="str">
        <f>_xlfn.IFNA(INDEX('OSA | 3GB'!A:C,MATCH(DATA!D310,'OSA | 3GB'!A:A,0),2),0)</f>
        <v xml:space="preserve"> -   </v>
      </c>
      <c r="I310" s="33">
        <f>_xlfn.IFNA(INDEX('OSA | 3GB'!A:C,MATCH(DATA!D310,'OSA | 3GB'!A:A,0),3),0)</f>
        <v>400000</v>
      </c>
      <c r="J310" s="33">
        <f>INDEX('BIO WAHYU'!B:G,MATCH(DATA!D310,'BIO WAHYU'!B:B,0),5)</f>
        <v>2</v>
      </c>
      <c r="K310" s="34">
        <f>INDEX('BIO WAHYU'!B:G,MATCH(DATA!D310,'BIO WAHYU'!B:B,0),6)</f>
        <v>0</v>
      </c>
      <c r="L310" s="35">
        <f>INDEX('BIO WAHYU'!B:H,MATCH(DATA!D310,'BIO WAHYU'!B:B,0),7)</f>
        <v>0</v>
      </c>
      <c r="M310" s="34">
        <f>INDEX('BIO WAHYU'!B:H,MATCH(DATA!D310,'BIO WAHYU'!B:B,0),4)</f>
        <v>0</v>
      </c>
    </row>
    <row r="311" spans="1:13">
      <c r="A311" s="43" t="s">
        <v>1674</v>
      </c>
      <c r="B311" s="43" t="s">
        <v>147</v>
      </c>
      <c r="C311" s="43" t="s">
        <v>601</v>
      </c>
      <c r="D311" s="10">
        <v>234565</v>
      </c>
      <c r="E311" s="43" t="s">
        <v>10</v>
      </c>
      <c r="F311" s="8">
        <f>_xlfn.IFNA(INDEX('OSA | 3GB'!J:L,MATCH(DATA!D311,'OSA | 3GB'!J:J,0),2),0)</f>
        <v>0</v>
      </c>
      <c r="G311" s="8">
        <f>_xlfn.IFNA(INDEX('OSA | 3GB'!J:L,MATCH(DATA!D311,'OSA | 3GB'!J:J,0),3),0)</f>
        <v>50000</v>
      </c>
      <c r="H311" s="32" t="str">
        <f>_xlfn.IFNA(INDEX('OSA | 3GB'!A:C,MATCH(DATA!D311,'OSA | 3GB'!A:A,0),2),0)</f>
        <v xml:space="preserve"> -   </v>
      </c>
      <c r="I311" s="33" t="str">
        <f>_xlfn.IFNA(INDEX('OSA | 3GB'!A:C,MATCH(DATA!D311,'OSA | 3GB'!A:A,0),3),0)</f>
        <v xml:space="preserve"> -   </v>
      </c>
      <c r="J311" s="33">
        <f>INDEX('BIO WAHYU'!B:G,MATCH(DATA!D311,'BIO WAHYU'!B:B,0),5)</f>
        <v>1</v>
      </c>
      <c r="K311" s="34">
        <f>INDEX('BIO WAHYU'!B:G,MATCH(DATA!D311,'BIO WAHYU'!B:B,0),6)</f>
        <v>0</v>
      </c>
      <c r="L311" s="35">
        <f>INDEX('BIO WAHYU'!B:H,MATCH(DATA!D311,'BIO WAHYU'!B:B,0),7)</f>
        <v>0</v>
      </c>
      <c r="M311" s="34">
        <f>INDEX('BIO WAHYU'!B:H,MATCH(DATA!D311,'BIO WAHYU'!B:B,0),4)</f>
        <v>0</v>
      </c>
    </row>
    <row r="312" spans="1:13">
      <c r="A312" s="43" t="s">
        <v>1675</v>
      </c>
      <c r="B312" s="43" t="s">
        <v>137</v>
      </c>
      <c r="C312" s="43" t="s">
        <v>434</v>
      </c>
      <c r="D312" s="10">
        <v>12296312</v>
      </c>
      <c r="E312" s="43" t="s">
        <v>15</v>
      </c>
      <c r="F312" s="8">
        <f>_xlfn.IFNA(INDEX('OSA | 3GB'!J:L,MATCH(DATA!D312,'OSA | 3GB'!J:J,0),2),0)</f>
        <v>371</v>
      </c>
      <c r="G312" s="8">
        <f>_xlfn.IFNA(INDEX('OSA | 3GB'!J:L,MATCH(DATA!D312,'OSA | 3GB'!J:J,0),3),0)</f>
        <v>5299000</v>
      </c>
      <c r="H312" s="32">
        <f>_xlfn.IFNA(INDEX('OSA | 3GB'!A:C,MATCH(DATA!D312,'OSA | 3GB'!A:A,0),2),0)</f>
        <v>34</v>
      </c>
      <c r="I312" s="33" t="str">
        <f>_xlfn.IFNA(INDEX('OSA | 3GB'!A:C,MATCH(DATA!D312,'OSA | 3GB'!A:A,0),3),0)</f>
        <v xml:space="preserve"> -   </v>
      </c>
      <c r="J312" s="33">
        <f>INDEX('BIO WAHYU'!B:G,MATCH(DATA!D312,'BIO WAHYU'!B:B,0),5)</f>
        <v>4</v>
      </c>
      <c r="K312" s="34">
        <f>INDEX('BIO WAHYU'!B:G,MATCH(DATA!D312,'BIO WAHYU'!B:B,0),6)</f>
        <v>0</v>
      </c>
      <c r="L312" s="35">
        <f>INDEX('BIO WAHYU'!B:H,MATCH(DATA!D312,'BIO WAHYU'!B:B,0),7)</f>
        <v>0</v>
      </c>
      <c r="M312" s="34">
        <f>INDEX('BIO WAHYU'!B:H,MATCH(DATA!D312,'BIO WAHYU'!B:B,0),4)</f>
        <v>0</v>
      </c>
    </row>
    <row r="313" spans="1:13">
      <c r="A313" s="43" t="s">
        <v>1671</v>
      </c>
      <c r="B313" s="43">
        <v>2613050886</v>
      </c>
      <c r="C313" s="43" t="s">
        <v>336</v>
      </c>
      <c r="D313" s="10">
        <v>537570</v>
      </c>
      <c r="E313" s="43" t="s">
        <v>15</v>
      </c>
      <c r="F313" s="8">
        <f>_xlfn.IFNA(INDEX('OSA | 3GB'!J:L,MATCH(DATA!D313,'OSA | 3GB'!J:J,0),2),0)</f>
        <v>4</v>
      </c>
      <c r="G313" s="8">
        <f>_xlfn.IFNA(INDEX('OSA | 3GB'!J:L,MATCH(DATA!D313,'OSA | 3GB'!J:J,0),3),0)</f>
        <v>15000000</v>
      </c>
      <c r="H313" s="32" t="str">
        <f>_xlfn.IFNA(INDEX('OSA | 3GB'!A:C,MATCH(DATA!D313,'OSA | 3GB'!A:A,0),2),0)</f>
        <v xml:space="preserve"> -   </v>
      </c>
      <c r="I313" s="33">
        <f>_xlfn.IFNA(INDEX('OSA | 3GB'!A:C,MATCH(DATA!D313,'OSA | 3GB'!A:A,0),3),0)</f>
        <v>6000000</v>
      </c>
      <c r="J313" s="33">
        <f>INDEX('BIO WAHYU'!B:G,MATCH(DATA!D313,'BIO WAHYU'!B:B,0),5)</f>
        <v>13</v>
      </c>
      <c r="K313" s="34">
        <f>INDEX('BIO WAHYU'!B:G,MATCH(DATA!D313,'BIO WAHYU'!B:B,0),6)</f>
        <v>10</v>
      </c>
      <c r="L313" s="35">
        <f>INDEX('BIO WAHYU'!B:H,MATCH(DATA!D313,'BIO WAHYU'!B:B,0),7)</f>
        <v>0</v>
      </c>
      <c r="M313" s="34">
        <f>INDEX('BIO WAHYU'!B:H,MATCH(DATA!D313,'BIO WAHYU'!B:B,0),4)</f>
        <v>0</v>
      </c>
    </row>
    <row r="314" spans="1:13">
      <c r="A314" s="43" t="s">
        <v>1674</v>
      </c>
      <c r="B314" s="43" t="s">
        <v>154</v>
      </c>
      <c r="C314" s="43" t="s">
        <v>1240</v>
      </c>
      <c r="D314" s="10">
        <v>238637</v>
      </c>
      <c r="E314" s="43" t="s">
        <v>10</v>
      </c>
      <c r="F314" s="8">
        <f>_xlfn.IFNA(INDEX('OSA | 3GB'!J:L,MATCH(DATA!D314,'OSA | 3GB'!J:J,0),2),0)</f>
        <v>2</v>
      </c>
      <c r="G314" s="8">
        <f>_xlfn.IFNA(INDEX('OSA | 3GB'!J:L,MATCH(DATA!D314,'OSA | 3GB'!J:J,0),3),0)</f>
        <v>300000</v>
      </c>
      <c r="H314" s="32" t="str">
        <f>_xlfn.IFNA(INDEX('OSA | 3GB'!A:C,MATCH(DATA!D314,'OSA | 3GB'!A:A,0),2),0)</f>
        <v xml:space="preserve"> -   </v>
      </c>
      <c r="I314" s="33" t="str">
        <f>_xlfn.IFNA(INDEX('OSA | 3GB'!A:C,MATCH(DATA!D314,'OSA | 3GB'!A:A,0),3),0)</f>
        <v xml:space="preserve"> -   </v>
      </c>
      <c r="J314" s="33">
        <f>INDEX('BIO WAHYU'!B:G,MATCH(DATA!D314,'BIO WAHYU'!B:B,0),5)</f>
        <v>3</v>
      </c>
      <c r="K314" s="34">
        <f>INDEX('BIO WAHYU'!B:G,MATCH(DATA!D314,'BIO WAHYU'!B:B,0),6)</f>
        <v>0</v>
      </c>
      <c r="L314" s="35">
        <f>INDEX('BIO WAHYU'!B:H,MATCH(DATA!D314,'BIO WAHYU'!B:B,0),7)</f>
        <v>0</v>
      </c>
      <c r="M314" s="34">
        <f>INDEX('BIO WAHYU'!B:H,MATCH(DATA!D314,'BIO WAHYU'!B:B,0),4)</f>
        <v>0</v>
      </c>
    </row>
    <row r="315" spans="1:13">
      <c r="A315" s="43" t="s">
        <v>1672</v>
      </c>
      <c r="B315" s="43" t="s">
        <v>151</v>
      </c>
      <c r="C315" s="43" t="s">
        <v>880</v>
      </c>
      <c r="D315" s="10">
        <v>61600</v>
      </c>
      <c r="E315" s="43" t="s">
        <v>15</v>
      </c>
      <c r="F315" s="8">
        <f>_xlfn.IFNA(INDEX('OSA | 3GB'!J:L,MATCH(DATA!D315,'OSA | 3GB'!J:J,0),2),0)</f>
        <v>3</v>
      </c>
      <c r="G315" s="8">
        <f>_xlfn.IFNA(INDEX('OSA | 3GB'!J:L,MATCH(DATA!D315,'OSA | 3GB'!J:J,0),3),0)</f>
        <v>1000000</v>
      </c>
      <c r="H315" s="32" t="str">
        <f>_xlfn.IFNA(INDEX('OSA | 3GB'!A:C,MATCH(DATA!D315,'OSA | 3GB'!A:A,0),2),0)</f>
        <v xml:space="preserve"> -   </v>
      </c>
      <c r="I315" s="33">
        <f>_xlfn.IFNA(INDEX('OSA | 3GB'!A:C,MATCH(DATA!D315,'OSA | 3GB'!A:A,0),3),0)</f>
        <v>300000</v>
      </c>
      <c r="J315" s="33">
        <f>INDEX('BIO WAHYU'!B:G,MATCH(DATA!D315,'BIO WAHYU'!B:B,0),5)</f>
        <v>0</v>
      </c>
      <c r="K315" s="34">
        <f>INDEX('BIO WAHYU'!B:G,MATCH(DATA!D315,'BIO WAHYU'!B:B,0),6)</f>
        <v>0</v>
      </c>
      <c r="L315" s="35">
        <f>INDEX('BIO WAHYU'!B:H,MATCH(DATA!D315,'BIO WAHYU'!B:B,0),7)</f>
        <v>0</v>
      </c>
      <c r="M315" s="34">
        <f>INDEX('BIO WAHYU'!B:H,MATCH(DATA!D315,'BIO WAHYU'!B:B,0),4)</f>
        <v>0</v>
      </c>
    </row>
    <row r="316" spans="1:13">
      <c r="A316" s="43" t="s">
        <v>1672</v>
      </c>
      <c r="B316" s="43" t="s">
        <v>149</v>
      </c>
      <c r="C316" s="43" t="s">
        <v>781</v>
      </c>
      <c r="D316" s="10">
        <v>315088</v>
      </c>
      <c r="E316" s="43" t="s">
        <v>10</v>
      </c>
      <c r="F316" s="8">
        <f>_xlfn.IFNA(INDEX('OSA | 3GB'!J:L,MATCH(DATA!D316,'OSA | 3GB'!J:J,0),2),0)</f>
        <v>0</v>
      </c>
      <c r="G316" s="8">
        <f>_xlfn.IFNA(INDEX('OSA | 3GB'!J:L,MATCH(DATA!D316,'OSA | 3GB'!J:J,0),3),0)</f>
        <v>2258000</v>
      </c>
      <c r="H316" s="32" t="str">
        <f>_xlfn.IFNA(INDEX('OSA | 3GB'!A:C,MATCH(DATA!D316,'OSA | 3GB'!A:A,0),2),0)</f>
        <v xml:space="preserve"> -   </v>
      </c>
      <c r="I316" s="33">
        <f>_xlfn.IFNA(INDEX('OSA | 3GB'!A:C,MATCH(DATA!D316,'OSA | 3GB'!A:A,0),3),0)</f>
        <v>1000000</v>
      </c>
      <c r="J316" s="33">
        <f>INDEX('BIO WAHYU'!B:G,MATCH(DATA!D316,'BIO WAHYU'!B:B,0),5)</f>
        <v>0</v>
      </c>
      <c r="K316" s="34">
        <f>INDEX('BIO WAHYU'!B:G,MATCH(DATA!D316,'BIO WAHYU'!B:B,0),6)</f>
        <v>0</v>
      </c>
      <c r="L316" s="35">
        <f>INDEX('BIO WAHYU'!B:H,MATCH(DATA!D316,'BIO WAHYU'!B:B,0),7)</f>
        <v>0</v>
      </c>
      <c r="M316" s="34">
        <f>INDEX('BIO WAHYU'!B:H,MATCH(DATA!D316,'BIO WAHYU'!B:B,0),4)</f>
        <v>0</v>
      </c>
    </row>
    <row r="317" spans="1:13">
      <c r="A317" s="43" t="s">
        <v>1675</v>
      </c>
      <c r="B317" s="43" t="s">
        <v>137</v>
      </c>
      <c r="C317" s="43" t="s">
        <v>427</v>
      </c>
      <c r="D317" s="10">
        <v>12296068</v>
      </c>
      <c r="E317" s="43" t="s">
        <v>15</v>
      </c>
      <c r="F317" s="8">
        <f>_xlfn.IFNA(INDEX('OSA | 3GB'!J:L,MATCH(DATA!D317,'OSA | 3GB'!J:J,0),2),0)</f>
        <v>5</v>
      </c>
      <c r="G317" s="8">
        <f>_xlfn.IFNA(INDEX('OSA | 3GB'!J:L,MATCH(DATA!D317,'OSA | 3GB'!J:J,0),3),0)</f>
        <v>967000</v>
      </c>
      <c r="H317" s="32" t="str">
        <f>_xlfn.IFNA(INDEX('OSA | 3GB'!A:C,MATCH(DATA!D317,'OSA | 3GB'!A:A,0),2),0)</f>
        <v xml:space="preserve"> -   </v>
      </c>
      <c r="I317" s="33" t="str">
        <f>_xlfn.IFNA(INDEX('OSA | 3GB'!A:C,MATCH(DATA!D317,'OSA | 3GB'!A:A,0),3),0)</f>
        <v xml:space="preserve"> -   </v>
      </c>
      <c r="J317" s="33">
        <f>INDEX('BIO WAHYU'!B:G,MATCH(DATA!D317,'BIO WAHYU'!B:B,0),5)</f>
        <v>6</v>
      </c>
      <c r="K317" s="34">
        <f>INDEX('BIO WAHYU'!B:G,MATCH(DATA!D317,'BIO WAHYU'!B:B,0),6)</f>
        <v>1</v>
      </c>
      <c r="L317" s="35">
        <f>INDEX('BIO WAHYU'!B:H,MATCH(DATA!D317,'BIO WAHYU'!B:B,0),7)</f>
        <v>0</v>
      </c>
      <c r="M317" s="34">
        <f>INDEX('BIO WAHYU'!B:H,MATCH(DATA!D317,'BIO WAHYU'!B:B,0),4)</f>
        <v>0</v>
      </c>
    </row>
    <row r="318" spans="1:13">
      <c r="A318" s="43" t="s">
        <v>1</v>
      </c>
      <c r="B318" s="43" t="s">
        <v>5</v>
      </c>
      <c r="C318" s="43" t="s">
        <v>106</v>
      </c>
      <c r="D318" s="10">
        <v>543771</v>
      </c>
      <c r="E318" s="43" t="s">
        <v>10</v>
      </c>
      <c r="F318" s="8">
        <f>_xlfn.IFNA(INDEX('OSA | 3GB'!J:L,MATCH(DATA!D318,'OSA | 3GB'!J:J,0),2),0)</f>
        <v>0</v>
      </c>
      <c r="G318" s="8">
        <f>_xlfn.IFNA(INDEX('OSA | 3GB'!J:L,MATCH(DATA!D318,'OSA | 3GB'!J:J,0),3),0)</f>
        <v>0</v>
      </c>
      <c r="H318" s="32" t="str">
        <f>_xlfn.IFNA(INDEX('OSA | 3GB'!A:C,MATCH(DATA!D318,'OSA | 3GB'!A:A,0),2),0)</f>
        <v xml:space="preserve"> -   </v>
      </c>
      <c r="I318" s="33" t="str">
        <f>_xlfn.IFNA(INDEX('OSA | 3GB'!A:C,MATCH(DATA!D318,'OSA | 3GB'!A:A,0),3),0)</f>
        <v xml:space="preserve"> -   </v>
      </c>
      <c r="J318" s="33">
        <f>INDEX('BIO WAHYU'!B:G,MATCH(DATA!D318,'BIO WAHYU'!B:B,0),5)</f>
        <v>0</v>
      </c>
      <c r="K318" s="34">
        <f>INDEX('BIO WAHYU'!B:G,MATCH(DATA!D318,'BIO WAHYU'!B:B,0),6)</f>
        <v>0</v>
      </c>
      <c r="L318" s="35">
        <f>INDEX('BIO WAHYU'!B:H,MATCH(DATA!D318,'BIO WAHYU'!B:B,0),7)</f>
        <v>0</v>
      </c>
      <c r="M318" s="34">
        <f>INDEX('BIO WAHYU'!B:H,MATCH(DATA!D318,'BIO WAHYU'!B:B,0),4)</f>
        <v>0</v>
      </c>
    </row>
    <row r="319" spans="1:13">
      <c r="A319" s="43" t="s">
        <v>1672</v>
      </c>
      <c r="B319" s="43" t="s">
        <v>150</v>
      </c>
      <c r="C319" s="43" t="s">
        <v>831</v>
      </c>
      <c r="D319" s="10">
        <v>519379</v>
      </c>
      <c r="E319" s="43" t="s">
        <v>10</v>
      </c>
      <c r="F319" s="8">
        <f>_xlfn.IFNA(INDEX('OSA | 3GB'!J:L,MATCH(DATA!D319,'OSA | 3GB'!J:J,0),2),0)</f>
        <v>0</v>
      </c>
      <c r="G319" s="8">
        <f>_xlfn.IFNA(INDEX('OSA | 3GB'!J:L,MATCH(DATA!D319,'OSA | 3GB'!J:J,0),3),0)</f>
        <v>400000</v>
      </c>
      <c r="H319" s="32">
        <f>_xlfn.IFNA(INDEX('OSA | 3GB'!A:C,MATCH(DATA!D319,'OSA | 3GB'!A:A,0),2),0)</f>
        <v>2</v>
      </c>
      <c r="I319" s="33">
        <f>_xlfn.IFNA(INDEX('OSA | 3GB'!A:C,MATCH(DATA!D319,'OSA | 3GB'!A:A,0),3),0)</f>
        <v>229000</v>
      </c>
      <c r="J319" s="33">
        <f>INDEX('BIO WAHYU'!B:G,MATCH(DATA!D319,'BIO WAHYU'!B:B,0),5)</f>
        <v>0</v>
      </c>
      <c r="K319" s="34">
        <f>INDEX('BIO WAHYU'!B:G,MATCH(DATA!D319,'BIO WAHYU'!B:B,0),6)</f>
        <v>1</v>
      </c>
      <c r="L319" s="35">
        <f>INDEX('BIO WAHYU'!B:H,MATCH(DATA!D319,'BIO WAHYU'!B:B,0),7)</f>
        <v>1</v>
      </c>
      <c r="M319" s="34">
        <f>INDEX('BIO WAHYU'!B:H,MATCH(DATA!D319,'BIO WAHYU'!B:B,0),4)</f>
        <v>0</v>
      </c>
    </row>
    <row r="320" spans="1:13">
      <c r="A320" s="43" t="s">
        <v>1673</v>
      </c>
      <c r="B320" s="43" t="s">
        <v>158</v>
      </c>
      <c r="C320" s="43" t="s">
        <v>1241</v>
      </c>
      <c r="D320" s="10">
        <v>551512</v>
      </c>
      <c r="E320" s="43" t="s">
        <v>10</v>
      </c>
      <c r="F320" s="8">
        <f>_xlfn.IFNA(INDEX('OSA | 3GB'!J:L,MATCH(DATA!D320,'OSA | 3GB'!J:J,0),2),0)</f>
        <v>3</v>
      </c>
      <c r="G320" s="8">
        <f>_xlfn.IFNA(INDEX('OSA | 3GB'!J:L,MATCH(DATA!D320,'OSA | 3GB'!J:J,0),3),0)</f>
        <v>3700000</v>
      </c>
      <c r="H320" s="32" t="str">
        <f>_xlfn.IFNA(INDEX('OSA | 3GB'!A:C,MATCH(DATA!D320,'OSA | 3GB'!A:A,0),2),0)</f>
        <v xml:space="preserve"> -   </v>
      </c>
      <c r="I320" s="33">
        <f>_xlfn.IFNA(INDEX('OSA | 3GB'!A:C,MATCH(DATA!D320,'OSA | 3GB'!A:A,0),3),0)</f>
        <v>1900000</v>
      </c>
      <c r="J320" s="33">
        <f>INDEX('BIO WAHYU'!B:G,MATCH(DATA!D320,'BIO WAHYU'!B:B,0),5)</f>
        <v>3</v>
      </c>
      <c r="K320" s="34">
        <f>INDEX('BIO WAHYU'!B:G,MATCH(DATA!D320,'BIO WAHYU'!B:B,0),6)</f>
        <v>1</v>
      </c>
      <c r="L320" s="35">
        <f>INDEX('BIO WAHYU'!B:H,MATCH(DATA!D320,'BIO WAHYU'!B:B,0),7)</f>
        <v>0</v>
      </c>
      <c r="M320" s="34">
        <f>INDEX('BIO WAHYU'!B:H,MATCH(DATA!D320,'BIO WAHYU'!B:B,0),4)</f>
        <v>0</v>
      </c>
    </row>
    <row r="321" spans="1:13">
      <c r="A321" s="43" t="s">
        <v>1675</v>
      </c>
      <c r="B321" s="43">
        <v>2613051043</v>
      </c>
      <c r="C321" s="43" t="s">
        <v>452</v>
      </c>
      <c r="D321" s="10">
        <v>12326539</v>
      </c>
      <c r="E321" s="43" t="s">
        <v>10</v>
      </c>
      <c r="F321" s="8">
        <f>_xlfn.IFNA(INDEX('OSA | 3GB'!J:L,MATCH(DATA!D321,'OSA | 3GB'!J:J,0),2),0)</f>
        <v>0</v>
      </c>
      <c r="G321" s="8">
        <f>_xlfn.IFNA(INDEX('OSA | 3GB'!J:L,MATCH(DATA!D321,'OSA | 3GB'!J:J,0),3),0)</f>
        <v>0</v>
      </c>
      <c r="H321" s="32" t="str">
        <f>_xlfn.IFNA(INDEX('OSA | 3GB'!A:C,MATCH(DATA!D321,'OSA | 3GB'!A:A,0),2),0)</f>
        <v xml:space="preserve"> -   </v>
      </c>
      <c r="I321" s="33">
        <f>_xlfn.IFNA(INDEX('OSA | 3GB'!A:C,MATCH(DATA!D321,'OSA | 3GB'!A:A,0),3),0)</f>
        <v>200000</v>
      </c>
      <c r="J321" s="33">
        <f>INDEX('BIO WAHYU'!B:G,MATCH(DATA!D321,'BIO WAHYU'!B:B,0),5)</f>
        <v>0</v>
      </c>
      <c r="K321" s="34">
        <f>INDEX('BIO WAHYU'!B:G,MATCH(DATA!D321,'BIO WAHYU'!B:B,0),6)</f>
        <v>0</v>
      </c>
      <c r="L321" s="35">
        <f>INDEX('BIO WAHYU'!B:H,MATCH(DATA!D321,'BIO WAHYU'!B:B,0),7)</f>
        <v>0</v>
      </c>
      <c r="M321" s="34">
        <f>INDEX('BIO WAHYU'!B:H,MATCH(DATA!D321,'BIO WAHYU'!B:B,0),4)</f>
        <v>0</v>
      </c>
    </row>
    <row r="322" spans="1:13">
      <c r="A322" s="43" t="s">
        <v>1674</v>
      </c>
      <c r="B322" s="43" t="s">
        <v>147</v>
      </c>
      <c r="C322" s="43" t="s">
        <v>592</v>
      </c>
      <c r="D322" s="10">
        <v>12315185</v>
      </c>
      <c r="E322" s="43" t="s">
        <v>15</v>
      </c>
      <c r="F322" s="8">
        <f>_xlfn.IFNA(INDEX('OSA | 3GB'!J:L,MATCH(DATA!D322,'OSA | 3GB'!J:J,0),2),0)</f>
        <v>1</v>
      </c>
      <c r="G322" s="8">
        <f>_xlfn.IFNA(INDEX('OSA | 3GB'!J:L,MATCH(DATA!D322,'OSA | 3GB'!J:J,0),3),0)</f>
        <v>1300000</v>
      </c>
      <c r="H322" s="32" t="str">
        <f>_xlfn.IFNA(INDEX('OSA | 3GB'!A:C,MATCH(DATA!D322,'OSA | 3GB'!A:A,0),2),0)</f>
        <v xml:space="preserve"> -   </v>
      </c>
      <c r="I322" s="33">
        <f>_xlfn.IFNA(INDEX('OSA | 3GB'!A:C,MATCH(DATA!D322,'OSA | 3GB'!A:A,0),3),0)</f>
        <v>350000</v>
      </c>
      <c r="J322" s="33">
        <f>INDEX('BIO WAHYU'!B:G,MATCH(DATA!D322,'BIO WAHYU'!B:B,0),5)</f>
        <v>2</v>
      </c>
      <c r="K322" s="34">
        <f>INDEX('BIO WAHYU'!B:G,MATCH(DATA!D322,'BIO WAHYU'!B:B,0),6)</f>
        <v>2</v>
      </c>
      <c r="L322" s="35">
        <f>INDEX('BIO WAHYU'!B:H,MATCH(DATA!D322,'BIO WAHYU'!B:B,0),7)</f>
        <v>0</v>
      </c>
      <c r="M322" s="34">
        <f>INDEX('BIO WAHYU'!B:H,MATCH(DATA!D322,'BIO WAHYU'!B:B,0),4)</f>
        <v>0</v>
      </c>
    </row>
    <row r="323" spans="1:13">
      <c r="A323" s="43" t="s">
        <v>1672</v>
      </c>
      <c r="B323" s="43" t="s">
        <v>151</v>
      </c>
      <c r="C323" s="43" t="s">
        <v>848</v>
      </c>
      <c r="D323" s="10">
        <v>107296</v>
      </c>
      <c r="E323" s="43" t="s">
        <v>10</v>
      </c>
      <c r="F323" s="8">
        <f>_xlfn.IFNA(INDEX('OSA | 3GB'!J:L,MATCH(DATA!D323,'OSA | 3GB'!J:J,0),2),0)</f>
        <v>0</v>
      </c>
      <c r="G323" s="8">
        <f>_xlfn.IFNA(INDEX('OSA | 3GB'!J:L,MATCH(DATA!D323,'OSA | 3GB'!J:J,0),3),0)</f>
        <v>0</v>
      </c>
      <c r="H323" s="32">
        <f>_xlfn.IFNA(INDEX('OSA | 3GB'!A:C,MATCH(DATA!D323,'OSA | 3GB'!A:A,0),2),0)</f>
        <v>2</v>
      </c>
      <c r="I323" s="33">
        <f>_xlfn.IFNA(INDEX('OSA | 3GB'!A:C,MATCH(DATA!D323,'OSA | 3GB'!A:A,0),3),0)</f>
        <v>58000</v>
      </c>
      <c r="J323" s="33">
        <f>INDEX('BIO WAHYU'!B:G,MATCH(DATA!D323,'BIO WAHYU'!B:B,0),5)</f>
        <v>0</v>
      </c>
      <c r="K323" s="34">
        <f>INDEX('BIO WAHYU'!B:G,MATCH(DATA!D323,'BIO WAHYU'!B:B,0),6)</f>
        <v>1</v>
      </c>
      <c r="L323" s="35">
        <f>INDEX('BIO WAHYU'!B:H,MATCH(DATA!D323,'BIO WAHYU'!B:B,0),7)</f>
        <v>1</v>
      </c>
      <c r="M323" s="34">
        <f>INDEX('BIO WAHYU'!B:H,MATCH(DATA!D323,'BIO WAHYU'!B:B,0),4)</f>
        <v>0</v>
      </c>
    </row>
    <row r="324" spans="1:13">
      <c r="A324" s="43" t="s">
        <v>1672</v>
      </c>
      <c r="B324" s="43" t="s">
        <v>149</v>
      </c>
      <c r="C324" s="43" t="s">
        <v>1242</v>
      </c>
      <c r="D324" s="10">
        <v>61483</v>
      </c>
      <c r="E324" s="43" t="s">
        <v>10</v>
      </c>
      <c r="F324" s="8">
        <f>_xlfn.IFNA(INDEX('OSA | 3GB'!J:L,MATCH(DATA!D324,'OSA | 3GB'!J:J,0),2),0)</f>
        <v>5</v>
      </c>
      <c r="G324" s="8">
        <f>_xlfn.IFNA(INDEX('OSA | 3GB'!J:L,MATCH(DATA!D324,'OSA | 3GB'!J:J,0),3),0)</f>
        <v>3216000</v>
      </c>
      <c r="H324" s="32">
        <f>_xlfn.IFNA(INDEX('OSA | 3GB'!A:C,MATCH(DATA!D324,'OSA | 3GB'!A:A,0),2),0)</f>
        <v>6</v>
      </c>
      <c r="I324" s="33">
        <f>_xlfn.IFNA(INDEX('OSA | 3GB'!A:C,MATCH(DATA!D324,'OSA | 3GB'!A:A,0),3),0)</f>
        <v>1174000</v>
      </c>
      <c r="J324" s="33">
        <f>INDEX('BIO WAHYU'!B:G,MATCH(DATA!D324,'BIO WAHYU'!B:B,0),5)</f>
        <v>1</v>
      </c>
      <c r="K324" s="34">
        <f>INDEX('BIO WAHYU'!B:G,MATCH(DATA!D324,'BIO WAHYU'!B:B,0),6)</f>
        <v>0</v>
      </c>
      <c r="L324" s="35">
        <f>INDEX('BIO WAHYU'!B:H,MATCH(DATA!D324,'BIO WAHYU'!B:B,0),7)</f>
        <v>0</v>
      </c>
      <c r="M324" s="34">
        <f>INDEX('BIO WAHYU'!B:H,MATCH(DATA!D324,'BIO WAHYU'!B:B,0),4)</f>
        <v>0</v>
      </c>
    </row>
    <row r="325" spans="1:13">
      <c r="A325" s="43" t="s">
        <v>1674</v>
      </c>
      <c r="B325" s="43" t="s">
        <v>153</v>
      </c>
      <c r="C325" s="43" t="s">
        <v>1243</v>
      </c>
      <c r="D325" s="10">
        <v>521465</v>
      </c>
      <c r="E325" s="43" t="s">
        <v>10</v>
      </c>
      <c r="F325" s="8">
        <f>_xlfn.IFNA(INDEX('OSA | 3GB'!J:L,MATCH(DATA!D325,'OSA | 3GB'!J:J,0),2),0)</f>
        <v>0</v>
      </c>
      <c r="G325" s="8">
        <f>_xlfn.IFNA(INDEX('OSA | 3GB'!J:L,MATCH(DATA!D325,'OSA | 3GB'!J:J,0),3),0)</f>
        <v>3360000</v>
      </c>
      <c r="H325" s="32" t="str">
        <f>_xlfn.IFNA(INDEX('OSA | 3GB'!A:C,MATCH(DATA!D325,'OSA | 3GB'!A:A,0),2),0)</f>
        <v xml:space="preserve"> -   </v>
      </c>
      <c r="I325" s="33">
        <f>_xlfn.IFNA(INDEX('OSA | 3GB'!A:C,MATCH(DATA!D325,'OSA | 3GB'!A:A,0),3),0)</f>
        <v>1160000</v>
      </c>
      <c r="J325" s="33">
        <f>INDEX('BIO WAHYU'!B:G,MATCH(DATA!D325,'BIO WAHYU'!B:B,0),5)</f>
        <v>1</v>
      </c>
      <c r="K325" s="34">
        <f>INDEX('BIO WAHYU'!B:G,MATCH(DATA!D325,'BIO WAHYU'!B:B,0),6)</f>
        <v>0</v>
      </c>
      <c r="L325" s="35">
        <f>INDEX('BIO WAHYU'!B:H,MATCH(DATA!D325,'BIO WAHYU'!B:B,0),7)</f>
        <v>0</v>
      </c>
      <c r="M325" s="34">
        <f>INDEX('BIO WAHYU'!B:H,MATCH(DATA!D325,'BIO WAHYU'!B:B,0),4)</f>
        <v>0</v>
      </c>
    </row>
    <row r="326" spans="1:13">
      <c r="A326" s="43" t="s">
        <v>1675</v>
      </c>
      <c r="B326" s="43" t="s">
        <v>136</v>
      </c>
      <c r="C326" s="43" t="s">
        <v>1244</v>
      </c>
      <c r="D326" s="10">
        <v>369362</v>
      </c>
      <c r="E326" s="43" t="s">
        <v>10</v>
      </c>
      <c r="F326" s="8">
        <f>_xlfn.IFNA(INDEX('OSA | 3GB'!J:L,MATCH(DATA!D326,'OSA | 3GB'!J:J,0),2),0)</f>
        <v>2</v>
      </c>
      <c r="G326" s="8">
        <f>_xlfn.IFNA(INDEX('OSA | 3GB'!J:L,MATCH(DATA!D326,'OSA | 3GB'!J:J,0),3),0)</f>
        <v>254000</v>
      </c>
      <c r="H326" s="32">
        <f>_xlfn.IFNA(INDEX('OSA | 3GB'!A:C,MATCH(DATA!D326,'OSA | 3GB'!A:A,0),2),0)</f>
        <v>9</v>
      </c>
      <c r="I326" s="33" t="str">
        <f>_xlfn.IFNA(INDEX('OSA | 3GB'!A:C,MATCH(DATA!D326,'OSA | 3GB'!A:A,0),3),0)</f>
        <v xml:space="preserve"> -   </v>
      </c>
      <c r="J326" s="33">
        <f>INDEX('BIO WAHYU'!B:G,MATCH(DATA!D326,'BIO WAHYU'!B:B,0),5)</f>
        <v>5</v>
      </c>
      <c r="K326" s="34">
        <f>INDEX('BIO WAHYU'!B:G,MATCH(DATA!D326,'BIO WAHYU'!B:B,0),6)</f>
        <v>9</v>
      </c>
      <c r="L326" s="35">
        <f>INDEX('BIO WAHYU'!B:H,MATCH(DATA!D326,'BIO WAHYU'!B:B,0),7)</f>
        <v>4</v>
      </c>
      <c r="M326" s="34">
        <f>INDEX('BIO WAHYU'!B:H,MATCH(DATA!D326,'BIO WAHYU'!B:B,0),4)</f>
        <v>0</v>
      </c>
    </row>
    <row r="327" spans="1:13">
      <c r="A327" s="43" t="s">
        <v>1674</v>
      </c>
      <c r="B327" s="43" t="s">
        <v>154</v>
      </c>
      <c r="C327" s="43" t="s">
        <v>738</v>
      </c>
      <c r="D327" s="10">
        <v>2109</v>
      </c>
      <c r="E327" s="43" t="s">
        <v>10</v>
      </c>
      <c r="F327" s="8">
        <f>_xlfn.IFNA(INDEX('OSA | 3GB'!J:L,MATCH(DATA!D327,'OSA | 3GB'!J:J,0),2),0)</f>
        <v>3</v>
      </c>
      <c r="G327" s="8">
        <f>_xlfn.IFNA(INDEX('OSA | 3GB'!J:L,MATCH(DATA!D327,'OSA | 3GB'!J:J,0),3),0)</f>
        <v>1200000</v>
      </c>
      <c r="H327" s="32" t="str">
        <f>_xlfn.IFNA(INDEX('OSA | 3GB'!A:C,MATCH(DATA!D327,'OSA | 3GB'!A:A,0),2),0)</f>
        <v xml:space="preserve"> -   </v>
      </c>
      <c r="I327" s="33">
        <f>_xlfn.IFNA(INDEX('OSA | 3GB'!A:C,MATCH(DATA!D327,'OSA | 3GB'!A:A,0),3),0)</f>
        <v>700000</v>
      </c>
      <c r="J327" s="33">
        <f>INDEX('BIO WAHYU'!B:G,MATCH(DATA!D327,'BIO WAHYU'!B:B,0),5)</f>
        <v>2</v>
      </c>
      <c r="K327" s="34">
        <f>INDEX('BIO WAHYU'!B:G,MATCH(DATA!D327,'BIO WAHYU'!B:B,0),6)</f>
        <v>0</v>
      </c>
      <c r="L327" s="35">
        <f>INDEX('BIO WAHYU'!B:H,MATCH(DATA!D327,'BIO WAHYU'!B:B,0),7)</f>
        <v>0</v>
      </c>
      <c r="M327" s="34">
        <f>INDEX('BIO WAHYU'!B:H,MATCH(DATA!D327,'BIO WAHYU'!B:B,0),4)</f>
        <v>0</v>
      </c>
    </row>
    <row r="328" spans="1:13">
      <c r="A328" s="43" t="s">
        <v>1673</v>
      </c>
      <c r="B328" s="43" t="s">
        <v>141</v>
      </c>
      <c r="C328" s="43" t="s">
        <v>1245</v>
      </c>
      <c r="D328" s="10">
        <v>12296062</v>
      </c>
      <c r="E328" s="43" t="s">
        <v>10</v>
      </c>
      <c r="F328" s="8">
        <f>_xlfn.IFNA(INDEX('OSA | 3GB'!J:L,MATCH(DATA!D328,'OSA | 3GB'!J:J,0),2),0)</f>
        <v>3</v>
      </c>
      <c r="G328" s="8">
        <f>_xlfn.IFNA(INDEX('OSA | 3GB'!J:L,MATCH(DATA!D328,'OSA | 3GB'!J:J,0),3),0)</f>
        <v>1500000</v>
      </c>
      <c r="H328" s="32" t="str">
        <f>_xlfn.IFNA(INDEX('OSA | 3GB'!A:C,MATCH(DATA!D328,'OSA | 3GB'!A:A,0),2),0)</f>
        <v xml:space="preserve"> -   </v>
      </c>
      <c r="I328" s="33">
        <f>_xlfn.IFNA(INDEX('OSA | 3GB'!A:C,MATCH(DATA!D328,'OSA | 3GB'!A:A,0),3),0)</f>
        <v>1000000</v>
      </c>
      <c r="J328" s="33">
        <f>INDEX('BIO WAHYU'!B:G,MATCH(DATA!D328,'BIO WAHYU'!B:B,0),5)</f>
        <v>3</v>
      </c>
      <c r="K328" s="34">
        <f>INDEX('BIO WAHYU'!B:G,MATCH(DATA!D328,'BIO WAHYU'!B:B,0),6)</f>
        <v>0</v>
      </c>
      <c r="L328" s="35">
        <f>INDEX('BIO WAHYU'!B:H,MATCH(DATA!D328,'BIO WAHYU'!B:B,0),7)</f>
        <v>0</v>
      </c>
      <c r="M328" s="34">
        <f>INDEX('BIO WAHYU'!B:H,MATCH(DATA!D328,'BIO WAHYU'!B:B,0),4)</f>
        <v>0</v>
      </c>
    </row>
    <row r="329" spans="1:13">
      <c r="A329" s="43" t="s">
        <v>1671</v>
      </c>
      <c r="B329" s="43">
        <v>2613050886</v>
      </c>
      <c r="C329" s="43" t="s">
        <v>340</v>
      </c>
      <c r="D329" s="10">
        <v>571304</v>
      </c>
      <c r="E329" s="43" t="s">
        <v>15</v>
      </c>
      <c r="F329" s="8">
        <f>_xlfn.IFNA(INDEX('OSA | 3GB'!J:L,MATCH(DATA!D329,'OSA | 3GB'!J:J,0),2),0)</f>
        <v>4</v>
      </c>
      <c r="G329" s="8">
        <f>_xlfn.IFNA(INDEX('OSA | 3GB'!J:L,MATCH(DATA!D329,'OSA | 3GB'!J:J,0),3),0)</f>
        <v>400000</v>
      </c>
      <c r="H329" s="32" t="str">
        <f>_xlfn.IFNA(INDEX('OSA | 3GB'!A:C,MATCH(DATA!D329,'OSA | 3GB'!A:A,0),2),0)</f>
        <v xml:space="preserve"> -   </v>
      </c>
      <c r="I329" s="33">
        <f>_xlfn.IFNA(INDEX('OSA | 3GB'!A:C,MATCH(DATA!D329,'OSA | 3GB'!A:A,0),3),0)</f>
        <v>500000</v>
      </c>
      <c r="J329" s="33">
        <f>INDEX('BIO WAHYU'!B:G,MATCH(DATA!D329,'BIO WAHYU'!B:B,0),5)</f>
        <v>1</v>
      </c>
      <c r="K329" s="34">
        <f>INDEX('BIO WAHYU'!B:G,MATCH(DATA!D329,'BIO WAHYU'!B:B,0),6)</f>
        <v>0</v>
      </c>
      <c r="L329" s="35">
        <f>INDEX('BIO WAHYU'!B:H,MATCH(DATA!D329,'BIO WAHYU'!B:B,0),7)</f>
        <v>0</v>
      </c>
      <c r="M329" s="34">
        <f>INDEX('BIO WAHYU'!B:H,MATCH(DATA!D329,'BIO WAHYU'!B:B,0),4)</f>
        <v>0</v>
      </c>
    </row>
    <row r="330" spans="1:13">
      <c r="A330" s="43" t="s">
        <v>1673</v>
      </c>
      <c r="B330" s="43" t="s">
        <v>1136</v>
      </c>
      <c r="C330" s="43" t="s">
        <v>1246</v>
      </c>
      <c r="D330" s="10">
        <v>12312221</v>
      </c>
      <c r="E330" s="43" t="s">
        <v>10</v>
      </c>
      <c r="F330" s="8">
        <f>_xlfn.IFNA(INDEX('OSA | 3GB'!J:L,MATCH(DATA!D330,'OSA | 3GB'!J:J,0),2),0)</f>
        <v>0</v>
      </c>
      <c r="G330" s="8">
        <f>_xlfn.IFNA(INDEX('OSA | 3GB'!J:L,MATCH(DATA!D330,'OSA | 3GB'!J:J,0),3),0)</f>
        <v>0</v>
      </c>
      <c r="H330" s="32" t="str">
        <f>_xlfn.IFNA(INDEX('OSA | 3GB'!A:C,MATCH(DATA!D330,'OSA | 3GB'!A:A,0),2),0)</f>
        <v xml:space="preserve"> -   </v>
      </c>
      <c r="I330" s="33" t="str">
        <f>_xlfn.IFNA(INDEX('OSA | 3GB'!A:C,MATCH(DATA!D330,'OSA | 3GB'!A:A,0),3),0)</f>
        <v xml:space="preserve"> -   </v>
      </c>
      <c r="J330" s="33">
        <f>INDEX('BIO WAHYU'!B:G,MATCH(DATA!D330,'BIO WAHYU'!B:B,0),5)</f>
        <v>1</v>
      </c>
      <c r="K330" s="34">
        <f>INDEX('BIO WAHYU'!B:G,MATCH(DATA!D330,'BIO WAHYU'!B:B,0),6)</f>
        <v>0</v>
      </c>
      <c r="L330" s="35">
        <f>INDEX('BIO WAHYU'!B:H,MATCH(DATA!D330,'BIO WAHYU'!B:B,0),7)</f>
        <v>0</v>
      </c>
      <c r="M330" s="34">
        <f>INDEX('BIO WAHYU'!B:H,MATCH(DATA!D330,'BIO WAHYU'!B:B,0),4)</f>
        <v>0</v>
      </c>
    </row>
    <row r="331" spans="1:13">
      <c r="A331" s="43" t="s">
        <v>1</v>
      </c>
      <c r="B331" s="43" t="s">
        <v>4</v>
      </c>
      <c r="C331" s="43" t="s">
        <v>52</v>
      </c>
      <c r="D331" s="10">
        <v>222816</v>
      </c>
      <c r="E331" s="43" t="s">
        <v>10</v>
      </c>
      <c r="F331" s="8">
        <f>_xlfn.IFNA(INDEX('OSA | 3GB'!J:L,MATCH(DATA!D331,'OSA | 3GB'!J:J,0),2),0)</f>
        <v>4</v>
      </c>
      <c r="G331" s="8">
        <f>_xlfn.IFNA(INDEX('OSA | 3GB'!J:L,MATCH(DATA!D331,'OSA | 3GB'!J:J,0),3),0)</f>
        <v>10400000</v>
      </c>
      <c r="H331" s="32" t="str">
        <f>_xlfn.IFNA(INDEX('OSA | 3GB'!A:C,MATCH(DATA!D331,'OSA | 3GB'!A:A,0),2),0)</f>
        <v xml:space="preserve"> -   </v>
      </c>
      <c r="I331" s="33">
        <f>_xlfn.IFNA(INDEX('OSA | 3GB'!A:C,MATCH(DATA!D331,'OSA | 3GB'!A:A,0),3),0)</f>
        <v>4100000</v>
      </c>
      <c r="J331" s="33">
        <f>INDEX('BIO WAHYU'!B:G,MATCH(DATA!D331,'BIO WAHYU'!B:B,0),5)</f>
        <v>3</v>
      </c>
      <c r="K331" s="34">
        <f>INDEX('BIO WAHYU'!B:G,MATCH(DATA!D331,'BIO WAHYU'!B:B,0),6)</f>
        <v>1</v>
      </c>
      <c r="L331" s="35">
        <f>INDEX('BIO WAHYU'!B:H,MATCH(DATA!D331,'BIO WAHYU'!B:B,0),7)</f>
        <v>0</v>
      </c>
      <c r="M331" s="34">
        <f>INDEX('BIO WAHYU'!B:H,MATCH(DATA!D331,'BIO WAHYU'!B:B,0),4)</f>
        <v>0</v>
      </c>
    </row>
    <row r="332" spans="1:13">
      <c r="A332" s="43" t="s">
        <v>1673</v>
      </c>
      <c r="B332" s="43" t="s">
        <v>144</v>
      </c>
      <c r="C332" s="43" t="s">
        <v>233</v>
      </c>
      <c r="D332" s="10">
        <v>513639</v>
      </c>
      <c r="E332" s="43" t="s">
        <v>10</v>
      </c>
      <c r="F332" s="8">
        <f>_xlfn.IFNA(INDEX('OSA | 3GB'!J:L,MATCH(DATA!D332,'OSA | 3GB'!J:J,0),2),0)</f>
        <v>0</v>
      </c>
      <c r="G332" s="8">
        <f>_xlfn.IFNA(INDEX('OSA | 3GB'!J:L,MATCH(DATA!D332,'OSA | 3GB'!J:J,0),3),0)</f>
        <v>1400000</v>
      </c>
      <c r="H332" s="32" t="str">
        <f>_xlfn.IFNA(INDEX('OSA | 3GB'!A:C,MATCH(DATA!D332,'OSA | 3GB'!A:A,0),2),0)</f>
        <v xml:space="preserve"> -   </v>
      </c>
      <c r="I332" s="33">
        <f>_xlfn.IFNA(INDEX('OSA | 3GB'!A:C,MATCH(DATA!D332,'OSA | 3GB'!A:A,0),3),0)</f>
        <v>800000</v>
      </c>
      <c r="J332" s="33">
        <f>INDEX('BIO WAHYU'!B:G,MATCH(DATA!D332,'BIO WAHYU'!B:B,0),5)</f>
        <v>0</v>
      </c>
      <c r="K332" s="34">
        <f>INDEX('BIO WAHYU'!B:G,MATCH(DATA!D332,'BIO WAHYU'!B:B,0),6)</f>
        <v>0</v>
      </c>
      <c r="L332" s="35">
        <f>INDEX('BIO WAHYU'!B:H,MATCH(DATA!D332,'BIO WAHYU'!B:B,0),7)</f>
        <v>0</v>
      </c>
      <c r="M332" s="34">
        <f>INDEX('BIO WAHYU'!B:H,MATCH(DATA!D332,'BIO WAHYU'!B:B,0),4)</f>
        <v>0</v>
      </c>
    </row>
    <row r="333" spans="1:13">
      <c r="A333" s="43" t="s">
        <v>1675</v>
      </c>
      <c r="B333" s="43" t="s">
        <v>136</v>
      </c>
      <c r="C333" s="43" t="s">
        <v>410</v>
      </c>
      <c r="D333" s="10">
        <v>548043</v>
      </c>
      <c r="E333" s="43" t="s">
        <v>10</v>
      </c>
      <c r="F333" s="8">
        <f>_xlfn.IFNA(INDEX('OSA | 3GB'!J:L,MATCH(DATA!D333,'OSA | 3GB'!J:J,0),2),0)</f>
        <v>161</v>
      </c>
      <c r="G333" s="8">
        <f>_xlfn.IFNA(INDEX('OSA | 3GB'!J:L,MATCH(DATA!D333,'OSA | 3GB'!J:J,0),3),0)</f>
        <v>1376500</v>
      </c>
      <c r="H333" s="32" t="str">
        <f>_xlfn.IFNA(INDEX('OSA | 3GB'!A:C,MATCH(DATA!D333,'OSA | 3GB'!A:A,0),2),0)</f>
        <v xml:space="preserve"> -   </v>
      </c>
      <c r="I333" s="33">
        <f>_xlfn.IFNA(INDEX('OSA | 3GB'!A:C,MATCH(DATA!D333,'OSA | 3GB'!A:A,0),3),0)</f>
        <v>448000</v>
      </c>
      <c r="J333" s="33">
        <f>INDEX('BIO WAHYU'!B:G,MATCH(DATA!D333,'BIO WAHYU'!B:B,0),5)</f>
        <v>15</v>
      </c>
      <c r="K333" s="34">
        <f>INDEX('BIO WAHYU'!B:G,MATCH(DATA!D333,'BIO WAHYU'!B:B,0),6)</f>
        <v>2</v>
      </c>
      <c r="L333" s="35">
        <f>INDEX('BIO WAHYU'!B:H,MATCH(DATA!D333,'BIO WAHYU'!B:B,0),7)</f>
        <v>0</v>
      </c>
      <c r="M333" s="34">
        <f>INDEX('BIO WAHYU'!B:H,MATCH(DATA!D333,'BIO WAHYU'!B:B,0),4)</f>
        <v>0</v>
      </c>
    </row>
    <row r="334" spans="1:13">
      <c r="A334" s="43" t="s">
        <v>1673</v>
      </c>
      <c r="B334" s="43" t="s">
        <v>141</v>
      </c>
      <c r="C334" s="43" t="s">
        <v>207</v>
      </c>
      <c r="D334" s="10">
        <v>557984</v>
      </c>
      <c r="E334" s="43" t="s">
        <v>15</v>
      </c>
      <c r="F334" s="8">
        <f>_xlfn.IFNA(INDEX('OSA | 3GB'!J:L,MATCH(DATA!D334,'OSA | 3GB'!J:J,0),2),0)</f>
        <v>8</v>
      </c>
      <c r="G334" s="8">
        <f>_xlfn.IFNA(INDEX('OSA | 3GB'!J:L,MATCH(DATA!D334,'OSA | 3GB'!J:J,0),3),0)</f>
        <v>100000</v>
      </c>
      <c r="H334" s="32" t="str">
        <f>_xlfn.IFNA(INDEX('OSA | 3GB'!A:C,MATCH(DATA!D334,'OSA | 3GB'!A:A,0),2),0)</f>
        <v xml:space="preserve"> -   </v>
      </c>
      <c r="I334" s="33">
        <f>_xlfn.IFNA(INDEX('OSA | 3GB'!A:C,MATCH(DATA!D334,'OSA | 3GB'!A:A,0),3),0)</f>
        <v>50000</v>
      </c>
      <c r="J334" s="33">
        <f>INDEX('BIO WAHYU'!B:G,MATCH(DATA!D334,'BIO WAHYU'!B:B,0),5)</f>
        <v>1</v>
      </c>
      <c r="K334" s="34">
        <f>INDEX('BIO WAHYU'!B:G,MATCH(DATA!D334,'BIO WAHYU'!B:B,0),6)</f>
        <v>11</v>
      </c>
      <c r="L334" s="35">
        <f>INDEX('BIO WAHYU'!B:H,MATCH(DATA!D334,'BIO WAHYU'!B:B,0),7)</f>
        <v>10</v>
      </c>
      <c r="M334" s="34">
        <f>INDEX('BIO WAHYU'!B:H,MATCH(DATA!D334,'BIO WAHYU'!B:B,0),4)</f>
        <v>0</v>
      </c>
    </row>
    <row r="335" spans="1:13">
      <c r="A335" s="43" t="s">
        <v>1674</v>
      </c>
      <c r="B335" s="43" t="s">
        <v>148</v>
      </c>
      <c r="C335" s="43" t="s">
        <v>626</v>
      </c>
      <c r="D335" s="10">
        <v>12316130</v>
      </c>
      <c r="E335" s="43" t="s">
        <v>10</v>
      </c>
      <c r="F335" s="8">
        <f>_xlfn.IFNA(INDEX('OSA | 3GB'!J:L,MATCH(DATA!D335,'OSA | 3GB'!J:J,0),2),0)</f>
        <v>4</v>
      </c>
      <c r="G335" s="8">
        <f>_xlfn.IFNA(INDEX('OSA | 3GB'!J:L,MATCH(DATA!D335,'OSA | 3GB'!J:J,0),3),0)</f>
        <v>7105000</v>
      </c>
      <c r="H335" s="32" t="str">
        <f>_xlfn.IFNA(INDEX('OSA | 3GB'!A:C,MATCH(DATA!D335,'OSA | 3GB'!A:A,0),2),0)</f>
        <v xml:space="preserve"> -   </v>
      </c>
      <c r="I335" s="33">
        <f>_xlfn.IFNA(INDEX('OSA | 3GB'!A:C,MATCH(DATA!D335,'OSA | 3GB'!A:A,0),3),0)</f>
        <v>1470000</v>
      </c>
      <c r="J335" s="33">
        <f>INDEX('BIO WAHYU'!B:G,MATCH(DATA!D335,'BIO WAHYU'!B:B,0),5)</f>
        <v>9</v>
      </c>
      <c r="K335" s="34">
        <f>INDEX('BIO WAHYU'!B:G,MATCH(DATA!D335,'BIO WAHYU'!B:B,0),6)</f>
        <v>6</v>
      </c>
      <c r="L335" s="35">
        <f>INDEX('BIO WAHYU'!B:H,MATCH(DATA!D335,'BIO WAHYU'!B:B,0),7)</f>
        <v>0</v>
      </c>
      <c r="M335" s="34">
        <f>INDEX('BIO WAHYU'!B:H,MATCH(DATA!D335,'BIO WAHYU'!B:B,0),4)</f>
        <v>0</v>
      </c>
    </row>
    <row r="336" spans="1:13">
      <c r="A336" s="43" t="s">
        <v>1674</v>
      </c>
      <c r="B336" s="43" t="s">
        <v>152</v>
      </c>
      <c r="C336" s="43" t="s">
        <v>673</v>
      </c>
      <c r="D336" s="10">
        <v>439091</v>
      </c>
      <c r="E336" s="43" t="s">
        <v>10</v>
      </c>
      <c r="F336" s="8">
        <f>_xlfn.IFNA(INDEX('OSA | 3GB'!J:L,MATCH(DATA!D336,'OSA | 3GB'!J:J,0),2),0)</f>
        <v>4</v>
      </c>
      <c r="G336" s="8">
        <f>_xlfn.IFNA(INDEX('OSA | 3GB'!J:L,MATCH(DATA!D336,'OSA | 3GB'!J:J,0),3),0)</f>
        <v>308000</v>
      </c>
      <c r="H336" s="32" t="str">
        <f>_xlfn.IFNA(INDEX('OSA | 3GB'!A:C,MATCH(DATA!D336,'OSA | 3GB'!A:A,0),2),0)</f>
        <v xml:space="preserve"> -   </v>
      </c>
      <c r="I336" s="33">
        <f>_xlfn.IFNA(INDEX('OSA | 3GB'!A:C,MATCH(DATA!D336,'OSA | 3GB'!A:A,0),3),0)</f>
        <v>200000</v>
      </c>
      <c r="J336" s="33">
        <f>INDEX('BIO WAHYU'!B:G,MATCH(DATA!D336,'BIO WAHYU'!B:B,0),5)</f>
        <v>1</v>
      </c>
      <c r="K336" s="34">
        <f>INDEX('BIO WAHYU'!B:G,MATCH(DATA!D336,'BIO WAHYU'!B:B,0),6)</f>
        <v>0</v>
      </c>
      <c r="L336" s="35">
        <f>INDEX('BIO WAHYU'!B:H,MATCH(DATA!D336,'BIO WAHYU'!B:B,0),7)</f>
        <v>0</v>
      </c>
      <c r="M336" s="34">
        <f>INDEX('BIO WAHYU'!B:H,MATCH(DATA!D336,'BIO WAHYU'!B:B,0),4)</f>
        <v>0</v>
      </c>
    </row>
    <row r="337" spans="1:13">
      <c r="A337" s="43" t="s">
        <v>1672</v>
      </c>
      <c r="B337" s="43" t="s">
        <v>149</v>
      </c>
      <c r="C337" s="43" t="s">
        <v>767</v>
      </c>
      <c r="D337" s="10">
        <v>12302519</v>
      </c>
      <c r="E337" s="43" t="s">
        <v>10</v>
      </c>
      <c r="F337" s="8">
        <f>_xlfn.IFNA(INDEX('OSA | 3GB'!J:L,MATCH(DATA!D337,'OSA | 3GB'!J:J,0),2),0)</f>
        <v>6</v>
      </c>
      <c r="G337" s="8">
        <f>_xlfn.IFNA(INDEX('OSA | 3GB'!J:L,MATCH(DATA!D337,'OSA | 3GB'!J:J,0),3),0)</f>
        <v>858000</v>
      </c>
      <c r="H337" s="32">
        <f>_xlfn.IFNA(INDEX('OSA | 3GB'!A:C,MATCH(DATA!D337,'OSA | 3GB'!A:A,0),2),0)</f>
        <v>6</v>
      </c>
      <c r="I337" s="33">
        <f>_xlfn.IFNA(INDEX('OSA | 3GB'!A:C,MATCH(DATA!D337,'OSA | 3GB'!A:A,0),3),0)</f>
        <v>489000</v>
      </c>
      <c r="J337" s="33">
        <f>INDEX('BIO WAHYU'!B:G,MATCH(DATA!D337,'BIO WAHYU'!B:B,0),5)</f>
        <v>1</v>
      </c>
      <c r="K337" s="34">
        <f>INDEX('BIO WAHYU'!B:G,MATCH(DATA!D337,'BIO WAHYU'!B:B,0),6)</f>
        <v>0</v>
      </c>
      <c r="L337" s="35">
        <f>INDEX('BIO WAHYU'!B:H,MATCH(DATA!D337,'BIO WAHYU'!B:B,0),7)</f>
        <v>0</v>
      </c>
      <c r="M337" s="34">
        <f>INDEX('BIO WAHYU'!B:H,MATCH(DATA!D337,'BIO WAHYU'!B:B,0),4)</f>
        <v>0</v>
      </c>
    </row>
    <row r="338" spans="1:13">
      <c r="A338" s="43" t="s">
        <v>1672</v>
      </c>
      <c r="B338" s="43" t="s">
        <v>151</v>
      </c>
      <c r="C338" s="43" t="s">
        <v>870</v>
      </c>
      <c r="D338" s="10">
        <v>369875</v>
      </c>
      <c r="E338" s="43" t="s">
        <v>10</v>
      </c>
      <c r="F338" s="8">
        <f>_xlfn.IFNA(INDEX('OSA | 3GB'!J:L,MATCH(DATA!D338,'OSA | 3GB'!J:J,0),2),0)</f>
        <v>5</v>
      </c>
      <c r="G338" s="8">
        <f>_xlfn.IFNA(INDEX('OSA | 3GB'!J:L,MATCH(DATA!D338,'OSA | 3GB'!J:J,0),3),0)</f>
        <v>1400000</v>
      </c>
      <c r="H338" s="32" t="str">
        <f>_xlfn.IFNA(INDEX('OSA | 3GB'!A:C,MATCH(DATA!D338,'OSA | 3GB'!A:A,0),2),0)</f>
        <v xml:space="preserve"> -   </v>
      </c>
      <c r="I338" s="33">
        <f>_xlfn.IFNA(INDEX('OSA | 3GB'!A:C,MATCH(DATA!D338,'OSA | 3GB'!A:A,0),3),0)</f>
        <v>500000</v>
      </c>
      <c r="J338" s="33">
        <f>INDEX('BIO WAHYU'!B:G,MATCH(DATA!D338,'BIO WAHYU'!B:B,0),5)</f>
        <v>2</v>
      </c>
      <c r="K338" s="34">
        <f>INDEX('BIO WAHYU'!B:G,MATCH(DATA!D338,'BIO WAHYU'!B:B,0),6)</f>
        <v>0</v>
      </c>
      <c r="L338" s="35">
        <f>INDEX('BIO WAHYU'!B:H,MATCH(DATA!D338,'BIO WAHYU'!B:B,0),7)</f>
        <v>0</v>
      </c>
      <c r="M338" s="34">
        <f>INDEX('BIO WAHYU'!B:H,MATCH(DATA!D338,'BIO WAHYU'!B:B,0),4)</f>
        <v>0</v>
      </c>
    </row>
    <row r="339" spans="1:13">
      <c r="A339" s="43" t="s">
        <v>1670</v>
      </c>
      <c r="B339" s="43" t="s">
        <v>145</v>
      </c>
      <c r="C339" s="43" t="s">
        <v>495</v>
      </c>
      <c r="D339" s="10">
        <v>199245</v>
      </c>
      <c r="E339" s="43" t="s">
        <v>10</v>
      </c>
      <c r="F339" s="8">
        <f>_xlfn.IFNA(INDEX('OSA | 3GB'!J:L,MATCH(DATA!D339,'OSA | 3GB'!J:J,0),2),0)</f>
        <v>5</v>
      </c>
      <c r="G339" s="8">
        <f>_xlfn.IFNA(INDEX('OSA | 3GB'!J:L,MATCH(DATA!D339,'OSA | 3GB'!J:J,0),3),0)</f>
        <v>2030000</v>
      </c>
      <c r="H339" s="32">
        <f>_xlfn.IFNA(INDEX('OSA | 3GB'!A:C,MATCH(DATA!D339,'OSA | 3GB'!A:A,0),2),0)</f>
        <v>3</v>
      </c>
      <c r="I339" s="33">
        <f>_xlfn.IFNA(INDEX('OSA | 3GB'!A:C,MATCH(DATA!D339,'OSA | 3GB'!A:A,0),3),0)</f>
        <v>400000</v>
      </c>
      <c r="J339" s="33">
        <f>INDEX('BIO WAHYU'!B:G,MATCH(DATA!D339,'BIO WAHYU'!B:B,0),5)</f>
        <v>4</v>
      </c>
      <c r="K339" s="34">
        <f>INDEX('BIO WAHYU'!B:G,MATCH(DATA!D339,'BIO WAHYU'!B:B,0),6)</f>
        <v>0</v>
      </c>
      <c r="L339" s="35">
        <f>INDEX('BIO WAHYU'!B:H,MATCH(DATA!D339,'BIO WAHYU'!B:B,0),7)</f>
        <v>0</v>
      </c>
      <c r="M339" s="34">
        <f>INDEX('BIO WAHYU'!B:H,MATCH(DATA!D339,'BIO WAHYU'!B:B,0),4)</f>
        <v>1</v>
      </c>
    </row>
    <row r="340" spans="1:13">
      <c r="A340" s="43" t="s">
        <v>1672</v>
      </c>
      <c r="B340" s="43" t="s">
        <v>149</v>
      </c>
      <c r="C340" s="43" t="s">
        <v>787</v>
      </c>
      <c r="D340" s="10">
        <v>390838</v>
      </c>
      <c r="E340" s="43" t="s">
        <v>10</v>
      </c>
      <c r="F340" s="8">
        <f>_xlfn.IFNA(INDEX('OSA | 3GB'!J:L,MATCH(DATA!D340,'OSA | 3GB'!J:J,0),2),0)</f>
        <v>6</v>
      </c>
      <c r="G340" s="8">
        <f>_xlfn.IFNA(INDEX('OSA | 3GB'!J:L,MATCH(DATA!D340,'OSA | 3GB'!J:J,0),3),0)</f>
        <v>3029000</v>
      </c>
      <c r="H340" s="32">
        <f>_xlfn.IFNA(INDEX('OSA | 3GB'!A:C,MATCH(DATA!D340,'OSA | 3GB'!A:A,0),2),0)</f>
        <v>1</v>
      </c>
      <c r="I340" s="33">
        <f>_xlfn.IFNA(INDEX('OSA | 3GB'!A:C,MATCH(DATA!D340,'OSA | 3GB'!A:A,0),3),0)</f>
        <v>2029000</v>
      </c>
      <c r="J340" s="33">
        <f>INDEX('BIO WAHYU'!B:G,MATCH(DATA!D340,'BIO WAHYU'!B:B,0),5)</f>
        <v>4</v>
      </c>
      <c r="K340" s="34">
        <f>INDEX('BIO WAHYU'!B:G,MATCH(DATA!D340,'BIO WAHYU'!B:B,0),6)</f>
        <v>1</v>
      </c>
      <c r="L340" s="35">
        <f>INDEX('BIO WAHYU'!B:H,MATCH(DATA!D340,'BIO WAHYU'!B:B,0),7)</f>
        <v>0</v>
      </c>
      <c r="M340" s="34">
        <f>INDEX('BIO WAHYU'!B:H,MATCH(DATA!D340,'BIO WAHYU'!B:B,0),4)</f>
        <v>0</v>
      </c>
    </row>
    <row r="341" spans="1:13">
      <c r="A341" s="43" t="s">
        <v>1</v>
      </c>
      <c r="B341" s="43" t="s">
        <v>3</v>
      </c>
      <c r="C341" s="43" t="s">
        <v>1080</v>
      </c>
      <c r="D341" s="10">
        <v>522623</v>
      </c>
      <c r="E341" s="43" t="s">
        <v>10</v>
      </c>
      <c r="F341" s="8">
        <f>_xlfn.IFNA(INDEX('OSA | 3GB'!J:L,MATCH(DATA!D341,'OSA | 3GB'!J:J,0),2),0)</f>
        <v>17</v>
      </c>
      <c r="G341" s="8">
        <f>_xlfn.IFNA(INDEX('OSA | 3GB'!J:L,MATCH(DATA!D341,'OSA | 3GB'!J:J,0),3),0)</f>
        <v>3832500</v>
      </c>
      <c r="H341" s="32">
        <f>_xlfn.IFNA(INDEX('OSA | 3GB'!A:C,MATCH(DATA!D341,'OSA | 3GB'!A:A,0),2),0)</f>
        <v>3</v>
      </c>
      <c r="I341" s="33">
        <f>_xlfn.IFNA(INDEX('OSA | 3GB'!A:C,MATCH(DATA!D341,'OSA | 3GB'!A:A,0),3),0)</f>
        <v>2325000</v>
      </c>
      <c r="J341" s="33">
        <f>INDEX('BIO WAHYU'!B:G,MATCH(DATA!D341,'BIO WAHYU'!B:B,0),5)</f>
        <v>21</v>
      </c>
      <c r="K341" s="34">
        <f>INDEX('BIO WAHYU'!B:G,MATCH(DATA!D341,'BIO WAHYU'!B:B,0),6)</f>
        <v>4</v>
      </c>
      <c r="L341" s="35">
        <f>INDEX('BIO WAHYU'!B:H,MATCH(DATA!D341,'BIO WAHYU'!B:B,0),7)</f>
        <v>0</v>
      </c>
      <c r="M341" s="34">
        <f>INDEX('BIO WAHYU'!B:H,MATCH(DATA!D341,'BIO WAHYU'!B:B,0),4)</f>
        <v>0</v>
      </c>
    </row>
    <row r="342" spans="1:13">
      <c r="A342" s="43" t="s">
        <v>1</v>
      </c>
      <c r="B342" s="43" t="s">
        <v>3</v>
      </c>
      <c r="C342" s="43" t="s">
        <v>1081</v>
      </c>
      <c r="D342" s="10">
        <v>12301356</v>
      </c>
      <c r="E342" s="43" t="s">
        <v>15</v>
      </c>
      <c r="F342" s="8">
        <f>_xlfn.IFNA(INDEX('OSA | 3GB'!J:L,MATCH(DATA!D342,'OSA | 3GB'!J:J,0),2),0)</f>
        <v>10</v>
      </c>
      <c r="G342" s="8">
        <f>_xlfn.IFNA(INDEX('OSA | 3GB'!J:L,MATCH(DATA!D342,'OSA | 3GB'!J:J,0),3),0)</f>
        <v>2113700</v>
      </c>
      <c r="H342" s="32" t="str">
        <f>_xlfn.IFNA(INDEX('OSA | 3GB'!A:C,MATCH(DATA!D342,'OSA | 3GB'!A:A,0),2),0)</f>
        <v xml:space="preserve"> -   </v>
      </c>
      <c r="I342" s="33" t="str">
        <f>_xlfn.IFNA(INDEX('OSA | 3GB'!A:C,MATCH(DATA!D342,'OSA | 3GB'!A:A,0),3),0)</f>
        <v xml:space="preserve"> -   </v>
      </c>
      <c r="J342" s="33">
        <f>INDEX('BIO WAHYU'!B:G,MATCH(DATA!D342,'BIO WAHYU'!B:B,0),5)</f>
        <v>6</v>
      </c>
      <c r="K342" s="34">
        <f>INDEX('BIO WAHYU'!B:G,MATCH(DATA!D342,'BIO WAHYU'!B:B,0),6)</f>
        <v>1</v>
      </c>
      <c r="L342" s="35">
        <f>INDEX('BIO WAHYU'!B:H,MATCH(DATA!D342,'BIO WAHYU'!B:B,0),7)</f>
        <v>0</v>
      </c>
      <c r="M342" s="34">
        <f>INDEX('BIO WAHYU'!B:H,MATCH(DATA!D342,'BIO WAHYU'!B:B,0),4)</f>
        <v>0</v>
      </c>
    </row>
    <row r="343" spans="1:13">
      <c r="A343" s="43" t="s">
        <v>1674</v>
      </c>
      <c r="B343" s="43" t="s">
        <v>148</v>
      </c>
      <c r="C343" s="43" t="s">
        <v>1247</v>
      </c>
      <c r="D343" s="10">
        <v>541874</v>
      </c>
      <c r="E343" s="43" t="s">
        <v>10</v>
      </c>
      <c r="F343" s="8">
        <f>_xlfn.IFNA(INDEX('OSA | 3GB'!J:L,MATCH(DATA!D343,'OSA | 3GB'!J:J,0),2),0)</f>
        <v>3</v>
      </c>
      <c r="G343" s="8">
        <f>_xlfn.IFNA(INDEX('OSA | 3GB'!J:L,MATCH(DATA!D343,'OSA | 3GB'!J:J,0),3),0)</f>
        <v>10000000</v>
      </c>
      <c r="H343" s="32" t="str">
        <f>_xlfn.IFNA(INDEX('OSA | 3GB'!A:C,MATCH(DATA!D343,'OSA | 3GB'!A:A,0),2),0)</f>
        <v xml:space="preserve"> -   </v>
      </c>
      <c r="I343" s="33">
        <f>_xlfn.IFNA(INDEX('OSA | 3GB'!A:C,MATCH(DATA!D343,'OSA | 3GB'!A:A,0),3),0)</f>
        <v>3000000</v>
      </c>
      <c r="J343" s="33">
        <f>INDEX('BIO WAHYU'!B:G,MATCH(DATA!D343,'BIO WAHYU'!B:B,0),5)</f>
        <v>3</v>
      </c>
      <c r="K343" s="34">
        <f>INDEX('BIO WAHYU'!B:G,MATCH(DATA!D343,'BIO WAHYU'!B:B,0),6)</f>
        <v>0</v>
      </c>
      <c r="L343" s="35">
        <f>INDEX('BIO WAHYU'!B:H,MATCH(DATA!D343,'BIO WAHYU'!B:B,0),7)</f>
        <v>0</v>
      </c>
      <c r="M343" s="34">
        <f>INDEX('BIO WAHYU'!B:H,MATCH(DATA!D343,'BIO WAHYU'!B:B,0),4)</f>
        <v>0</v>
      </c>
    </row>
    <row r="344" spans="1:13">
      <c r="A344" s="43" t="s">
        <v>1673</v>
      </c>
      <c r="B344" s="43" t="s">
        <v>141</v>
      </c>
      <c r="C344" s="43" t="s">
        <v>200</v>
      </c>
      <c r="D344" s="10">
        <v>440819</v>
      </c>
      <c r="E344" s="43" t="s">
        <v>10</v>
      </c>
      <c r="F344" s="8">
        <f>_xlfn.IFNA(INDEX('OSA | 3GB'!J:L,MATCH(DATA!D344,'OSA | 3GB'!J:J,0),2),0)</f>
        <v>6</v>
      </c>
      <c r="G344" s="8">
        <f>_xlfn.IFNA(INDEX('OSA | 3GB'!J:L,MATCH(DATA!D344,'OSA | 3GB'!J:J,0),3),0)</f>
        <v>2500000</v>
      </c>
      <c r="H344" s="32" t="str">
        <f>_xlfn.IFNA(INDEX('OSA | 3GB'!A:C,MATCH(DATA!D344,'OSA | 3GB'!A:A,0),2),0)</f>
        <v xml:space="preserve"> -   </v>
      </c>
      <c r="I344" s="33">
        <f>_xlfn.IFNA(INDEX('OSA | 3GB'!A:C,MATCH(DATA!D344,'OSA | 3GB'!A:A,0),3),0)</f>
        <v>500000</v>
      </c>
      <c r="J344" s="33">
        <f>INDEX('BIO WAHYU'!B:G,MATCH(DATA!D344,'BIO WAHYU'!B:B,0),5)</f>
        <v>3</v>
      </c>
      <c r="K344" s="34">
        <f>INDEX('BIO WAHYU'!B:G,MATCH(DATA!D344,'BIO WAHYU'!B:B,0),6)</f>
        <v>0</v>
      </c>
      <c r="L344" s="35">
        <f>INDEX('BIO WAHYU'!B:H,MATCH(DATA!D344,'BIO WAHYU'!B:B,0),7)</f>
        <v>0</v>
      </c>
      <c r="M344" s="34">
        <f>INDEX('BIO WAHYU'!B:H,MATCH(DATA!D344,'BIO WAHYU'!B:B,0),4)</f>
        <v>0</v>
      </c>
    </row>
    <row r="345" spans="1:13">
      <c r="A345" s="43" t="s">
        <v>1670</v>
      </c>
      <c r="B345" s="43" t="s">
        <v>140</v>
      </c>
      <c r="C345" s="43" t="s">
        <v>1248</v>
      </c>
      <c r="D345" s="10">
        <v>427198</v>
      </c>
      <c r="E345" s="43" t="s">
        <v>10</v>
      </c>
      <c r="F345" s="8">
        <f>_xlfn.IFNA(INDEX('OSA | 3GB'!J:L,MATCH(DATA!D345,'OSA | 3GB'!J:J,0),2),0)</f>
        <v>9</v>
      </c>
      <c r="G345" s="8">
        <f>_xlfn.IFNA(INDEX('OSA | 3GB'!J:L,MATCH(DATA!D345,'OSA | 3GB'!J:J,0),3),0)</f>
        <v>1250000</v>
      </c>
      <c r="H345" s="32" t="str">
        <f>_xlfn.IFNA(INDEX('OSA | 3GB'!A:C,MATCH(DATA!D345,'OSA | 3GB'!A:A,0),2),0)</f>
        <v xml:space="preserve"> -   </v>
      </c>
      <c r="I345" s="33">
        <f>_xlfn.IFNA(INDEX('OSA | 3GB'!A:C,MATCH(DATA!D345,'OSA | 3GB'!A:A,0),3),0)</f>
        <v>200000</v>
      </c>
      <c r="J345" s="33">
        <f>INDEX('BIO WAHYU'!B:G,MATCH(DATA!D345,'BIO WAHYU'!B:B,0),5)</f>
        <v>1</v>
      </c>
      <c r="K345" s="34">
        <f>INDEX('BIO WAHYU'!B:G,MATCH(DATA!D345,'BIO WAHYU'!B:B,0),6)</f>
        <v>4</v>
      </c>
      <c r="L345" s="35">
        <f>INDEX('BIO WAHYU'!B:H,MATCH(DATA!D345,'BIO WAHYU'!B:B,0),7)</f>
        <v>3</v>
      </c>
      <c r="M345" s="34">
        <f>INDEX('BIO WAHYU'!B:H,MATCH(DATA!D345,'BIO WAHYU'!B:B,0),4)</f>
        <v>0</v>
      </c>
    </row>
    <row r="346" spans="1:13">
      <c r="A346" s="43" t="s">
        <v>1673</v>
      </c>
      <c r="B346" s="43" t="s">
        <v>1140</v>
      </c>
      <c r="C346" s="43" t="s">
        <v>1249</v>
      </c>
      <c r="D346" s="10">
        <v>405122</v>
      </c>
      <c r="E346" s="43" t="s">
        <v>15</v>
      </c>
      <c r="F346" s="8">
        <f>_xlfn.IFNA(INDEX('OSA | 3GB'!J:L,MATCH(DATA!D346,'OSA | 3GB'!J:J,0),2),0)</f>
        <v>0</v>
      </c>
      <c r="G346" s="8">
        <f>_xlfn.IFNA(INDEX('OSA | 3GB'!J:L,MATCH(DATA!D346,'OSA | 3GB'!J:J,0),3),0)</f>
        <v>0</v>
      </c>
      <c r="H346" s="32" t="str">
        <f>_xlfn.IFNA(INDEX('OSA | 3GB'!A:C,MATCH(DATA!D346,'OSA | 3GB'!A:A,0),2),0)</f>
        <v xml:space="preserve"> -   </v>
      </c>
      <c r="I346" s="33" t="str">
        <f>_xlfn.IFNA(INDEX('OSA | 3GB'!A:C,MATCH(DATA!D346,'OSA | 3GB'!A:A,0),3),0)</f>
        <v xml:space="preserve"> -   </v>
      </c>
      <c r="J346" s="33">
        <f>INDEX('BIO WAHYU'!B:G,MATCH(DATA!D346,'BIO WAHYU'!B:B,0),5)</f>
        <v>0</v>
      </c>
      <c r="K346" s="34">
        <f>INDEX('BIO WAHYU'!B:G,MATCH(DATA!D346,'BIO WAHYU'!B:B,0),6)</f>
        <v>1</v>
      </c>
      <c r="L346" s="35">
        <f>INDEX('BIO WAHYU'!B:H,MATCH(DATA!D346,'BIO WAHYU'!B:B,0),7)</f>
        <v>1</v>
      </c>
      <c r="M346" s="34">
        <f>INDEX('BIO WAHYU'!B:H,MATCH(DATA!D346,'BIO WAHYU'!B:B,0),4)</f>
        <v>0</v>
      </c>
    </row>
    <row r="347" spans="1:13">
      <c r="A347" s="43" t="s">
        <v>1673</v>
      </c>
      <c r="B347" s="43" t="s">
        <v>144</v>
      </c>
      <c r="C347" s="43" t="s">
        <v>219</v>
      </c>
      <c r="D347" s="10">
        <v>211570</v>
      </c>
      <c r="E347" s="43" t="s">
        <v>10</v>
      </c>
      <c r="F347" s="8">
        <f>_xlfn.IFNA(INDEX('OSA | 3GB'!J:L,MATCH(DATA!D347,'OSA | 3GB'!J:J,0),2),0)</f>
        <v>0</v>
      </c>
      <c r="G347" s="8">
        <f>_xlfn.IFNA(INDEX('OSA | 3GB'!J:L,MATCH(DATA!D347,'OSA | 3GB'!J:J,0),3),0)</f>
        <v>2412000</v>
      </c>
      <c r="H347" s="32" t="str">
        <f>_xlfn.IFNA(INDEX('OSA | 3GB'!A:C,MATCH(DATA!D347,'OSA | 3GB'!A:A,0),2),0)</f>
        <v xml:space="preserve"> -   </v>
      </c>
      <c r="I347" s="33">
        <f>_xlfn.IFNA(INDEX('OSA | 3GB'!A:C,MATCH(DATA!D347,'OSA | 3GB'!A:A,0),3),0)</f>
        <v>1400000</v>
      </c>
      <c r="J347" s="33">
        <f>INDEX('BIO WAHYU'!B:G,MATCH(DATA!D347,'BIO WAHYU'!B:B,0),5)</f>
        <v>10</v>
      </c>
      <c r="K347" s="34">
        <f>INDEX('BIO WAHYU'!B:G,MATCH(DATA!D347,'BIO WAHYU'!B:B,0),6)</f>
        <v>1</v>
      </c>
      <c r="L347" s="35">
        <f>INDEX('BIO WAHYU'!B:H,MATCH(DATA!D347,'BIO WAHYU'!B:B,0),7)</f>
        <v>0</v>
      </c>
      <c r="M347" s="34">
        <f>INDEX('BIO WAHYU'!B:H,MATCH(DATA!D347,'BIO WAHYU'!B:B,0),4)</f>
        <v>1</v>
      </c>
    </row>
    <row r="348" spans="1:13">
      <c r="A348" s="43" t="s">
        <v>1</v>
      </c>
      <c r="B348" s="43" t="s">
        <v>3</v>
      </c>
      <c r="C348" s="43" t="s">
        <v>13</v>
      </c>
      <c r="D348" s="10">
        <v>12295724</v>
      </c>
      <c r="E348" s="43" t="s">
        <v>10</v>
      </c>
      <c r="F348" s="8">
        <f>_xlfn.IFNA(INDEX('OSA | 3GB'!J:L,MATCH(DATA!D348,'OSA | 3GB'!J:J,0),2),0)</f>
        <v>3</v>
      </c>
      <c r="G348" s="8">
        <f>_xlfn.IFNA(INDEX('OSA | 3GB'!J:L,MATCH(DATA!D348,'OSA | 3GB'!J:J,0),3),0)</f>
        <v>50000</v>
      </c>
      <c r="H348" s="32">
        <f>_xlfn.IFNA(INDEX('OSA | 3GB'!A:C,MATCH(DATA!D348,'OSA | 3GB'!A:A,0),2),0)</f>
        <v>3</v>
      </c>
      <c r="I348" s="33">
        <f>_xlfn.IFNA(INDEX('OSA | 3GB'!A:C,MATCH(DATA!D348,'OSA | 3GB'!A:A,0),3),0)</f>
        <v>50000</v>
      </c>
      <c r="J348" s="33">
        <f>INDEX('BIO WAHYU'!B:G,MATCH(DATA!D348,'BIO WAHYU'!B:B,0),5)</f>
        <v>3</v>
      </c>
      <c r="K348" s="34">
        <f>INDEX('BIO WAHYU'!B:G,MATCH(DATA!D348,'BIO WAHYU'!B:B,0),6)</f>
        <v>3</v>
      </c>
      <c r="L348" s="35">
        <f>INDEX('BIO WAHYU'!B:H,MATCH(DATA!D348,'BIO WAHYU'!B:B,0),7)</f>
        <v>0</v>
      </c>
      <c r="M348" s="34">
        <f>INDEX('BIO WAHYU'!B:H,MATCH(DATA!D348,'BIO WAHYU'!B:B,0),4)</f>
        <v>0</v>
      </c>
    </row>
    <row r="349" spans="1:13">
      <c r="A349" s="43" t="s">
        <v>1673</v>
      </c>
      <c r="B349" s="43" t="s">
        <v>158</v>
      </c>
      <c r="C349" s="43" t="s">
        <v>1250</v>
      </c>
      <c r="D349" s="10">
        <v>227846</v>
      </c>
      <c r="E349" s="43" t="s">
        <v>10</v>
      </c>
      <c r="F349" s="8">
        <f>_xlfn.IFNA(INDEX('OSA | 3GB'!J:L,MATCH(DATA!D349,'OSA | 3GB'!J:J,0),2),0)</f>
        <v>3</v>
      </c>
      <c r="G349" s="8">
        <f>_xlfn.IFNA(INDEX('OSA | 3GB'!J:L,MATCH(DATA!D349,'OSA | 3GB'!J:J,0),3),0)</f>
        <v>1800000</v>
      </c>
      <c r="H349" s="32" t="str">
        <f>_xlfn.IFNA(INDEX('OSA | 3GB'!A:C,MATCH(DATA!D349,'OSA | 3GB'!A:A,0),2),0)</f>
        <v xml:space="preserve"> -   </v>
      </c>
      <c r="I349" s="33">
        <f>_xlfn.IFNA(INDEX('OSA | 3GB'!A:C,MATCH(DATA!D349,'OSA | 3GB'!A:A,0),3),0)</f>
        <v>1200000</v>
      </c>
      <c r="J349" s="33">
        <f>INDEX('BIO WAHYU'!B:G,MATCH(DATA!D349,'BIO WAHYU'!B:B,0),5)</f>
        <v>3</v>
      </c>
      <c r="K349" s="34">
        <f>INDEX('BIO WAHYU'!B:G,MATCH(DATA!D349,'BIO WAHYU'!B:B,0),6)</f>
        <v>2</v>
      </c>
      <c r="L349" s="35">
        <f>INDEX('BIO WAHYU'!B:H,MATCH(DATA!D349,'BIO WAHYU'!B:B,0),7)</f>
        <v>0</v>
      </c>
      <c r="M349" s="34">
        <f>INDEX('BIO WAHYU'!B:H,MATCH(DATA!D349,'BIO WAHYU'!B:B,0),4)</f>
        <v>0</v>
      </c>
    </row>
    <row r="350" spans="1:13">
      <c r="A350" s="43" t="s">
        <v>1672</v>
      </c>
      <c r="B350" s="43">
        <v>2613051475</v>
      </c>
      <c r="C350" s="43" t="s">
        <v>168</v>
      </c>
      <c r="D350" s="10">
        <v>399936</v>
      </c>
      <c r="E350" s="43" t="s">
        <v>10</v>
      </c>
      <c r="F350" s="8">
        <f>_xlfn.IFNA(INDEX('OSA | 3GB'!J:L,MATCH(DATA!D350,'OSA | 3GB'!J:J,0),2),0)</f>
        <v>3</v>
      </c>
      <c r="G350" s="8">
        <f>_xlfn.IFNA(INDEX('OSA | 3GB'!J:L,MATCH(DATA!D350,'OSA | 3GB'!J:J,0),3),0)</f>
        <v>700000</v>
      </c>
      <c r="H350" s="32" t="str">
        <f>_xlfn.IFNA(INDEX('OSA | 3GB'!A:C,MATCH(DATA!D350,'OSA | 3GB'!A:A,0),2),0)</f>
        <v xml:space="preserve"> -   </v>
      </c>
      <c r="I350" s="33">
        <f>_xlfn.IFNA(INDEX('OSA | 3GB'!A:C,MATCH(DATA!D350,'OSA | 3GB'!A:A,0),3),0)</f>
        <v>200000</v>
      </c>
      <c r="J350" s="33">
        <f>INDEX('BIO WAHYU'!B:G,MATCH(DATA!D350,'BIO WAHYU'!B:B,0),5)</f>
        <v>2</v>
      </c>
      <c r="K350" s="34">
        <f>INDEX('BIO WAHYU'!B:G,MATCH(DATA!D350,'BIO WAHYU'!B:B,0),6)</f>
        <v>0</v>
      </c>
      <c r="L350" s="35">
        <f>INDEX('BIO WAHYU'!B:H,MATCH(DATA!D350,'BIO WAHYU'!B:B,0),7)</f>
        <v>0</v>
      </c>
      <c r="M350" s="34">
        <f>INDEX('BIO WAHYU'!B:H,MATCH(DATA!D350,'BIO WAHYU'!B:B,0),4)</f>
        <v>0</v>
      </c>
    </row>
    <row r="351" spans="1:13">
      <c r="A351" s="43" t="s">
        <v>1672</v>
      </c>
      <c r="B351" s="43" t="s">
        <v>151</v>
      </c>
      <c r="C351" s="43" t="s">
        <v>858</v>
      </c>
      <c r="D351" s="10">
        <v>149756</v>
      </c>
      <c r="E351" s="43" t="s">
        <v>10</v>
      </c>
      <c r="F351" s="8">
        <f>_xlfn.IFNA(INDEX('OSA | 3GB'!J:L,MATCH(DATA!D351,'OSA | 3GB'!J:J,0),2),0)</f>
        <v>3</v>
      </c>
      <c r="G351" s="8">
        <f>_xlfn.IFNA(INDEX('OSA | 3GB'!J:L,MATCH(DATA!D351,'OSA | 3GB'!J:J,0),3),0)</f>
        <v>1800000</v>
      </c>
      <c r="H351" s="32" t="str">
        <f>_xlfn.IFNA(INDEX('OSA | 3GB'!A:C,MATCH(DATA!D351,'OSA | 3GB'!A:A,0),2),0)</f>
        <v xml:space="preserve"> -   </v>
      </c>
      <c r="I351" s="33">
        <f>_xlfn.IFNA(INDEX('OSA | 3GB'!A:C,MATCH(DATA!D351,'OSA | 3GB'!A:A,0),3),0)</f>
        <v>600000</v>
      </c>
      <c r="J351" s="33">
        <f>INDEX('BIO WAHYU'!B:G,MATCH(DATA!D351,'BIO WAHYU'!B:B,0),5)</f>
        <v>2</v>
      </c>
      <c r="K351" s="34">
        <f>INDEX('BIO WAHYU'!B:G,MATCH(DATA!D351,'BIO WAHYU'!B:B,0),6)</f>
        <v>0</v>
      </c>
      <c r="L351" s="35">
        <f>INDEX('BIO WAHYU'!B:H,MATCH(DATA!D351,'BIO WAHYU'!B:B,0),7)</f>
        <v>0</v>
      </c>
      <c r="M351" s="34">
        <f>INDEX('BIO WAHYU'!B:H,MATCH(DATA!D351,'BIO WAHYU'!B:B,0),4)</f>
        <v>0</v>
      </c>
    </row>
    <row r="352" spans="1:13">
      <c r="A352" s="43" t="s">
        <v>1672</v>
      </c>
      <c r="B352" s="43" t="s">
        <v>150</v>
      </c>
      <c r="C352" s="43" t="s">
        <v>812</v>
      </c>
      <c r="D352" s="10">
        <v>237416</v>
      </c>
      <c r="E352" s="43" t="s">
        <v>10</v>
      </c>
      <c r="F352" s="8">
        <f>_xlfn.IFNA(INDEX('OSA | 3GB'!J:L,MATCH(DATA!D352,'OSA | 3GB'!J:J,0),2),0)</f>
        <v>4</v>
      </c>
      <c r="G352" s="8">
        <f>_xlfn.IFNA(INDEX('OSA | 3GB'!J:L,MATCH(DATA!D352,'OSA | 3GB'!J:J,0),3),0)</f>
        <v>150000</v>
      </c>
      <c r="H352" s="32">
        <f>_xlfn.IFNA(INDEX('OSA | 3GB'!A:C,MATCH(DATA!D352,'OSA | 3GB'!A:A,0),2),0)</f>
        <v>2</v>
      </c>
      <c r="I352" s="33">
        <f>_xlfn.IFNA(INDEX('OSA | 3GB'!A:C,MATCH(DATA!D352,'OSA | 3GB'!A:A,0),3),0)</f>
        <v>300000</v>
      </c>
      <c r="J352" s="33">
        <f>INDEX('BIO WAHYU'!B:G,MATCH(DATA!D352,'BIO WAHYU'!B:B,0),5)</f>
        <v>1</v>
      </c>
      <c r="K352" s="34">
        <f>INDEX('BIO WAHYU'!B:G,MATCH(DATA!D352,'BIO WAHYU'!B:B,0),6)</f>
        <v>0</v>
      </c>
      <c r="L352" s="35">
        <f>INDEX('BIO WAHYU'!B:H,MATCH(DATA!D352,'BIO WAHYU'!B:B,0),7)</f>
        <v>0</v>
      </c>
      <c r="M352" s="34">
        <f>INDEX('BIO WAHYU'!B:H,MATCH(DATA!D352,'BIO WAHYU'!B:B,0),4)</f>
        <v>0</v>
      </c>
    </row>
    <row r="353" spans="1:13">
      <c r="A353" s="43" t="s">
        <v>1673</v>
      </c>
      <c r="B353" s="43" t="s">
        <v>158</v>
      </c>
      <c r="C353" s="43" t="s">
        <v>1251</v>
      </c>
      <c r="D353" s="10">
        <v>403930</v>
      </c>
      <c r="E353" s="43" t="s">
        <v>15</v>
      </c>
      <c r="F353" s="8">
        <f>_xlfn.IFNA(INDEX('OSA | 3GB'!J:L,MATCH(DATA!D353,'OSA | 3GB'!J:J,0),2),0)</f>
        <v>3</v>
      </c>
      <c r="G353" s="8">
        <f>_xlfn.IFNA(INDEX('OSA | 3GB'!J:L,MATCH(DATA!D353,'OSA | 3GB'!J:J,0),3),0)</f>
        <v>0</v>
      </c>
      <c r="H353" s="32" t="str">
        <f>_xlfn.IFNA(INDEX('OSA | 3GB'!A:C,MATCH(DATA!D353,'OSA | 3GB'!A:A,0),2),0)</f>
        <v xml:space="preserve"> -   </v>
      </c>
      <c r="I353" s="33" t="str">
        <f>_xlfn.IFNA(INDEX('OSA | 3GB'!A:C,MATCH(DATA!D353,'OSA | 3GB'!A:A,0),3),0)</f>
        <v xml:space="preserve"> -   </v>
      </c>
      <c r="J353" s="33">
        <f>INDEX('BIO WAHYU'!B:G,MATCH(DATA!D353,'BIO WAHYU'!B:B,0),5)</f>
        <v>3</v>
      </c>
      <c r="K353" s="34">
        <f>INDEX('BIO WAHYU'!B:G,MATCH(DATA!D353,'BIO WAHYU'!B:B,0),6)</f>
        <v>2</v>
      </c>
      <c r="L353" s="35">
        <f>INDEX('BIO WAHYU'!B:H,MATCH(DATA!D353,'BIO WAHYU'!B:B,0),7)</f>
        <v>0</v>
      </c>
      <c r="M353" s="34">
        <f>INDEX('BIO WAHYU'!B:H,MATCH(DATA!D353,'BIO WAHYU'!B:B,0),4)</f>
        <v>0</v>
      </c>
    </row>
    <row r="354" spans="1:13">
      <c r="A354" s="43" t="s">
        <v>1674</v>
      </c>
      <c r="B354" s="43" t="s">
        <v>152</v>
      </c>
      <c r="C354" s="43" t="s">
        <v>661</v>
      </c>
      <c r="D354" s="10">
        <v>240546</v>
      </c>
      <c r="E354" s="43" t="s">
        <v>10</v>
      </c>
      <c r="F354" s="8">
        <f>_xlfn.IFNA(INDEX('OSA | 3GB'!J:L,MATCH(DATA!D354,'OSA | 3GB'!J:J,0),2),0)</f>
        <v>3</v>
      </c>
      <c r="G354" s="8">
        <f>_xlfn.IFNA(INDEX('OSA | 3GB'!J:L,MATCH(DATA!D354,'OSA | 3GB'!J:J,0),3),0)</f>
        <v>608000</v>
      </c>
      <c r="H354" s="32" t="str">
        <f>_xlfn.IFNA(INDEX('OSA | 3GB'!A:C,MATCH(DATA!D354,'OSA | 3GB'!A:A,0),2),0)</f>
        <v xml:space="preserve"> -   </v>
      </c>
      <c r="I354" s="33" t="str">
        <f>_xlfn.IFNA(INDEX('OSA | 3GB'!A:C,MATCH(DATA!D354,'OSA | 3GB'!A:A,0),3),0)</f>
        <v xml:space="preserve"> -   </v>
      </c>
      <c r="J354" s="33">
        <f>INDEX('BIO WAHYU'!B:G,MATCH(DATA!D354,'BIO WAHYU'!B:B,0),5)</f>
        <v>1</v>
      </c>
      <c r="K354" s="34">
        <f>INDEX('BIO WAHYU'!B:G,MATCH(DATA!D354,'BIO WAHYU'!B:B,0),6)</f>
        <v>0</v>
      </c>
      <c r="L354" s="35">
        <f>INDEX('BIO WAHYU'!B:H,MATCH(DATA!D354,'BIO WAHYU'!B:B,0),7)</f>
        <v>0</v>
      </c>
      <c r="M354" s="34">
        <f>INDEX('BIO WAHYU'!B:H,MATCH(DATA!D354,'BIO WAHYU'!B:B,0),4)</f>
        <v>0</v>
      </c>
    </row>
    <row r="355" spans="1:13">
      <c r="A355" s="43" t="s">
        <v>1674</v>
      </c>
      <c r="B355" s="43" t="s">
        <v>152</v>
      </c>
      <c r="C355" s="43" t="s">
        <v>1252</v>
      </c>
      <c r="D355" s="10">
        <v>407275</v>
      </c>
      <c r="E355" s="43" t="s">
        <v>10</v>
      </c>
      <c r="F355" s="8">
        <f>_xlfn.IFNA(INDEX('OSA | 3GB'!J:L,MATCH(DATA!D355,'OSA | 3GB'!J:J,0),2),0)</f>
        <v>6</v>
      </c>
      <c r="G355" s="8">
        <f>_xlfn.IFNA(INDEX('OSA | 3GB'!J:L,MATCH(DATA!D355,'OSA | 3GB'!J:J,0),3),0)</f>
        <v>6000000</v>
      </c>
      <c r="H355" s="32" t="str">
        <f>_xlfn.IFNA(INDEX('OSA | 3GB'!A:C,MATCH(DATA!D355,'OSA | 3GB'!A:A,0),2),0)</f>
        <v xml:space="preserve"> -   </v>
      </c>
      <c r="I355" s="33">
        <f>_xlfn.IFNA(INDEX('OSA | 3GB'!A:C,MATCH(DATA!D355,'OSA | 3GB'!A:A,0),3),0)</f>
        <v>1500000</v>
      </c>
      <c r="J355" s="33">
        <f>INDEX('BIO WAHYU'!B:G,MATCH(DATA!D355,'BIO WAHYU'!B:B,0),5)</f>
        <v>11</v>
      </c>
      <c r="K355" s="34">
        <f>INDEX('BIO WAHYU'!B:G,MATCH(DATA!D355,'BIO WAHYU'!B:B,0),6)</f>
        <v>11</v>
      </c>
      <c r="L355" s="35">
        <f>INDEX('BIO WAHYU'!B:H,MATCH(DATA!D355,'BIO WAHYU'!B:B,0),7)</f>
        <v>0</v>
      </c>
      <c r="M355" s="34">
        <f>INDEX('BIO WAHYU'!B:H,MATCH(DATA!D355,'BIO WAHYU'!B:B,0),4)</f>
        <v>0</v>
      </c>
    </row>
    <row r="356" spans="1:13">
      <c r="A356" s="43" t="s">
        <v>1673</v>
      </c>
      <c r="B356" s="43" t="s">
        <v>1136</v>
      </c>
      <c r="C356" s="43" t="s">
        <v>1253</v>
      </c>
      <c r="D356" s="10">
        <v>211624</v>
      </c>
      <c r="E356" s="43" t="s">
        <v>15</v>
      </c>
      <c r="F356" s="8">
        <f>_xlfn.IFNA(INDEX('OSA | 3GB'!J:L,MATCH(DATA!D356,'OSA | 3GB'!J:J,0),2),0)</f>
        <v>3</v>
      </c>
      <c r="G356" s="8">
        <f>_xlfn.IFNA(INDEX('OSA | 3GB'!J:L,MATCH(DATA!D356,'OSA | 3GB'!J:J,0),3),0)</f>
        <v>350000</v>
      </c>
      <c r="H356" s="32" t="str">
        <f>_xlfn.IFNA(INDEX('OSA | 3GB'!A:C,MATCH(DATA!D356,'OSA | 3GB'!A:A,0),2),0)</f>
        <v xml:space="preserve"> -   </v>
      </c>
      <c r="I356" s="33">
        <f>_xlfn.IFNA(INDEX('OSA | 3GB'!A:C,MATCH(DATA!D356,'OSA | 3GB'!A:A,0),3),0)</f>
        <v>150000</v>
      </c>
      <c r="J356" s="33">
        <f>INDEX('BIO WAHYU'!B:G,MATCH(DATA!D356,'BIO WAHYU'!B:B,0),5)</f>
        <v>2</v>
      </c>
      <c r="K356" s="34">
        <f>INDEX('BIO WAHYU'!B:G,MATCH(DATA!D356,'BIO WAHYU'!B:B,0),6)</f>
        <v>1</v>
      </c>
      <c r="L356" s="35">
        <f>INDEX('BIO WAHYU'!B:H,MATCH(DATA!D356,'BIO WAHYU'!B:B,0),7)</f>
        <v>0</v>
      </c>
      <c r="M356" s="34">
        <f>INDEX('BIO WAHYU'!B:H,MATCH(DATA!D356,'BIO WAHYU'!B:B,0),4)</f>
        <v>0</v>
      </c>
    </row>
    <row r="357" spans="1:13">
      <c r="A357" s="43" t="s">
        <v>1672</v>
      </c>
      <c r="B357" s="43" t="s">
        <v>149</v>
      </c>
      <c r="C357" s="43" t="s">
        <v>800</v>
      </c>
      <c r="D357" s="10">
        <v>61718</v>
      </c>
      <c r="E357" s="43" t="s">
        <v>10</v>
      </c>
      <c r="F357" s="8">
        <f>_xlfn.IFNA(INDEX('OSA | 3GB'!J:L,MATCH(DATA!D357,'OSA | 3GB'!J:J,0),2),0)</f>
        <v>1</v>
      </c>
      <c r="G357" s="8">
        <f>_xlfn.IFNA(INDEX('OSA | 3GB'!J:L,MATCH(DATA!D357,'OSA | 3GB'!J:J,0),3),0)</f>
        <v>2316000</v>
      </c>
      <c r="H357" s="32">
        <f>_xlfn.IFNA(INDEX('OSA | 3GB'!A:C,MATCH(DATA!D357,'OSA | 3GB'!A:A,0),2),0)</f>
        <v>2</v>
      </c>
      <c r="I357" s="33">
        <f>_xlfn.IFNA(INDEX('OSA | 3GB'!A:C,MATCH(DATA!D357,'OSA | 3GB'!A:A,0),3),0)</f>
        <v>1983000</v>
      </c>
      <c r="J357" s="33">
        <f>INDEX('BIO WAHYU'!B:G,MATCH(DATA!D357,'BIO WAHYU'!B:B,0),5)</f>
        <v>1</v>
      </c>
      <c r="K357" s="34">
        <f>INDEX('BIO WAHYU'!B:G,MATCH(DATA!D357,'BIO WAHYU'!B:B,0),6)</f>
        <v>0</v>
      </c>
      <c r="L357" s="35">
        <f>INDEX('BIO WAHYU'!B:H,MATCH(DATA!D357,'BIO WAHYU'!B:B,0),7)</f>
        <v>0</v>
      </c>
      <c r="M357" s="34">
        <f>INDEX('BIO WAHYU'!B:H,MATCH(DATA!D357,'BIO WAHYU'!B:B,0),4)</f>
        <v>0</v>
      </c>
    </row>
    <row r="358" spans="1:13">
      <c r="A358" s="43" t="s">
        <v>1672</v>
      </c>
      <c r="B358" s="43" t="s">
        <v>155</v>
      </c>
      <c r="C358" s="43" t="s">
        <v>948</v>
      </c>
      <c r="D358" s="10">
        <v>520960</v>
      </c>
      <c r="E358" s="43" t="s">
        <v>10</v>
      </c>
      <c r="F358" s="8">
        <f>_xlfn.IFNA(INDEX('OSA | 3GB'!J:L,MATCH(DATA!D358,'OSA | 3GB'!J:J,0),2),0)</f>
        <v>0</v>
      </c>
      <c r="G358" s="8">
        <f>_xlfn.IFNA(INDEX('OSA | 3GB'!J:L,MATCH(DATA!D358,'OSA | 3GB'!J:J,0),3),0)</f>
        <v>1600000</v>
      </c>
      <c r="H358" s="32">
        <f>_xlfn.IFNA(INDEX('OSA | 3GB'!A:C,MATCH(DATA!D358,'OSA | 3GB'!A:A,0),2),0)</f>
        <v>3</v>
      </c>
      <c r="I358" s="33">
        <f>_xlfn.IFNA(INDEX('OSA | 3GB'!A:C,MATCH(DATA!D358,'OSA | 3GB'!A:A,0),3),0)</f>
        <v>600000</v>
      </c>
      <c r="J358" s="33">
        <f>INDEX('BIO WAHYU'!B:G,MATCH(DATA!D358,'BIO WAHYU'!B:B,0),5)</f>
        <v>1</v>
      </c>
      <c r="K358" s="34">
        <f>INDEX('BIO WAHYU'!B:G,MATCH(DATA!D358,'BIO WAHYU'!B:B,0),6)</f>
        <v>3</v>
      </c>
      <c r="L358" s="35">
        <f>INDEX('BIO WAHYU'!B:H,MATCH(DATA!D358,'BIO WAHYU'!B:B,0),7)</f>
        <v>2</v>
      </c>
      <c r="M358" s="34">
        <f>INDEX('BIO WAHYU'!B:H,MATCH(DATA!D358,'BIO WAHYU'!B:B,0),4)</f>
        <v>0</v>
      </c>
    </row>
    <row r="359" spans="1:13">
      <c r="A359" s="43" t="s">
        <v>1672</v>
      </c>
      <c r="B359" s="43" t="s">
        <v>151</v>
      </c>
      <c r="C359" s="43" t="s">
        <v>869</v>
      </c>
      <c r="D359" s="10">
        <v>365502</v>
      </c>
      <c r="E359" s="43" t="s">
        <v>10</v>
      </c>
      <c r="F359" s="8">
        <f>_xlfn.IFNA(INDEX('OSA | 3GB'!J:L,MATCH(DATA!D359,'OSA | 3GB'!J:J,0),2),0)</f>
        <v>82</v>
      </c>
      <c r="G359" s="8">
        <f>_xlfn.IFNA(INDEX('OSA | 3GB'!J:L,MATCH(DATA!D359,'OSA | 3GB'!J:J,0),3),0)</f>
        <v>325000</v>
      </c>
      <c r="H359" s="32" t="str">
        <f>_xlfn.IFNA(INDEX('OSA | 3GB'!A:C,MATCH(DATA!D359,'OSA | 3GB'!A:A,0),2),0)</f>
        <v xml:space="preserve"> -   </v>
      </c>
      <c r="I359" s="33" t="str">
        <f>_xlfn.IFNA(INDEX('OSA | 3GB'!A:C,MATCH(DATA!D359,'OSA | 3GB'!A:A,0),3),0)</f>
        <v xml:space="preserve"> -   </v>
      </c>
      <c r="J359" s="33">
        <f>INDEX('BIO WAHYU'!B:G,MATCH(DATA!D359,'BIO WAHYU'!B:B,0),5)</f>
        <v>2</v>
      </c>
      <c r="K359" s="34">
        <f>INDEX('BIO WAHYU'!B:G,MATCH(DATA!D359,'BIO WAHYU'!B:B,0),6)</f>
        <v>1</v>
      </c>
      <c r="L359" s="35">
        <f>INDEX('BIO WAHYU'!B:H,MATCH(DATA!D359,'BIO WAHYU'!B:B,0),7)</f>
        <v>0</v>
      </c>
      <c r="M359" s="34">
        <f>INDEX('BIO WAHYU'!B:H,MATCH(DATA!D359,'BIO WAHYU'!B:B,0),4)</f>
        <v>0</v>
      </c>
    </row>
    <row r="360" spans="1:13">
      <c r="A360" s="43" t="s">
        <v>1672</v>
      </c>
      <c r="B360" s="43" t="s">
        <v>149</v>
      </c>
      <c r="C360" s="43" t="s">
        <v>1254</v>
      </c>
      <c r="D360" s="10">
        <v>347564</v>
      </c>
      <c r="E360" s="43" t="s">
        <v>10</v>
      </c>
      <c r="F360" s="8">
        <f>_xlfn.IFNA(INDEX('OSA | 3GB'!J:L,MATCH(DATA!D360,'OSA | 3GB'!J:J,0),2),0)</f>
        <v>0</v>
      </c>
      <c r="G360" s="8">
        <f>_xlfn.IFNA(INDEX('OSA | 3GB'!J:L,MATCH(DATA!D360,'OSA | 3GB'!J:J,0),3),0)</f>
        <v>2358000</v>
      </c>
      <c r="H360" s="32">
        <f>_xlfn.IFNA(INDEX('OSA | 3GB'!A:C,MATCH(DATA!D360,'OSA | 3GB'!A:A,0),2),0)</f>
        <v>2</v>
      </c>
      <c r="I360" s="33">
        <f>_xlfn.IFNA(INDEX('OSA | 3GB'!A:C,MATCH(DATA!D360,'OSA | 3GB'!A:A,0),3),0)</f>
        <v>858000</v>
      </c>
      <c r="J360" s="33">
        <f>INDEX('BIO WAHYU'!B:G,MATCH(DATA!D360,'BIO WAHYU'!B:B,0),5)</f>
        <v>0</v>
      </c>
      <c r="K360" s="34">
        <f>INDEX('BIO WAHYU'!B:G,MATCH(DATA!D360,'BIO WAHYU'!B:B,0),6)</f>
        <v>0</v>
      </c>
      <c r="L360" s="35">
        <f>INDEX('BIO WAHYU'!B:H,MATCH(DATA!D360,'BIO WAHYU'!B:B,0),7)</f>
        <v>0</v>
      </c>
      <c r="M360" s="34">
        <f>INDEX('BIO WAHYU'!B:H,MATCH(DATA!D360,'BIO WAHYU'!B:B,0),4)</f>
        <v>0</v>
      </c>
    </row>
    <row r="361" spans="1:13">
      <c r="A361" s="43" t="s">
        <v>1673</v>
      </c>
      <c r="B361" s="43" t="s">
        <v>144</v>
      </c>
      <c r="C361" s="43" t="s">
        <v>240</v>
      </c>
      <c r="D361" s="10">
        <v>517562</v>
      </c>
      <c r="E361" s="43" t="s">
        <v>15</v>
      </c>
      <c r="F361" s="8">
        <f>_xlfn.IFNA(INDEX('OSA | 3GB'!J:L,MATCH(DATA!D361,'OSA | 3GB'!J:J,0),2),0)</f>
        <v>0</v>
      </c>
      <c r="G361" s="8">
        <f>_xlfn.IFNA(INDEX('OSA | 3GB'!J:L,MATCH(DATA!D361,'OSA | 3GB'!J:J,0),3),0)</f>
        <v>0</v>
      </c>
      <c r="H361" s="32" t="str">
        <f>_xlfn.IFNA(INDEX('OSA | 3GB'!A:C,MATCH(DATA!D361,'OSA | 3GB'!A:A,0),2),0)</f>
        <v xml:space="preserve"> -   </v>
      </c>
      <c r="I361" s="33" t="str">
        <f>_xlfn.IFNA(INDEX('OSA | 3GB'!A:C,MATCH(DATA!D361,'OSA | 3GB'!A:A,0),3),0)</f>
        <v xml:space="preserve"> -   </v>
      </c>
      <c r="J361" s="33">
        <f>INDEX('BIO WAHYU'!B:G,MATCH(DATA!D361,'BIO WAHYU'!B:B,0),5)</f>
        <v>0</v>
      </c>
      <c r="K361" s="34">
        <f>INDEX('BIO WAHYU'!B:G,MATCH(DATA!D361,'BIO WAHYU'!B:B,0),6)</f>
        <v>0</v>
      </c>
      <c r="L361" s="35">
        <f>INDEX('BIO WAHYU'!B:H,MATCH(DATA!D361,'BIO WAHYU'!B:B,0),7)</f>
        <v>0</v>
      </c>
      <c r="M361" s="34">
        <f>INDEX('BIO WAHYU'!B:H,MATCH(DATA!D361,'BIO WAHYU'!B:B,0),4)</f>
        <v>0</v>
      </c>
    </row>
    <row r="362" spans="1:13">
      <c r="A362" s="43" t="s">
        <v>1672</v>
      </c>
      <c r="B362" s="43" t="s">
        <v>155</v>
      </c>
      <c r="C362" s="43" t="s">
        <v>944</v>
      </c>
      <c r="D362" s="10">
        <v>479735</v>
      </c>
      <c r="E362" s="43" t="s">
        <v>15</v>
      </c>
      <c r="F362" s="8">
        <f>_xlfn.IFNA(INDEX('OSA | 3GB'!J:L,MATCH(DATA!D362,'OSA | 3GB'!J:J,0),2),0)</f>
        <v>58</v>
      </c>
      <c r="G362" s="8">
        <f>_xlfn.IFNA(INDEX('OSA | 3GB'!J:L,MATCH(DATA!D362,'OSA | 3GB'!J:J,0),3),0)</f>
        <v>625000</v>
      </c>
      <c r="H362" s="32" t="str">
        <f>_xlfn.IFNA(INDEX('OSA | 3GB'!A:C,MATCH(DATA!D362,'OSA | 3GB'!A:A,0),2),0)</f>
        <v xml:space="preserve"> -   </v>
      </c>
      <c r="I362" s="33">
        <f>_xlfn.IFNA(INDEX('OSA | 3GB'!A:C,MATCH(DATA!D362,'OSA | 3GB'!A:A,0),3),0)</f>
        <v>200000</v>
      </c>
      <c r="J362" s="33">
        <f>INDEX('BIO WAHYU'!B:G,MATCH(DATA!D362,'BIO WAHYU'!B:B,0),5)</f>
        <v>3</v>
      </c>
      <c r="K362" s="34">
        <f>INDEX('BIO WAHYU'!B:G,MATCH(DATA!D362,'BIO WAHYU'!B:B,0),6)</f>
        <v>3</v>
      </c>
      <c r="L362" s="35">
        <f>INDEX('BIO WAHYU'!B:H,MATCH(DATA!D362,'BIO WAHYU'!B:B,0),7)</f>
        <v>0</v>
      </c>
      <c r="M362" s="34">
        <f>INDEX('BIO WAHYU'!B:H,MATCH(DATA!D362,'BIO WAHYU'!B:B,0),4)</f>
        <v>0</v>
      </c>
    </row>
    <row r="363" spans="1:13">
      <c r="A363" s="43" t="s">
        <v>1674</v>
      </c>
      <c r="B363" s="43" t="s">
        <v>154</v>
      </c>
      <c r="C363" s="43" t="s">
        <v>750</v>
      </c>
      <c r="D363" s="10">
        <v>512721</v>
      </c>
      <c r="E363" s="43" t="s">
        <v>10</v>
      </c>
      <c r="F363" s="8">
        <f>_xlfn.IFNA(INDEX('OSA | 3GB'!J:L,MATCH(DATA!D363,'OSA | 3GB'!J:J,0),2),0)</f>
        <v>3</v>
      </c>
      <c r="G363" s="8">
        <f>_xlfn.IFNA(INDEX('OSA | 3GB'!J:L,MATCH(DATA!D363,'OSA | 3GB'!J:J,0),3),0)</f>
        <v>700000</v>
      </c>
      <c r="H363" s="32" t="str">
        <f>_xlfn.IFNA(INDEX('OSA | 3GB'!A:C,MATCH(DATA!D363,'OSA | 3GB'!A:A,0),2),0)</f>
        <v xml:space="preserve"> -   </v>
      </c>
      <c r="I363" s="33">
        <f>_xlfn.IFNA(INDEX('OSA | 3GB'!A:C,MATCH(DATA!D363,'OSA | 3GB'!A:A,0),3),0)</f>
        <v>150000</v>
      </c>
      <c r="J363" s="33">
        <f>INDEX('BIO WAHYU'!B:G,MATCH(DATA!D363,'BIO WAHYU'!B:B,0),5)</f>
        <v>2</v>
      </c>
      <c r="K363" s="34">
        <f>INDEX('BIO WAHYU'!B:G,MATCH(DATA!D363,'BIO WAHYU'!B:B,0),6)</f>
        <v>1</v>
      </c>
      <c r="L363" s="35">
        <f>INDEX('BIO WAHYU'!B:H,MATCH(DATA!D363,'BIO WAHYU'!B:B,0),7)</f>
        <v>0</v>
      </c>
      <c r="M363" s="34">
        <f>INDEX('BIO WAHYU'!B:H,MATCH(DATA!D363,'BIO WAHYU'!B:B,0),4)</f>
        <v>0</v>
      </c>
    </row>
    <row r="364" spans="1:13">
      <c r="A364" s="43" t="s">
        <v>1673</v>
      </c>
      <c r="B364" s="43" t="s">
        <v>144</v>
      </c>
      <c r="C364" s="43" t="s">
        <v>1255</v>
      </c>
      <c r="D364" s="10">
        <v>516144</v>
      </c>
      <c r="E364" s="43" t="s">
        <v>10</v>
      </c>
      <c r="F364" s="8">
        <f>_xlfn.IFNA(INDEX('OSA | 3GB'!J:L,MATCH(DATA!D364,'OSA | 3GB'!J:J,0),2),0)</f>
        <v>0</v>
      </c>
      <c r="G364" s="8">
        <f>_xlfn.IFNA(INDEX('OSA | 3GB'!J:L,MATCH(DATA!D364,'OSA | 3GB'!J:J,0),3),0)</f>
        <v>687000</v>
      </c>
      <c r="H364" s="32" t="str">
        <f>_xlfn.IFNA(INDEX('OSA | 3GB'!A:C,MATCH(DATA!D364,'OSA | 3GB'!A:A,0),2),0)</f>
        <v xml:space="preserve"> -   </v>
      </c>
      <c r="I364" s="33">
        <f>_xlfn.IFNA(INDEX('OSA | 3GB'!A:C,MATCH(DATA!D364,'OSA | 3GB'!A:A,0),3),0)</f>
        <v>200000</v>
      </c>
      <c r="J364" s="33">
        <f>INDEX('BIO WAHYU'!B:G,MATCH(DATA!D364,'BIO WAHYU'!B:B,0),5)</f>
        <v>3</v>
      </c>
      <c r="K364" s="34">
        <f>INDEX('BIO WAHYU'!B:G,MATCH(DATA!D364,'BIO WAHYU'!B:B,0),6)</f>
        <v>0</v>
      </c>
      <c r="L364" s="35">
        <f>INDEX('BIO WAHYU'!B:H,MATCH(DATA!D364,'BIO WAHYU'!B:B,0),7)</f>
        <v>0</v>
      </c>
      <c r="M364" s="34">
        <f>INDEX('BIO WAHYU'!B:H,MATCH(DATA!D364,'BIO WAHYU'!B:B,0),4)</f>
        <v>0</v>
      </c>
    </row>
    <row r="365" spans="1:13">
      <c r="A365" s="43" t="s">
        <v>1672</v>
      </c>
      <c r="B365" s="43" t="s">
        <v>151</v>
      </c>
      <c r="C365" s="43" t="s">
        <v>882</v>
      </c>
      <c r="D365" s="10">
        <v>62315</v>
      </c>
      <c r="E365" s="43" t="s">
        <v>10</v>
      </c>
      <c r="F365" s="8">
        <f>_xlfn.IFNA(INDEX('OSA | 3GB'!J:L,MATCH(DATA!D365,'OSA | 3GB'!J:J,0),2),0)</f>
        <v>0</v>
      </c>
      <c r="G365" s="8">
        <f>_xlfn.IFNA(INDEX('OSA | 3GB'!J:L,MATCH(DATA!D365,'OSA | 3GB'!J:J,0),3),0)</f>
        <v>4000000</v>
      </c>
      <c r="H365" s="32" t="str">
        <f>_xlfn.IFNA(INDEX('OSA | 3GB'!A:C,MATCH(DATA!D365,'OSA | 3GB'!A:A,0),2),0)</f>
        <v xml:space="preserve"> -   </v>
      </c>
      <c r="I365" s="33">
        <f>_xlfn.IFNA(INDEX('OSA | 3GB'!A:C,MATCH(DATA!D365,'OSA | 3GB'!A:A,0),3),0)</f>
        <v>1500000</v>
      </c>
      <c r="J365" s="33">
        <f>INDEX('BIO WAHYU'!B:G,MATCH(DATA!D365,'BIO WAHYU'!B:B,0),5)</f>
        <v>0</v>
      </c>
      <c r="K365" s="34">
        <f>INDEX('BIO WAHYU'!B:G,MATCH(DATA!D365,'BIO WAHYU'!B:B,0),6)</f>
        <v>0</v>
      </c>
      <c r="L365" s="35">
        <f>INDEX('BIO WAHYU'!B:H,MATCH(DATA!D365,'BIO WAHYU'!B:B,0),7)</f>
        <v>0</v>
      </c>
      <c r="M365" s="34">
        <f>INDEX('BIO WAHYU'!B:H,MATCH(DATA!D365,'BIO WAHYU'!B:B,0),4)</f>
        <v>0</v>
      </c>
    </row>
    <row r="366" spans="1:13">
      <c r="A366" s="43" t="s">
        <v>1671</v>
      </c>
      <c r="B366" s="43" t="s">
        <v>142</v>
      </c>
      <c r="C366" s="43" t="s">
        <v>274</v>
      </c>
      <c r="D366" s="10">
        <v>12300225</v>
      </c>
      <c r="E366" s="43" t="s">
        <v>10</v>
      </c>
      <c r="F366" s="8">
        <f>_xlfn.IFNA(INDEX('OSA | 3GB'!J:L,MATCH(DATA!D366,'OSA | 3GB'!J:J,0),2),0)</f>
        <v>3</v>
      </c>
      <c r="G366" s="8">
        <f>_xlfn.IFNA(INDEX('OSA | 3GB'!J:L,MATCH(DATA!D366,'OSA | 3GB'!J:J,0),3),0)</f>
        <v>8200000</v>
      </c>
      <c r="H366" s="32">
        <f>_xlfn.IFNA(INDEX('OSA | 3GB'!A:C,MATCH(DATA!D366,'OSA | 3GB'!A:A,0),2),0)</f>
        <v>18</v>
      </c>
      <c r="I366" s="33">
        <f>_xlfn.IFNA(INDEX('OSA | 3GB'!A:C,MATCH(DATA!D366,'OSA | 3GB'!A:A,0),3),0)</f>
        <v>1287000</v>
      </c>
      <c r="J366" s="33">
        <f>INDEX('BIO WAHYU'!B:G,MATCH(DATA!D366,'BIO WAHYU'!B:B,0),5)</f>
        <v>1</v>
      </c>
      <c r="K366" s="34">
        <f>INDEX('BIO WAHYU'!B:G,MATCH(DATA!D366,'BIO WAHYU'!B:B,0),6)</f>
        <v>1</v>
      </c>
      <c r="L366" s="35">
        <f>INDEX('BIO WAHYU'!B:H,MATCH(DATA!D366,'BIO WAHYU'!B:B,0),7)</f>
        <v>0</v>
      </c>
      <c r="M366" s="34">
        <f>INDEX('BIO WAHYU'!B:H,MATCH(DATA!D366,'BIO WAHYU'!B:B,0),4)</f>
        <v>0</v>
      </c>
    </row>
    <row r="367" spans="1:13">
      <c r="A367" s="43" t="s">
        <v>1672</v>
      </c>
      <c r="B367" s="43" t="s">
        <v>150</v>
      </c>
      <c r="C367" s="43" t="s">
        <v>844</v>
      </c>
      <c r="D367" s="10">
        <v>67035</v>
      </c>
      <c r="E367" s="43" t="s">
        <v>10</v>
      </c>
      <c r="F367" s="8">
        <f>_xlfn.IFNA(INDEX('OSA | 3GB'!J:L,MATCH(DATA!D367,'OSA | 3GB'!J:J,0),2),0)</f>
        <v>16</v>
      </c>
      <c r="G367" s="8">
        <f>_xlfn.IFNA(INDEX('OSA | 3GB'!J:L,MATCH(DATA!D367,'OSA | 3GB'!J:J,0),3),0)</f>
        <v>5429000</v>
      </c>
      <c r="H367" s="32" t="str">
        <f>_xlfn.IFNA(INDEX('OSA | 3GB'!A:C,MATCH(DATA!D367,'OSA | 3GB'!A:A,0),2),0)</f>
        <v xml:space="preserve"> -   </v>
      </c>
      <c r="I367" s="33">
        <f>_xlfn.IFNA(INDEX('OSA | 3GB'!A:C,MATCH(DATA!D367,'OSA | 3GB'!A:A,0),3),0)</f>
        <v>3150000</v>
      </c>
      <c r="J367" s="33">
        <f>INDEX('BIO WAHYU'!B:G,MATCH(DATA!D367,'BIO WAHYU'!B:B,0),5)</f>
        <v>4</v>
      </c>
      <c r="K367" s="34">
        <f>INDEX('BIO WAHYU'!B:G,MATCH(DATA!D367,'BIO WAHYU'!B:B,0),6)</f>
        <v>2</v>
      </c>
      <c r="L367" s="35">
        <f>INDEX('BIO WAHYU'!B:H,MATCH(DATA!D367,'BIO WAHYU'!B:B,0),7)</f>
        <v>0</v>
      </c>
      <c r="M367" s="34">
        <f>INDEX('BIO WAHYU'!B:H,MATCH(DATA!D367,'BIO WAHYU'!B:B,0),4)</f>
        <v>0</v>
      </c>
    </row>
    <row r="368" spans="1:13">
      <c r="A368" s="43" t="s">
        <v>1670</v>
      </c>
      <c r="B368" s="43" t="s">
        <v>145</v>
      </c>
      <c r="C368" s="43" t="s">
        <v>501</v>
      </c>
      <c r="D368" s="10">
        <v>268428</v>
      </c>
      <c r="E368" s="43" t="s">
        <v>10</v>
      </c>
      <c r="F368" s="8">
        <f>_xlfn.IFNA(INDEX('OSA | 3GB'!J:L,MATCH(DATA!D368,'OSA | 3GB'!J:J,0),2),0)</f>
        <v>6</v>
      </c>
      <c r="G368" s="8">
        <f>_xlfn.IFNA(INDEX('OSA | 3GB'!J:L,MATCH(DATA!D368,'OSA | 3GB'!J:J,0),3),0)</f>
        <v>900000</v>
      </c>
      <c r="H368" s="32">
        <f>_xlfn.IFNA(INDEX('OSA | 3GB'!A:C,MATCH(DATA!D368,'OSA | 3GB'!A:A,0),2),0)</f>
        <v>3</v>
      </c>
      <c r="I368" s="33" t="str">
        <f>_xlfn.IFNA(INDEX('OSA | 3GB'!A:C,MATCH(DATA!D368,'OSA | 3GB'!A:A,0),3),0)</f>
        <v xml:space="preserve"> -   </v>
      </c>
      <c r="J368" s="33">
        <f>INDEX('BIO WAHYU'!B:G,MATCH(DATA!D368,'BIO WAHYU'!B:B,0),5)</f>
        <v>4</v>
      </c>
      <c r="K368" s="34">
        <f>INDEX('BIO WAHYU'!B:G,MATCH(DATA!D368,'BIO WAHYU'!B:B,0),6)</f>
        <v>0</v>
      </c>
      <c r="L368" s="35">
        <f>INDEX('BIO WAHYU'!B:H,MATCH(DATA!D368,'BIO WAHYU'!B:B,0),7)</f>
        <v>0</v>
      </c>
      <c r="M368" s="34">
        <f>INDEX('BIO WAHYU'!B:H,MATCH(DATA!D368,'BIO WAHYU'!B:B,0),4)</f>
        <v>0</v>
      </c>
    </row>
    <row r="369" spans="1:13">
      <c r="A369" s="43" t="s">
        <v>1674</v>
      </c>
      <c r="B369" s="43" t="s">
        <v>153</v>
      </c>
      <c r="C369" s="43" t="s">
        <v>717</v>
      </c>
      <c r="D369" s="10">
        <v>236975</v>
      </c>
      <c r="E369" s="43" t="s">
        <v>10</v>
      </c>
      <c r="F369" s="8">
        <f>_xlfn.IFNA(INDEX('OSA | 3GB'!J:L,MATCH(DATA!D369,'OSA | 3GB'!J:J,0),2),0)</f>
        <v>4</v>
      </c>
      <c r="G369" s="8">
        <f>_xlfn.IFNA(INDEX('OSA | 3GB'!J:L,MATCH(DATA!D369,'OSA | 3GB'!J:J,0),3),0)</f>
        <v>300000</v>
      </c>
      <c r="H369" s="32" t="str">
        <f>_xlfn.IFNA(INDEX('OSA | 3GB'!A:C,MATCH(DATA!D369,'OSA | 3GB'!A:A,0),2),0)</f>
        <v xml:space="preserve"> -   </v>
      </c>
      <c r="I369" s="33">
        <f>_xlfn.IFNA(INDEX('OSA | 3GB'!A:C,MATCH(DATA!D369,'OSA | 3GB'!A:A,0),3),0)</f>
        <v>100000</v>
      </c>
      <c r="J369" s="33">
        <f>INDEX('BIO WAHYU'!B:G,MATCH(DATA!D369,'BIO WAHYU'!B:B,0),5)</f>
        <v>3</v>
      </c>
      <c r="K369" s="34">
        <f>INDEX('BIO WAHYU'!B:G,MATCH(DATA!D369,'BIO WAHYU'!B:B,0),6)</f>
        <v>0</v>
      </c>
      <c r="L369" s="35">
        <f>INDEX('BIO WAHYU'!B:H,MATCH(DATA!D369,'BIO WAHYU'!B:B,0),7)</f>
        <v>0</v>
      </c>
      <c r="M369" s="34">
        <f>INDEX('BIO WAHYU'!B:H,MATCH(DATA!D369,'BIO WAHYU'!B:B,0),4)</f>
        <v>0</v>
      </c>
    </row>
    <row r="370" spans="1:13">
      <c r="A370" s="43" t="s">
        <v>1675</v>
      </c>
      <c r="B370" s="43">
        <v>2613051043</v>
      </c>
      <c r="C370" s="43" t="s">
        <v>1256</v>
      </c>
      <c r="D370" s="10">
        <v>12297173</v>
      </c>
      <c r="E370" s="43" t="s">
        <v>15</v>
      </c>
      <c r="F370" s="8">
        <f>_xlfn.IFNA(INDEX('OSA | 3GB'!J:L,MATCH(DATA!D370,'OSA | 3GB'!J:J,0),2),0)</f>
        <v>0</v>
      </c>
      <c r="G370" s="8">
        <f>_xlfn.IFNA(INDEX('OSA | 3GB'!J:L,MATCH(DATA!D370,'OSA | 3GB'!J:J,0),3),0)</f>
        <v>0</v>
      </c>
      <c r="H370" s="32" t="str">
        <f>_xlfn.IFNA(INDEX('OSA | 3GB'!A:C,MATCH(DATA!D370,'OSA | 3GB'!A:A,0),2),0)</f>
        <v xml:space="preserve"> -   </v>
      </c>
      <c r="I370" s="33" t="str">
        <f>_xlfn.IFNA(INDEX('OSA | 3GB'!A:C,MATCH(DATA!D370,'OSA | 3GB'!A:A,0),3),0)</f>
        <v xml:space="preserve"> -   </v>
      </c>
      <c r="J370" s="33">
        <f>INDEX('BIO WAHYU'!B:G,MATCH(DATA!D370,'BIO WAHYU'!B:B,0),5)</f>
        <v>0</v>
      </c>
      <c r="K370" s="34">
        <f>INDEX('BIO WAHYU'!B:G,MATCH(DATA!D370,'BIO WAHYU'!B:B,0),6)</f>
        <v>0</v>
      </c>
      <c r="L370" s="35">
        <f>INDEX('BIO WAHYU'!B:H,MATCH(DATA!D370,'BIO WAHYU'!B:B,0),7)</f>
        <v>0</v>
      </c>
      <c r="M370" s="34">
        <f>INDEX('BIO WAHYU'!B:H,MATCH(DATA!D370,'BIO WAHYU'!B:B,0),4)</f>
        <v>0</v>
      </c>
    </row>
    <row r="371" spans="1:13">
      <c r="A371" s="43" t="s">
        <v>1</v>
      </c>
      <c r="B371" s="43" t="s">
        <v>4</v>
      </c>
      <c r="C371" s="43" t="s">
        <v>1082</v>
      </c>
      <c r="D371" s="10">
        <v>539088</v>
      </c>
      <c r="E371" s="43" t="s">
        <v>10</v>
      </c>
      <c r="F371" s="8">
        <f>_xlfn.IFNA(INDEX('OSA | 3GB'!J:L,MATCH(DATA!D371,'OSA | 3GB'!J:J,0),2),0)</f>
        <v>24</v>
      </c>
      <c r="G371" s="8">
        <f>_xlfn.IFNA(INDEX('OSA | 3GB'!J:L,MATCH(DATA!D371,'OSA | 3GB'!J:J,0),3),0)</f>
        <v>8394000</v>
      </c>
      <c r="H371" s="32">
        <f>_xlfn.IFNA(INDEX('OSA | 3GB'!A:C,MATCH(DATA!D371,'OSA | 3GB'!A:A,0),2),0)</f>
        <v>10</v>
      </c>
      <c r="I371" s="33">
        <f>_xlfn.IFNA(INDEX('OSA | 3GB'!A:C,MATCH(DATA!D371,'OSA | 3GB'!A:A,0),3),0)</f>
        <v>7095000</v>
      </c>
      <c r="J371" s="33">
        <f>INDEX('BIO WAHYU'!B:G,MATCH(DATA!D371,'BIO WAHYU'!B:B,0),5)</f>
        <v>9</v>
      </c>
      <c r="K371" s="34">
        <f>INDEX('BIO WAHYU'!B:G,MATCH(DATA!D371,'BIO WAHYU'!B:B,0),6)</f>
        <v>1</v>
      </c>
      <c r="L371" s="35">
        <f>INDEX('BIO WAHYU'!B:H,MATCH(DATA!D371,'BIO WAHYU'!B:B,0),7)</f>
        <v>0</v>
      </c>
      <c r="M371" s="34">
        <f>INDEX('BIO WAHYU'!B:H,MATCH(DATA!D371,'BIO WAHYU'!B:B,0),4)</f>
        <v>0</v>
      </c>
    </row>
    <row r="372" spans="1:13">
      <c r="A372" s="43" t="s">
        <v>1672</v>
      </c>
      <c r="B372" s="43" t="s">
        <v>150</v>
      </c>
      <c r="C372" s="43" t="s">
        <v>835</v>
      </c>
      <c r="D372" s="10">
        <v>557418</v>
      </c>
      <c r="E372" s="43" t="s">
        <v>10</v>
      </c>
      <c r="F372" s="8">
        <f>_xlfn.IFNA(INDEX('OSA | 3GB'!J:L,MATCH(DATA!D372,'OSA | 3GB'!J:J,0),2),0)</f>
        <v>4</v>
      </c>
      <c r="G372" s="8">
        <f>_xlfn.IFNA(INDEX('OSA | 3GB'!J:L,MATCH(DATA!D372,'OSA | 3GB'!J:J,0),3),0)</f>
        <v>1979000</v>
      </c>
      <c r="H372" s="32" t="str">
        <f>_xlfn.IFNA(INDEX('OSA | 3GB'!A:C,MATCH(DATA!D372,'OSA | 3GB'!A:A,0),2),0)</f>
        <v xml:space="preserve"> -   </v>
      </c>
      <c r="I372" s="33">
        <f>_xlfn.IFNA(INDEX('OSA | 3GB'!A:C,MATCH(DATA!D372,'OSA | 3GB'!A:A,0),3),0)</f>
        <v>900000</v>
      </c>
      <c r="J372" s="33">
        <f>INDEX('BIO WAHYU'!B:G,MATCH(DATA!D372,'BIO WAHYU'!B:B,0),5)</f>
        <v>0</v>
      </c>
      <c r="K372" s="34">
        <f>INDEX('BIO WAHYU'!B:G,MATCH(DATA!D372,'BIO WAHYU'!B:B,0),6)</f>
        <v>2</v>
      </c>
      <c r="L372" s="35">
        <f>INDEX('BIO WAHYU'!B:H,MATCH(DATA!D372,'BIO WAHYU'!B:B,0),7)</f>
        <v>2</v>
      </c>
      <c r="M372" s="34">
        <f>INDEX('BIO WAHYU'!B:H,MATCH(DATA!D372,'BIO WAHYU'!B:B,0),4)</f>
        <v>0</v>
      </c>
    </row>
    <row r="373" spans="1:13">
      <c r="A373" s="43" t="s">
        <v>1673</v>
      </c>
      <c r="B373" s="43" t="s">
        <v>1140</v>
      </c>
      <c r="C373" s="43" t="s">
        <v>166</v>
      </c>
      <c r="D373" s="10">
        <v>531522</v>
      </c>
      <c r="E373" s="43" t="s">
        <v>15</v>
      </c>
      <c r="F373" s="8">
        <f>_xlfn.IFNA(INDEX('OSA | 3GB'!J:L,MATCH(DATA!D373,'OSA | 3GB'!J:J,0),2),0)</f>
        <v>3</v>
      </c>
      <c r="G373" s="8">
        <f>_xlfn.IFNA(INDEX('OSA | 3GB'!J:L,MATCH(DATA!D373,'OSA | 3GB'!J:J,0),3),0)</f>
        <v>1437500</v>
      </c>
      <c r="H373" s="32" t="str">
        <f>_xlfn.IFNA(INDEX('OSA | 3GB'!A:C,MATCH(DATA!D373,'OSA | 3GB'!A:A,0),2),0)</f>
        <v xml:space="preserve"> -   </v>
      </c>
      <c r="I373" s="33">
        <f>_xlfn.IFNA(INDEX('OSA | 3GB'!A:C,MATCH(DATA!D373,'OSA | 3GB'!A:A,0),3),0)</f>
        <v>500000</v>
      </c>
      <c r="J373" s="33">
        <f>INDEX('BIO WAHYU'!B:G,MATCH(DATA!D373,'BIO WAHYU'!B:B,0),5)</f>
        <v>1</v>
      </c>
      <c r="K373" s="34">
        <f>INDEX('BIO WAHYU'!B:G,MATCH(DATA!D373,'BIO WAHYU'!B:B,0),6)</f>
        <v>1</v>
      </c>
      <c r="L373" s="35">
        <f>INDEX('BIO WAHYU'!B:H,MATCH(DATA!D373,'BIO WAHYU'!B:B,0),7)</f>
        <v>0</v>
      </c>
      <c r="M373" s="34">
        <f>INDEX('BIO WAHYU'!B:H,MATCH(DATA!D373,'BIO WAHYU'!B:B,0),4)</f>
        <v>0</v>
      </c>
    </row>
    <row r="374" spans="1:13">
      <c r="A374" s="43" t="s">
        <v>1673</v>
      </c>
      <c r="B374" s="43" t="s">
        <v>158</v>
      </c>
      <c r="C374" s="43" t="s">
        <v>1257</v>
      </c>
      <c r="D374" s="10">
        <v>534186</v>
      </c>
      <c r="E374" s="43" t="s">
        <v>15</v>
      </c>
      <c r="F374" s="8">
        <f>_xlfn.IFNA(INDEX('OSA | 3GB'!J:L,MATCH(DATA!D374,'OSA | 3GB'!J:J,0),2),0)</f>
        <v>0</v>
      </c>
      <c r="G374" s="8">
        <f>_xlfn.IFNA(INDEX('OSA | 3GB'!J:L,MATCH(DATA!D374,'OSA | 3GB'!J:J,0),3),0)</f>
        <v>100000</v>
      </c>
      <c r="H374" s="32" t="str">
        <f>_xlfn.IFNA(INDEX('OSA | 3GB'!A:C,MATCH(DATA!D374,'OSA | 3GB'!A:A,0),2),0)</f>
        <v xml:space="preserve"> -   </v>
      </c>
      <c r="I374" s="33" t="str">
        <f>_xlfn.IFNA(INDEX('OSA | 3GB'!A:C,MATCH(DATA!D374,'OSA | 3GB'!A:A,0),3),0)</f>
        <v xml:space="preserve"> -   </v>
      </c>
      <c r="J374" s="33">
        <f>INDEX('BIO WAHYU'!B:G,MATCH(DATA!D374,'BIO WAHYU'!B:B,0),5)</f>
        <v>0</v>
      </c>
      <c r="K374" s="34">
        <f>INDEX('BIO WAHYU'!B:G,MATCH(DATA!D374,'BIO WAHYU'!B:B,0),6)</f>
        <v>0</v>
      </c>
      <c r="L374" s="35">
        <f>INDEX('BIO WAHYU'!B:H,MATCH(DATA!D374,'BIO WAHYU'!B:B,0),7)</f>
        <v>0</v>
      </c>
      <c r="M374" s="34">
        <f>INDEX('BIO WAHYU'!B:H,MATCH(DATA!D374,'BIO WAHYU'!B:B,0),4)</f>
        <v>0</v>
      </c>
    </row>
    <row r="375" spans="1:13">
      <c r="A375" s="43" t="s">
        <v>1674</v>
      </c>
      <c r="B375" s="43" t="s">
        <v>152</v>
      </c>
      <c r="C375" s="43" t="s">
        <v>1258</v>
      </c>
      <c r="D375" s="10">
        <v>199043</v>
      </c>
      <c r="E375" s="43" t="s">
        <v>10</v>
      </c>
      <c r="F375" s="8">
        <f>_xlfn.IFNA(INDEX('OSA | 3GB'!J:L,MATCH(DATA!D375,'OSA | 3GB'!J:J,0),2),0)</f>
        <v>3</v>
      </c>
      <c r="G375" s="8">
        <f>_xlfn.IFNA(INDEX('OSA | 3GB'!J:L,MATCH(DATA!D375,'OSA | 3GB'!J:J,0),3),0)</f>
        <v>208000</v>
      </c>
      <c r="H375" s="32" t="str">
        <f>_xlfn.IFNA(INDEX('OSA | 3GB'!A:C,MATCH(DATA!D375,'OSA | 3GB'!A:A,0),2),0)</f>
        <v xml:space="preserve"> -   </v>
      </c>
      <c r="I375" s="33" t="str">
        <f>_xlfn.IFNA(INDEX('OSA | 3GB'!A:C,MATCH(DATA!D375,'OSA | 3GB'!A:A,0),3),0)</f>
        <v xml:space="preserve"> -   </v>
      </c>
      <c r="J375" s="33">
        <f>INDEX('BIO WAHYU'!B:G,MATCH(DATA!D375,'BIO WAHYU'!B:B,0),5)</f>
        <v>0</v>
      </c>
      <c r="K375" s="34">
        <f>INDEX('BIO WAHYU'!B:G,MATCH(DATA!D375,'BIO WAHYU'!B:B,0),6)</f>
        <v>0</v>
      </c>
      <c r="L375" s="35">
        <f>INDEX('BIO WAHYU'!B:H,MATCH(DATA!D375,'BIO WAHYU'!B:B,0),7)</f>
        <v>0</v>
      </c>
      <c r="M375" s="34">
        <f>INDEX('BIO WAHYU'!B:H,MATCH(DATA!D375,'BIO WAHYU'!B:B,0),4)</f>
        <v>0</v>
      </c>
    </row>
    <row r="376" spans="1:13">
      <c r="A376" s="43" t="s">
        <v>1675</v>
      </c>
      <c r="B376" s="43">
        <v>2613051451</v>
      </c>
      <c r="C376" s="43" t="s">
        <v>1259</v>
      </c>
      <c r="D376" s="10">
        <v>357392</v>
      </c>
      <c r="E376" s="43" t="s">
        <v>10</v>
      </c>
      <c r="F376" s="8">
        <f>_xlfn.IFNA(INDEX('OSA | 3GB'!J:L,MATCH(DATA!D376,'OSA | 3GB'!J:J,0),2),0)</f>
        <v>0</v>
      </c>
      <c r="G376" s="8">
        <f>_xlfn.IFNA(INDEX('OSA | 3GB'!J:L,MATCH(DATA!D376,'OSA | 3GB'!J:J,0),3),0)</f>
        <v>0</v>
      </c>
      <c r="H376" s="32" t="str">
        <f>_xlfn.IFNA(INDEX('OSA | 3GB'!A:C,MATCH(DATA!D376,'OSA | 3GB'!A:A,0),2),0)</f>
        <v xml:space="preserve"> -   </v>
      </c>
      <c r="I376" s="33" t="str">
        <f>_xlfn.IFNA(INDEX('OSA | 3GB'!A:C,MATCH(DATA!D376,'OSA | 3GB'!A:A,0),3),0)</f>
        <v xml:space="preserve"> -   </v>
      </c>
      <c r="J376" s="33">
        <f>INDEX('BIO WAHYU'!B:G,MATCH(DATA!D376,'BIO WAHYU'!B:B,0),5)</f>
        <v>0</v>
      </c>
      <c r="K376" s="34">
        <f>INDEX('BIO WAHYU'!B:G,MATCH(DATA!D376,'BIO WAHYU'!B:B,0),6)</f>
        <v>0</v>
      </c>
      <c r="L376" s="35">
        <f>INDEX('BIO WAHYU'!B:H,MATCH(DATA!D376,'BIO WAHYU'!B:B,0),7)</f>
        <v>0</v>
      </c>
      <c r="M376" s="34">
        <f>INDEX('BIO WAHYU'!B:H,MATCH(DATA!D376,'BIO WAHYU'!B:B,0),4)</f>
        <v>0</v>
      </c>
    </row>
    <row r="377" spans="1:13">
      <c r="A377" s="43" t="s">
        <v>1673</v>
      </c>
      <c r="B377" s="43" t="s">
        <v>144</v>
      </c>
      <c r="C377" s="43" t="s">
        <v>1260</v>
      </c>
      <c r="D377" s="10">
        <v>211840</v>
      </c>
      <c r="E377" s="43" t="s">
        <v>10</v>
      </c>
      <c r="F377" s="8">
        <f>_xlfn.IFNA(INDEX('OSA | 3GB'!J:L,MATCH(DATA!D377,'OSA | 3GB'!J:J,0),2),0)</f>
        <v>0</v>
      </c>
      <c r="G377" s="8">
        <f>_xlfn.IFNA(INDEX('OSA | 3GB'!J:L,MATCH(DATA!D377,'OSA | 3GB'!J:J,0),3),0)</f>
        <v>1850000</v>
      </c>
      <c r="H377" s="32">
        <f>_xlfn.IFNA(INDEX('OSA | 3GB'!A:C,MATCH(DATA!D377,'OSA | 3GB'!A:A,0),2),0)</f>
        <v>1</v>
      </c>
      <c r="I377" s="33">
        <f>_xlfn.IFNA(INDEX('OSA | 3GB'!A:C,MATCH(DATA!D377,'OSA | 3GB'!A:A,0),3),0)</f>
        <v>229000</v>
      </c>
      <c r="J377" s="33">
        <f>INDEX('BIO WAHYU'!B:G,MATCH(DATA!D377,'BIO WAHYU'!B:B,0),5)</f>
        <v>16</v>
      </c>
      <c r="K377" s="34">
        <f>INDEX('BIO WAHYU'!B:G,MATCH(DATA!D377,'BIO WAHYU'!B:B,0),6)</f>
        <v>2</v>
      </c>
      <c r="L377" s="35">
        <f>INDEX('BIO WAHYU'!B:H,MATCH(DATA!D377,'BIO WAHYU'!B:B,0),7)</f>
        <v>0</v>
      </c>
      <c r="M377" s="34">
        <f>INDEX('BIO WAHYU'!B:H,MATCH(DATA!D377,'BIO WAHYU'!B:B,0),4)</f>
        <v>0</v>
      </c>
    </row>
    <row r="378" spans="1:13">
      <c r="A378" s="43" t="s">
        <v>1674</v>
      </c>
      <c r="B378" s="43">
        <v>2613052222</v>
      </c>
      <c r="C378" s="43" t="s">
        <v>1261</v>
      </c>
      <c r="D378" s="10">
        <v>127145</v>
      </c>
      <c r="E378" s="43" t="s">
        <v>23</v>
      </c>
      <c r="F378" s="8">
        <f>_xlfn.IFNA(INDEX('OSA | 3GB'!J:L,MATCH(DATA!D378,'OSA | 3GB'!J:J,0),2),0)</f>
        <v>0</v>
      </c>
      <c r="G378" s="8">
        <f>_xlfn.IFNA(INDEX('OSA | 3GB'!J:L,MATCH(DATA!D378,'OSA | 3GB'!J:J,0),3),0)</f>
        <v>0</v>
      </c>
      <c r="H378" s="32" t="str">
        <f>_xlfn.IFNA(INDEX('OSA | 3GB'!A:C,MATCH(DATA!D378,'OSA | 3GB'!A:A,0),2),0)</f>
        <v xml:space="preserve"> -   </v>
      </c>
      <c r="I378" s="33" t="str">
        <f>_xlfn.IFNA(INDEX('OSA | 3GB'!A:C,MATCH(DATA!D378,'OSA | 3GB'!A:A,0),3),0)</f>
        <v xml:space="preserve"> -   </v>
      </c>
      <c r="J378" s="33">
        <f>INDEX('BIO WAHYU'!B:G,MATCH(DATA!D378,'BIO WAHYU'!B:B,0),5)</f>
        <v>0</v>
      </c>
      <c r="K378" s="34">
        <f>INDEX('BIO WAHYU'!B:G,MATCH(DATA!D378,'BIO WAHYU'!B:B,0),6)</f>
        <v>0</v>
      </c>
      <c r="L378" s="35">
        <f>INDEX('BIO WAHYU'!B:H,MATCH(DATA!D378,'BIO WAHYU'!B:B,0),7)</f>
        <v>0</v>
      </c>
      <c r="M378" s="34">
        <f>INDEX('BIO WAHYU'!B:H,MATCH(DATA!D378,'BIO WAHYU'!B:B,0),4)</f>
        <v>0</v>
      </c>
    </row>
    <row r="379" spans="1:13">
      <c r="A379" s="43" t="s">
        <v>1672</v>
      </c>
      <c r="B379" s="43" t="s">
        <v>156</v>
      </c>
      <c r="C379" s="43" t="s">
        <v>992</v>
      </c>
      <c r="D379" s="10">
        <v>458943</v>
      </c>
      <c r="E379" s="43" t="s">
        <v>15</v>
      </c>
      <c r="F379" s="8">
        <f>_xlfn.IFNA(INDEX('OSA | 3GB'!J:L,MATCH(DATA!D379,'OSA | 3GB'!J:J,0),2),0)</f>
        <v>0</v>
      </c>
      <c r="G379" s="8">
        <f>_xlfn.IFNA(INDEX('OSA | 3GB'!J:L,MATCH(DATA!D379,'OSA | 3GB'!J:J,0),3),0)</f>
        <v>1300000</v>
      </c>
      <c r="H379" s="32" t="str">
        <f>_xlfn.IFNA(INDEX('OSA | 3GB'!A:C,MATCH(DATA!D379,'OSA | 3GB'!A:A,0),2),0)</f>
        <v xml:space="preserve"> -   </v>
      </c>
      <c r="I379" s="33">
        <f>_xlfn.IFNA(INDEX('OSA | 3GB'!A:C,MATCH(DATA!D379,'OSA | 3GB'!A:A,0),3),0)</f>
        <v>300000</v>
      </c>
      <c r="J379" s="33">
        <f>INDEX('BIO WAHYU'!B:G,MATCH(DATA!D379,'BIO WAHYU'!B:B,0),5)</f>
        <v>0</v>
      </c>
      <c r="K379" s="34">
        <f>INDEX('BIO WAHYU'!B:G,MATCH(DATA!D379,'BIO WAHYU'!B:B,0),6)</f>
        <v>0</v>
      </c>
      <c r="L379" s="35">
        <f>INDEX('BIO WAHYU'!B:H,MATCH(DATA!D379,'BIO WAHYU'!B:B,0),7)</f>
        <v>0</v>
      </c>
      <c r="M379" s="34">
        <f>INDEX('BIO WAHYU'!B:H,MATCH(DATA!D379,'BIO WAHYU'!B:B,0),4)</f>
        <v>0</v>
      </c>
    </row>
    <row r="380" spans="1:13">
      <c r="A380" s="43" t="s">
        <v>1671</v>
      </c>
      <c r="B380" s="43" t="s">
        <v>142</v>
      </c>
      <c r="C380" s="43" t="s">
        <v>346</v>
      </c>
      <c r="D380" s="10">
        <v>211665</v>
      </c>
      <c r="E380" s="43" t="s">
        <v>15</v>
      </c>
      <c r="F380" s="8">
        <f>_xlfn.IFNA(INDEX('OSA | 3GB'!J:L,MATCH(DATA!D380,'OSA | 3GB'!J:J,0),2),0)</f>
        <v>1</v>
      </c>
      <c r="G380" s="8">
        <f>_xlfn.IFNA(INDEX('OSA | 3GB'!J:L,MATCH(DATA!D380,'OSA | 3GB'!J:J,0),3),0)</f>
        <v>2250000</v>
      </c>
      <c r="H380" s="32" t="str">
        <f>_xlfn.IFNA(INDEX('OSA | 3GB'!A:C,MATCH(DATA!D380,'OSA | 3GB'!A:A,0),2),0)</f>
        <v xml:space="preserve"> -   </v>
      </c>
      <c r="I380" s="33">
        <f>_xlfn.IFNA(INDEX('OSA | 3GB'!A:C,MATCH(DATA!D380,'OSA | 3GB'!A:A,0),3),0)</f>
        <v>1200000</v>
      </c>
      <c r="J380" s="33">
        <f>INDEX('BIO WAHYU'!B:G,MATCH(DATA!D380,'BIO WAHYU'!B:B,0),5)</f>
        <v>3</v>
      </c>
      <c r="K380" s="34">
        <f>INDEX('BIO WAHYU'!B:G,MATCH(DATA!D380,'BIO WAHYU'!B:B,0),6)</f>
        <v>4</v>
      </c>
      <c r="L380" s="35">
        <f>INDEX('BIO WAHYU'!B:H,MATCH(DATA!D380,'BIO WAHYU'!B:B,0),7)</f>
        <v>1</v>
      </c>
      <c r="M380" s="34">
        <f>INDEX('BIO WAHYU'!B:H,MATCH(DATA!D380,'BIO WAHYU'!B:B,0),4)</f>
        <v>0</v>
      </c>
    </row>
    <row r="381" spans="1:13">
      <c r="A381" s="43" t="s">
        <v>1675</v>
      </c>
      <c r="B381" s="43">
        <v>2613051043</v>
      </c>
      <c r="C381" s="43" t="s">
        <v>1262</v>
      </c>
      <c r="D381" s="10">
        <v>12325944</v>
      </c>
      <c r="E381" s="43" t="s">
        <v>10</v>
      </c>
      <c r="F381" s="8">
        <f>_xlfn.IFNA(INDEX('OSA | 3GB'!J:L,MATCH(DATA!D381,'OSA | 3GB'!J:J,0),2),0)</f>
        <v>6</v>
      </c>
      <c r="G381" s="8">
        <f>_xlfn.IFNA(INDEX('OSA | 3GB'!J:L,MATCH(DATA!D381,'OSA | 3GB'!J:J,0),3),0)</f>
        <v>514000</v>
      </c>
      <c r="H381" s="32" t="str">
        <f>_xlfn.IFNA(INDEX('OSA | 3GB'!A:C,MATCH(DATA!D381,'OSA | 3GB'!A:A,0),2),0)</f>
        <v xml:space="preserve"> -   </v>
      </c>
      <c r="I381" s="33" t="str">
        <f>_xlfn.IFNA(INDEX('OSA | 3GB'!A:C,MATCH(DATA!D381,'OSA | 3GB'!A:A,0),3),0)</f>
        <v xml:space="preserve"> -   </v>
      </c>
      <c r="J381" s="33">
        <f>INDEX('BIO WAHYU'!B:G,MATCH(DATA!D381,'BIO WAHYU'!B:B,0),5)</f>
        <v>0</v>
      </c>
      <c r="K381" s="34">
        <f>INDEX('BIO WAHYU'!B:G,MATCH(DATA!D381,'BIO WAHYU'!B:B,0),6)</f>
        <v>0</v>
      </c>
      <c r="L381" s="35">
        <f>INDEX('BIO WAHYU'!B:H,MATCH(DATA!D381,'BIO WAHYU'!B:B,0),7)</f>
        <v>0</v>
      </c>
      <c r="M381" s="34">
        <f>INDEX('BIO WAHYU'!B:H,MATCH(DATA!D381,'BIO WAHYU'!B:B,0),4)</f>
        <v>0</v>
      </c>
    </row>
    <row r="382" spans="1:13">
      <c r="A382" s="43" t="s">
        <v>1670</v>
      </c>
      <c r="B382" s="43" t="s">
        <v>140</v>
      </c>
      <c r="C382" s="43" t="s">
        <v>1263</v>
      </c>
      <c r="D382" s="10">
        <v>394067</v>
      </c>
      <c r="E382" s="43" t="s">
        <v>10</v>
      </c>
      <c r="F382" s="8">
        <f>_xlfn.IFNA(INDEX('OSA | 3GB'!J:L,MATCH(DATA!D382,'OSA | 3GB'!J:J,0),2),0)</f>
        <v>7</v>
      </c>
      <c r="G382" s="8">
        <f>_xlfn.IFNA(INDEX('OSA | 3GB'!J:L,MATCH(DATA!D382,'OSA | 3GB'!J:J,0),3),0)</f>
        <v>700000</v>
      </c>
      <c r="H382" s="32" t="str">
        <f>_xlfn.IFNA(INDEX('OSA | 3GB'!A:C,MATCH(DATA!D382,'OSA | 3GB'!A:A,0),2),0)</f>
        <v xml:space="preserve"> -   </v>
      </c>
      <c r="I382" s="33">
        <f>_xlfn.IFNA(INDEX('OSA | 3GB'!A:C,MATCH(DATA!D382,'OSA | 3GB'!A:A,0),3),0)</f>
        <v>150000</v>
      </c>
      <c r="J382" s="33">
        <f>INDEX('BIO WAHYU'!B:G,MATCH(DATA!D382,'BIO WAHYU'!B:B,0),5)</f>
        <v>3</v>
      </c>
      <c r="K382" s="34">
        <f>INDEX('BIO WAHYU'!B:G,MATCH(DATA!D382,'BIO WAHYU'!B:B,0),6)</f>
        <v>1</v>
      </c>
      <c r="L382" s="35">
        <f>INDEX('BIO WAHYU'!B:H,MATCH(DATA!D382,'BIO WAHYU'!B:B,0),7)</f>
        <v>0</v>
      </c>
      <c r="M382" s="34">
        <f>INDEX('BIO WAHYU'!B:H,MATCH(DATA!D382,'BIO WAHYU'!B:B,0),4)</f>
        <v>0</v>
      </c>
    </row>
    <row r="383" spans="1:13">
      <c r="A383" s="43" t="s">
        <v>1672</v>
      </c>
      <c r="B383" s="43" t="s">
        <v>149</v>
      </c>
      <c r="C383" s="43" t="s">
        <v>793</v>
      </c>
      <c r="D383" s="10">
        <v>458978</v>
      </c>
      <c r="E383" s="43" t="s">
        <v>10</v>
      </c>
      <c r="F383" s="8">
        <f>_xlfn.IFNA(INDEX('OSA | 3GB'!J:L,MATCH(DATA!D383,'OSA | 3GB'!J:J,0),2),0)</f>
        <v>0</v>
      </c>
      <c r="G383" s="8">
        <f>_xlfn.IFNA(INDEX('OSA | 3GB'!J:L,MATCH(DATA!D383,'OSA | 3GB'!J:J,0),3),0)</f>
        <v>158000</v>
      </c>
      <c r="H383" s="32" t="str">
        <f>_xlfn.IFNA(INDEX('OSA | 3GB'!A:C,MATCH(DATA!D383,'OSA | 3GB'!A:A,0),2),0)</f>
        <v xml:space="preserve"> -   </v>
      </c>
      <c r="I383" s="33" t="str">
        <f>_xlfn.IFNA(INDEX('OSA | 3GB'!A:C,MATCH(DATA!D383,'OSA | 3GB'!A:A,0),3),0)</f>
        <v xml:space="preserve"> -   </v>
      </c>
      <c r="J383" s="33">
        <f>INDEX('BIO WAHYU'!B:G,MATCH(DATA!D383,'BIO WAHYU'!B:B,0),5)</f>
        <v>0</v>
      </c>
      <c r="K383" s="34">
        <f>INDEX('BIO WAHYU'!B:G,MATCH(DATA!D383,'BIO WAHYU'!B:B,0),6)</f>
        <v>0</v>
      </c>
      <c r="L383" s="35">
        <f>INDEX('BIO WAHYU'!B:H,MATCH(DATA!D383,'BIO WAHYU'!B:B,0),7)</f>
        <v>0</v>
      </c>
      <c r="M383" s="34">
        <f>INDEX('BIO WAHYU'!B:H,MATCH(DATA!D383,'BIO WAHYU'!B:B,0),4)</f>
        <v>0</v>
      </c>
    </row>
    <row r="384" spans="1:13">
      <c r="A384" s="43" t="s">
        <v>1672</v>
      </c>
      <c r="B384" s="43" t="s">
        <v>156</v>
      </c>
      <c r="C384" s="43" t="s">
        <v>1003</v>
      </c>
      <c r="D384" s="10">
        <v>61861</v>
      </c>
      <c r="E384" s="43" t="s">
        <v>10</v>
      </c>
      <c r="F384" s="8">
        <f>_xlfn.IFNA(INDEX('OSA | 3GB'!J:L,MATCH(DATA!D384,'OSA | 3GB'!J:J,0),2),0)</f>
        <v>0</v>
      </c>
      <c r="G384" s="8">
        <f>_xlfn.IFNA(INDEX('OSA | 3GB'!J:L,MATCH(DATA!D384,'OSA | 3GB'!J:J,0),3),0)</f>
        <v>0</v>
      </c>
      <c r="H384" s="32">
        <f>_xlfn.IFNA(INDEX('OSA | 3GB'!A:C,MATCH(DATA!D384,'OSA | 3GB'!A:A,0),2),0)</f>
        <v>30</v>
      </c>
      <c r="I384" s="33">
        <f>_xlfn.IFNA(INDEX('OSA | 3GB'!A:C,MATCH(DATA!D384,'OSA | 3GB'!A:A,0),3),0)</f>
        <v>870000</v>
      </c>
      <c r="J384" s="33">
        <f>INDEX('BIO WAHYU'!B:G,MATCH(DATA!D384,'BIO WAHYU'!B:B,0),5)</f>
        <v>0</v>
      </c>
      <c r="K384" s="34">
        <f>INDEX('BIO WAHYU'!B:G,MATCH(DATA!D384,'BIO WAHYU'!B:B,0),6)</f>
        <v>0</v>
      </c>
      <c r="L384" s="35">
        <f>INDEX('BIO WAHYU'!B:H,MATCH(DATA!D384,'BIO WAHYU'!B:B,0),7)</f>
        <v>0</v>
      </c>
      <c r="M384" s="34">
        <f>INDEX('BIO WAHYU'!B:H,MATCH(DATA!D384,'BIO WAHYU'!B:B,0),4)</f>
        <v>0</v>
      </c>
    </row>
    <row r="385" spans="1:13">
      <c r="A385" s="43" t="s">
        <v>1670</v>
      </c>
      <c r="B385" s="43" t="s">
        <v>146</v>
      </c>
      <c r="C385" s="43" t="s">
        <v>169</v>
      </c>
      <c r="D385" s="10">
        <v>493188</v>
      </c>
      <c r="E385" s="43" t="s">
        <v>15</v>
      </c>
      <c r="F385" s="8">
        <f>_xlfn.IFNA(INDEX('OSA | 3GB'!J:L,MATCH(DATA!D385,'OSA | 3GB'!J:J,0),2),0)</f>
        <v>5</v>
      </c>
      <c r="G385" s="8">
        <f>_xlfn.IFNA(INDEX('OSA | 3GB'!J:L,MATCH(DATA!D385,'OSA | 3GB'!J:J,0),3),0)</f>
        <v>100000</v>
      </c>
      <c r="H385" s="32">
        <f>_xlfn.IFNA(INDEX('OSA | 3GB'!A:C,MATCH(DATA!D385,'OSA | 3GB'!A:A,0),2),0)</f>
        <v>3</v>
      </c>
      <c r="I385" s="33">
        <f>_xlfn.IFNA(INDEX('OSA | 3GB'!A:C,MATCH(DATA!D385,'OSA | 3GB'!A:A,0),3),0)</f>
        <v>200000</v>
      </c>
      <c r="J385" s="33">
        <f>INDEX('BIO WAHYU'!B:G,MATCH(DATA!D385,'BIO WAHYU'!B:B,0),5)</f>
        <v>4</v>
      </c>
      <c r="K385" s="34">
        <f>INDEX('BIO WAHYU'!B:G,MATCH(DATA!D385,'BIO WAHYU'!B:B,0),6)</f>
        <v>0</v>
      </c>
      <c r="L385" s="35">
        <f>INDEX('BIO WAHYU'!B:H,MATCH(DATA!D385,'BIO WAHYU'!B:B,0),7)</f>
        <v>0</v>
      </c>
      <c r="M385" s="34">
        <f>INDEX('BIO WAHYU'!B:H,MATCH(DATA!D385,'BIO WAHYU'!B:B,0),4)</f>
        <v>0</v>
      </c>
    </row>
    <row r="386" spans="1:13">
      <c r="A386" s="43" t="s">
        <v>1</v>
      </c>
      <c r="B386" s="43" t="s">
        <v>5</v>
      </c>
      <c r="C386" s="43" t="s">
        <v>112</v>
      </c>
      <c r="D386" s="10">
        <v>61688</v>
      </c>
      <c r="E386" s="43" t="s">
        <v>10</v>
      </c>
      <c r="F386" s="8">
        <f>_xlfn.IFNA(INDEX('OSA | 3GB'!J:L,MATCH(DATA!D386,'OSA | 3GB'!J:J,0),2),0)</f>
        <v>4</v>
      </c>
      <c r="G386" s="8">
        <f>_xlfn.IFNA(INDEX('OSA | 3GB'!J:L,MATCH(DATA!D386,'OSA | 3GB'!J:J,0),3),0)</f>
        <v>300000</v>
      </c>
      <c r="H386" s="32">
        <f>_xlfn.IFNA(INDEX('OSA | 3GB'!A:C,MATCH(DATA!D386,'OSA | 3GB'!A:A,0),2),0)</f>
        <v>4</v>
      </c>
      <c r="I386" s="33">
        <f>_xlfn.IFNA(INDEX('OSA | 3GB'!A:C,MATCH(DATA!D386,'OSA | 3GB'!A:A,0),3),0)</f>
        <v>200000</v>
      </c>
      <c r="J386" s="33">
        <f>INDEX('BIO WAHYU'!B:G,MATCH(DATA!D386,'BIO WAHYU'!B:B,0),5)</f>
        <v>5</v>
      </c>
      <c r="K386" s="34">
        <f>INDEX('BIO WAHYU'!B:G,MATCH(DATA!D386,'BIO WAHYU'!B:B,0),6)</f>
        <v>0</v>
      </c>
      <c r="L386" s="35">
        <f>INDEX('BIO WAHYU'!B:H,MATCH(DATA!D386,'BIO WAHYU'!B:B,0),7)</f>
        <v>0</v>
      </c>
      <c r="M386" s="34">
        <f>INDEX('BIO WAHYU'!B:H,MATCH(DATA!D386,'BIO WAHYU'!B:B,0),4)</f>
        <v>0</v>
      </c>
    </row>
    <row r="387" spans="1:13">
      <c r="A387" s="43" t="s">
        <v>1675</v>
      </c>
      <c r="B387" s="43">
        <v>2613051043</v>
      </c>
      <c r="C387" s="43" t="s">
        <v>446</v>
      </c>
      <c r="D387" s="10">
        <v>12297044</v>
      </c>
      <c r="E387" s="43" t="s">
        <v>15</v>
      </c>
      <c r="F387" s="8">
        <f>_xlfn.IFNA(INDEX('OSA | 3GB'!J:L,MATCH(DATA!D387,'OSA | 3GB'!J:J,0),2),0)</f>
        <v>0</v>
      </c>
      <c r="G387" s="8">
        <f>_xlfn.IFNA(INDEX('OSA | 3GB'!J:L,MATCH(DATA!D387,'OSA | 3GB'!J:J,0),3),0)</f>
        <v>0</v>
      </c>
      <c r="H387" s="32" t="str">
        <f>_xlfn.IFNA(INDEX('OSA | 3GB'!A:C,MATCH(DATA!D387,'OSA | 3GB'!A:A,0),2),0)</f>
        <v xml:space="preserve"> -   </v>
      </c>
      <c r="I387" s="33" t="str">
        <f>_xlfn.IFNA(INDEX('OSA | 3GB'!A:C,MATCH(DATA!D387,'OSA | 3GB'!A:A,0),3),0)</f>
        <v xml:space="preserve"> -   </v>
      </c>
      <c r="J387" s="33">
        <f>INDEX('BIO WAHYU'!B:G,MATCH(DATA!D387,'BIO WAHYU'!B:B,0),5)</f>
        <v>0</v>
      </c>
      <c r="K387" s="34">
        <f>INDEX('BIO WAHYU'!B:G,MATCH(DATA!D387,'BIO WAHYU'!B:B,0),6)</f>
        <v>0</v>
      </c>
      <c r="L387" s="35">
        <f>INDEX('BIO WAHYU'!B:H,MATCH(DATA!D387,'BIO WAHYU'!B:B,0),7)</f>
        <v>0</v>
      </c>
      <c r="M387" s="34">
        <f>INDEX('BIO WAHYU'!B:H,MATCH(DATA!D387,'BIO WAHYU'!B:B,0),4)</f>
        <v>0</v>
      </c>
    </row>
    <row r="388" spans="1:13">
      <c r="A388" s="43" t="s">
        <v>1671</v>
      </c>
      <c r="B388" s="43">
        <v>2613050886</v>
      </c>
      <c r="C388" s="43" t="s">
        <v>329</v>
      </c>
      <c r="D388" s="10">
        <v>517546</v>
      </c>
      <c r="E388" s="43" t="s">
        <v>15</v>
      </c>
      <c r="F388" s="8">
        <f>_xlfn.IFNA(INDEX('OSA | 3GB'!J:L,MATCH(DATA!D388,'OSA | 3GB'!J:J,0),2),0)</f>
        <v>5</v>
      </c>
      <c r="G388" s="8">
        <f>_xlfn.IFNA(INDEX('OSA | 3GB'!J:L,MATCH(DATA!D388,'OSA | 3GB'!J:J,0),3),0)</f>
        <v>450000</v>
      </c>
      <c r="H388" s="32" t="str">
        <f>_xlfn.IFNA(INDEX('OSA | 3GB'!A:C,MATCH(DATA!D388,'OSA | 3GB'!A:A,0),2),0)</f>
        <v xml:space="preserve"> -   </v>
      </c>
      <c r="I388" s="33">
        <f>_xlfn.IFNA(INDEX('OSA | 3GB'!A:C,MATCH(DATA!D388,'OSA | 3GB'!A:A,0),3),0)</f>
        <v>150000</v>
      </c>
      <c r="J388" s="33">
        <f>INDEX('BIO WAHYU'!B:G,MATCH(DATA!D388,'BIO WAHYU'!B:B,0),5)</f>
        <v>1</v>
      </c>
      <c r="K388" s="34">
        <f>INDEX('BIO WAHYU'!B:G,MATCH(DATA!D388,'BIO WAHYU'!B:B,0),6)</f>
        <v>0</v>
      </c>
      <c r="L388" s="35">
        <f>INDEX('BIO WAHYU'!B:H,MATCH(DATA!D388,'BIO WAHYU'!B:B,0),7)</f>
        <v>0</v>
      </c>
      <c r="M388" s="34">
        <f>INDEX('BIO WAHYU'!B:H,MATCH(DATA!D388,'BIO WAHYU'!B:B,0),4)</f>
        <v>0</v>
      </c>
    </row>
    <row r="389" spans="1:13">
      <c r="A389" s="43" t="s">
        <v>1672</v>
      </c>
      <c r="B389" s="43" t="s">
        <v>151</v>
      </c>
      <c r="C389" s="43" t="s">
        <v>852</v>
      </c>
      <c r="D389" s="10">
        <v>12322963</v>
      </c>
      <c r="E389" s="43" t="s">
        <v>10</v>
      </c>
      <c r="F389" s="8">
        <f>_xlfn.IFNA(INDEX('OSA | 3GB'!J:L,MATCH(DATA!D389,'OSA | 3GB'!J:J,0),2),0)</f>
        <v>37</v>
      </c>
      <c r="G389" s="8">
        <f>_xlfn.IFNA(INDEX('OSA | 3GB'!J:L,MATCH(DATA!D389,'OSA | 3GB'!J:J,0),3),0)</f>
        <v>824000</v>
      </c>
      <c r="H389" s="32" t="str">
        <f>_xlfn.IFNA(INDEX('OSA | 3GB'!A:C,MATCH(DATA!D389,'OSA | 3GB'!A:A,0),2),0)</f>
        <v xml:space="preserve"> -   </v>
      </c>
      <c r="I389" s="33" t="str">
        <f>_xlfn.IFNA(INDEX('OSA | 3GB'!A:C,MATCH(DATA!D389,'OSA | 3GB'!A:A,0),3),0)</f>
        <v xml:space="preserve"> -   </v>
      </c>
      <c r="J389" s="33">
        <f>INDEX('BIO WAHYU'!B:G,MATCH(DATA!D389,'BIO WAHYU'!B:B,0),5)</f>
        <v>20</v>
      </c>
      <c r="K389" s="34">
        <f>INDEX('BIO WAHYU'!B:G,MATCH(DATA!D389,'BIO WAHYU'!B:B,0),6)</f>
        <v>0</v>
      </c>
      <c r="L389" s="35">
        <f>INDEX('BIO WAHYU'!B:H,MATCH(DATA!D389,'BIO WAHYU'!B:B,0),7)</f>
        <v>0</v>
      </c>
      <c r="M389" s="34">
        <f>INDEX('BIO WAHYU'!B:H,MATCH(DATA!D389,'BIO WAHYU'!B:B,0),4)</f>
        <v>0</v>
      </c>
    </row>
    <row r="390" spans="1:13">
      <c r="A390" s="43" t="s">
        <v>1670</v>
      </c>
      <c r="B390" s="43" t="s">
        <v>145</v>
      </c>
      <c r="C390" s="43" t="s">
        <v>498</v>
      </c>
      <c r="D390" s="10">
        <v>211692</v>
      </c>
      <c r="E390" s="43" t="s">
        <v>15</v>
      </c>
      <c r="F390" s="8">
        <f>_xlfn.IFNA(INDEX('OSA | 3GB'!J:L,MATCH(DATA!D390,'OSA | 3GB'!J:J,0),2),0)</f>
        <v>7</v>
      </c>
      <c r="G390" s="8">
        <f>_xlfn.IFNA(INDEX('OSA | 3GB'!J:L,MATCH(DATA!D390,'OSA | 3GB'!J:J,0),3),0)</f>
        <v>900000</v>
      </c>
      <c r="H390" s="32" t="str">
        <f>_xlfn.IFNA(INDEX('OSA | 3GB'!A:C,MATCH(DATA!D390,'OSA | 3GB'!A:A,0),2),0)</f>
        <v xml:space="preserve"> -   </v>
      </c>
      <c r="I390" s="33">
        <f>_xlfn.IFNA(INDEX('OSA | 3GB'!A:C,MATCH(DATA!D390,'OSA | 3GB'!A:A,0),3),0)</f>
        <v>300000</v>
      </c>
      <c r="J390" s="33">
        <f>INDEX('BIO WAHYU'!B:G,MATCH(DATA!D390,'BIO WAHYU'!B:B,0),5)</f>
        <v>3</v>
      </c>
      <c r="K390" s="34">
        <f>INDEX('BIO WAHYU'!B:G,MATCH(DATA!D390,'BIO WAHYU'!B:B,0),6)</f>
        <v>2</v>
      </c>
      <c r="L390" s="35">
        <f>INDEX('BIO WAHYU'!B:H,MATCH(DATA!D390,'BIO WAHYU'!B:B,0),7)</f>
        <v>0</v>
      </c>
      <c r="M390" s="34">
        <f>INDEX('BIO WAHYU'!B:H,MATCH(DATA!D390,'BIO WAHYU'!B:B,0),4)</f>
        <v>0</v>
      </c>
    </row>
    <row r="391" spans="1:13">
      <c r="A391" s="43" t="s">
        <v>1670</v>
      </c>
      <c r="B391" s="43" t="s">
        <v>146</v>
      </c>
      <c r="C391" s="43" t="s">
        <v>547</v>
      </c>
      <c r="D391" s="10">
        <v>9171</v>
      </c>
      <c r="E391" s="43" t="s">
        <v>10</v>
      </c>
      <c r="F391" s="8">
        <f>_xlfn.IFNA(INDEX('OSA | 3GB'!J:L,MATCH(DATA!D391,'OSA | 3GB'!J:J,0),2),0)</f>
        <v>4</v>
      </c>
      <c r="G391" s="8">
        <f>_xlfn.IFNA(INDEX('OSA | 3GB'!J:L,MATCH(DATA!D391,'OSA | 3GB'!J:J,0),3),0)</f>
        <v>7750000</v>
      </c>
      <c r="H391" s="32">
        <f>_xlfn.IFNA(INDEX('OSA | 3GB'!A:C,MATCH(DATA!D391,'OSA | 3GB'!A:A,0),2),0)</f>
        <v>3</v>
      </c>
      <c r="I391" s="33">
        <f>_xlfn.IFNA(INDEX('OSA | 3GB'!A:C,MATCH(DATA!D391,'OSA | 3GB'!A:A,0),3),0)</f>
        <v>2750000</v>
      </c>
      <c r="J391" s="33">
        <f>INDEX('BIO WAHYU'!B:G,MATCH(DATA!D391,'BIO WAHYU'!B:B,0),5)</f>
        <v>4</v>
      </c>
      <c r="K391" s="34">
        <f>INDEX('BIO WAHYU'!B:G,MATCH(DATA!D391,'BIO WAHYU'!B:B,0),6)</f>
        <v>0</v>
      </c>
      <c r="L391" s="35">
        <f>INDEX('BIO WAHYU'!B:H,MATCH(DATA!D391,'BIO WAHYU'!B:B,0),7)</f>
        <v>0</v>
      </c>
      <c r="M391" s="34">
        <f>INDEX('BIO WAHYU'!B:H,MATCH(DATA!D391,'BIO WAHYU'!B:B,0),4)</f>
        <v>0</v>
      </c>
    </row>
    <row r="392" spans="1:13">
      <c r="A392" s="43" t="s">
        <v>1674</v>
      </c>
      <c r="B392" s="43" t="s">
        <v>147</v>
      </c>
      <c r="C392" s="43" t="s">
        <v>608</v>
      </c>
      <c r="D392" s="10">
        <v>281776</v>
      </c>
      <c r="E392" s="43" t="s">
        <v>10</v>
      </c>
      <c r="F392" s="8">
        <f>_xlfn.IFNA(INDEX('OSA | 3GB'!J:L,MATCH(DATA!D392,'OSA | 3GB'!J:J,0),2),0)</f>
        <v>3</v>
      </c>
      <c r="G392" s="8">
        <f>_xlfn.IFNA(INDEX('OSA | 3GB'!J:L,MATCH(DATA!D392,'OSA | 3GB'!J:J,0),3),0)</f>
        <v>500000</v>
      </c>
      <c r="H392" s="32" t="str">
        <f>_xlfn.IFNA(INDEX('OSA | 3GB'!A:C,MATCH(DATA!D392,'OSA | 3GB'!A:A,0),2),0)</f>
        <v xml:space="preserve"> -   </v>
      </c>
      <c r="I392" s="33">
        <f>_xlfn.IFNA(INDEX('OSA | 3GB'!A:C,MATCH(DATA!D392,'OSA | 3GB'!A:A,0),3),0)</f>
        <v>700000</v>
      </c>
      <c r="J392" s="33">
        <f>INDEX('BIO WAHYU'!B:G,MATCH(DATA!D392,'BIO WAHYU'!B:B,0),5)</f>
        <v>1</v>
      </c>
      <c r="K392" s="34">
        <f>INDEX('BIO WAHYU'!B:G,MATCH(DATA!D392,'BIO WAHYU'!B:B,0),6)</f>
        <v>0</v>
      </c>
      <c r="L392" s="35">
        <f>INDEX('BIO WAHYU'!B:H,MATCH(DATA!D392,'BIO WAHYU'!B:B,0),7)</f>
        <v>0</v>
      </c>
      <c r="M392" s="34">
        <f>INDEX('BIO WAHYU'!B:H,MATCH(DATA!D392,'BIO WAHYU'!B:B,0),4)</f>
        <v>0</v>
      </c>
    </row>
    <row r="393" spans="1:13">
      <c r="A393" s="43" t="s">
        <v>1671</v>
      </c>
      <c r="B393" s="43" t="s">
        <v>142</v>
      </c>
      <c r="C393" s="43" t="s">
        <v>349</v>
      </c>
      <c r="D393" s="10">
        <v>211672</v>
      </c>
      <c r="E393" s="43" t="s">
        <v>10</v>
      </c>
      <c r="F393" s="8">
        <f>_xlfn.IFNA(INDEX('OSA | 3GB'!J:L,MATCH(DATA!D393,'OSA | 3GB'!J:J,0),2),0)</f>
        <v>5</v>
      </c>
      <c r="G393" s="8">
        <f>_xlfn.IFNA(INDEX('OSA | 3GB'!J:L,MATCH(DATA!D393,'OSA | 3GB'!J:J,0),3),0)</f>
        <v>34750000</v>
      </c>
      <c r="H393" s="32" t="str">
        <f>_xlfn.IFNA(INDEX('OSA | 3GB'!A:C,MATCH(DATA!D393,'OSA | 3GB'!A:A,0),2),0)</f>
        <v xml:space="preserve"> -   </v>
      </c>
      <c r="I393" s="33">
        <f>_xlfn.IFNA(INDEX('OSA | 3GB'!A:C,MATCH(DATA!D393,'OSA | 3GB'!A:A,0),3),0)</f>
        <v>16300000</v>
      </c>
      <c r="J393" s="33">
        <f>INDEX('BIO WAHYU'!B:G,MATCH(DATA!D393,'BIO WAHYU'!B:B,0),5)</f>
        <v>3</v>
      </c>
      <c r="K393" s="34">
        <f>INDEX('BIO WAHYU'!B:G,MATCH(DATA!D393,'BIO WAHYU'!B:B,0),6)</f>
        <v>4</v>
      </c>
      <c r="L393" s="35">
        <f>INDEX('BIO WAHYU'!B:H,MATCH(DATA!D393,'BIO WAHYU'!B:B,0),7)</f>
        <v>1</v>
      </c>
      <c r="M393" s="34">
        <f>INDEX('BIO WAHYU'!B:H,MATCH(DATA!D393,'BIO WAHYU'!B:B,0),4)</f>
        <v>1</v>
      </c>
    </row>
    <row r="394" spans="1:13">
      <c r="A394" s="43" t="s">
        <v>1673</v>
      </c>
      <c r="B394" s="43" t="s">
        <v>1140</v>
      </c>
      <c r="C394" s="43" t="s">
        <v>1264</v>
      </c>
      <c r="D394" s="10">
        <v>62414</v>
      </c>
      <c r="E394" s="43" t="s">
        <v>10</v>
      </c>
      <c r="F394" s="8">
        <f>_xlfn.IFNA(INDEX('OSA | 3GB'!J:L,MATCH(DATA!D394,'OSA | 3GB'!J:J,0),2),0)</f>
        <v>10</v>
      </c>
      <c r="G394" s="8">
        <f>_xlfn.IFNA(INDEX('OSA | 3GB'!J:L,MATCH(DATA!D394,'OSA | 3GB'!J:J,0),3),0)</f>
        <v>5200000</v>
      </c>
      <c r="H394" s="32" t="str">
        <f>_xlfn.IFNA(INDEX('OSA | 3GB'!A:C,MATCH(DATA!D394,'OSA | 3GB'!A:A,0),2),0)</f>
        <v xml:space="preserve"> -   </v>
      </c>
      <c r="I394" s="33">
        <f>_xlfn.IFNA(INDEX('OSA | 3GB'!A:C,MATCH(DATA!D394,'OSA | 3GB'!A:A,0),3),0)</f>
        <v>1800000</v>
      </c>
      <c r="J394" s="33">
        <f>INDEX('BIO WAHYU'!B:G,MATCH(DATA!D394,'BIO WAHYU'!B:B,0),5)</f>
        <v>13</v>
      </c>
      <c r="K394" s="34">
        <f>INDEX('BIO WAHYU'!B:G,MATCH(DATA!D394,'BIO WAHYU'!B:B,0),6)</f>
        <v>5</v>
      </c>
      <c r="L394" s="35">
        <f>INDEX('BIO WAHYU'!B:H,MATCH(DATA!D394,'BIO WAHYU'!B:B,0),7)</f>
        <v>0</v>
      </c>
      <c r="M394" s="34">
        <f>INDEX('BIO WAHYU'!B:H,MATCH(DATA!D394,'BIO WAHYU'!B:B,0),4)</f>
        <v>0</v>
      </c>
    </row>
    <row r="395" spans="1:13">
      <c r="A395" s="43" t="s">
        <v>1671</v>
      </c>
      <c r="B395" s="43">
        <v>2613050885</v>
      </c>
      <c r="C395" s="43" t="s">
        <v>1265</v>
      </c>
      <c r="D395" s="10">
        <v>403618</v>
      </c>
      <c r="E395" s="43" t="s">
        <v>15</v>
      </c>
      <c r="F395" s="8">
        <f>_xlfn.IFNA(INDEX('OSA | 3GB'!J:L,MATCH(DATA!D395,'OSA | 3GB'!J:J,0),2),0)</f>
        <v>10</v>
      </c>
      <c r="G395" s="8">
        <f>_xlfn.IFNA(INDEX('OSA | 3GB'!J:L,MATCH(DATA!D395,'OSA | 3GB'!J:J,0),3),0)</f>
        <v>15512000</v>
      </c>
      <c r="H395" s="32">
        <f>_xlfn.IFNA(INDEX('OSA | 3GB'!A:C,MATCH(DATA!D395,'OSA | 3GB'!A:A,0),2),0)</f>
        <v>3</v>
      </c>
      <c r="I395" s="33" t="str">
        <f>_xlfn.IFNA(INDEX('OSA | 3GB'!A:C,MATCH(DATA!D395,'OSA | 3GB'!A:A,0),3),0)</f>
        <v xml:space="preserve"> -   </v>
      </c>
      <c r="J395" s="33">
        <f>INDEX('BIO WAHYU'!B:G,MATCH(DATA!D395,'BIO WAHYU'!B:B,0),5)</f>
        <v>7</v>
      </c>
      <c r="K395" s="34">
        <f>INDEX('BIO WAHYU'!B:G,MATCH(DATA!D395,'BIO WAHYU'!B:B,0),6)</f>
        <v>3</v>
      </c>
      <c r="L395" s="35">
        <f>INDEX('BIO WAHYU'!B:H,MATCH(DATA!D395,'BIO WAHYU'!B:B,0),7)</f>
        <v>0</v>
      </c>
      <c r="M395" s="34">
        <f>INDEX('BIO WAHYU'!B:H,MATCH(DATA!D395,'BIO WAHYU'!B:B,0),4)</f>
        <v>0</v>
      </c>
    </row>
    <row r="396" spans="1:13">
      <c r="A396" s="43" t="s">
        <v>1670</v>
      </c>
      <c r="B396" s="43">
        <v>2613051412</v>
      </c>
      <c r="C396" s="43" t="s">
        <v>1266</v>
      </c>
      <c r="D396" s="10">
        <v>12323991</v>
      </c>
      <c r="E396" s="43" t="s">
        <v>10</v>
      </c>
      <c r="F396" s="8">
        <f>_xlfn.IFNA(INDEX('OSA | 3GB'!J:L,MATCH(DATA!D396,'OSA | 3GB'!J:J,0),2),0)</f>
        <v>0</v>
      </c>
      <c r="G396" s="8">
        <f>_xlfn.IFNA(INDEX('OSA | 3GB'!J:L,MATCH(DATA!D396,'OSA | 3GB'!J:J,0),3),0)</f>
        <v>100000</v>
      </c>
      <c r="H396" s="32" t="str">
        <f>_xlfn.IFNA(INDEX('OSA | 3GB'!A:C,MATCH(DATA!D396,'OSA | 3GB'!A:A,0),2),0)</f>
        <v xml:space="preserve"> -   </v>
      </c>
      <c r="I396" s="33">
        <f>_xlfn.IFNA(INDEX('OSA | 3GB'!A:C,MATCH(DATA!D396,'OSA | 3GB'!A:A,0),3),0)</f>
        <v>100000</v>
      </c>
      <c r="J396" s="33">
        <f>INDEX('BIO WAHYU'!B:G,MATCH(DATA!D396,'BIO WAHYU'!B:B,0),5)</f>
        <v>0</v>
      </c>
      <c r="K396" s="34">
        <f>INDEX('BIO WAHYU'!B:G,MATCH(DATA!D396,'BIO WAHYU'!B:B,0),6)</f>
        <v>0</v>
      </c>
      <c r="L396" s="35">
        <f>INDEX('BIO WAHYU'!B:H,MATCH(DATA!D396,'BIO WAHYU'!B:B,0),7)</f>
        <v>0</v>
      </c>
      <c r="M396" s="34">
        <f>INDEX('BIO WAHYU'!B:H,MATCH(DATA!D396,'BIO WAHYU'!B:B,0),4)</f>
        <v>0</v>
      </c>
    </row>
    <row r="397" spans="1:13">
      <c r="A397" s="43" t="s">
        <v>1672</v>
      </c>
      <c r="B397" s="43" t="s">
        <v>157</v>
      </c>
      <c r="C397" s="43" t="s">
        <v>90</v>
      </c>
      <c r="D397" s="10">
        <v>62204</v>
      </c>
      <c r="E397" s="43" t="s">
        <v>10</v>
      </c>
      <c r="F397" s="8">
        <f>_xlfn.IFNA(INDEX('OSA | 3GB'!J:L,MATCH(DATA!D397,'OSA | 3GB'!J:J,0),2),0)</f>
        <v>0</v>
      </c>
      <c r="G397" s="8">
        <f>_xlfn.IFNA(INDEX('OSA | 3GB'!J:L,MATCH(DATA!D397,'OSA | 3GB'!J:J,0),3),0)</f>
        <v>1850000</v>
      </c>
      <c r="H397" s="32">
        <f>_xlfn.IFNA(INDEX('OSA | 3GB'!A:C,MATCH(DATA!D397,'OSA | 3GB'!A:A,0),2),0)</f>
        <v>3</v>
      </c>
      <c r="I397" s="33">
        <f>_xlfn.IFNA(INDEX('OSA | 3GB'!A:C,MATCH(DATA!D397,'OSA | 3GB'!A:A,0),3),0)</f>
        <v>740000</v>
      </c>
      <c r="J397" s="33">
        <f>INDEX('BIO WAHYU'!B:G,MATCH(DATA!D397,'BIO WAHYU'!B:B,0),5)</f>
        <v>0</v>
      </c>
      <c r="K397" s="34">
        <f>INDEX('BIO WAHYU'!B:G,MATCH(DATA!D397,'BIO WAHYU'!B:B,0),6)</f>
        <v>0</v>
      </c>
      <c r="L397" s="35">
        <f>INDEX('BIO WAHYU'!B:H,MATCH(DATA!D397,'BIO WAHYU'!B:B,0),7)</f>
        <v>0</v>
      </c>
      <c r="M397" s="34">
        <f>INDEX('BIO WAHYU'!B:H,MATCH(DATA!D397,'BIO WAHYU'!B:B,0),4)</f>
        <v>0</v>
      </c>
    </row>
    <row r="398" spans="1:13">
      <c r="A398" s="43" t="s">
        <v>1672</v>
      </c>
      <c r="B398" s="43" t="s">
        <v>155</v>
      </c>
      <c r="C398" s="43" t="s">
        <v>924</v>
      </c>
      <c r="D398" s="10">
        <v>12304943</v>
      </c>
      <c r="E398" s="43" t="s">
        <v>10</v>
      </c>
      <c r="F398" s="8">
        <f>_xlfn.IFNA(INDEX('OSA | 3GB'!J:L,MATCH(DATA!D398,'OSA | 3GB'!J:J,0),2),0)</f>
        <v>6</v>
      </c>
      <c r="G398" s="8">
        <f>_xlfn.IFNA(INDEX('OSA | 3GB'!J:L,MATCH(DATA!D398,'OSA | 3GB'!J:J,0),3),0)</f>
        <v>200000</v>
      </c>
      <c r="H398" s="32" t="str">
        <f>_xlfn.IFNA(INDEX('OSA | 3GB'!A:C,MATCH(DATA!D398,'OSA | 3GB'!A:A,0),2),0)</f>
        <v xml:space="preserve"> -   </v>
      </c>
      <c r="I398" s="33">
        <f>_xlfn.IFNA(INDEX('OSA | 3GB'!A:C,MATCH(DATA!D398,'OSA | 3GB'!A:A,0),3),0)</f>
        <v>200000</v>
      </c>
      <c r="J398" s="33">
        <f>INDEX('BIO WAHYU'!B:G,MATCH(DATA!D398,'BIO WAHYU'!B:B,0),5)</f>
        <v>3</v>
      </c>
      <c r="K398" s="34">
        <f>INDEX('BIO WAHYU'!B:G,MATCH(DATA!D398,'BIO WAHYU'!B:B,0),6)</f>
        <v>0</v>
      </c>
      <c r="L398" s="35">
        <f>INDEX('BIO WAHYU'!B:H,MATCH(DATA!D398,'BIO WAHYU'!B:B,0),7)</f>
        <v>0</v>
      </c>
      <c r="M398" s="34">
        <f>INDEX('BIO WAHYU'!B:H,MATCH(DATA!D398,'BIO WAHYU'!B:B,0),4)</f>
        <v>0</v>
      </c>
    </row>
    <row r="399" spans="1:13">
      <c r="A399" s="43" t="s">
        <v>1674</v>
      </c>
      <c r="B399" s="43" t="s">
        <v>152</v>
      </c>
      <c r="C399" s="43" t="s">
        <v>1267</v>
      </c>
      <c r="D399" s="10">
        <v>127194</v>
      </c>
      <c r="E399" s="43" t="s">
        <v>10</v>
      </c>
      <c r="F399" s="8">
        <f>_xlfn.IFNA(INDEX('OSA | 3GB'!J:L,MATCH(DATA!D399,'OSA | 3GB'!J:J,0),2),0)</f>
        <v>0</v>
      </c>
      <c r="G399" s="8">
        <f>_xlfn.IFNA(INDEX('OSA | 3GB'!J:L,MATCH(DATA!D399,'OSA | 3GB'!J:J,0),3),0)</f>
        <v>100000</v>
      </c>
      <c r="H399" s="32">
        <f>_xlfn.IFNA(INDEX('OSA | 3GB'!A:C,MATCH(DATA!D399,'OSA | 3GB'!A:A,0),2),0)</f>
        <v>1</v>
      </c>
      <c r="I399" s="33">
        <f>_xlfn.IFNA(INDEX('OSA | 3GB'!A:C,MATCH(DATA!D399,'OSA | 3GB'!A:A,0),3),0)</f>
        <v>29000</v>
      </c>
      <c r="J399" s="33">
        <f>INDEX('BIO WAHYU'!B:G,MATCH(DATA!D399,'BIO WAHYU'!B:B,0),5)</f>
        <v>1</v>
      </c>
      <c r="K399" s="34">
        <f>INDEX('BIO WAHYU'!B:G,MATCH(DATA!D399,'BIO WAHYU'!B:B,0),6)</f>
        <v>0</v>
      </c>
      <c r="L399" s="35">
        <f>INDEX('BIO WAHYU'!B:H,MATCH(DATA!D399,'BIO WAHYU'!B:B,0),7)</f>
        <v>0</v>
      </c>
      <c r="M399" s="34">
        <f>INDEX('BIO WAHYU'!B:H,MATCH(DATA!D399,'BIO WAHYU'!B:B,0),4)</f>
        <v>0</v>
      </c>
    </row>
    <row r="400" spans="1:13">
      <c r="A400" s="43" t="s">
        <v>1671</v>
      </c>
      <c r="B400" s="43" t="s">
        <v>142</v>
      </c>
      <c r="C400" s="43" t="s">
        <v>365</v>
      </c>
      <c r="D400" s="10">
        <v>533959</v>
      </c>
      <c r="E400" s="43" t="s">
        <v>10</v>
      </c>
      <c r="F400" s="8">
        <f>_xlfn.IFNA(INDEX('OSA | 3GB'!J:L,MATCH(DATA!D400,'OSA | 3GB'!J:J,0),2),0)</f>
        <v>4</v>
      </c>
      <c r="G400" s="8">
        <f>_xlfn.IFNA(INDEX('OSA | 3GB'!J:L,MATCH(DATA!D400,'OSA | 3GB'!J:J,0),3),0)</f>
        <v>7950000</v>
      </c>
      <c r="H400" s="32">
        <f>_xlfn.IFNA(INDEX('OSA | 3GB'!A:C,MATCH(DATA!D400,'OSA | 3GB'!A:A,0),2),0)</f>
        <v>18</v>
      </c>
      <c r="I400" s="33">
        <f>_xlfn.IFNA(INDEX('OSA | 3GB'!A:C,MATCH(DATA!D400,'OSA | 3GB'!A:A,0),3),0)</f>
        <v>1237000</v>
      </c>
      <c r="J400" s="33">
        <f>INDEX('BIO WAHYU'!B:G,MATCH(DATA!D400,'BIO WAHYU'!B:B,0),5)</f>
        <v>2</v>
      </c>
      <c r="K400" s="34">
        <f>INDEX('BIO WAHYU'!B:G,MATCH(DATA!D400,'BIO WAHYU'!B:B,0),6)</f>
        <v>3</v>
      </c>
      <c r="L400" s="35">
        <f>INDEX('BIO WAHYU'!B:H,MATCH(DATA!D400,'BIO WAHYU'!B:B,0),7)</f>
        <v>1</v>
      </c>
      <c r="M400" s="34">
        <f>INDEX('BIO WAHYU'!B:H,MATCH(DATA!D400,'BIO WAHYU'!B:B,0),4)</f>
        <v>0</v>
      </c>
    </row>
    <row r="401" spans="1:13">
      <c r="A401" s="43" t="s">
        <v>1670</v>
      </c>
      <c r="B401" s="43">
        <v>2613052584</v>
      </c>
      <c r="C401" s="43" t="s">
        <v>577</v>
      </c>
      <c r="D401" s="10">
        <v>12326243</v>
      </c>
      <c r="E401" s="43" t="s">
        <v>10</v>
      </c>
      <c r="F401" s="8">
        <f>_xlfn.IFNA(INDEX('OSA | 3GB'!J:L,MATCH(DATA!D401,'OSA | 3GB'!J:J,0),2),0)</f>
        <v>3</v>
      </c>
      <c r="G401" s="8">
        <f>_xlfn.IFNA(INDEX('OSA | 3GB'!J:L,MATCH(DATA!D401,'OSA | 3GB'!J:J,0),3),0)</f>
        <v>0</v>
      </c>
      <c r="H401" s="32">
        <f>_xlfn.IFNA(INDEX('OSA | 3GB'!A:C,MATCH(DATA!D401,'OSA | 3GB'!A:A,0),2),0)</f>
        <v>5</v>
      </c>
      <c r="I401" s="33" t="str">
        <f>_xlfn.IFNA(INDEX('OSA | 3GB'!A:C,MATCH(DATA!D401,'OSA | 3GB'!A:A,0),3),0)</f>
        <v xml:space="preserve"> -   </v>
      </c>
      <c r="J401" s="33">
        <f>INDEX('BIO WAHYU'!B:G,MATCH(DATA!D401,'BIO WAHYU'!B:B,0),5)</f>
        <v>0</v>
      </c>
      <c r="K401" s="34">
        <f>INDEX('BIO WAHYU'!B:G,MATCH(DATA!D401,'BIO WAHYU'!B:B,0),6)</f>
        <v>5</v>
      </c>
      <c r="L401" s="35">
        <f>INDEX('BIO WAHYU'!B:H,MATCH(DATA!D401,'BIO WAHYU'!B:B,0),7)</f>
        <v>5</v>
      </c>
      <c r="M401" s="34">
        <f>INDEX('BIO WAHYU'!B:H,MATCH(DATA!D401,'BIO WAHYU'!B:B,0),4)</f>
        <v>0</v>
      </c>
    </row>
    <row r="402" spans="1:13">
      <c r="A402" s="43" t="s">
        <v>1670</v>
      </c>
      <c r="B402" s="43">
        <v>2613051412</v>
      </c>
      <c r="C402" s="43" t="s">
        <v>1268</v>
      </c>
      <c r="D402" s="10">
        <v>408828</v>
      </c>
      <c r="E402" s="43" t="s">
        <v>10</v>
      </c>
      <c r="F402" s="8">
        <f>_xlfn.IFNA(INDEX('OSA | 3GB'!J:L,MATCH(DATA!D402,'OSA | 3GB'!J:J,0),2),0)</f>
        <v>2</v>
      </c>
      <c r="G402" s="8">
        <f>_xlfn.IFNA(INDEX('OSA | 3GB'!J:L,MATCH(DATA!D402,'OSA | 3GB'!J:J,0),3),0)</f>
        <v>0</v>
      </c>
      <c r="H402" s="32">
        <f>_xlfn.IFNA(INDEX('OSA | 3GB'!A:C,MATCH(DATA!D402,'OSA | 3GB'!A:A,0),2),0)</f>
        <v>1</v>
      </c>
      <c r="I402" s="33">
        <f>_xlfn.IFNA(INDEX('OSA | 3GB'!A:C,MATCH(DATA!D402,'OSA | 3GB'!A:A,0),3),0)</f>
        <v>29000</v>
      </c>
      <c r="J402" s="33">
        <f>INDEX('BIO WAHYU'!B:G,MATCH(DATA!D402,'BIO WAHYU'!B:B,0),5)</f>
        <v>4</v>
      </c>
      <c r="K402" s="34">
        <f>INDEX('BIO WAHYU'!B:G,MATCH(DATA!D402,'BIO WAHYU'!B:B,0),6)</f>
        <v>2</v>
      </c>
      <c r="L402" s="35">
        <f>INDEX('BIO WAHYU'!B:H,MATCH(DATA!D402,'BIO WAHYU'!B:B,0),7)</f>
        <v>0</v>
      </c>
      <c r="M402" s="34">
        <f>INDEX('BIO WAHYU'!B:H,MATCH(DATA!D402,'BIO WAHYU'!B:B,0),4)</f>
        <v>0</v>
      </c>
    </row>
    <row r="403" spans="1:13">
      <c r="A403" s="43" t="s">
        <v>1672</v>
      </c>
      <c r="B403" s="43" t="s">
        <v>156</v>
      </c>
      <c r="C403" s="43" t="s">
        <v>713</v>
      </c>
      <c r="D403" s="10">
        <v>573314</v>
      </c>
      <c r="E403" s="43" t="s">
        <v>10</v>
      </c>
      <c r="F403" s="8">
        <f>_xlfn.IFNA(INDEX('OSA | 3GB'!J:L,MATCH(DATA!D403,'OSA | 3GB'!J:J,0),2),0)</f>
        <v>0</v>
      </c>
      <c r="G403" s="8">
        <f>_xlfn.IFNA(INDEX('OSA | 3GB'!J:L,MATCH(DATA!D403,'OSA | 3GB'!J:J,0),3),0)</f>
        <v>0</v>
      </c>
      <c r="H403" s="32" t="str">
        <f>_xlfn.IFNA(INDEX('OSA | 3GB'!A:C,MATCH(DATA!D403,'OSA | 3GB'!A:A,0),2),0)</f>
        <v xml:space="preserve"> -   </v>
      </c>
      <c r="I403" s="33" t="str">
        <f>_xlfn.IFNA(INDEX('OSA | 3GB'!A:C,MATCH(DATA!D403,'OSA | 3GB'!A:A,0),3),0)</f>
        <v xml:space="preserve"> -   </v>
      </c>
      <c r="J403" s="33">
        <f>INDEX('BIO WAHYU'!B:G,MATCH(DATA!D403,'BIO WAHYU'!B:B,0),5)</f>
        <v>0</v>
      </c>
      <c r="K403" s="34">
        <f>INDEX('BIO WAHYU'!B:G,MATCH(DATA!D403,'BIO WAHYU'!B:B,0),6)</f>
        <v>0</v>
      </c>
      <c r="L403" s="35">
        <f>INDEX('BIO WAHYU'!B:H,MATCH(DATA!D403,'BIO WAHYU'!B:B,0),7)</f>
        <v>0</v>
      </c>
      <c r="M403" s="34">
        <f>INDEX('BIO WAHYU'!B:H,MATCH(DATA!D403,'BIO WAHYU'!B:B,0),4)</f>
        <v>0</v>
      </c>
    </row>
    <row r="404" spans="1:13">
      <c r="A404" s="43" t="s">
        <v>1672</v>
      </c>
      <c r="B404" s="43" t="s">
        <v>149</v>
      </c>
      <c r="C404" s="43" t="s">
        <v>290</v>
      </c>
      <c r="D404" s="10">
        <v>580633</v>
      </c>
      <c r="E404" s="43" t="s">
        <v>10</v>
      </c>
      <c r="F404" s="8">
        <f>_xlfn.IFNA(INDEX('OSA | 3GB'!J:L,MATCH(DATA!D404,'OSA | 3GB'!J:J,0),2),0)</f>
        <v>6</v>
      </c>
      <c r="G404" s="8">
        <f>_xlfn.IFNA(INDEX('OSA | 3GB'!J:L,MATCH(DATA!D404,'OSA | 3GB'!J:J,0),3),0)</f>
        <v>1658000</v>
      </c>
      <c r="H404" s="32">
        <f>_xlfn.IFNA(INDEX('OSA | 3GB'!A:C,MATCH(DATA!D404,'OSA | 3GB'!A:A,0),2),0)</f>
        <v>2</v>
      </c>
      <c r="I404" s="33">
        <f>_xlfn.IFNA(INDEX('OSA | 3GB'!A:C,MATCH(DATA!D404,'OSA | 3GB'!A:A,0),3),0)</f>
        <v>758000</v>
      </c>
      <c r="J404" s="33">
        <f>INDEX('BIO WAHYU'!B:G,MATCH(DATA!D404,'BIO WAHYU'!B:B,0),5)</f>
        <v>0</v>
      </c>
      <c r="K404" s="34">
        <f>INDEX('BIO WAHYU'!B:G,MATCH(DATA!D404,'BIO WAHYU'!B:B,0),6)</f>
        <v>0</v>
      </c>
      <c r="L404" s="35">
        <f>INDEX('BIO WAHYU'!B:H,MATCH(DATA!D404,'BIO WAHYU'!B:B,0),7)</f>
        <v>0</v>
      </c>
      <c r="M404" s="34">
        <f>INDEX('BIO WAHYU'!B:H,MATCH(DATA!D404,'BIO WAHYU'!B:B,0),4)</f>
        <v>0</v>
      </c>
    </row>
    <row r="405" spans="1:13">
      <c r="A405" s="43" t="s">
        <v>1</v>
      </c>
      <c r="B405" s="43" t="s">
        <v>5</v>
      </c>
      <c r="C405" s="43" t="s">
        <v>1083</v>
      </c>
      <c r="D405" s="10">
        <v>304264</v>
      </c>
      <c r="E405" s="43" t="s">
        <v>15</v>
      </c>
      <c r="F405" s="8">
        <f>_xlfn.IFNA(INDEX('OSA | 3GB'!J:L,MATCH(DATA!D405,'OSA | 3GB'!J:J,0),2),0)</f>
        <v>0</v>
      </c>
      <c r="G405" s="8">
        <f>_xlfn.IFNA(INDEX('OSA | 3GB'!J:L,MATCH(DATA!D405,'OSA | 3GB'!J:J,0),3),0)</f>
        <v>800000</v>
      </c>
      <c r="H405" s="32" t="str">
        <f>_xlfn.IFNA(INDEX('OSA | 3GB'!A:C,MATCH(DATA!D405,'OSA | 3GB'!A:A,0),2),0)</f>
        <v xml:space="preserve"> -   </v>
      </c>
      <c r="I405" s="33">
        <f>_xlfn.IFNA(INDEX('OSA | 3GB'!A:C,MATCH(DATA!D405,'OSA | 3GB'!A:A,0),3),0)</f>
        <v>150000</v>
      </c>
      <c r="J405" s="33">
        <f>INDEX('BIO WAHYU'!B:G,MATCH(DATA!D405,'BIO WAHYU'!B:B,0),5)</f>
        <v>1</v>
      </c>
      <c r="K405" s="34">
        <f>INDEX('BIO WAHYU'!B:G,MATCH(DATA!D405,'BIO WAHYU'!B:B,0),6)</f>
        <v>0</v>
      </c>
      <c r="L405" s="35">
        <f>INDEX('BIO WAHYU'!B:H,MATCH(DATA!D405,'BIO WAHYU'!B:B,0),7)</f>
        <v>0</v>
      </c>
      <c r="M405" s="34">
        <f>INDEX('BIO WAHYU'!B:H,MATCH(DATA!D405,'BIO WAHYU'!B:B,0),4)</f>
        <v>0</v>
      </c>
    </row>
    <row r="406" spans="1:13">
      <c r="A406" s="43" t="s">
        <v>1675</v>
      </c>
      <c r="B406" s="43">
        <v>2613051043</v>
      </c>
      <c r="C406" s="43" t="s">
        <v>440</v>
      </c>
      <c r="D406" s="10">
        <v>12296816</v>
      </c>
      <c r="E406" s="43" t="s">
        <v>15</v>
      </c>
      <c r="F406" s="8">
        <f>_xlfn.IFNA(INDEX('OSA | 3GB'!J:L,MATCH(DATA!D406,'OSA | 3GB'!J:J,0),2),0)</f>
        <v>0</v>
      </c>
      <c r="G406" s="8">
        <f>_xlfn.IFNA(INDEX('OSA | 3GB'!J:L,MATCH(DATA!D406,'OSA | 3GB'!J:J,0),3),0)</f>
        <v>800000</v>
      </c>
      <c r="H406" s="32" t="str">
        <f>_xlfn.IFNA(INDEX('OSA | 3GB'!A:C,MATCH(DATA!D406,'OSA | 3GB'!A:A,0),2),0)</f>
        <v xml:space="preserve"> -   </v>
      </c>
      <c r="I406" s="33">
        <f>_xlfn.IFNA(INDEX('OSA | 3GB'!A:C,MATCH(DATA!D406,'OSA | 3GB'!A:A,0),3),0)</f>
        <v>1000000</v>
      </c>
      <c r="J406" s="33">
        <f>INDEX('BIO WAHYU'!B:G,MATCH(DATA!D406,'BIO WAHYU'!B:B,0),5)</f>
        <v>0</v>
      </c>
      <c r="K406" s="34">
        <f>INDEX('BIO WAHYU'!B:G,MATCH(DATA!D406,'BIO WAHYU'!B:B,0),6)</f>
        <v>0</v>
      </c>
      <c r="L406" s="35">
        <f>INDEX('BIO WAHYU'!B:H,MATCH(DATA!D406,'BIO WAHYU'!B:B,0),7)</f>
        <v>0</v>
      </c>
      <c r="M406" s="34">
        <f>INDEX('BIO WAHYU'!B:H,MATCH(DATA!D406,'BIO WAHYU'!B:B,0),4)</f>
        <v>0</v>
      </c>
    </row>
    <row r="407" spans="1:13">
      <c r="A407" s="43" t="s">
        <v>1</v>
      </c>
      <c r="B407" s="43" t="s">
        <v>4</v>
      </c>
      <c r="C407" s="43" t="s">
        <v>1084</v>
      </c>
      <c r="D407" s="10">
        <v>126951</v>
      </c>
      <c r="E407" s="43" t="s">
        <v>10</v>
      </c>
      <c r="F407" s="8">
        <f>_xlfn.IFNA(INDEX('OSA | 3GB'!J:L,MATCH(DATA!D407,'OSA | 3GB'!J:J,0),2),0)</f>
        <v>0</v>
      </c>
      <c r="G407" s="8">
        <f>_xlfn.IFNA(INDEX('OSA | 3GB'!J:L,MATCH(DATA!D407,'OSA | 3GB'!J:J,0),3),0)</f>
        <v>5000000</v>
      </c>
      <c r="H407" s="32" t="str">
        <f>_xlfn.IFNA(INDEX('OSA | 3GB'!A:C,MATCH(DATA!D407,'OSA | 3GB'!A:A,0),2),0)</f>
        <v xml:space="preserve"> -   </v>
      </c>
      <c r="I407" s="33">
        <f>_xlfn.IFNA(INDEX('OSA | 3GB'!A:C,MATCH(DATA!D407,'OSA | 3GB'!A:A,0),3),0)</f>
        <v>2000000</v>
      </c>
      <c r="J407" s="33">
        <f>INDEX('BIO WAHYU'!B:G,MATCH(DATA!D407,'BIO WAHYU'!B:B,0),5)</f>
        <v>3</v>
      </c>
      <c r="K407" s="34">
        <f>INDEX('BIO WAHYU'!B:G,MATCH(DATA!D407,'BIO WAHYU'!B:B,0),6)</f>
        <v>2</v>
      </c>
      <c r="L407" s="35">
        <f>INDEX('BIO WAHYU'!B:H,MATCH(DATA!D407,'BIO WAHYU'!B:B,0),7)</f>
        <v>0</v>
      </c>
      <c r="M407" s="34">
        <f>INDEX('BIO WAHYU'!B:H,MATCH(DATA!D407,'BIO WAHYU'!B:B,0),4)</f>
        <v>0</v>
      </c>
    </row>
    <row r="408" spans="1:13">
      <c r="A408" s="43" t="s">
        <v>1672</v>
      </c>
      <c r="B408" s="43">
        <v>2613051475</v>
      </c>
      <c r="C408" s="43" t="s">
        <v>1269</v>
      </c>
      <c r="D408" s="10">
        <v>282957</v>
      </c>
      <c r="E408" s="43" t="s">
        <v>10</v>
      </c>
      <c r="F408" s="8">
        <f>_xlfn.IFNA(INDEX('OSA | 3GB'!J:L,MATCH(DATA!D408,'OSA | 3GB'!J:J,0),2),0)</f>
        <v>3</v>
      </c>
      <c r="G408" s="8">
        <f>_xlfn.IFNA(INDEX('OSA | 3GB'!J:L,MATCH(DATA!D408,'OSA | 3GB'!J:J,0),3),0)</f>
        <v>1329000</v>
      </c>
      <c r="H408" s="32" t="str">
        <f>_xlfn.IFNA(INDEX('OSA | 3GB'!A:C,MATCH(DATA!D408,'OSA | 3GB'!A:A,0),2),0)</f>
        <v xml:space="preserve"> -   </v>
      </c>
      <c r="I408" s="33">
        <f>_xlfn.IFNA(INDEX('OSA | 3GB'!A:C,MATCH(DATA!D408,'OSA | 3GB'!A:A,0),3),0)</f>
        <v>300000</v>
      </c>
      <c r="J408" s="33">
        <f>INDEX('BIO WAHYU'!B:G,MATCH(DATA!D408,'BIO WAHYU'!B:B,0),5)</f>
        <v>3</v>
      </c>
      <c r="K408" s="34">
        <f>INDEX('BIO WAHYU'!B:G,MATCH(DATA!D408,'BIO WAHYU'!B:B,0),6)</f>
        <v>0</v>
      </c>
      <c r="L408" s="35">
        <f>INDEX('BIO WAHYU'!B:H,MATCH(DATA!D408,'BIO WAHYU'!B:B,0),7)</f>
        <v>0</v>
      </c>
      <c r="M408" s="34">
        <f>INDEX('BIO WAHYU'!B:H,MATCH(DATA!D408,'BIO WAHYU'!B:B,0),4)</f>
        <v>0</v>
      </c>
    </row>
    <row r="409" spans="1:13">
      <c r="A409" s="43" t="s">
        <v>1672</v>
      </c>
      <c r="B409" s="43" t="s">
        <v>155</v>
      </c>
      <c r="C409" s="43" t="s">
        <v>943</v>
      </c>
      <c r="D409" s="10">
        <v>458928</v>
      </c>
      <c r="E409" s="43" t="s">
        <v>10</v>
      </c>
      <c r="F409" s="8">
        <f>_xlfn.IFNA(INDEX('OSA | 3GB'!J:L,MATCH(DATA!D409,'OSA | 3GB'!J:J,0),2),0)</f>
        <v>4</v>
      </c>
      <c r="G409" s="8">
        <f>_xlfn.IFNA(INDEX('OSA | 3GB'!J:L,MATCH(DATA!D409,'OSA | 3GB'!J:J,0),3),0)</f>
        <v>8000000</v>
      </c>
      <c r="H409" s="32" t="str">
        <f>_xlfn.IFNA(INDEX('OSA | 3GB'!A:C,MATCH(DATA!D409,'OSA | 3GB'!A:A,0),2),0)</f>
        <v xml:space="preserve"> -   </v>
      </c>
      <c r="I409" s="33">
        <f>_xlfn.IFNA(INDEX('OSA | 3GB'!A:C,MATCH(DATA!D409,'OSA | 3GB'!A:A,0),3),0)</f>
        <v>3000000</v>
      </c>
      <c r="J409" s="33">
        <f>INDEX('BIO WAHYU'!B:G,MATCH(DATA!D409,'BIO WAHYU'!B:B,0),5)</f>
        <v>5</v>
      </c>
      <c r="K409" s="34">
        <f>INDEX('BIO WAHYU'!B:G,MATCH(DATA!D409,'BIO WAHYU'!B:B,0),6)</f>
        <v>0</v>
      </c>
      <c r="L409" s="35">
        <f>INDEX('BIO WAHYU'!B:H,MATCH(DATA!D409,'BIO WAHYU'!B:B,0),7)</f>
        <v>0</v>
      </c>
      <c r="M409" s="34">
        <f>INDEX('BIO WAHYU'!B:H,MATCH(DATA!D409,'BIO WAHYU'!B:B,0),4)</f>
        <v>0</v>
      </c>
    </row>
    <row r="410" spans="1:13">
      <c r="A410" s="43" t="s">
        <v>1672</v>
      </c>
      <c r="B410" s="43" t="s">
        <v>156</v>
      </c>
      <c r="C410" s="43" t="s">
        <v>984</v>
      </c>
      <c r="D410" s="10">
        <v>328949</v>
      </c>
      <c r="E410" s="43" t="s">
        <v>10</v>
      </c>
      <c r="F410" s="8">
        <f>_xlfn.IFNA(INDEX('OSA | 3GB'!J:L,MATCH(DATA!D410,'OSA | 3GB'!J:J,0),2),0)</f>
        <v>3</v>
      </c>
      <c r="G410" s="8">
        <f>_xlfn.IFNA(INDEX('OSA | 3GB'!J:L,MATCH(DATA!D410,'OSA | 3GB'!J:J,0),3),0)</f>
        <v>1200000</v>
      </c>
      <c r="H410" s="32" t="str">
        <f>_xlfn.IFNA(INDEX('OSA | 3GB'!A:C,MATCH(DATA!D410,'OSA | 3GB'!A:A,0),2),0)</f>
        <v xml:space="preserve"> -   </v>
      </c>
      <c r="I410" s="33">
        <f>_xlfn.IFNA(INDEX('OSA | 3GB'!A:C,MATCH(DATA!D410,'OSA | 3GB'!A:A,0),3),0)</f>
        <v>300000</v>
      </c>
      <c r="J410" s="33">
        <f>INDEX('BIO WAHYU'!B:G,MATCH(DATA!D410,'BIO WAHYU'!B:B,0),5)</f>
        <v>0</v>
      </c>
      <c r="K410" s="34">
        <f>INDEX('BIO WAHYU'!B:G,MATCH(DATA!D410,'BIO WAHYU'!B:B,0),6)</f>
        <v>0</v>
      </c>
      <c r="L410" s="35">
        <f>INDEX('BIO WAHYU'!B:H,MATCH(DATA!D410,'BIO WAHYU'!B:B,0),7)</f>
        <v>0</v>
      </c>
      <c r="M410" s="34">
        <f>INDEX('BIO WAHYU'!B:H,MATCH(DATA!D410,'BIO WAHYU'!B:B,0),4)</f>
        <v>0</v>
      </c>
    </row>
    <row r="411" spans="1:13">
      <c r="A411" s="43" t="s">
        <v>1670</v>
      </c>
      <c r="B411" s="43">
        <v>2613051412</v>
      </c>
      <c r="C411" s="43" t="s">
        <v>1270</v>
      </c>
      <c r="D411" s="10">
        <v>579546</v>
      </c>
      <c r="E411" s="43" t="s">
        <v>10</v>
      </c>
      <c r="F411" s="8">
        <f>_xlfn.IFNA(INDEX('OSA | 3GB'!J:L,MATCH(DATA!D411,'OSA | 3GB'!J:J,0),2),0)</f>
        <v>0</v>
      </c>
      <c r="G411" s="8">
        <f>_xlfn.IFNA(INDEX('OSA | 3GB'!J:L,MATCH(DATA!D411,'OSA | 3GB'!J:J,0),3),0)</f>
        <v>229000</v>
      </c>
      <c r="H411" s="32" t="str">
        <f>_xlfn.IFNA(INDEX('OSA | 3GB'!A:C,MATCH(DATA!D411,'OSA | 3GB'!A:A,0),2),0)</f>
        <v xml:space="preserve"> -   </v>
      </c>
      <c r="I411" s="33" t="str">
        <f>_xlfn.IFNA(INDEX('OSA | 3GB'!A:C,MATCH(DATA!D411,'OSA | 3GB'!A:A,0),3),0)</f>
        <v xml:space="preserve"> -   </v>
      </c>
      <c r="J411" s="33">
        <f>INDEX('BIO WAHYU'!B:G,MATCH(DATA!D411,'BIO WAHYU'!B:B,0),5)</f>
        <v>0</v>
      </c>
      <c r="K411" s="34">
        <f>INDEX('BIO WAHYU'!B:G,MATCH(DATA!D411,'BIO WAHYU'!B:B,0),6)</f>
        <v>0</v>
      </c>
      <c r="L411" s="35">
        <f>INDEX('BIO WAHYU'!B:H,MATCH(DATA!D411,'BIO WAHYU'!B:B,0),7)</f>
        <v>0</v>
      </c>
      <c r="M411" s="34">
        <f>INDEX('BIO WAHYU'!B:H,MATCH(DATA!D411,'BIO WAHYU'!B:B,0),4)</f>
        <v>0</v>
      </c>
    </row>
    <row r="412" spans="1:13">
      <c r="A412" s="43" t="s">
        <v>1672</v>
      </c>
      <c r="B412" s="43">
        <v>2613051475</v>
      </c>
      <c r="C412" s="43" t="s">
        <v>918</v>
      </c>
      <c r="D412" s="10">
        <v>573761</v>
      </c>
      <c r="E412" s="43" t="s">
        <v>10</v>
      </c>
      <c r="F412" s="8">
        <f>_xlfn.IFNA(INDEX('OSA | 3GB'!J:L,MATCH(DATA!D412,'OSA | 3GB'!J:J,0),2),0)</f>
        <v>3</v>
      </c>
      <c r="G412" s="8">
        <f>_xlfn.IFNA(INDEX('OSA | 3GB'!J:L,MATCH(DATA!D412,'OSA | 3GB'!J:J,0),3),0)</f>
        <v>300000</v>
      </c>
      <c r="H412" s="32" t="str">
        <f>_xlfn.IFNA(INDEX('OSA | 3GB'!A:C,MATCH(DATA!D412,'OSA | 3GB'!A:A,0),2),0)</f>
        <v xml:space="preserve"> -   </v>
      </c>
      <c r="I412" s="33">
        <f>_xlfn.IFNA(INDEX('OSA | 3GB'!A:C,MATCH(DATA!D412,'OSA | 3GB'!A:A,0),3),0)</f>
        <v>150000</v>
      </c>
      <c r="J412" s="33">
        <f>INDEX('BIO WAHYU'!B:G,MATCH(DATA!D412,'BIO WAHYU'!B:B,0),5)</f>
        <v>0</v>
      </c>
      <c r="K412" s="34">
        <f>INDEX('BIO WAHYU'!B:G,MATCH(DATA!D412,'BIO WAHYU'!B:B,0),6)</f>
        <v>0</v>
      </c>
      <c r="L412" s="35">
        <f>INDEX('BIO WAHYU'!B:H,MATCH(DATA!D412,'BIO WAHYU'!B:B,0),7)</f>
        <v>0</v>
      </c>
      <c r="M412" s="34">
        <f>INDEX('BIO WAHYU'!B:H,MATCH(DATA!D412,'BIO WAHYU'!B:B,0),4)</f>
        <v>0</v>
      </c>
    </row>
    <row r="413" spans="1:13">
      <c r="A413" s="43" t="s">
        <v>1672</v>
      </c>
      <c r="B413" s="43" t="s">
        <v>155</v>
      </c>
      <c r="C413" s="43" t="s">
        <v>962</v>
      </c>
      <c r="D413" s="10">
        <v>63866</v>
      </c>
      <c r="E413" s="43" t="s">
        <v>10</v>
      </c>
      <c r="F413" s="8">
        <f>_xlfn.IFNA(INDEX('OSA | 3GB'!J:L,MATCH(DATA!D413,'OSA | 3GB'!J:J,0),2),0)</f>
        <v>4</v>
      </c>
      <c r="G413" s="8">
        <f>_xlfn.IFNA(INDEX('OSA | 3GB'!J:L,MATCH(DATA!D413,'OSA | 3GB'!J:J,0),3),0)</f>
        <v>200000</v>
      </c>
      <c r="H413" s="32" t="str">
        <f>_xlfn.IFNA(INDEX('OSA | 3GB'!A:C,MATCH(DATA!D413,'OSA | 3GB'!A:A,0),2),0)</f>
        <v xml:space="preserve"> -   </v>
      </c>
      <c r="I413" s="33">
        <f>_xlfn.IFNA(INDEX('OSA | 3GB'!A:C,MATCH(DATA!D413,'OSA | 3GB'!A:A,0),3),0)</f>
        <v>100000</v>
      </c>
      <c r="J413" s="33">
        <f>INDEX('BIO WAHYU'!B:G,MATCH(DATA!D413,'BIO WAHYU'!B:B,0),5)</f>
        <v>1</v>
      </c>
      <c r="K413" s="34">
        <f>INDEX('BIO WAHYU'!B:G,MATCH(DATA!D413,'BIO WAHYU'!B:B,0),6)</f>
        <v>0</v>
      </c>
      <c r="L413" s="35">
        <f>INDEX('BIO WAHYU'!B:H,MATCH(DATA!D413,'BIO WAHYU'!B:B,0),7)</f>
        <v>0</v>
      </c>
      <c r="M413" s="34">
        <f>INDEX('BIO WAHYU'!B:H,MATCH(DATA!D413,'BIO WAHYU'!B:B,0),4)</f>
        <v>0</v>
      </c>
    </row>
    <row r="414" spans="1:13">
      <c r="A414" s="43" t="s">
        <v>1670</v>
      </c>
      <c r="B414" s="43" t="s">
        <v>140</v>
      </c>
      <c r="C414" s="43" t="s">
        <v>468</v>
      </c>
      <c r="D414" s="10">
        <v>2513</v>
      </c>
      <c r="E414" s="43" t="s">
        <v>10</v>
      </c>
      <c r="F414" s="8">
        <f>_xlfn.IFNA(INDEX('OSA | 3GB'!J:L,MATCH(DATA!D414,'OSA | 3GB'!J:J,0),2),0)</f>
        <v>1</v>
      </c>
      <c r="G414" s="8">
        <f>_xlfn.IFNA(INDEX('OSA | 3GB'!J:L,MATCH(DATA!D414,'OSA | 3GB'!J:J,0),3),0)</f>
        <v>6500000</v>
      </c>
      <c r="H414" s="32">
        <f>_xlfn.IFNA(INDEX('OSA | 3GB'!A:C,MATCH(DATA!D414,'OSA | 3GB'!A:A,0),2),0)</f>
        <v>3</v>
      </c>
      <c r="I414" s="33">
        <f>_xlfn.IFNA(INDEX('OSA | 3GB'!A:C,MATCH(DATA!D414,'OSA | 3GB'!A:A,0),3),0)</f>
        <v>2587000</v>
      </c>
      <c r="J414" s="33">
        <f>INDEX('BIO WAHYU'!B:G,MATCH(DATA!D414,'BIO WAHYU'!B:B,0),5)</f>
        <v>7</v>
      </c>
      <c r="K414" s="34">
        <f>INDEX('BIO WAHYU'!B:G,MATCH(DATA!D414,'BIO WAHYU'!B:B,0),6)</f>
        <v>4</v>
      </c>
      <c r="L414" s="35">
        <f>INDEX('BIO WAHYU'!B:H,MATCH(DATA!D414,'BIO WAHYU'!B:B,0),7)</f>
        <v>0</v>
      </c>
      <c r="M414" s="34">
        <f>INDEX('BIO WAHYU'!B:H,MATCH(DATA!D414,'BIO WAHYU'!B:B,0),4)</f>
        <v>0</v>
      </c>
    </row>
    <row r="415" spans="1:13">
      <c r="A415" s="43" t="s">
        <v>1670</v>
      </c>
      <c r="B415" s="43">
        <v>2613052584</v>
      </c>
      <c r="C415" s="43" t="s">
        <v>1271</v>
      </c>
      <c r="D415" s="10">
        <v>12322841</v>
      </c>
      <c r="E415" s="43" t="s">
        <v>10</v>
      </c>
      <c r="F415" s="8">
        <f>_xlfn.IFNA(INDEX('OSA | 3GB'!J:L,MATCH(DATA!D415,'OSA | 3GB'!J:J,0),2),0)</f>
        <v>3</v>
      </c>
      <c r="G415" s="8">
        <f>_xlfn.IFNA(INDEX('OSA | 3GB'!J:L,MATCH(DATA!D415,'OSA | 3GB'!J:J,0),3),0)</f>
        <v>861500</v>
      </c>
      <c r="H415" s="32" t="str">
        <f>_xlfn.IFNA(INDEX('OSA | 3GB'!A:C,MATCH(DATA!D415,'OSA | 3GB'!A:A,0),2),0)</f>
        <v xml:space="preserve"> -   </v>
      </c>
      <c r="I415" s="33">
        <f>_xlfn.IFNA(INDEX('OSA | 3GB'!A:C,MATCH(DATA!D415,'OSA | 3GB'!A:A,0),3),0)</f>
        <v>300000</v>
      </c>
      <c r="J415" s="33">
        <f>INDEX('BIO WAHYU'!B:G,MATCH(DATA!D415,'BIO WAHYU'!B:B,0),5)</f>
        <v>1</v>
      </c>
      <c r="K415" s="34">
        <f>INDEX('BIO WAHYU'!B:G,MATCH(DATA!D415,'BIO WAHYU'!B:B,0),6)</f>
        <v>0</v>
      </c>
      <c r="L415" s="35">
        <f>INDEX('BIO WAHYU'!B:H,MATCH(DATA!D415,'BIO WAHYU'!B:B,0),7)</f>
        <v>0</v>
      </c>
      <c r="M415" s="34">
        <f>INDEX('BIO WAHYU'!B:H,MATCH(DATA!D415,'BIO WAHYU'!B:B,0),4)</f>
        <v>0</v>
      </c>
    </row>
    <row r="416" spans="1:13">
      <c r="A416" s="43" t="s">
        <v>1672</v>
      </c>
      <c r="B416" s="43" t="s">
        <v>155</v>
      </c>
      <c r="C416" s="43" t="s">
        <v>961</v>
      </c>
      <c r="D416" s="10">
        <v>62286</v>
      </c>
      <c r="E416" s="43" t="s">
        <v>15</v>
      </c>
      <c r="F416" s="8">
        <f>_xlfn.IFNA(INDEX('OSA | 3GB'!J:L,MATCH(DATA!D416,'OSA | 3GB'!J:J,0),2),0)</f>
        <v>0</v>
      </c>
      <c r="G416" s="8">
        <f>_xlfn.IFNA(INDEX('OSA | 3GB'!J:L,MATCH(DATA!D416,'OSA | 3GB'!J:J,0),3),0)</f>
        <v>0</v>
      </c>
      <c r="H416" s="32">
        <f>_xlfn.IFNA(INDEX('OSA | 3GB'!A:C,MATCH(DATA!D416,'OSA | 3GB'!A:A,0),2),0)</f>
        <v>3</v>
      </c>
      <c r="I416" s="33">
        <f>_xlfn.IFNA(INDEX('OSA | 3GB'!A:C,MATCH(DATA!D416,'OSA | 3GB'!A:A,0),3),0)</f>
        <v>100000</v>
      </c>
      <c r="J416" s="33">
        <f>INDEX('BIO WAHYU'!B:G,MATCH(DATA!D416,'BIO WAHYU'!B:B,0),5)</f>
        <v>0</v>
      </c>
      <c r="K416" s="34">
        <f>INDEX('BIO WAHYU'!B:G,MATCH(DATA!D416,'BIO WAHYU'!B:B,0),6)</f>
        <v>3</v>
      </c>
      <c r="L416" s="35">
        <f>INDEX('BIO WAHYU'!B:H,MATCH(DATA!D416,'BIO WAHYU'!B:B,0),7)</f>
        <v>3</v>
      </c>
      <c r="M416" s="34">
        <f>INDEX('BIO WAHYU'!B:H,MATCH(DATA!D416,'BIO WAHYU'!B:B,0),4)</f>
        <v>0</v>
      </c>
    </row>
    <row r="417" spans="1:13">
      <c r="A417" s="43" t="s">
        <v>1673</v>
      </c>
      <c r="B417" s="43" t="s">
        <v>1140</v>
      </c>
      <c r="C417" s="43" t="s">
        <v>1272</v>
      </c>
      <c r="D417" s="10">
        <v>397893</v>
      </c>
      <c r="E417" s="43" t="s">
        <v>15</v>
      </c>
      <c r="F417" s="8">
        <f>_xlfn.IFNA(INDEX('OSA | 3GB'!J:L,MATCH(DATA!D417,'OSA | 3GB'!J:J,0),2),0)</f>
        <v>18</v>
      </c>
      <c r="G417" s="8">
        <f>_xlfn.IFNA(INDEX('OSA | 3GB'!J:L,MATCH(DATA!D417,'OSA | 3GB'!J:J,0),3),0)</f>
        <v>8800000</v>
      </c>
      <c r="H417" s="32" t="str">
        <f>_xlfn.IFNA(INDEX('OSA | 3GB'!A:C,MATCH(DATA!D417,'OSA | 3GB'!A:A,0),2),0)</f>
        <v xml:space="preserve"> -   </v>
      </c>
      <c r="I417" s="33">
        <f>_xlfn.IFNA(INDEX('OSA | 3GB'!A:C,MATCH(DATA!D417,'OSA | 3GB'!A:A,0),3),0)</f>
        <v>3500000</v>
      </c>
      <c r="J417" s="33">
        <f>INDEX('BIO WAHYU'!B:G,MATCH(DATA!D417,'BIO WAHYU'!B:B,0),5)</f>
        <v>4</v>
      </c>
      <c r="K417" s="34">
        <f>INDEX('BIO WAHYU'!B:G,MATCH(DATA!D417,'BIO WAHYU'!B:B,0),6)</f>
        <v>3</v>
      </c>
      <c r="L417" s="35">
        <f>INDEX('BIO WAHYU'!B:H,MATCH(DATA!D417,'BIO WAHYU'!B:B,0),7)</f>
        <v>0</v>
      </c>
      <c r="M417" s="34">
        <f>INDEX('BIO WAHYU'!B:H,MATCH(DATA!D417,'BIO WAHYU'!B:B,0),4)</f>
        <v>0</v>
      </c>
    </row>
    <row r="418" spans="1:13">
      <c r="A418" s="43" t="s">
        <v>1670</v>
      </c>
      <c r="B418" s="43" t="s">
        <v>146</v>
      </c>
      <c r="C418" s="43" t="s">
        <v>1273</v>
      </c>
      <c r="D418" s="10">
        <v>63912</v>
      </c>
      <c r="E418" s="43" t="s">
        <v>10</v>
      </c>
      <c r="F418" s="8">
        <f>_xlfn.IFNA(INDEX('OSA | 3GB'!J:L,MATCH(DATA!D418,'OSA | 3GB'!J:J,0),2),0)</f>
        <v>3</v>
      </c>
      <c r="G418" s="8">
        <f>_xlfn.IFNA(INDEX('OSA | 3GB'!J:L,MATCH(DATA!D418,'OSA | 3GB'!J:J,0),3),0)</f>
        <v>1840000</v>
      </c>
      <c r="H418" s="32" t="str">
        <f>_xlfn.IFNA(INDEX('OSA | 3GB'!A:C,MATCH(DATA!D418,'OSA | 3GB'!A:A,0),2),0)</f>
        <v xml:space="preserve"> -   </v>
      </c>
      <c r="I418" s="33">
        <f>_xlfn.IFNA(INDEX('OSA | 3GB'!A:C,MATCH(DATA!D418,'OSA | 3GB'!A:A,0),3),0)</f>
        <v>250000</v>
      </c>
      <c r="J418" s="33">
        <f>INDEX('BIO WAHYU'!B:G,MATCH(DATA!D418,'BIO WAHYU'!B:B,0),5)</f>
        <v>1</v>
      </c>
      <c r="K418" s="34">
        <f>INDEX('BIO WAHYU'!B:G,MATCH(DATA!D418,'BIO WAHYU'!B:B,0),6)</f>
        <v>0</v>
      </c>
      <c r="L418" s="35">
        <f>INDEX('BIO WAHYU'!B:H,MATCH(DATA!D418,'BIO WAHYU'!B:B,0),7)</f>
        <v>0</v>
      </c>
      <c r="M418" s="34">
        <f>INDEX('BIO WAHYU'!B:H,MATCH(DATA!D418,'BIO WAHYU'!B:B,0),4)</f>
        <v>0</v>
      </c>
    </row>
    <row r="419" spans="1:13">
      <c r="A419" s="43" t="s">
        <v>1672</v>
      </c>
      <c r="B419" s="43" t="s">
        <v>156</v>
      </c>
      <c r="C419" s="43" t="s">
        <v>975</v>
      </c>
      <c r="D419" s="10">
        <v>12954</v>
      </c>
      <c r="E419" s="43" t="s">
        <v>15</v>
      </c>
      <c r="F419" s="8">
        <f>_xlfn.IFNA(INDEX('OSA | 3GB'!J:L,MATCH(DATA!D419,'OSA | 3GB'!J:J,0),2),0)</f>
        <v>1</v>
      </c>
      <c r="G419" s="8">
        <f>_xlfn.IFNA(INDEX('OSA | 3GB'!J:L,MATCH(DATA!D419,'OSA | 3GB'!J:J,0),3),0)</f>
        <v>400000</v>
      </c>
      <c r="H419" s="32" t="str">
        <f>_xlfn.IFNA(INDEX('OSA | 3GB'!A:C,MATCH(DATA!D419,'OSA | 3GB'!A:A,0),2),0)</f>
        <v xml:space="preserve"> -   </v>
      </c>
      <c r="I419" s="33">
        <f>_xlfn.IFNA(INDEX('OSA | 3GB'!A:C,MATCH(DATA!D419,'OSA | 3GB'!A:A,0),3),0)</f>
        <v>400000</v>
      </c>
      <c r="J419" s="33">
        <f>INDEX('BIO WAHYU'!B:G,MATCH(DATA!D419,'BIO WAHYU'!B:B,0),5)</f>
        <v>1</v>
      </c>
      <c r="K419" s="34">
        <f>INDEX('BIO WAHYU'!B:G,MATCH(DATA!D419,'BIO WAHYU'!B:B,0),6)</f>
        <v>0</v>
      </c>
      <c r="L419" s="35">
        <f>INDEX('BIO WAHYU'!B:H,MATCH(DATA!D419,'BIO WAHYU'!B:B,0),7)</f>
        <v>0</v>
      </c>
      <c r="M419" s="34">
        <f>INDEX('BIO WAHYU'!B:H,MATCH(DATA!D419,'BIO WAHYU'!B:B,0),4)</f>
        <v>0</v>
      </c>
    </row>
    <row r="420" spans="1:13">
      <c r="A420" s="43" t="s">
        <v>1673</v>
      </c>
      <c r="B420" s="43" t="s">
        <v>141</v>
      </c>
      <c r="C420" s="43" t="s">
        <v>197</v>
      </c>
      <c r="D420" s="10">
        <v>402344</v>
      </c>
      <c r="E420" s="43" t="s">
        <v>10</v>
      </c>
      <c r="F420" s="8">
        <f>_xlfn.IFNA(INDEX('OSA | 3GB'!J:L,MATCH(DATA!D420,'OSA | 3GB'!J:J,0),2),0)</f>
        <v>0</v>
      </c>
      <c r="G420" s="8">
        <f>_xlfn.IFNA(INDEX('OSA | 3GB'!J:L,MATCH(DATA!D420,'OSA | 3GB'!J:J,0),3),0)</f>
        <v>0</v>
      </c>
      <c r="H420" s="32" t="str">
        <f>_xlfn.IFNA(INDEX('OSA | 3GB'!A:C,MATCH(DATA!D420,'OSA | 3GB'!A:A,0),2),0)</f>
        <v xml:space="preserve"> -   </v>
      </c>
      <c r="I420" s="33" t="str">
        <f>_xlfn.IFNA(INDEX('OSA | 3GB'!A:C,MATCH(DATA!D420,'OSA | 3GB'!A:A,0),3),0)</f>
        <v xml:space="preserve"> -   </v>
      </c>
      <c r="J420" s="33">
        <f>INDEX('BIO WAHYU'!B:G,MATCH(DATA!D420,'BIO WAHYU'!B:B,0),5)</f>
        <v>0</v>
      </c>
      <c r="K420" s="34">
        <f>INDEX('BIO WAHYU'!B:G,MATCH(DATA!D420,'BIO WAHYU'!B:B,0),6)</f>
        <v>1</v>
      </c>
      <c r="L420" s="35">
        <f>INDEX('BIO WAHYU'!B:H,MATCH(DATA!D420,'BIO WAHYU'!B:B,0),7)</f>
        <v>1</v>
      </c>
      <c r="M420" s="34">
        <f>INDEX('BIO WAHYU'!B:H,MATCH(DATA!D420,'BIO WAHYU'!B:B,0),4)</f>
        <v>0</v>
      </c>
    </row>
    <row r="421" spans="1:13">
      <c r="A421" s="43" t="s">
        <v>1670</v>
      </c>
      <c r="B421" s="43" t="s">
        <v>145</v>
      </c>
      <c r="C421" s="43" t="s">
        <v>502</v>
      </c>
      <c r="D421" s="10">
        <v>346185</v>
      </c>
      <c r="E421" s="43" t="s">
        <v>15</v>
      </c>
      <c r="F421" s="8">
        <f>_xlfn.IFNA(INDEX('OSA | 3GB'!J:L,MATCH(DATA!D421,'OSA | 3GB'!J:J,0),2),0)</f>
        <v>5</v>
      </c>
      <c r="G421" s="8">
        <f>_xlfn.IFNA(INDEX('OSA | 3GB'!J:L,MATCH(DATA!D421,'OSA | 3GB'!J:J,0),3),0)</f>
        <v>500000</v>
      </c>
      <c r="H421" s="32">
        <f>_xlfn.IFNA(INDEX('OSA | 3GB'!A:C,MATCH(DATA!D421,'OSA | 3GB'!A:A,0),2),0)</f>
        <v>3</v>
      </c>
      <c r="I421" s="33">
        <f>_xlfn.IFNA(INDEX('OSA | 3GB'!A:C,MATCH(DATA!D421,'OSA | 3GB'!A:A,0),3),0)</f>
        <v>300000</v>
      </c>
      <c r="J421" s="33">
        <f>INDEX('BIO WAHYU'!B:G,MATCH(DATA!D421,'BIO WAHYU'!B:B,0),5)</f>
        <v>3</v>
      </c>
      <c r="K421" s="34">
        <f>INDEX('BIO WAHYU'!B:G,MATCH(DATA!D421,'BIO WAHYU'!B:B,0),6)</f>
        <v>1</v>
      </c>
      <c r="L421" s="35">
        <f>INDEX('BIO WAHYU'!B:H,MATCH(DATA!D421,'BIO WAHYU'!B:B,0),7)</f>
        <v>0</v>
      </c>
      <c r="M421" s="34">
        <f>INDEX('BIO WAHYU'!B:H,MATCH(DATA!D421,'BIO WAHYU'!B:B,0),4)</f>
        <v>0</v>
      </c>
    </row>
    <row r="422" spans="1:13">
      <c r="A422" s="43" t="s">
        <v>1672</v>
      </c>
      <c r="B422" s="43" t="s">
        <v>155</v>
      </c>
      <c r="C422" s="43" t="s">
        <v>1274</v>
      </c>
      <c r="D422" s="10">
        <v>288206</v>
      </c>
      <c r="E422" s="43" t="s">
        <v>10</v>
      </c>
      <c r="F422" s="8">
        <f>_xlfn.IFNA(INDEX('OSA | 3GB'!J:L,MATCH(DATA!D422,'OSA | 3GB'!J:J,0),2),0)</f>
        <v>2</v>
      </c>
      <c r="G422" s="8">
        <f>_xlfn.IFNA(INDEX('OSA | 3GB'!J:L,MATCH(DATA!D422,'OSA | 3GB'!J:J,0),3),0)</f>
        <v>3500000</v>
      </c>
      <c r="H422" s="32">
        <f>_xlfn.IFNA(INDEX('OSA | 3GB'!A:C,MATCH(DATA!D422,'OSA | 3GB'!A:A,0),2),0)</f>
        <v>3</v>
      </c>
      <c r="I422" s="33">
        <f>_xlfn.IFNA(INDEX('OSA | 3GB'!A:C,MATCH(DATA!D422,'OSA | 3GB'!A:A,0),3),0)</f>
        <v>1500000</v>
      </c>
      <c r="J422" s="33">
        <f>INDEX('BIO WAHYU'!B:G,MATCH(DATA!D422,'BIO WAHYU'!B:B,0),5)</f>
        <v>3</v>
      </c>
      <c r="K422" s="34">
        <f>INDEX('BIO WAHYU'!B:G,MATCH(DATA!D422,'BIO WAHYU'!B:B,0),6)</f>
        <v>3</v>
      </c>
      <c r="L422" s="35">
        <f>INDEX('BIO WAHYU'!B:H,MATCH(DATA!D422,'BIO WAHYU'!B:B,0),7)</f>
        <v>0</v>
      </c>
      <c r="M422" s="34">
        <f>INDEX('BIO WAHYU'!B:H,MATCH(DATA!D422,'BIO WAHYU'!B:B,0),4)</f>
        <v>0</v>
      </c>
    </row>
    <row r="423" spans="1:13">
      <c r="A423" s="43" t="s">
        <v>1671</v>
      </c>
      <c r="B423" s="43">
        <v>2613050885</v>
      </c>
      <c r="C423" s="43" t="s">
        <v>293</v>
      </c>
      <c r="D423" s="10">
        <v>511386</v>
      </c>
      <c r="E423" s="43" t="s">
        <v>15</v>
      </c>
      <c r="F423" s="8">
        <f>_xlfn.IFNA(INDEX('OSA | 3GB'!J:L,MATCH(DATA!D423,'OSA | 3GB'!J:J,0),2),0)</f>
        <v>2</v>
      </c>
      <c r="G423" s="8">
        <f>_xlfn.IFNA(INDEX('OSA | 3GB'!J:L,MATCH(DATA!D423,'OSA | 3GB'!J:J,0),3),0)</f>
        <v>8000000</v>
      </c>
      <c r="H423" s="32">
        <f>_xlfn.IFNA(INDEX('OSA | 3GB'!A:C,MATCH(DATA!D423,'OSA | 3GB'!A:A,0),2),0)</f>
        <v>2</v>
      </c>
      <c r="I423" s="33">
        <f>_xlfn.IFNA(INDEX('OSA | 3GB'!A:C,MATCH(DATA!D423,'OSA | 3GB'!A:A,0),3),0)</f>
        <v>2500000</v>
      </c>
      <c r="J423" s="33">
        <f>INDEX('BIO WAHYU'!B:G,MATCH(DATA!D423,'BIO WAHYU'!B:B,0),5)</f>
        <v>2</v>
      </c>
      <c r="K423" s="34">
        <f>INDEX('BIO WAHYU'!B:G,MATCH(DATA!D423,'BIO WAHYU'!B:B,0),6)</f>
        <v>1</v>
      </c>
      <c r="L423" s="35">
        <f>INDEX('BIO WAHYU'!B:H,MATCH(DATA!D423,'BIO WAHYU'!B:B,0),7)</f>
        <v>0</v>
      </c>
      <c r="M423" s="34">
        <f>INDEX('BIO WAHYU'!B:H,MATCH(DATA!D423,'BIO WAHYU'!B:B,0),4)</f>
        <v>0</v>
      </c>
    </row>
    <row r="424" spans="1:13">
      <c r="A424" s="43" t="s">
        <v>1671</v>
      </c>
      <c r="B424" s="43">
        <v>2613050885</v>
      </c>
      <c r="C424" s="43" t="s">
        <v>301</v>
      </c>
      <c r="D424" s="10">
        <v>523915</v>
      </c>
      <c r="E424" s="43" t="s">
        <v>15</v>
      </c>
      <c r="F424" s="8">
        <f>_xlfn.IFNA(INDEX('OSA | 3GB'!J:L,MATCH(DATA!D424,'OSA | 3GB'!J:J,0),2),0)</f>
        <v>6</v>
      </c>
      <c r="G424" s="8">
        <f>_xlfn.IFNA(INDEX('OSA | 3GB'!J:L,MATCH(DATA!D424,'OSA | 3GB'!J:J,0),3),0)</f>
        <v>16130000</v>
      </c>
      <c r="H424" s="32" t="str">
        <f>_xlfn.IFNA(INDEX('OSA | 3GB'!A:C,MATCH(DATA!D424,'OSA | 3GB'!A:A,0),2),0)</f>
        <v xml:space="preserve"> -   </v>
      </c>
      <c r="I424" s="33" t="str">
        <f>_xlfn.IFNA(INDEX('OSA | 3GB'!A:C,MATCH(DATA!D424,'OSA | 3GB'!A:A,0),3),0)</f>
        <v xml:space="preserve"> -   </v>
      </c>
      <c r="J424" s="33">
        <f>INDEX('BIO WAHYU'!B:G,MATCH(DATA!D424,'BIO WAHYU'!B:B,0),5)</f>
        <v>5</v>
      </c>
      <c r="K424" s="34">
        <f>INDEX('BIO WAHYU'!B:G,MATCH(DATA!D424,'BIO WAHYU'!B:B,0),6)</f>
        <v>0</v>
      </c>
      <c r="L424" s="35">
        <f>INDEX('BIO WAHYU'!B:H,MATCH(DATA!D424,'BIO WAHYU'!B:B,0),7)</f>
        <v>0</v>
      </c>
      <c r="M424" s="34">
        <f>INDEX('BIO WAHYU'!B:H,MATCH(DATA!D424,'BIO WAHYU'!B:B,0),4)</f>
        <v>0</v>
      </c>
    </row>
    <row r="425" spans="1:13">
      <c r="A425" s="43" t="s">
        <v>1671</v>
      </c>
      <c r="B425" s="43" t="s">
        <v>142</v>
      </c>
      <c r="C425" s="43" t="s">
        <v>1275</v>
      </c>
      <c r="D425" s="10">
        <v>511076</v>
      </c>
      <c r="E425" s="43" t="s">
        <v>10</v>
      </c>
      <c r="F425" s="8">
        <f>_xlfn.IFNA(INDEX('OSA | 3GB'!J:L,MATCH(DATA!D425,'OSA | 3GB'!J:J,0),2),0)</f>
        <v>0</v>
      </c>
      <c r="G425" s="8">
        <f>_xlfn.IFNA(INDEX('OSA | 3GB'!J:L,MATCH(DATA!D425,'OSA | 3GB'!J:J,0),3),0)</f>
        <v>0</v>
      </c>
      <c r="H425" s="32" t="str">
        <f>_xlfn.IFNA(INDEX('OSA | 3GB'!A:C,MATCH(DATA!D425,'OSA | 3GB'!A:A,0),2),0)</f>
        <v xml:space="preserve"> -   </v>
      </c>
      <c r="I425" s="33" t="str">
        <f>_xlfn.IFNA(INDEX('OSA | 3GB'!A:C,MATCH(DATA!D425,'OSA | 3GB'!A:A,0),3),0)</f>
        <v xml:space="preserve"> -   </v>
      </c>
      <c r="J425" s="33">
        <f>INDEX('BIO WAHYU'!B:G,MATCH(DATA!D425,'BIO WAHYU'!B:B,0),5)</f>
        <v>1</v>
      </c>
      <c r="K425" s="34">
        <f>INDEX('BIO WAHYU'!B:G,MATCH(DATA!D425,'BIO WAHYU'!B:B,0),6)</f>
        <v>0</v>
      </c>
      <c r="L425" s="35">
        <f>INDEX('BIO WAHYU'!B:H,MATCH(DATA!D425,'BIO WAHYU'!B:B,0),7)</f>
        <v>0</v>
      </c>
      <c r="M425" s="34">
        <f>INDEX('BIO WAHYU'!B:H,MATCH(DATA!D425,'BIO WAHYU'!B:B,0),4)</f>
        <v>0</v>
      </c>
    </row>
    <row r="426" spans="1:13">
      <c r="A426" s="43" t="s">
        <v>1673</v>
      </c>
      <c r="B426" s="43" t="s">
        <v>144</v>
      </c>
      <c r="C426" s="43" t="s">
        <v>214</v>
      </c>
      <c r="D426" s="10">
        <v>12305580</v>
      </c>
      <c r="E426" s="43" t="s">
        <v>10</v>
      </c>
      <c r="F426" s="8">
        <f>_xlfn.IFNA(INDEX('OSA | 3GB'!J:L,MATCH(DATA!D426,'OSA | 3GB'!J:J,0),2),0)</f>
        <v>3</v>
      </c>
      <c r="G426" s="8">
        <f>_xlfn.IFNA(INDEX('OSA | 3GB'!J:L,MATCH(DATA!D426,'OSA | 3GB'!J:J,0),3),0)</f>
        <v>1500000</v>
      </c>
      <c r="H426" s="32" t="str">
        <f>_xlfn.IFNA(INDEX('OSA | 3GB'!A:C,MATCH(DATA!D426,'OSA | 3GB'!A:A,0),2),0)</f>
        <v xml:space="preserve"> -   </v>
      </c>
      <c r="I426" s="33">
        <f>_xlfn.IFNA(INDEX('OSA | 3GB'!A:C,MATCH(DATA!D426,'OSA | 3GB'!A:A,0),3),0)</f>
        <v>250000</v>
      </c>
      <c r="J426" s="33">
        <f>INDEX('BIO WAHYU'!B:G,MATCH(DATA!D426,'BIO WAHYU'!B:B,0),5)</f>
        <v>1</v>
      </c>
      <c r="K426" s="34">
        <f>INDEX('BIO WAHYU'!B:G,MATCH(DATA!D426,'BIO WAHYU'!B:B,0),6)</f>
        <v>0</v>
      </c>
      <c r="L426" s="35">
        <f>INDEX('BIO WAHYU'!B:H,MATCH(DATA!D426,'BIO WAHYU'!B:B,0),7)</f>
        <v>0</v>
      </c>
      <c r="M426" s="34">
        <f>INDEX('BIO WAHYU'!B:H,MATCH(DATA!D426,'BIO WAHYU'!B:B,0),4)</f>
        <v>0</v>
      </c>
    </row>
    <row r="427" spans="1:13">
      <c r="A427" s="43" t="s">
        <v>1</v>
      </c>
      <c r="B427" s="43" t="s">
        <v>3</v>
      </c>
      <c r="C427" s="43" t="s">
        <v>1085</v>
      </c>
      <c r="D427" s="10">
        <v>301600</v>
      </c>
      <c r="E427" s="43" t="s">
        <v>10</v>
      </c>
      <c r="F427" s="8">
        <f>_xlfn.IFNA(INDEX('OSA | 3GB'!J:L,MATCH(DATA!D427,'OSA | 3GB'!J:J,0),2),0)</f>
        <v>1</v>
      </c>
      <c r="G427" s="8">
        <f>_xlfn.IFNA(INDEX('OSA | 3GB'!J:L,MATCH(DATA!D427,'OSA | 3GB'!J:J,0),3),0)</f>
        <v>3762500</v>
      </c>
      <c r="H427" s="32">
        <f>_xlfn.IFNA(INDEX('OSA | 3GB'!A:C,MATCH(DATA!D427,'OSA | 3GB'!A:A,0),2),0)</f>
        <v>3</v>
      </c>
      <c r="I427" s="33">
        <f>_xlfn.IFNA(INDEX('OSA | 3GB'!A:C,MATCH(DATA!D427,'OSA | 3GB'!A:A,0),3),0)</f>
        <v>2000000</v>
      </c>
      <c r="J427" s="33">
        <f>INDEX('BIO WAHYU'!B:G,MATCH(DATA!D427,'BIO WAHYU'!B:B,0),5)</f>
        <v>1</v>
      </c>
      <c r="K427" s="34">
        <f>INDEX('BIO WAHYU'!B:G,MATCH(DATA!D427,'BIO WAHYU'!B:B,0),6)</f>
        <v>2</v>
      </c>
      <c r="L427" s="35">
        <f>INDEX('BIO WAHYU'!B:H,MATCH(DATA!D427,'BIO WAHYU'!B:B,0),7)</f>
        <v>1</v>
      </c>
      <c r="M427" s="34">
        <f>INDEX('BIO WAHYU'!B:H,MATCH(DATA!D427,'BIO WAHYU'!B:B,0),4)</f>
        <v>0</v>
      </c>
    </row>
    <row r="428" spans="1:13">
      <c r="A428" s="43" t="s">
        <v>1670</v>
      </c>
      <c r="B428" s="43" t="s">
        <v>145</v>
      </c>
      <c r="C428" s="43" t="s">
        <v>1276</v>
      </c>
      <c r="D428" s="10">
        <v>524408</v>
      </c>
      <c r="E428" s="43" t="s">
        <v>23</v>
      </c>
      <c r="F428" s="8">
        <f>_xlfn.IFNA(INDEX('OSA | 3GB'!J:L,MATCH(DATA!D428,'OSA | 3GB'!J:J,0),2),0)</f>
        <v>10</v>
      </c>
      <c r="G428" s="8">
        <f>_xlfn.IFNA(INDEX('OSA | 3GB'!J:L,MATCH(DATA!D428,'OSA | 3GB'!J:J,0),3),0)</f>
        <v>3029000</v>
      </c>
      <c r="H428" s="32">
        <f>_xlfn.IFNA(INDEX('OSA | 3GB'!A:C,MATCH(DATA!D428,'OSA | 3GB'!A:A,0),2),0)</f>
        <v>3</v>
      </c>
      <c r="I428" s="33">
        <f>_xlfn.IFNA(INDEX('OSA | 3GB'!A:C,MATCH(DATA!D428,'OSA | 3GB'!A:A,0),3),0)</f>
        <v>1500000</v>
      </c>
      <c r="J428" s="33">
        <f>INDEX('BIO WAHYU'!B:G,MATCH(DATA!D428,'BIO WAHYU'!B:B,0),5)</f>
        <v>9</v>
      </c>
      <c r="K428" s="34">
        <f>INDEX('BIO WAHYU'!B:G,MATCH(DATA!D428,'BIO WAHYU'!B:B,0),6)</f>
        <v>12</v>
      </c>
      <c r="L428" s="35">
        <f>INDEX('BIO WAHYU'!B:H,MATCH(DATA!D428,'BIO WAHYU'!B:B,0),7)</f>
        <v>3</v>
      </c>
      <c r="M428" s="34">
        <f>INDEX('BIO WAHYU'!B:H,MATCH(DATA!D428,'BIO WAHYU'!B:B,0),4)</f>
        <v>1</v>
      </c>
    </row>
    <row r="429" spans="1:13">
      <c r="A429" s="43" t="s">
        <v>1671</v>
      </c>
      <c r="B429" s="43">
        <v>2613050885</v>
      </c>
      <c r="C429" s="43" t="s">
        <v>311</v>
      </c>
      <c r="D429" s="10">
        <v>61612</v>
      </c>
      <c r="E429" s="43" t="s">
        <v>15</v>
      </c>
      <c r="F429" s="8">
        <f>_xlfn.IFNA(INDEX('OSA | 3GB'!J:L,MATCH(DATA!D429,'OSA | 3GB'!J:J,0),2),0)</f>
        <v>0</v>
      </c>
      <c r="G429" s="8">
        <f>_xlfn.IFNA(INDEX('OSA | 3GB'!J:L,MATCH(DATA!D429,'OSA | 3GB'!J:J,0),3),0)</f>
        <v>200000</v>
      </c>
      <c r="H429" s="32" t="str">
        <f>_xlfn.IFNA(INDEX('OSA | 3GB'!A:C,MATCH(DATA!D429,'OSA | 3GB'!A:A,0),2),0)</f>
        <v xml:space="preserve"> -   </v>
      </c>
      <c r="I429" s="33">
        <f>_xlfn.IFNA(INDEX('OSA | 3GB'!A:C,MATCH(DATA!D429,'OSA | 3GB'!A:A,0),3),0)</f>
        <v>100000</v>
      </c>
      <c r="J429" s="33">
        <f>INDEX('BIO WAHYU'!B:G,MATCH(DATA!D429,'BIO WAHYU'!B:B,0),5)</f>
        <v>0</v>
      </c>
      <c r="K429" s="34">
        <f>INDEX('BIO WAHYU'!B:G,MATCH(DATA!D429,'BIO WAHYU'!B:B,0),6)</f>
        <v>0</v>
      </c>
      <c r="L429" s="35">
        <f>INDEX('BIO WAHYU'!B:H,MATCH(DATA!D429,'BIO WAHYU'!B:B,0),7)</f>
        <v>0</v>
      </c>
      <c r="M429" s="34">
        <f>INDEX('BIO WAHYU'!B:H,MATCH(DATA!D429,'BIO WAHYU'!B:B,0),4)</f>
        <v>1</v>
      </c>
    </row>
    <row r="430" spans="1:13">
      <c r="A430" s="43" t="s">
        <v>1673</v>
      </c>
      <c r="B430" s="43" t="s">
        <v>1136</v>
      </c>
      <c r="C430" s="43" t="s">
        <v>1115</v>
      </c>
      <c r="D430" s="10">
        <v>459694</v>
      </c>
      <c r="E430" s="43" t="s">
        <v>15</v>
      </c>
      <c r="F430" s="8">
        <f>_xlfn.IFNA(INDEX('OSA | 3GB'!J:L,MATCH(DATA!D430,'OSA | 3GB'!J:J,0),2),0)</f>
        <v>9</v>
      </c>
      <c r="G430" s="8">
        <f>_xlfn.IFNA(INDEX('OSA | 3GB'!J:L,MATCH(DATA!D430,'OSA | 3GB'!J:J,0),3),0)</f>
        <v>0</v>
      </c>
      <c r="H430" s="32" t="str">
        <f>_xlfn.IFNA(INDEX('OSA | 3GB'!A:C,MATCH(DATA!D430,'OSA | 3GB'!A:A,0),2),0)</f>
        <v xml:space="preserve"> -   </v>
      </c>
      <c r="I430" s="33" t="str">
        <f>_xlfn.IFNA(INDEX('OSA | 3GB'!A:C,MATCH(DATA!D430,'OSA | 3GB'!A:A,0),3),0)</f>
        <v xml:space="preserve"> -   </v>
      </c>
      <c r="J430" s="33">
        <f>INDEX('BIO WAHYU'!B:G,MATCH(DATA!D430,'BIO WAHYU'!B:B,0),5)</f>
        <v>1</v>
      </c>
      <c r="K430" s="34">
        <f>INDEX('BIO WAHYU'!B:G,MATCH(DATA!D430,'BIO WAHYU'!B:B,0),6)</f>
        <v>3</v>
      </c>
      <c r="L430" s="35">
        <f>INDEX('BIO WAHYU'!B:H,MATCH(DATA!D430,'BIO WAHYU'!B:B,0),7)</f>
        <v>2</v>
      </c>
      <c r="M430" s="34">
        <f>INDEX('BIO WAHYU'!B:H,MATCH(DATA!D430,'BIO WAHYU'!B:B,0),4)</f>
        <v>0</v>
      </c>
    </row>
    <row r="431" spans="1:13">
      <c r="A431" s="43" t="s">
        <v>1670</v>
      </c>
      <c r="B431" s="43" t="s">
        <v>140</v>
      </c>
      <c r="C431" s="43" t="s">
        <v>1277</v>
      </c>
      <c r="D431" s="10">
        <v>537134</v>
      </c>
      <c r="E431" s="43" t="s">
        <v>23</v>
      </c>
      <c r="F431" s="8">
        <f>_xlfn.IFNA(INDEX('OSA | 3GB'!J:L,MATCH(DATA!D431,'OSA | 3GB'!J:J,0),2),0)</f>
        <v>4</v>
      </c>
      <c r="G431" s="8">
        <f>_xlfn.IFNA(INDEX('OSA | 3GB'!J:L,MATCH(DATA!D431,'OSA | 3GB'!J:J,0),3),0)</f>
        <v>10150000</v>
      </c>
      <c r="H431" s="32">
        <f>_xlfn.IFNA(INDEX('OSA | 3GB'!A:C,MATCH(DATA!D431,'OSA | 3GB'!A:A,0),2),0)</f>
        <v>5</v>
      </c>
      <c r="I431" s="33">
        <f>_xlfn.IFNA(INDEX('OSA | 3GB'!A:C,MATCH(DATA!D431,'OSA | 3GB'!A:A,0),3),0)</f>
        <v>4000000</v>
      </c>
      <c r="J431" s="33">
        <f>INDEX('BIO WAHYU'!B:G,MATCH(DATA!D431,'BIO WAHYU'!B:B,0),5)</f>
        <v>10</v>
      </c>
      <c r="K431" s="34">
        <f>INDEX('BIO WAHYU'!B:G,MATCH(DATA!D431,'BIO WAHYU'!B:B,0),6)</f>
        <v>5</v>
      </c>
      <c r="L431" s="35">
        <f>INDEX('BIO WAHYU'!B:H,MATCH(DATA!D431,'BIO WAHYU'!B:B,0),7)</f>
        <v>0</v>
      </c>
      <c r="M431" s="34">
        <f>INDEX('BIO WAHYU'!B:H,MATCH(DATA!D431,'BIO WAHYU'!B:B,0),4)</f>
        <v>0</v>
      </c>
    </row>
    <row r="432" spans="1:13">
      <c r="A432" s="43" t="s">
        <v>1671</v>
      </c>
      <c r="B432" s="43" t="s">
        <v>142</v>
      </c>
      <c r="C432" s="43" t="s">
        <v>376</v>
      </c>
      <c r="D432" s="10">
        <v>61618</v>
      </c>
      <c r="E432" s="43" t="s">
        <v>10</v>
      </c>
      <c r="F432" s="8">
        <f>_xlfn.IFNA(INDEX('OSA | 3GB'!J:L,MATCH(DATA!D432,'OSA | 3GB'!J:J,0),2),0)</f>
        <v>4</v>
      </c>
      <c r="G432" s="8">
        <f>_xlfn.IFNA(INDEX('OSA | 3GB'!J:L,MATCH(DATA!D432,'OSA | 3GB'!J:J,0),3),0)</f>
        <v>250000</v>
      </c>
      <c r="H432" s="32" t="str">
        <f>_xlfn.IFNA(INDEX('OSA | 3GB'!A:C,MATCH(DATA!D432,'OSA | 3GB'!A:A,0),2),0)</f>
        <v xml:space="preserve"> -   </v>
      </c>
      <c r="I432" s="33">
        <f>_xlfn.IFNA(INDEX('OSA | 3GB'!A:C,MATCH(DATA!D432,'OSA | 3GB'!A:A,0),3),0)</f>
        <v>100000</v>
      </c>
      <c r="J432" s="33">
        <f>INDEX('BIO WAHYU'!B:G,MATCH(DATA!D432,'BIO WAHYU'!B:B,0),5)</f>
        <v>2</v>
      </c>
      <c r="K432" s="34">
        <f>INDEX('BIO WAHYU'!B:G,MATCH(DATA!D432,'BIO WAHYU'!B:B,0),6)</f>
        <v>1</v>
      </c>
      <c r="L432" s="35">
        <f>INDEX('BIO WAHYU'!B:H,MATCH(DATA!D432,'BIO WAHYU'!B:B,0),7)</f>
        <v>0</v>
      </c>
      <c r="M432" s="34">
        <f>INDEX('BIO WAHYU'!B:H,MATCH(DATA!D432,'BIO WAHYU'!B:B,0),4)</f>
        <v>0</v>
      </c>
    </row>
    <row r="433" spans="1:13">
      <c r="A433" s="43" t="s">
        <v>1675</v>
      </c>
      <c r="B433" s="43">
        <v>2613051451</v>
      </c>
      <c r="C433" s="43" t="s">
        <v>384</v>
      </c>
      <c r="D433" s="10">
        <v>126981</v>
      </c>
      <c r="E433" s="43" t="s">
        <v>10</v>
      </c>
      <c r="F433" s="8">
        <f>_xlfn.IFNA(INDEX('OSA | 3GB'!J:L,MATCH(DATA!D433,'OSA | 3GB'!J:J,0),2),0)</f>
        <v>0</v>
      </c>
      <c r="G433" s="8">
        <f>_xlfn.IFNA(INDEX('OSA | 3GB'!J:L,MATCH(DATA!D433,'OSA | 3GB'!J:J,0),3),0)</f>
        <v>0</v>
      </c>
      <c r="H433" s="32" t="str">
        <f>_xlfn.IFNA(INDEX('OSA | 3GB'!A:C,MATCH(DATA!D433,'OSA | 3GB'!A:A,0),2),0)</f>
        <v xml:space="preserve"> -   </v>
      </c>
      <c r="I433" s="33" t="str">
        <f>_xlfn.IFNA(INDEX('OSA | 3GB'!A:C,MATCH(DATA!D433,'OSA | 3GB'!A:A,0),3),0)</f>
        <v xml:space="preserve"> -   </v>
      </c>
      <c r="J433" s="33">
        <f>INDEX('BIO WAHYU'!B:G,MATCH(DATA!D433,'BIO WAHYU'!B:B,0),5)</f>
        <v>0</v>
      </c>
      <c r="K433" s="34">
        <f>INDEX('BIO WAHYU'!B:G,MATCH(DATA!D433,'BIO WAHYU'!B:B,0),6)</f>
        <v>0</v>
      </c>
      <c r="L433" s="35">
        <f>INDEX('BIO WAHYU'!B:H,MATCH(DATA!D433,'BIO WAHYU'!B:B,0),7)</f>
        <v>0</v>
      </c>
      <c r="M433" s="34">
        <f>INDEX('BIO WAHYU'!B:H,MATCH(DATA!D433,'BIO WAHYU'!B:B,0),4)</f>
        <v>0</v>
      </c>
    </row>
    <row r="434" spans="1:13">
      <c r="A434" s="43" t="s">
        <v>1671</v>
      </c>
      <c r="B434" s="43">
        <v>2613050885</v>
      </c>
      <c r="C434" s="43" t="s">
        <v>278</v>
      </c>
      <c r="D434" s="10">
        <v>12300897</v>
      </c>
      <c r="E434" s="43" t="s">
        <v>10</v>
      </c>
      <c r="F434" s="8">
        <f>_xlfn.IFNA(INDEX('OSA | 3GB'!J:L,MATCH(DATA!D434,'OSA | 3GB'!J:J,0),2),0)</f>
        <v>0</v>
      </c>
      <c r="G434" s="8">
        <f>_xlfn.IFNA(INDEX('OSA | 3GB'!J:L,MATCH(DATA!D434,'OSA | 3GB'!J:J,0),3),0)</f>
        <v>20000000</v>
      </c>
      <c r="H434" s="32" t="str">
        <f>_xlfn.IFNA(INDEX('OSA | 3GB'!A:C,MATCH(DATA!D434,'OSA | 3GB'!A:A,0),2),0)</f>
        <v xml:space="preserve"> -   </v>
      </c>
      <c r="I434" s="33">
        <f>_xlfn.IFNA(INDEX('OSA | 3GB'!A:C,MATCH(DATA!D434,'OSA | 3GB'!A:A,0),3),0)</f>
        <v>3000000</v>
      </c>
      <c r="J434" s="33">
        <f>INDEX('BIO WAHYU'!B:G,MATCH(DATA!D434,'BIO WAHYU'!B:B,0),5)</f>
        <v>1</v>
      </c>
      <c r="K434" s="34">
        <f>INDEX('BIO WAHYU'!B:G,MATCH(DATA!D434,'BIO WAHYU'!B:B,0),6)</f>
        <v>0</v>
      </c>
      <c r="L434" s="35">
        <f>INDEX('BIO WAHYU'!B:H,MATCH(DATA!D434,'BIO WAHYU'!B:B,0),7)</f>
        <v>0</v>
      </c>
      <c r="M434" s="34">
        <f>INDEX('BIO WAHYU'!B:H,MATCH(DATA!D434,'BIO WAHYU'!B:B,0),4)</f>
        <v>0</v>
      </c>
    </row>
    <row r="435" spans="1:13">
      <c r="A435" s="43" t="s">
        <v>1674</v>
      </c>
      <c r="B435" s="43" t="s">
        <v>154</v>
      </c>
      <c r="C435" s="43" t="s">
        <v>746</v>
      </c>
      <c r="D435" s="10">
        <v>369696</v>
      </c>
      <c r="E435" s="43" t="s">
        <v>10</v>
      </c>
      <c r="F435" s="8">
        <f>_xlfn.IFNA(INDEX('OSA | 3GB'!J:L,MATCH(DATA!D435,'OSA | 3GB'!J:J,0),2),0)</f>
        <v>91</v>
      </c>
      <c r="G435" s="8">
        <f>_xlfn.IFNA(INDEX('OSA | 3GB'!J:L,MATCH(DATA!D435,'OSA | 3GB'!J:J,0),3),0)</f>
        <v>8373000</v>
      </c>
      <c r="H435" s="32">
        <f>_xlfn.IFNA(INDEX('OSA | 3GB'!A:C,MATCH(DATA!D435,'OSA | 3GB'!A:A,0),2),0)</f>
        <v>1</v>
      </c>
      <c r="I435" s="33">
        <f>_xlfn.IFNA(INDEX('OSA | 3GB'!A:C,MATCH(DATA!D435,'OSA | 3GB'!A:A,0),3),0)</f>
        <v>2579000</v>
      </c>
      <c r="J435" s="33">
        <f>INDEX('BIO WAHYU'!B:G,MATCH(DATA!D435,'BIO WAHYU'!B:B,0),5)</f>
        <v>32</v>
      </c>
      <c r="K435" s="34">
        <f>INDEX('BIO WAHYU'!B:G,MATCH(DATA!D435,'BIO WAHYU'!B:B,0),6)</f>
        <v>22</v>
      </c>
      <c r="L435" s="35">
        <f>INDEX('BIO WAHYU'!B:H,MATCH(DATA!D435,'BIO WAHYU'!B:B,0),7)</f>
        <v>0</v>
      </c>
      <c r="M435" s="34">
        <f>INDEX('BIO WAHYU'!B:H,MATCH(DATA!D435,'BIO WAHYU'!B:B,0),4)</f>
        <v>6</v>
      </c>
    </row>
    <row r="436" spans="1:13">
      <c r="A436" s="43" t="s">
        <v>1670</v>
      </c>
      <c r="B436" s="43">
        <v>2613051412</v>
      </c>
      <c r="C436" s="43" t="s">
        <v>555</v>
      </c>
      <c r="D436" s="10">
        <v>211577</v>
      </c>
      <c r="E436" s="43" t="s">
        <v>15</v>
      </c>
      <c r="F436" s="8">
        <f>_xlfn.IFNA(INDEX('OSA | 3GB'!J:L,MATCH(DATA!D436,'OSA | 3GB'!J:J,0),2),0)</f>
        <v>2</v>
      </c>
      <c r="G436" s="8">
        <f>_xlfn.IFNA(INDEX('OSA | 3GB'!J:L,MATCH(DATA!D436,'OSA | 3GB'!J:J,0),3),0)</f>
        <v>5774000</v>
      </c>
      <c r="H436" s="32">
        <f>_xlfn.IFNA(INDEX('OSA | 3GB'!A:C,MATCH(DATA!D436,'OSA | 3GB'!A:A,0),2),0)</f>
        <v>3</v>
      </c>
      <c r="I436" s="33">
        <f>_xlfn.IFNA(INDEX('OSA | 3GB'!A:C,MATCH(DATA!D436,'OSA | 3GB'!A:A,0),3),0)</f>
        <v>3029000</v>
      </c>
      <c r="J436" s="33">
        <f>INDEX('BIO WAHYU'!B:G,MATCH(DATA!D436,'BIO WAHYU'!B:B,0),5)</f>
        <v>5</v>
      </c>
      <c r="K436" s="34">
        <f>INDEX('BIO WAHYU'!B:G,MATCH(DATA!D436,'BIO WAHYU'!B:B,0),6)</f>
        <v>1</v>
      </c>
      <c r="L436" s="35">
        <f>INDEX('BIO WAHYU'!B:H,MATCH(DATA!D436,'BIO WAHYU'!B:B,0),7)</f>
        <v>0</v>
      </c>
      <c r="M436" s="34">
        <f>INDEX('BIO WAHYU'!B:H,MATCH(DATA!D436,'BIO WAHYU'!B:B,0),4)</f>
        <v>0</v>
      </c>
    </row>
    <row r="437" spans="1:13">
      <c r="A437" s="43" t="s">
        <v>1</v>
      </c>
      <c r="B437" s="43" t="s">
        <v>3</v>
      </c>
      <c r="C437" s="43" t="s">
        <v>30</v>
      </c>
      <c r="D437" s="10">
        <v>523194</v>
      </c>
      <c r="E437" s="43" t="s">
        <v>10</v>
      </c>
      <c r="F437" s="8">
        <f>_xlfn.IFNA(INDEX('OSA | 3GB'!J:L,MATCH(DATA!D437,'OSA | 3GB'!J:J,0),2),0)</f>
        <v>1</v>
      </c>
      <c r="G437" s="8">
        <f>_xlfn.IFNA(INDEX('OSA | 3GB'!J:L,MATCH(DATA!D437,'OSA | 3GB'!J:J,0),3),0)</f>
        <v>700000</v>
      </c>
      <c r="H437" s="32" t="str">
        <f>_xlfn.IFNA(INDEX('OSA | 3GB'!A:C,MATCH(DATA!D437,'OSA | 3GB'!A:A,0),2),0)</f>
        <v xml:space="preserve"> -   </v>
      </c>
      <c r="I437" s="33">
        <f>_xlfn.IFNA(INDEX('OSA | 3GB'!A:C,MATCH(DATA!D437,'OSA | 3GB'!A:A,0),3),0)</f>
        <v>500000</v>
      </c>
      <c r="J437" s="33">
        <f>INDEX('BIO WAHYU'!B:G,MATCH(DATA!D437,'BIO WAHYU'!B:B,0),5)</f>
        <v>2</v>
      </c>
      <c r="K437" s="34">
        <f>INDEX('BIO WAHYU'!B:G,MATCH(DATA!D437,'BIO WAHYU'!B:B,0),6)</f>
        <v>0</v>
      </c>
      <c r="L437" s="35">
        <f>INDEX('BIO WAHYU'!B:H,MATCH(DATA!D437,'BIO WAHYU'!B:B,0),7)</f>
        <v>0</v>
      </c>
      <c r="M437" s="34">
        <f>INDEX('BIO WAHYU'!B:H,MATCH(DATA!D437,'BIO WAHYU'!B:B,0),4)</f>
        <v>0</v>
      </c>
    </row>
    <row r="438" spans="1:13">
      <c r="A438" s="43" t="s">
        <v>1670</v>
      </c>
      <c r="B438" s="43" t="s">
        <v>146</v>
      </c>
      <c r="C438" s="43" t="s">
        <v>1278</v>
      </c>
      <c r="D438" s="10">
        <v>509643</v>
      </c>
      <c r="E438" s="43" t="s">
        <v>10</v>
      </c>
      <c r="F438" s="8">
        <f>_xlfn.IFNA(INDEX('OSA | 3GB'!J:L,MATCH(DATA!D438,'OSA | 3GB'!J:J,0),2),0)</f>
        <v>4</v>
      </c>
      <c r="G438" s="8">
        <f>_xlfn.IFNA(INDEX('OSA | 3GB'!J:L,MATCH(DATA!D438,'OSA | 3GB'!J:J,0),3),0)</f>
        <v>700000</v>
      </c>
      <c r="H438" s="32" t="str">
        <f>_xlfn.IFNA(INDEX('OSA | 3GB'!A:C,MATCH(DATA!D438,'OSA | 3GB'!A:A,0),2),0)</f>
        <v xml:space="preserve"> -   </v>
      </c>
      <c r="I438" s="33">
        <f>_xlfn.IFNA(INDEX('OSA | 3GB'!A:C,MATCH(DATA!D438,'OSA | 3GB'!A:A,0),3),0)</f>
        <v>587000</v>
      </c>
      <c r="J438" s="33">
        <f>INDEX('BIO WAHYU'!B:G,MATCH(DATA!D438,'BIO WAHYU'!B:B,0),5)</f>
        <v>4</v>
      </c>
      <c r="K438" s="34">
        <f>INDEX('BIO WAHYU'!B:G,MATCH(DATA!D438,'BIO WAHYU'!B:B,0),6)</f>
        <v>2</v>
      </c>
      <c r="L438" s="35">
        <f>INDEX('BIO WAHYU'!B:H,MATCH(DATA!D438,'BIO WAHYU'!B:B,0),7)</f>
        <v>0</v>
      </c>
      <c r="M438" s="34">
        <f>INDEX('BIO WAHYU'!B:H,MATCH(DATA!D438,'BIO WAHYU'!B:B,0),4)</f>
        <v>0</v>
      </c>
    </row>
    <row r="439" spans="1:13">
      <c r="A439" s="43" t="s">
        <v>1672</v>
      </c>
      <c r="B439" s="43" t="s">
        <v>156</v>
      </c>
      <c r="C439" s="43" t="s">
        <v>978</v>
      </c>
      <c r="D439" s="10">
        <v>248829</v>
      </c>
      <c r="E439" s="43" t="s">
        <v>10</v>
      </c>
      <c r="F439" s="8">
        <f>_xlfn.IFNA(INDEX('OSA | 3GB'!J:L,MATCH(DATA!D439,'OSA | 3GB'!J:J,0),2),0)</f>
        <v>0</v>
      </c>
      <c r="G439" s="8">
        <f>_xlfn.IFNA(INDEX('OSA | 3GB'!J:L,MATCH(DATA!D439,'OSA | 3GB'!J:J,0),3),0)</f>
        <v>500000</v>
      </c>
      <c r="H439" s="32">
        <f>_xlfn.IFNA(INDEX('OSA | 3GB'!A:C,MATCH(DATA!D439,'OSA | 3GB'!A:A,0),2),0)</f>
        <v>3</v>
      </c>
      <c r="I439" s="33">
        <f>_xlfn.IFNA(INDEX('OSA | 3GB'!A:C,MATCH(DATA!D439,'OSA | 3GB'!A:A,0),3),0)</f>
        <v>300000</v>
      </c>
      <c r="J439" s="33">
        <f>INDEX('BIO WAHYU'!B:G,MATCH(DATA!D439,'BIO WAHYU'!B:B,0),5)</f>
        <v>3</v>
      </c>
      <c r="K439" s="34">
        <f>INDEX('BIO WAHYU'!B:G,MATCH(DATA!D439,'BIO WAHYU'!B:B,0),6)</f>
        <v>7</v>
      </c>
      <c r="L439" s="35">
        <f>INDEX('BIO WAHYU'!B:H,MATCH(DATA!D439,'BIO WAHYU'!B:B,0),7)</f>
        <v>4</v>
      </c>
      <c r="M439" s="34">
        <f>INDEX('BIO WAHYU'!B:H,MATCH(DATA!D439,'BIO WAHYU'!B:B,0),4)</f>
        <v>0</v>
      </c>
    </row>
    <row r="440" spans="1:13">
      <c r="A440" s="43" t="s">
        <v>1672</v>
      </c>
      <c r="B440" s="43" t="s">
        <v>151</v>
      </c>
      <c r="C440" s="43" t="s">
        <v>1279</v>
      </c>
      <c r="D440" s="10">
        <v>533799</v>
      </c>
      <c r="E440" s="43" t="s">
        <v>10</v>
      </c>
      <c r="F440" s="8">
        <f>_xlfn.IFNA(INDEX('OSA | 3GB'!J:L,MATCH(DATA!D440,'OSA | 3GB'!J:J,0),2),0)</f>
        <v>1</v>
      </c>
      <c r="G440" s="8">
        <f>_xlfn.IFNA(INDEX('OSA | 3GB'!J:L,MATCH(DATA!D440,'OSA | 3GB'!J:J,0),3),0)</f>
        <v>829000</v>
      </c>
      <c r="H440" s="32">
        <f>_xlfn.IFNA(INDEX('OSA | 3GB'!A:C,MATCH(DATA!D440,'OSA | 3GB'!A:A,0),2),0)</f>
        <v>2</v>
      </c>
      <c r="I440" s="33">
        <f>_xlfn.IFNA(INDEX('OSA | 3GB'!A:C,MATCH(DATA!D440,'OSA | 3GB'!A:A,0),3),0)</f>
        <v>258000</v>
      </c>
      <c r="J440" s="33">
        <f>INDEX('BIO WAHYU'!B:G,MATCH(DATA!D440,'BIO WAHYU'!B:B,0),5)</f>
        <v>3</v>
      </c>
      <c r="K440" s="34">
        <f>INDEX('BIO WAHYU'!B:G,MATCH(DATA!D440,'BIO WAHYU'!B:B,0),6)</f>
        <v>0</v>
      </c>
      <c r="L440" s="35">
        <f>INDEX('BIO WAHYU'!B:H,MATCH(DATA!D440,'BIO WAHYU'!B:B,0),7)</f>
        <v>0</v>
      </c>
      <c r="M440" s="34">
        <f>INDEX('BIO WAHYU'!B:H,MATCH(DATA!D440,'BIO WAHYU'!B:B,0),4)</f>
        <v>0</v>
      </c>
    </row>
    <row r="441" spans="1:13">
      <c r="A441" s="43" t="s">
        <v>1672</v>
      </c>
      <c r="B441" s="43" t="s">
        <v>151</v>
      </c>
      <c r="C441" s="43" t="s">
        <v>867</v>
      </c>
      <c r="D441" s="10">
        <v>2787</v>
      </c>
      <c r="E441" s="43" t="s">
        <v>10</v>
      </c>
      <c r="F441" s="8">
        <f>_xlfn.IFNA(INDEX('OSA | 3GB'!J:L,MATCH(DATA!D441,'OSA | 3GB'!J:J,0),2),0)</f>
        <v>1</v>
      </c>
      <c r="G441" s="8">
        <f>_xlfn.IFNA(INDEX('OSA | 3GB'!J:L,MATCH(DATA!D441,'OSA | 3GB'!J:J,0),3),0)</f>
        <v>15040368</v>
      </c>
      <c r="H441" s="32">
        <f>_xlfn.IFNA(INDEX('OSA | 3GB'!A:C,MATCH(DATA!D441,'OSA | 3GB'!A:A,0),2),0)</f>
        <v>4</v>
      </c>
      <c r="I441" s="33">
        <f>_xlfn.IFNA(INDEX('OSA | 3GB'!A:C,MATCH(DATA!D441,'OSA | 3GB'!A:A,0),3),0)</f>
        <v>6000000</v>
      </c>
      <c r="J441" s="33">
        <f>INDEX('BIO WAHYU'!B:G,MATCH(DATA!D441,'BIO WAHYU'!B:B,0),5)</f>
        <v>4</v>
      </c>
      <c r="K441" s="34">
        <f>INDEX('BIO WAHYU'!B:G,MATCH(DATA!D441,'BIO WAHYU'!B:B,0),6)</f>
        <v>4</v>
      </c>
      <c r="L441" s="35">
        <f>INDEX('BIO WAHYU'!B:H,MATCH(DATA!D441,'BIO WAHYU'!B:B,0),7)</f>
        <v>0</v>
      </c>
      <c r="M441" s="34">
        <f>INDEX('BIO WAHYU'!B:H,MATCH(DATA!D441,'BIO WAHYU'!B:B,0),4)</f>
        <v>2</v>
      </c>
    </row>
    <row r="442" spans="1:13">
      <c r="A442" s="43" t="s">
        <v>1672</v>
      </c>
      <c r="B442" s="43" t="s">
        <v>156</v>
      </c>
      <c r="C442" s="43" t="s">
        <v>991</v>
      </c>
      <c r="D442" s="10">
        <v>409940</v>
      </c>
      <c r="E442" s="43" t="s">
        <v>10</v>
      </c>
      <c r="F442" s="8">
        <f>_xlfn.IFNA(INDEX('OSA | 3GB'!J:L,MATCH(DATA!D442,'OSA | 3GB'!J:J,0),2),0)</f>
        <v>1</v>
      </c>
      <c r="G442" s="8">
        <f>_xlfn.IFNA(INDEX('OSA | 3GB'!J:L,MATCH(DATA!D442,'OSA | 3GB'!J:J,0),3),0)</f>
        <v>5985000</v>
      </c>
      <c r="H442" s="32" t="str">
        <f>_xlfn.IFNA(INDEX('OSA | 3GB'!A:C,MATCH(DATA!D442,'OSA | 3GB'!A:A,0),2),0)</f>
        <v xml:space="preserve"> -   </v>
      </c>
      <c r="I442" s="33">
        <f>_xlfn.IFNA(INDEX('OSA | 3GB'!A:C,MATCH(DATA!D442,'OSA | 3GB'!A:A,0),3),0)</f>
        <v>2000000</v>
      </c>
      <c r="J442" s="33">
        <f>INDEX('BIO WAHYU'!B:G,MATCH(DATA!D442,'BIO WAHYU'!B:B,0),5)</f>
        <v>0</v>
      </c>
      <c r="K442" s="34">
        <f>INDEX('BIO WAHYU'!B:G,MATCH(DATA!D442,'BIO WAHYU'!B:B,0),6)</f>
        <v>0</v>
      </c>
      <c r="L442" s="35">
        <f>INDEX('BIO WAHYU'!B:H,MATCH(DATA!D442,'BIO WAHYU'!B:B,0),7)</f>
        <v>0</v>
      </c>
      <c r="M442" s="34">
        <f>INDEX('BIO WAHYU'!B:H,MATCH(DATA!D442,'BIO WAHYU'!B:B,0),4)</f>
        <v>0</v>
      </c>
    </row>
    <row r="443" spans="1:13">
      <c r="A443" s="43" t="s">
        <v>1674</v>
      </c>
      <c r="B443" s="43" t="s">
        <v>152</v>
      </c>
      <c r="C443" s="43" t="s">
        <v>654</v>
      </c>
      <c r="D443" s="10">
        <v>126968</v>
      </c>
      <c r="E443" s="43" t="s">
        <v>10</v>
      </c>
      <c r="F443" s="8">
        <f>_xlfn.IFNA(INDEX('OSA | 3GB'!J:L,MATCH(DATA!D443,'OSA | 3GB'!J:J,0),2),0)</f>
        <v>3</v>
      </c>
      <c r="G443" s="8">
        <f>_xlfn.IFNA(INDEX('OSA | 3GB'!J:L,MATCH(DATA!D443,'OSA | 3GB'!J:J,0),3),0)</f>
        <v>508000</v>
      </c>
      <c r="H443" s="32" t="str">
        <f>_xlfn.IFNA(INDEX('OSA | 3GB'!A:C,MATCH(DATA!D443,'OSA | 3GB'!A:A,0),2),0)</f>
        <v xml:space="preserve"> -   </v>
      </c>
      <c r="I443" s="33">
        <f>_xlfn.IFNA(INDEX('OSA | 3GB'!A:C,MATCH(DATA!D443,'OSA | 3GB'!A:A,0),3),0)</f>
        <v>500000</v>
      </c>
      <c r="J443" s="33">
        <f>INDEX('BIO WAHYU'!B:G,MATCH(DATA!D443,'BIO WAHYU'!B:B,0),5)</f>
        <v>1</v>
      </c>
      <c r="K443" s="34">
        <f>INDEX('BIO WAHYU'!B:G,MATCH(DATA!D443,'BIO WAHYU'!B:B,0),6)</f>
        <v>0</v>
      </c>
      <c r="L443" s="35">
        <f>INDEX('BIO WAHYU'!B:H,MATCH(DATA!D443,'BIO WAHYU'!B:B,0),7)</f>
        <v>0</v>
      </c>
      <c r="M443" s="34">
        <f>INDEX('BIO WAHYU'!B:H,MATCH(DATA!D443,'BIO WAHYU'!B:B,0),4)</f>
        <v>0</v>
      </c>
    </row>
    <row r="444" spans="1:13">
      <c r="A444" s="43" t="s">
        <v>1673</v>
      </c>
      <c r="B444" s="43" t="s">
        <v>158</v>
      </c>
      <c r="C444" s="43" t="s">
        <v>1280</v>
      </c>
      <c r="D444" s="10">
        <v>211622</v>
      </c>
      <c r="E444" s="43" t="s">
        <v>10</v>
      </c>
      <c r="F444" s="8">
        <f>_xlfn.IFNA(INDEX('OSA | 3GB'!J:L,MATCH(DATA!D444,'OSA | 3GB'!J:J,0),2),0)</f>
        <v>53</v>
      </c>
      <c r="G444" s="8">
        <f>_xlfn.IFNA(INDEX('OSA | 3GB'!J:L,MATCH(DATA!D444,'OSA | 3GB'!J:J,0),3),0)</f>
        <v>612500</v>
      </c>
      <c r="H444" s="32" t="str">
        <f>_xlfn.IFNA(INDEX('OSA | 3GB'!A:C,MATCH(DATA!D444,'OSA | 3GB'!A:A,0),2),0)</f>
        <v xml:space="preserve"> -   </v>
      </c>
      <c r="I444" s="33">
        <f>_xlfn.IFNA(INDEX('OSA | 3GB'!A:C,MATCH(DATA!D444,'OSA | 3GB'!A:A,0),3),0)</f>
        <v>150000</v>
      </c>
      <c r="J444" s="33">
        <f>INDEX('BIO WAHYU'!B:G,MATCH(DATA!D444,'BIO WAHYU'!B:B,0),5)</f>
        <v>6</v>
      </c>
      <c r="K444" s="34">
        <f>INDEX('BIO WAHYU'!B:G,MATCH(DATA!D444,'BIO WAHYU'!B:B,0),6)</f>
        <v>20</v>
      </c>
      <c r="L444" s="35">
        <f>INDEX('BIO WAHYU'!B:H,MATCH(DATA!D444,'BIO WAHYU'!B:B,0),7)</f>
        <v>14</v>
      </c>
      <c r="M444" s="34">
        <f>INDEX('BIO WAHYU'!B:H,MATCH(DATA!D444,'BIO WAHYU'!B:B,0),4)</f>
        <v>0</v>
      </c>
    </row>
    <row r="445" spans="1:13">
      <c r="A445" s="43" t="s">
        <v>1673</v>
      </c>
      <c r="B445" s="43" t="s">
        <v>1140</v>
      </c>
      <c r="C445" s="43" t="s">
        <v>1281</v>
      </c>
      <c r="D445" s="10">
        <v>5981</v>
      </c>
      <c r="E445" s="43" t="s">
        <v>10</v>
      </c>
      <c r="F445" s="8">
        <f>_xlfn.IFNA(INDEX('OSA | 3GB'!J:L,MATCH(DATA!D445,'OSA | 3GB'!J:J,0),2),0)</f>
        <v>1</v>
      </c>
      <c r="G445" s="8">
        <f>_xlfn.IFNA(INDEX('OSA | 3GB'!J:L,MATCH(DATA!D445,'OSA | 3GB'!J:J,0),3),0)</f>
        <v>12500000</v>
      </c>
      <c r="H445" s="32" t="str">
        <f>_xlfn.IFNA(INDEX('OSA | 3GB'!A:C,MATCH(DATA!D445,'OSA | 3GB'!A:A,0),2),0)</f>
        <v xml:space="preserve"> -   </v>
      </c>
      <c r="I445" s="33">
        <f>_xlfn.IFNA(INDEX('OSA | 3GB'!A:C,MATCH(DATA!D445,'OSA | 3GB'!A:A,0),3),0)</f>
        <v>4000000</v>
      </c>
      <c r="J445" s="33">
        <f>INDEX('BIO WAHYU'!B:G,MATCH(DATA!D445,'BIO WAHYU'!B:B,0),5)</f>
        <v>3</v>
      </c>
      <c r="K445" s="34">
        <f>INDEX('BIO WAHYU'!B:G,MATCH(DATA!D445,'BIO WAHYU'!B:B,0),6)</f>
        <v>3</v>
      </c>
      <c r="L445" s="35">
        <f>INDEX('BIO WAHYU'!B:H,MATCH(DATA!D445,'BIO WAHYU'!B:B,0),7)</f>
        <v>0</v>
      </c>
      <c r="M445" s="34">
        <f>INDEX('BIO WAHYU'!B:H,MATCH(DATA!D445,'BIO WAHYU'!B:B,0),4)</f>
        <v>0</v>
      </c>
    </row>
    <row r="446" spans="1:13">
      <c r="A446" s="43" t="s">
        <v>1673</v>
      </c>
      <c r="B446" s="43" t="s">
        <v>158</v>
      </c>
      <c r="C446" s="43" t="s">
        <v>1282</v>
      </c>
      <c r="D446" s="10">
        <v>281419</v>
      </c>
      <c r="E446" s="43" t="s">
        <v>10</v>
      </c>
      <c r="F446" s="8">
        <f>_xlfn.IFNA(INDEX('OSA | 3GB'!J:L,MATCH(DATA!D446,'OSA | 3GB'!J:J,0),2),0)</f>
        <v>5</v>
      </c>
      <c r="G446" s="8">
        <f>_xlfn.IFNA(INDEX('OSA | 3GB'!J:L,MATCH(DATA!D446,'OSA | 3GB'!J:J,0),3),0)</f>
        <v>9975000</v>
      </c>
      <c r="H446" s="32" t="str">
        <f>_xlfn.IFNA(INDEX('OSA | 3GB'!A:C,MATCH(DATA!D446,'OSA | 3GB'!A:A,0),2),0)</f>
        <v xml:space="preserve"> -   </v>
      </c>
      <c r="I446" s="33">
        <f>_xlfn.IFNA(INDEX('OSA | 3GB'!A:C,MATCH(DATA!D446,'OSA | 3GB'!A:A,0),3),0)</f>
        <v>3750000</v>
      </c>
      <c r="J446" s="33">
        <f>INDEX('BIO WAHYU'!B:G,MATCH(DATA!D446,'BIO WAHYU'!B:B,0),5)</f>
        <v>11</v>
      </c>
      <c r="K446" s="34">
        <f>INDEX('BIO WAHYU'!B:G,MATCH(DATA!D446,'BIO WAHYU'!B:B,0),6)</f>
        <v>8</v>
      </c>
      <c r="L446" s="35">
        <f>INDEX('BIO WAHYU'!B:H,MATCH(DATA!D446,'BIO WAHYU'!B:B,0),7)</f>
        <v>0</v>
      </c>
      <c r="M446" s="34">
        <f>INDEX('BIO WAHYU'!B:H,MATCH(DATA!D446,'BIO WAHYU'!B:B,0),4)</f>
        <v>0</v>
      </c>
    </row>
    <row r="447" spans="1:13">
      <c r="A447" s="43" t="s">
        <v>1671</v>
      </c>
      <c r="B447" s="43">
        <v>2613050886</v>
      </c>
      <c r="C447" s="43" t="s">
        <v>315</v>
      </c>
      <c r="D447" s="10">
        <v>12322361</v>
      </c>
      <c r="E447" s="43" t="s">
        <v>15</v>
      </c>
      <c r="F447" s="8">
        <f>_xlfn.IFNA(INDEX('OSA | 3GB'!J:L,MATCH(DATA!D447,'OSA | 3GB'!J:J,0),2),0)</f>
        <v>97</v>
      </c>
      <c r="G447" s="8">
        <f>_xlfn.IFNA(INDEX('OSA | 3GB'!J:L,MATCH(DATA!D447,'OSA | 3GB'!J:J,0),3),0)</f>
        <v>150000</v>
      </c>
      <c r="H447" s="32" t="str">
        <f>_xlfn.IFNA(INDEX('OSA | 3GB'!A:C,MATCH(DATA!D447,'OSA | 3GB'!A:A,0),2),0)</f>
        <v xml:space="preserve"> -   </v>
      </c>
      <c r="I447" s="33" t="str">
        <f>_xlfn.IFNA(INDEX('OSA | 3GB'!A:C,MATCH(DATA!D447,'OSA | 3GB'!A:A,0),3),0)</f>
        <v xml:space="preserve"> -   </v>
      </c>
      <c r="J447" s="33">
        <f>INDEX('BIO WAHYU'!B:G,MATCH(DATA!D447,'BIO WAHYU'!B:B,0),5)</f>
        <v>56</v>
      </c>
      <c r="K447" s="34">
        <f>INDEX('BIO WAHYU'!B:G,MATCH(DATA!D447,'BIO WAHYU'!B:B,0),6)</f>
        <v>5</v>
      </c>
      <c r="L447" s="35">
        <f>INDEX('BIO WAHYU'!B:H,MATCH(DATA!D447,'BIO WAHYU'!B:B,0),7)</f>
        <v>0</v>
      </c>
      <c r="M447" s="34">
        <f>INDEX('BIO WAHYU'!B:H,MATCH(DATA!D447,'BIO WAHYU'!B:B,0),4)</f>
        <v>0</v>
      </c>
    </row>
    <row r="448" spans="1:13">
      <c r="A448" s="43" t="s">
        <v>1673</v>
      </c>
      <c r="B448" s="43" t="s">
        <v>141</v>
      </c>
      <c r="C448" s="43" t="s">
        <v>210</v>
      </c>
      <c r="D448" s="10">
        <v>62012</v>
      </c>
      <c r="E448" s="43" t="s">
        <v>10</v>
      </c>
      <c r="F448" s="8">
        <f>_xlfn.IFNA(INDEX('OSA | 3GB'!J:L,MATCH(DATA!D448,'OSA | 3GB'!J:J,0),2),0)</f>
        <v>0</v>
      </c>
      <c r="G448" s="8">
        <f>_xlfn.IFNA(INDEX('OSA | 3GB'!J:L,MATCH(DATA!D448,'OSA | 3GB'!J:J,0),3),0)</f>
        <v>100000</v>
      </c>
      <c r="H448" s="32" t="str">
        <f>_xlfn.IFNA(INDEX('OSA | 3GB'!A:C,MATCH(DATA!D448,'OSA | 3GB'!A:A,0),2),0)</f>
        <v xml:space="preserve"> -   </v>
      </c>
      <c r="I448" s="33" t="str">
        <f>_xlfn.IFNA(INDEX('OSA | 3GB'!A:C,MATCH(DATA!D448,'OSA | 3GB'!A:A,0),3),0)</f>
        <v xml:space="preserve"> -   </v>
      </c>
      <c r="J448" s="33">
        <f>INDEX('BIO WAHYU'!B:G,MATCH(DATA!D448,'BIO WAHYU'!B:B,0),5)</f>
        <v>2</v>
      </c>
      <c r="K448" s="34">
        <f>INDEX('BIO WAHYU'!B:G,MATCH(DATA!D448,'BIO WAHYU'!B:B,0),6)</f>
        <v>2</v>
      </c>
      <c r="L448" s="35">
        <f>INDEX('BIO WAHYU'!B:H,MATCH(DATA!D448,'BIO WAHYU'!B:B,0),7)</f>
        <v>0</v>
      </c>
      <c r="M448" s="34">
        <f>INDEX('BIO WAHYU'!B:H,MATCH(DATA!D448,'BIO WAHYU'!B:B,0),4)</f>
        <v>0</v>
      </c>
    </row>
    <row r="449" spans="1:13">
      <c r="A449" s="43" t="s">
        <v>1673</v>
      </c>
      <c r="B449" s="43" t="s">
        <v>158</v>
      </c>
      <c r="C449" s="43" t="s">
        <v>1283</v>
      </c>
      <c r="D449" s="10">
        <v>401140</v>
      </c>
      <c r="E449" s="43" t="s">
        <v>10</v>
      </c>
      <c r="F449" s="8">
        <f>_xlfn.IFNA(INDEX('OSA | 3GB'!J:L,MATCH(DATA!D449,'OSA | 3GB'!J:J,0),2),0)</f>
        <v>5</v>
      </c>
      <c r="G449" s="8">
        <f>_xlfn.IFNA(INDEX('OSA | 3GB'!J:L,MATCH(DATA!D449,'OSA | 3GB'!J:J,0),3),0)</f>
        <v>4500000</v>
      </c>
      <c r="H449" s="32">
        <f>_xlfn.IFNA(INDEX('OSA | 3GB'!A:C,MATCH(DATA!D449,'OSA | 3GB'!A:A,0),2),0)</f>
        <v>1</v>
      </c>
      <c r="I449" s="33">
        <f>_xlfn.IFNA(INDEX('OSA | 3GB'!A:C,MATCH(DATA!D449,'OSA | 3GB'!A:A,0),3),0)</f>
        <v>2027000</v>
      </c>
      <c r="J449" s="33">
        <f>INDEX('BIO WAHYU'!B:G,MATCH(DATA!D449,'BIO WAHYU'!B:B,0),5)</f>
        <v>3</v>
      </c>
      <c r="K449" s="34">
        <f>INDEX('BIO WAHYU'!B:G,MATCH(DATA!D449,'BIO WAHYU'!B:B,0),6)</f>
        <v>2</v>
      </c>
      <c r="L449" s="35">
        <f>INDEX('BIO WAHYU'!B:H,MATCH(DATA!D449,'BIO WAHYU'!B:B,0),7)</f>
        <v>0</v>
      </c>
      <c r="M449" s="34">
        <f>INDEX('BIO WAHYU'!B:H,MATCH(DATA!D449,'BIO WAHYU'!B:B,0),4)</f>
        <v>0</v>
      </c>
    </row>
    <row r="450" spans="1:13">
      <c r="A450" s="43" t="s">
        <v>1670</v>
      </c>
      <c r="B450" s="43">
        <v>2613052584</v>
      </c>
      <c r="C450" s="43" t="s">
        <v>574</v>
      </c>
      <c r="D450" s="10">
        <v>12325652</v>
      </c>
      <c r="E450" s="43" t="s">
        <v>10</v>
      </c>
      <c r="F450" s="8">
        <f>_xlfn.IFNA(INDEX('OSA | 3GB'!J:L,MATCH(DATA!D450,'OSA | 3GB'!J:J,0),2),0)</f>
        <v>5</v>
      </c>
      <c r="G450" s="8">
        <f>_xlfn.IFNA(INDEX('OSA | 3GB'!J:L,MATCH(DATA!D450,'OSA | 3GB'!J:J,0),3),0)</f>
        <v>200000</v>
      </c>
      <c r="H450" s="32" t="str">
        <f>_xlfn.IFNA(INDEX('OSA | 3GB'!A:C,MATCH(DATA!D450,'OSA | 3GB'!A:A,0),2),0)</f>
        <v xml:space="preserve"> -   </v>
      </c>
      <c r="I450" s="33" t="str">
        <f>_xlfn.IFNA(INDEX('OSA | 3GB'!A:C,MATCH(DATA!D450,'OSA | 3GB'!A:A,0),3),0)</f>
        <v xml:space="preserve"> -   </v>
      </c>
      <c r="J450" s="33">
        <f>INDEX('BIO WAHYU'!B:G,MATCH(DATA!D450,'BIO WAHYU'!B:B,0),5)</f>
        <v>4</v>
      </c>
      <c r="K450" s="34">
        <f>INDEX('BIO WAHYU'!B:G,MATCH(DATA!D450,'BIO WAHYU'!B:B,0),6)</f>
        <v>0</v>
      </c>
      <c r="L450" s="35">
        <f>INDEX('BIO WAHYU'!B:H,MATCH(DATA!D450,'BIO WAHYU'!B:B,0),7)</f>
        <v>0</v>
      </c>
      <c r="M450" s="34">
        <f>INDEX('BIO WAHYU'!B:H,MATCH(DATA!D450,'BIO WAHYU'!B:B,0),4)</f>
        <v>0</v>
      </c>
    </row>
    <row r="451" spans="1:13">
      <c r="A451" s="43" t="s">
        <v>1671</v>
      </c>
      <c r="B451" s="43" t="s">
        <v>142</v>
      </c>
      <c r="C451" s="43" t="s">
        <v>350</v>
      </c>
      <c r="D451" s="10">
        <v>238956</v>
      </c>
      <c r="E451" s="43" t="s">
        <v>10</v>
      </c>
      <c r="F451" s="8">
        <f>_xlfn.IFNA(INDEX('OSA | 3GB'!J:L,MATCH(DATA!D451,'OSA | 3GB'!J:J,0),2),0)</f>
        <v>1</v>
      </c>
      <c r="G451" s="8">
        <f>_xlfn.IFNA(INDEX('OSA | 3GB'!J:L,MATCH(DATA!D451,'OSA | 3GB'!J:J,0),3),0)</f>
        <v>400000</v>
      </c>
      <c r="H451" s="32" t="str">
        <f>_xlfn.IFNA(INDEX('OSA | 3GB'!A:C,MATCH(DATA!D451,'OSA | 3GB'!A:A,0),2),0)</f>
        <v xml:space="preserve"> -   </v>
      </c>
      <c r="I451" s="33">
        <f>_xlfn.IFNA(INDEX('OSA | 3GB'!A:C,MATCH(DATA!D451,'OSA | 3GB'!A:A,0),3),0)</f>
        <v>100000</v>
      </c>
      <c r="J451" s="33">
        <f>INDEX('BIO WAHYU'!B:G,MATCH(DATA!D451,'BIO WAHYU'!B:B,0),5)</f>
        <v>1</v>
      </c>
      <c r="K451" s="34">
        <f>INDEX('BIO WAHYU'!B:G,MATCH(DATA!D451,'BIO WAHYU'!B:B,0),6)</f>
        <v>1</v>
      </c>
      <c r="L451" s="35">
        <f>INDEX('BIO WAHYU'!B:H,MATCH(DATA!D451,'BIO WAHYU'!B:B,0),7)</f>
        <v>0</v>
      </c>
      <c r="M451" s="34">
        <f>INDEX('BIO WAHYU'!B:H,MATCH(DATA!D451,'BIO WAHYU'!B:B,0),4)</f>
        <v>0</v>
      </c>
    </row>
    <row r="452" spans="1:13">
      <c r="A452" s="43" t="s">
        <v>1</v>
      </c>
      <c r="B452" s="43" t="s">
        <v>4</v>
      </c>
      <c r="C452" s="43" t="s">
        <v>51</v>
      </c>
      <c r="D452" s="10">
        <v>211794</v>
      </c>
      <c r="E452" s="43" t="s">
        <v>10</v>
      </c>
      <c r="F452" s="8">
        <f>_xlfn.IFNA(INDEX('OSA | 3GB'!J:L,MATCH(DATA!D452,'OSA | 3GB'!J:J,0),2),0)</f>
        <v>0</v>
      </c>
      <c r="G452" s="8">
        <f>_xlfn.IFNA(INDEX('OSA | 3GB'!J:L,MATCH(DATA!D452,'OSA | 3GB'!J:J,0),3),0)</f>
        <v>1450000</v>
      </c>
      <c r="H452" s="32" t="str">
        <f>_xlfn.IFNA(INDEX('OSA | 3GB'!A:C,MATCH(DATA!D452,'OSA | 3GB'!A:A,0),2),0)</f>
        <v xml:space="preserve"> -   </v>
      </c>
      <c r="I452" s="33">
        <f>_xlfn.IFNA(INDEX('OSA | 3GB'!A:C,MATCH(DATA!D452,'OSA | 3GB'!A:A,0),3),0)</f>
        <v>300000</v>
      </c>
      <c r="J452" s="33">
        <f>INDEX('BIO WAHYU'!B:G,MATCH(DATA!D452,'BIO WAHYU'!B:B,0),5)</f>
        <v>3</v>
      </c>
      <c r="K452" s="34">
        <f>INDEX('BIO WAHYU'!B:G,MATCH(DATA!D452,'BIO WAHYU'!B:B,0),6)</f>
        <v>4</v>
      </c>
      <c r="L452" s="35">
        <f>INDEX('BIO WAHYU'!B:H,MATCH(DATA!D452,'BIO WAHYU'!B:B,0),7)</f>
        <v>1</v>
      </c>
      <c r="M452" s="34">
        <f>INDEX('BIO WAHYU'!B:H,MATCH(DATA!D452,'BIO WAHYU'!B:B,0),4)</f>
        <v>0</v>
      </c>
    </row>
    <row r="453" spans="1:13">
      <c r="A453" s="43" t="s">
        <v>1</v>
      </c>
      <c r="B453" s="43" t="s">
        <v>5</v>
      </c>
      <c r="C453" s="43" t="s">
        <v>1086</v>
      </c>
      <c r="D453" s="10">
        <v>574633</v>
      </c>
      <c r="E453" s="43" t="s">
        <v>10</v>
      </c>
      <c r="F453" s="8">
        <f>_xlfn.IFNA(INDEX('OSA | 3GB'!J:L,MATCH(DATA!D453,'OSA | 3GB'!J:J,0),2),0)</f>
        <v>8</v>
      </c>
      <c r="G453" s="8">
        <f>_xlfn.IFNA(INDEX('OSA | 3GB'!J:L,MATCH(DATA!D453,'OSA | 3GB'!J:J,0),3),0)</f>
        <v>0</v>
      </c>
      <c r="H453" s="32">
        <f>_xlfn.IFNA(INDEX('OSA | 3GB'!A:C,MATCH(DATA!D453,'OSA | 3GB'!A:A,0),2),0)</f>
        <v>5</v>
      </c>
      <c r="I453" s="33" t="str">
        <f>_xlfn.IFNA(INDEX('OSA | 3GB'!A:C,MATCH(DATA!D453,'OSA | 3GB'!A:A,0),3),0)</f>
        <v xml:space="preserve"> -   </v>
      </c>
      <c r="J453" s="33">
        <f>INDEX('BIO WAHYU'!B:G,MATCH(DATA!D453,'BIO WAHYU'!B:B,0),5)</f>
        <v>5</v>
      </c>
      <c r="K453" s="34">
        <f>INDEX('BIO WAHYU'!B:G,MATCH(DATA!D453,'BIO WAHYU'!B:B,0),6)</f>
        <v>5</v>
      </c>
      <c r="L453" s="35">
        <f>INDEX('BIO WAHYU'!B:H,MATCH(DATA!D453,'BIO WAHYU'!B:B,0),7)</f>
        <v>0</v>
      </c>
      <c r="M453" s="34">
        <f>INDEX('BIO WAHYU'!B:H,MATCH(DATA!D453,'BIO WAHYU'!B:B,0),4)</f>
        <v>0</v>
      </c>
    </row>
    <row r="454" spans="1:13">
      <c r="A454" s="43" t="s">
        <v>1</v>
      </c>
      <c r="B454" s="43" t="s">
        <v>5</v>
      </c>
      <c r="C454" s="43" t="s">
        <v>109</v>
      </c>
      <c r="D454" s="10">
        <v>558955</v>
      </c>
      <c r="E454" s="43" t="s">
        <v>15</v>
      </c>
      <c r="F454" s="8">
        <f>_xlfn.IFNA(INDEX('OSA | 3GB'!J:L,MATCH(DATA!D454,'OSA | 3GB'!J:J,0),2),0)</f>
        <v>8</v>
      </c>
      <c r="G454" s="8">
        <f>_xlfn.IFNA(INDEX('OSA | 3GB'!J:L,MATCH(DATA!D454,'OSA | 3GB'!J:J,0),3),0)</f>
        <v>0</v>
      </c>
      <c r="H454" s="32">
        <f>_xlfn.IFNA(INDEX('OSA | 3GB'!A:C,MATCH(DATA!D454,'OSA | 3GB'!A:A,0),2),0)</f>
        <v>5</v>
      </c>
      <c r="I454" s="33" t="str">
        <f>_xlfn.IFNA(INDEX('OSA | 3GB'!A:C,MATCH(DATA!D454,'OSA | 3GB'!A:A,0),3),0)</f>
        <v xml:space="preserve"> -   </v>
      </c>
      <c r="J454" s="33">
        <f>INDEX('BIO WAHYU'!B:G,MATCH(DATA!D454,'BIO WAHYU'!B:B,0),5)</f>
        <v>5</v>
      </c>
      <c r="K454" s="34">
        <f>INDEX('BIO WAHYU'!B:G,MATCH(DATA!D454,'BIO WAHYU'!B:B,0),6)</f>
        <v>4</v>
      </c>
      <c r="L454" s="35">
        <f>INDEX('BIO WAHYU'!B:H,MATCH(DATA!D454,'BIO WAHYU'!B:B,0),7)</f>
        <v>0</v>
      </c>
      <c r="M454" s="34">
        <f>INDEX('BIO WAHYU'!B:H,MATCH(DATA!D454,'BIO WAHYU'!B:B,0),4)</f>
        <v>0</v>
      </c>
    </row>
    <row r="455" spans="1:13">
      <c r="A455" s="43" t="s">
        <v>1670</v>
      </c>
      <c r="B455" s="43">
        <v>2613052584</v>
      </c>
      <c r="C455" s="43" t="s">
        <v>1284</v>
      </c>
      <c r="D455" s="10">
        <v>12322894</v>
      </c>
      <c r="E455" s="43" t="s">
        <v>10</v>
      </c>
      <c r="F455" s="8">
        <f>_xlfn.IFNA(INDEX('OSA | 3GB'!J:L,MATCH(DATA!D455,'OSA | 3GB'!J:J,0),2),0)</f>
        <v>0</v>
      </c>
      <c r="G455" s="8">
        <f>_xlfn.IFNA(INDEX('OSA | 3GB'!J:L,MATCH(DATA!D455,'OSA | 3GB'!J:J,0),3),0)</f>
        <v>200000</v>
      </c>
      <c r="H455" s="32" t="str">
        <f>_xlfn.IFNA(INDEX('OSA | 3GB'!A:C,MATCH(DATA!D455,'OSA | 3GB'!A:A,0),2),0)</f>
        <v xml:space="preserve"> -   </v>
      </c>
      <c r="I455" s="33" t="str">
        <f>_xlfn.IFNA(INDEX('OSA | 3GB'!A:C,MATCH(DATA!D455,'OSA | 3GB'!A:A,0),3),0)</f>
        <v xml:space="preserve"> -   </v>
      </c>
      <c r="J455" s="33">
        <f>INDEX('BIO WAHYU'!B:G,MATCH(DATA!D455,'BIO WAHYU'!B:B,0),5)</f>
        <v>0</v>
      </c>
      <c r="K455" s="34">
        <f>INDEX('BIO WAHYU'!B:G,MATCH(DATA!D455,'BIO WAHYU'!B:B,0),6)</f>
        <v>0</v>
      </c>
      <c r="L455" s="35">
        <f>INDEX('BIO WAHYU'!B:H,MATCH(DATA!D455,'BIO WAHYU'!B:B,0),7)</f>
        <v>0</v>
      </c>
      <c r="M455" s="34">
        <f>INDEX('BIO WAHYU'!B:H,MATCH(DATA!D455,'BIO WAHYU'!B:B,0),4)</f>
        <v>0</v>
      </c>
    </row>
    <row r="456" spans="1:13">
      <c r="A456" s="43" t="s">
        <v>1</v>
      </c>
      <c r="B456" s="43" t="s">
        <v>3</v>
      </c>
      <c r="C456" s="43" t="s">
        <v>16</v>
      </c>
      <c r="D456" s="10">
        <v>12295820</v>
      </c>
      <c r="E456" s="43" t="s">
        <v>10</v>
      </c>
      <c r="F456" s="8">
        <f>_xlfn.IFNA(INDEX('OSA | 3GB'!J:L,MATCH(DATA!D456,'OSA | 3GB'!J:J,0),2),0)</f>
        <v>0</v>
      </c>
      <c r="G456" s="8">
        <f>_xlfn.IFNA(INDEX('OSA | 3GB'!J:L,MATCH(DATA!D456,'OSA | 3GB'!J:J,0),3),0)</f>
        <v>5300000</v>
      </c>
      <c r="H456" s="32" t="str">
        <f>_xlfn.IFNA(INDEX('OSA | 3GB'!A:C,MATCH(DATA!D456,'OSA | 3GB'!A:A,0),2),0)</f>
        <v xml:space="preserve"> -   </v>
      </c>
      <c r="I456" s="33">
        <f>_xlfn.IFNA(INDEX('OSA | 3GB'!A:C,MATCH(DATA!D456,'OSA | 3GB'!A:A,0),3),0)</f>
        <v>2000000</v>
      </c>
      <c r="J456" s="33">
        <f>INDEX('BIO WAHYU'!B:G,MATCH(DATA!D456,'BIO WAHYU'!B:B,0),5)</f>
        <v>0</v>
      </c>
      <c r="K456" s="34">
        <f>INDEX('BIO WAHYU'!B:G,MATCH(DATA!D456,'BIO WAHYU'!B:B,0),6)</f>
        <v>0</v>
      </c>
      <c r="L456" s="35">
        <f>INDEX('BIO WAHYU'!B:H,MATCH(DATA!D456,'BIO WAHYU'!B:B,0),7)</f>
        <v>0</v>
      </c>
      <c r="M456" s="34">
        <f>INDEX('BIO WAHYU'!B:H,MATCH(DATA!D456,'BIO WAHYU'!B:B,0),4)</f>
        <v>0</v>
      </c>
    </row>
    <row r="457" spans="1:13">
      <c r="A457" s="43" t="s">
        <v>1675</v>
      </c>
      <c r="B457" s="43" t="s">
        <v>137</v>
      </c>
      <c r="C457" s="43" t="s">
        <v>1285</v>
      </c>
      <c r="D457" s="10">
        <v>12296255</v>
      </c>
      <c r="E457" s="43" t="s">
        <v>15</v>
      </c>
      <c r="F457" s="8">
        <f>_xlfn.IFNA(INDEX('OSA | 3GB'!J:L,MATCH(DATA!D457,'OSA | 3GB'!J:J,0),2),0)</f>
        <v>6</v>
      </c>
      <c r="G457" s="8">
        <f>_xlfn.IFNA(INDEX('OSA | 3GB'!J:L,MATCH(DATA!D457,'OSA | 3GB'!J:J,0),3),0)</f>
        <v>924000</v>
      </c>
      <c r="H457" s="32" t="str">
        <f>_xlfn.IFNA(INDEX('OSA | 3GB'!A:C,MATCH(DATA!D457,'OSA | 3GB'!A:A,0),2),0)</f>
        <v xml:space="preserve"> -   </v>
      </c>
      <c r="I457" s="33">
        <f>_xlfn.IFNA(INDEX('OSA | 3GB'!A:C,MATCH(DATA!D457,'OSA | 3GB'!A:A,0),3),0)</f>
        <v>59000</v>
      </c>
      <c r="J457" s="33">
        <f>INDEX('BIO WAHYU'!B:G,MATCH(DATA!D457,'BIO WAHYU'!B:B,0),5)</f>
        <v>7</v>
      </c>
      <c r="K457" s="34">
        <f>INDEX('BIO WAHYU'!B:G,MATCH(DATA!D457,'BIO WAHYU'!B:B,0),6)</f>
        <v>0</v>
      </c>
      <c r="L457" s="35">
        <f>INDEX('BIO WAHYU'!B:H,MATCH(DATA!D457,'BIO WAHYU'!B:B,0),7)</f>
        <v>0</v>
      </c>
      <c r="M457" s="34">
        <f>INDEX('BIO WAHYU'!B:H,MATCH(DATA!D457,'BIO WAHYU'!B:B,0),4)</f>
        <v>0</v>
      </c>
    </row>
    <row r="458" spans="1:13">
      <c r="A458" s="43" t="s">
        <v>1671</v>
      </c>
      <c r="B458" s="43">
        <v>2613050885</v>
      </c>
      <c r="C458" s="43" t="s">
        <v>1286</v>
      </c>
      <c r="D458" s="10">
        <v>403481</v>
      </c>
      <c r="E458" s="43" t="s">
        <v>10</v>
      </c>
      <c r="F458" s="8">
        <f>_xlfn.IFNA(INDEX('OSA | 3GB'!J:L,MATCH(DATA!D458,'OSA | 3GB'!J:J,0),2),0)</f>
        <v>4</v>
      </c>
      <c r="G458" s="8">
        <f>_xlfn.IFNA(INDEX('OSA | 3GB'!J:L,MATCH(DATA!D458,'OSA | 3GB'!J:J,0),3),0)</f>
        <v>20180000</v>
      </c>
      <c r="H458" s="32">
        <f>_xlfn.IFNA(INDEX('OSA | 3GB'!A:C,MATCH(DATA!D458,'OSA | 3GB'!A:A,0),2),0)</f>
        <v>3</v>
      </c>
      <c r="I458" s="33" t="str">
        <f>_xlfn.IFNA(INDEX('OSA | 3GB'!A:C,MATCH(DATA!D458,'OSA | 3GB'!A:A,0),3),0)</f>
        <v xml:space="preserve"> -   </v>
      </c>
      <c r="J458" s="33">
        <f>INDEX('BIO WAHYU'!B:G,MATCH(DATA!D458,'BIO WAHYU'!B:B,0),5)</f>
        <v>3</v>
      </c>
      <c r="K458" s="34">
        <f>INDEX('BIO WAHYU'!B:G,MATCH(DATA!D458,'BIO WAHYU'!B:B,0),6)</f>
        <v>1</v>
      </c>
      <c r="L458" s="35">
        <f>INDEX('BIO WAHYU'!B:H,MATCH(DATA!D458,'BIO WAHYU'!B:B,0),7)</f>
        <v>0</v>
      </c>
      <c r="M458" s="34">
        <f>INDEX('BIO WAHYU'!B:H,MATCH(DATA!D458,'BIO WAHYU'!B:B,0),4)</f>
        <v>0</v>
      </c>
    </row>
    <row r="459" spans="1:13">
      <c r="A459" s="43" t="s">
        <v>1670</v>
      </c>
      <c r="B459" s="43">
        <v>2613051412</v>
      </c>
      <c r="C459" s="43" t="s">
        <v>1287</v>
      </c>
      <c r="D459" s="10">
        <v>12299789</v>
      </c>
      <c r="E459" s="43" t="s">
        <v>10</v>
      </c>
      <c r="F459" s="8">
        <f>_xlfn.IFNA(INDEX('OSA | 3GB'!J:L,MATCH(DATA!D459,'OSA | 3GB'!J:J,0),2),0)</f>
        <v>4</v>
      </c>
      <c r="G459" s="8">
        <f>_xlfn.IFNA(INDEX('OSA | 3GB'!J:L,MATCH(DATA!D459,'OSA | 3GB'!J:J,0),3),0)</f>
        <v>0</v>
      </c>
      <c r="H459" s="32" t="str">
        <f>_xlfn.IFNA(INDEX('OSA | 3GB'!A:C,MATCH(DATA!D459,'OSA | 3GB'!A:A,0),2),0)</f>
        <v xml:space="preserve"> -   </v>
      </c>
      <c r="I459" s="33" t="str">
        <f>_xlfn.IFNA(INDEX('OSA | 3GB'!A:C,MATCH(DATA!D459,'OSA | 3GB'!A:A,0),3),0)</f>
        <v xml:space="preserve"> -   </v>
      </c>
      <c r="J459" s="33">
        <f>INDEX('BIO WAHYU'!B:G,MATCH(DATA!D459,'BIO WAHYU'!B:B,0),5)</f>
        <v>4</v>
      </c>
      <c r="K459" s="34">
        <f>INDEX('BIO WAHYU'!B:G,MATCH(DATA!D459,'BIO WAHYU'!B:B,0),6)</f>
        <v>0</v>
      </c>
      <c r="L459" s="35">
        <f>INDEX('BIO WAHYU'!B:H,MATCH(DATA!D459,'BIO WAHYU'!B:B,0),7)</f>
        <v>0</v>
      </c>
      <c r="M459" s="34">
        <f>INDEX('BIO WAHYU'!B:H,MATCH(DATA!D459,'BIO WAHYU'!B:B,0),4)</f>
        <v>0</v>
      </c>
    </row>
    <row r="460" spans="1:13">
      <c r="A460" s="43" t="s">
        <v>1675</v>
      </c>
      <c r="B460" s="43" t="s">
        <v>137</v>
      </c>
      <c r="C460" s="43" t="s">
        <v>429</v>
      </c>
      <c r="D460" s="10">
        <v>12296250</v>
      </c>
      <c r="E460" s="43" t="s">
        <v>15</v>
      </c>
      <c r="F460" s="8">
        <f>_xlfn.IFNA(INDEX('OSA | 3GB'!J:L,MATCH(DATA!D460,'OSA | 3GB'!J:J,0),2),0)</f>
        <v>5</v>
      </c>
      <c r="G460" s="8">
        <f>_xlfn.IFNA(INDEX('OSA | 3GB'!J:L,MATCH(DATA!D460,'OSA | 3GB'!J:J,0),3),0)</f>
        <v>2529000</v>
      </c>
      <c r="H460" s="32" t="str">
        <f>_xlfn.IFNA(INDEX('OSA | 3GB'!A:C,MATCH(DATA!D460,'OSA | 3GB'!A:A,0),2),0)</f>
        <v xml:space="preserve"> -   </v>
      </c>
      <c r="I460" s="33">
        <f>_xlfn.IFNA(INDEX('OSA | 3GB'!A:C,MATCH(DATA!D460,'OSA | 3GB'!A:A,0),3),0)</f>
        <v>1700000</v>
      </c>
      <c r="J460" s="33">
        <f>INDEX('BIO WAHYU'!B:G,MATCH(DATA!D460,'BIO WAHYU'!B:B,0),5)</f>
        <v>3</v>
      </c>
      <c r="K460" s="34">
        <f>INDEX('BIO WAHYU'!B:G,MATCH(DATA!D460,'BIO WAHYU'!B:B,0),6)</f>
        <v>0</v>
      </c>
      <c r="L460" s="35">
        <f>INDEX('BIO WAHYU'!B:H,MATCH(DATA!D460,'BIO WAHYU'!B:B,0),7)</f>
        <v>0</v>
      </c>
      <c r="M460" s="34">
        <f>INDEX('BIO WAHYU'!B:H,MATCH(DATA!D460,'BIO WAHYU'!B:B,0),4)</f>
        <v>0</v>
      </c>
    </row>
    <row r="461" spans="1:13">
      <c r="A461" s="43" t="s">
        <v>1670</v>
      </c>
      <c r="B461" s="43" t="s">
        <v>140</v>
      </c>
      <c r="C461" s="43" t="s">
        <v>479</v>
      </c>
      <c r="D461" s="10">
        <v>62338</v>
      </c>
      <c r="E461" s="43" t="s">
        <v>10</v>
      </c>
      <c r="F461" s="8">
        <f>_xlfn.IFNA(INDEX('OSA | 3GB'!J:L,MATCH(DATA!D461,'OSA | 3GB'!J:J,0),2),0)</f>
        <v>4</v>
      </c>
      <c r="G461" s="8">
        <f>_xlfn.IFNA(INDEX('OSA | 3GB'!J:L,MATCH(DATA!D461,'OSA | 3GB'!J:J,0),3),0)</f>
        <v>1000000</v>
      </c>
      <c r="H461" s="32" t="str">
        <f>_xlfn.IFNA(INDEX('OSA | 3GB'!A:C,MATCH(DATA!D461,'OSA | 3GB'!A:A,0),2),0)</f>
        <v xml:space="preserve"> -   </v>
      </c>
      <c r="I461" s="33" t="str">
        <f>_xlfn.IFNA(INDEX('OSA | 3GB'!A:C,MATCH(DATA!D461,'OSA | 3GB'!A:A,0),3),0)</f>
        <v xml:space="preserve"> -   </v>
      </c>
      <c r="J461" s="33">
        <f>INDEX('BIO WAHYU'!B:G,MATCH(DATA!D461,'BIO WAHYU'!B:B,0),5)</f>
        <v>0</v>
      </c>
      <c r="K461" s="34">
        <f>INDEX('BIO WAHYU'!B:G,MATCH(DATA!D461,'BIO WAHYU'!B:B,0),6)</f>
        <v>0</v>
      </c>
      <c r="L461" s="35">
        <f>INDEX('BIO WAHYU'!B:H,MATCH(DATA!D461,'BIO WAHYU'!B:B,0),7)</f>
        <v>0</v>
      </c>
      <c r="M461" s="34">
        <f>INDEX('BIO WAHYU'!B:H,MATCH(DATA!D461,'BIO WAHYU'!B:B,0),4)</f>
        <v>0</v>
      </c>
    </row>
    <row r="462" spans="1:13">
      <c r="A462" s="43" t="s">
        <v>1671</v>
      </c>
      <c r="B462" s="43" t="s">
        <v>142</v>
      </c>
      <c r="C462" s="43" t="s">
        <v>373</v>
      </c>
      <c r="D462" s="10">
        <v>555648</v>
      </c>
      <c r="E462" s="43" t="s">
        <v>10</v>
      </c>
      <c r="F462" s="8">
        <f>_xlfn.IFNA(INDEX('OSA | 3GB'!J:L,MATCH(DATA!D462,'OSA | 3GB'!J:J,0),2),0)</f>
        <v>4</v>
      </c>
      <c r="G462" s="8">
        <f>_xlfn.IFNA(INDEX('OSA | 3GB'!J:L,MATCH(DATA!D462,'OSA | 3GB'!J:J,0),3),0)</f>
        <v>9650000</v>
      </c>
      <c r="H462" s="32">
        <f>_xlfn.IFNA(INDEX('OSA | 3GB'!A:C,MATCH(DATA!D462,'OSA | 3GB'!A:A,0),2),0)</f>
        <v>17</v>
      </c>
      <c r="I462" s="33">
        <f>_xlfn.IFNA(INDEX('OSA | 3GB'!A:C,MATCH(DATA!D462,'OSA | 3GB'!A:A,0),3),0)</f>
        <v>1208000</v>
      </c>
      <c r="J462" s="33">
        <f>INDEX('BIO WAHYU'!B:G,MATCH(DATA!D462,'BIO WAHYU'!B:B,0),5)</f>
        <v>3</v>
      </c>
      <c r="K462" s="34">
        <f>INDEX('BIO WAHYU'!B:G,MATCH(DATA!D462,'BIO WAHYU'!B:B,0),6)</f>
        <v>2</v>
      </c>
      <c r="L462" s="35">
        <f>INDEX('BIO WAHYU'!B:H,MATCH(DATA!D462,'BIO WAHYU'!B:B,0),7)</f>
        <v>0</v>
      </c>
      <c r="M462" s="34">
        <f>INDEX('BIO WAHYU'!B:H,MATCH(DATA!D462,'BIO WAHYU'!B:B,0),4)</f>
        <v>0</v>
      </c>
    </row>
    <row r="463" spans="1:13">
      <c r="A463" s="43" t="s">
        <v>1672</v>
      </c>
      <c r="B463" s="43" t="s">
        <v>149</v>
      </c>
      <c r="C463" s="43" t="s">
        <v>773</v>
      </c>
      <c r="D463" s="10">
        <v>240000</v>
      </c>
      <c r="E463" s="43" t="s">
        <v>10</v>
      </c>
      <c r="F463" s="8">
        <f>_xlfn.IFNA(INDEX('OSA | 3GB'!J:L,MATCH(DATA!D463,'OSA | 3GB'!J:J,0),2),0)</f>
        <v>0</v>
      </c>
      <c r="G463" s="8">
        <f>_xlfn.IFNA(INDEX('OSA | 3GB'!J:L,MATCH(DATA!D463,'OSA | 3GB'!J:J,0),3),0)</f>
        <v>816000</v>
      </c>
      <c r="H463" s="32">
        <f>_xlfn.IFNA(INDEX('OSA | 3GB'!A:C,MATCH(DATA!D463,'OSA | 3GB'!A:A,0),2),0)</f>
        <v>2</v>
      </c>
      <c r="I463" s="33">
        <f>_xlfn.IFNA(INDEX('OSA | 3GB'!A:C,MATCH(DATA!D463,'OSA | 3GB'!A:A,0),3),0)</f>
        <v>558000</v>
      </c>
      <c r="J463" s="33">
        <f>INDEX('BIO WAHYU'!B:G,MATCH(DATA!D463,'BIO WAHYU'!B:B,0),5)</f>
        <v>0</v>
      </c>
      <c r="K463" s="34">
        <f>INDEX('BIO WAHYU'!B:G,MATCH(DATA!D463,'BIO WAHYU'!B:B,0),6)</f>
        <v>0</v>
      </c>
      <c r="L463" s="35">
        <f>INDEX('BIO WAHYU'!B:H,MATCH(DATA!D463,'BIO WAHYU'!B:B,0),7)</f>
        <v>0</v>
      </c>
      <c r="M463" s="34">
        <f>INDEX('BIO WAHYU'!B:H,MATCH(DATA!D463,'BIO WAHYU'!B:B,0),4)</f>
        <v>0</v>
      </c>
    </row>
    <row r="464" spans="1:13">
      <c r="A464" s="43" t="s">
        <v>1672</v>
      </c>
      <c r="B464" s="43" t="s">
        <v>157</v>
      </c>
      <c r="C464" s="43" t="s">
        <v>1064</v>
      </c>
      <c r="D464" s="10">
        <v>62075</v>
      </c>
      <c r="E464" s="43" t="s">
        <v>10</v>
      </c>
      <c r="F464" s="8">
        <f>_xlfn.IFNA(INDEX('OSA | 3GB'!J:L,MATCH(DATA!D464,'OSA | 3GB'!J:J,0),2),0)</f>
        <v>4</v>
      </c>
      <c r="G464" s="8">
        <f>_xlfn.IFNA(INDEX('OSA | 3GB'!J:L,MATCH(DATA!D464,'OSA | 3GB'!J:J,0),3),0)</f>
        <v>4358000</v>
      </c>
      <c r="H464" s="32" t="str">
        <f>_xlfn.IFNA(INDEX('OSA | 3GB'!A:C,MATCH(DATA!D464,'OSA | 3GB'!A:A,0),2),0)</f>
        <v xml:space="preserve"> -   </v>
      </c>
      <c r="I464" s="33">
        <f>_xlfn.IFNA(INDEX('OSA | 3GB'!A:C,MATCH(DATA!D464,'OSA | 3GB'!A:A,0),3),0)</f>
        <v>1900000</v>
      </c>
      <c r="J464" s="33">
        <f>INDEX('BIO WAHYU'!B:G,MATCH(DATA!D464,'BIO WAHYU'!B:B,0),5)</f>
        <v>2</v>
      </c>
      <c r="K464" s="34">
        <f>INDEX('BIO WAHYU'!B:G,MATCH(DATA!D464,'BIO WAHYU'!B:B,0),6)</f>
        <v>4</v>
      </c>
      <c r="L464" s="35">
        <f>INDEX('BIO WAHYU'!B:H,MATCH(DATA!D464,'BIO WAHYU'!B:B,0),7)</f>
        <v>2</v>
      </c>
      <c r="M464" s="34">
        <f>INDEX('BIO WAHYU'!B:H,MATCH(DATA!D464,'BIO WAHYU'!B:B,0),4)</f>
        <v>0</v>
      </c>
    </row>
    <row r="465" spans="1:13">
      <c r="A465" s="43" t="s">
        <v>1672</v>
      </c>
      <c r="B465" s="43" t="s">
        <v>156</v>
      </c>
      <c r="C465" s="43" t="s">
        <v>981</v>
      </c>
      <c r="D465" s="10">
        <v>277793</v>
      </c>
      <c r="E465" s="43" t="s">
        <v>10</v>
      </c>
      <c r="F465" s="8">
        <f>_xlfn.IFNA(INDEX('OSA | 3GB'!J:L,MATCH(DATA!D465,'OSA | 3GB'!J:J,0),2),0)</f>
        <v>4</v>
      </c>
      <c r="G465" s="8">
        <f>_xlfn.IFNA(INDEX('OSA | 3GB'!J:L,MATCH(DATA!D465,'OSA | 3GB'!J:J,0),3),0)</f>
        <v>13650000</v>
      </c>
      <c r="H465" s="32">
        <f>_xlfn.IFNA(INDEX('OSA | 3GB'!A:C,MATCH(DATA!D465,'OSA | 3GB'!A:A,0),2),0)</f>
        <v>2</v>
      </c>
      <c r="I465" s="33">
        <f>_xlfn.IFNA(INDEX('OSA | 3GB'!A:C,MATCH(DATA!D465,'OSA | 3GB'!A:A,0),3),0)</f>
        <v>5029000</v>
      </c>
      <c r="J465" s="33">
        <f>INDEX('BIO WAHYU'!B:G,MATCH(DATA!D465,'BIO WAHYU'!B:B,0),5)</f>
        <v>10</v>
      </c>
      <c r="K465" s="34">
        <f>INDEX('BIO WAHYU'!B:G,MATCH(DATA!D465,'BIO WAHYU'!B:B,0),6)</f>
        <v>10</v>
      </c>
      <c r="L465" s="35">
        <f>INDEX('BIO WAHYU'!B:H,MATCH(DATA!D465,'BIO WAHYU'!B:B,0),7)</f>
        <v>0</v>
      </c>
      <c r="M465" s="34">
        <f>INDEX('BIO WAHYU'!B:H,MATCH(DATA!D465,'BIO WAHYU'!B:B,0),4)</f>
        <v>0</v>
      </c>
    </row>
    <row r="466" spans="1:13">
      <c r="A466" s="43" t="s">
        <v>1674</v>
      </c>
      <c r="B466" s="43" t="s">
        <v>148</v>
      </c>
      <c r="C466" s="43" t="s">
        <v>639</v>
      </c>
      <c r="D466" s="10">
        <v>262895</v>
      </c>
      <c r="E466" s="43" t="s">
        <v>10</v>
      </c>
      <c r="F466" s="8">
        <f>_xlfn.IFNA(INDEX('OSA | 3GB'!J:L,MATCH(DATA!D466,'OSA | 3GB'!J:J,0),2),0)</f>
        <v>2</v>
      </c>
      <c r="G466" s="8">
        <f>_xlfn.IFNA(INDEX('OSA | 3GB'!J:L,MATCH(DATA!D466,'OSA | 3GB'!J:J,0),3),0)</f>
        <v>808000</v>
      </c>
      <c r="H466" s="32" t="str">
        <f>_xlfn.IFNA(INDEX('OSA | 3GB'!A:C,MATCH(DATA!D466,'OSA | 3GB'!A:A,0),2),0)</f>
        <v xml:space="preserve"> -   </v>
      </c>
      <c r="I466" s="33" t="str">
        <f>_xlfn.IFNA(INDEX('OSA | 3GB'!A:C,MATCH(DATA!D466,'OSA | 3GB'!A:A,0),3),0)</f>
        <v xml:space="preserve"> -   </v>
      </c>
      <c r="J466" s="33">
        <f>INDEX('BIO WAHYU'!B:G,MATCH(DATA!D466,'BIO WAHYU'!B:B,0),5)</f>
        <v>1</v>
      </c>
      <c r="K466" s="34">
        <f>INDEX('BIO WAHYU'!B:G,MATCH(DATA!D466,'BIO WAHYU'!B:B,0),6)</f>
        <v>0</v>
      </c>
      <c r="L466" s="35">
        <f>INDEX('BIO WAHYU'!B:H,MATCH(DATA!D466,'BIO WAHYU'!B:B,0),7)</f>
        <v>0</v>
      </c>
      <c r="M466" s="34">
        <f>INDEX('BIO WAHYU'!B:H,MATCH(DATA!D466,'BIO WAHYU'!B:B,0),4)</f>
        <v>0</v>
      </c>
    </row>
    <row r="467" spans="1:13">
      <c r="A467" s="43" t="s">
        <v>1673</v>
      </c>
      <c r="B467" s="43" t="s">
        <v>1140</v>
      </c>
      <c r="C467" s="43" t="s">
        <v>1288</v>
      </c>
      <c r="D467" s="10">
        <v>334656</v>
      </c>
      <c r="E467" s="43" t="s">
        <v>15</v>
      </c>
      <c r="F467" s="8">
        <f>_xlfn.IFNA(INDEX('OSA | 3GB'!J:L,MATCH(DATA!D467,'OSA | 3GB'!J:J,0),2),0)</f>
        <v>3</v>
      </c>
      <c r="G467" s="8">
        <f>_xlfn.IFNA(INDEX('OSA | 3GB'!J:L,MATCH(DATA!D467,'OSA | 3GB'!J:J,0),3),0)</f>
        <v>1567250</v>
      </c>
      <c r="H467" s="32" t="str">
        <f>_xlfn.IFNA(INDEX('OSA | 3GB'!A:C,MATCH(DATA!D467,'OSA | 3GB'!A:A,0),2),0)</f>
        <v xml:space="preserve"> -   </v>
      </c>
      <c r="I467" s="33">
        <f>_xlfn.IFNA(INDEX('OSA | 3GB'!A:C,MATCH(DATA!D467,'OSA | 3GB'!A:A,0),3),0)</f>
        <v>500000</v>
      </c>
      <c r="J467" s="33">
        <f>INDEX('BIO WAHYU'!B:G,MATCH(DATA!D467,'BIO WAHYU'!B:B,0),5)</f>
        <v>2</v>
      </c>
      <c r="K467" s="34">
        <f>INDEX('BIO WAHYU'!B:G,MATCH(DATA!D467,'BIO WAHYU'!B:B,0),6)</f>
        <v>0</v>
      </c>
      <c r="L467" s="35">
        <f>INDEX('BIO WAHYU'!B:H,MATCH(DATA!D467,'BIO WAHYU'!B:B,0),7)</f>
        <v>0</v>
      </c>
      <c r="M467" s="34">
        <f>INDEX('BIO WAHYU'!B:H,MATCH(DATA!D467,'BIO WAHYU'!B:B,0),4)</f>
        <v>0</v>
      </c>
    </row>
    <row r="468" spans="1:13">
      <c r="A468" s="43" t="s">
        <v>1672</v>
      </c>
      <c r="B468" s="43" t="s">
        <v>155</v>
      </c>
      <c r="C468" s="43" t="s">
        <v>950</v>
      </c>
      <c r="D468" s="10">
        <v>535182</v>
      </c>
      <c r="E468" s="43" t="s">
        <v>10</v>
      </c>
      <c r="F468" s="8">
        <f>_xlfn.IFNA(INDEX('OSA | 3GB'!J:L,MATCH(DATA!D468,'OSA | 3GB'!J:J,0),2),0)</f>
        <v>5</v>
      </c>
      <c r="G468" s="8">
        <f>_xlfn.IFNA(INDEX('OSA | 3GB'!J:L,MATCH(DATA!D468,'OSA | 3GB'!J:J,0),3),0)</f>
        <v>5350000</v>
      </c>
      <c r="H468" s="32">
        <f>_xlfn.IFNA(INDEX('OSA | 3GB'!A:C,MATCH(DATA!D468,'OSA | 3GB'!A:A,0),2),0)</f>
        <v>3</v>
      </c>
      <c r="I468" s="33">
        <f>_xlfn.IFNA(INDEX('OSA | 3GB'!A:C,MATCH(DATA!D468,'OSA | 3GB'!A:A,0),3),0)</f>
        <v>2200000</v>
      </c>
      <c r="J468" s="33">
        <f>INDEX('BIO WAHYU'!B:G,MATCH(DATA!D468,'BIO WAHYU'!B:B,0),5)</f>
        <v>11</v>
      </c>
      <c r="K468" s="34">
        <f>INDEX('BIO WAHYU'!B:G,MATCH(DATA!D468,'BIO WAHYU'!B:B,0),6)</f>
        <v>3</v>
      </c>
      <c r="L468" s="35">
        <f>INDEX('BIO WAHYU'!B:H,MATCH(DATA!D468,'BIO WAHYU'!B:B,0),7)</f>
        <v>0</v>
      </c>
      <c r="M468" s="34">
        <f>INDEX('BIO WAHYU'!B:H,MATCH(DATA!D468,'BIO WAHYU'!B:B,0),4)</f>
        <v>0</v>
      </c>
    </row>
    <row r="469" spans="1:13">
      <c r="A469" s="43" t="s">
        <v>1673</v>
      </c>
      <c r="B469" s="43" t="s">
        <v>141</v>
      </c>
      <c r="C469" s="43" t="s">
        <v>206</v>
      </c>
      <c r="D469" s="10">
        <v>549294</v>
      </c>
      <c r="E469" s="43" t="s">
        <v>10</v>
      </c>
      <c r="F469" s="8">
        <f>_xlfn.IFNA(INDEX('OSA | 3GB'!J:L,MATCH(DATA!D469,'OSA | 3GB'!J:J,0),2),0)</f>
        <v>3</v>
      </c>
      <c r="G469" s="8">
        <f>_xlfn.IFNA(INDEX('OSA | 3GB'!J:L,MATCH(DATA!D469,'OSA | 3GB'!J:J,0),3),0)</f>
        <v>2600000</v>
      </c>
      <c r="H469" s="32" t="str">
        <f>_xlfn.IFNA(INDEX('OSA | 3GB'!A:C,MATCH(DATA!D469,'OSA | 3GB'!A:A,0),2),0)</f>
        <v xml:space="preserve"> -   </v>
      </c>
      <c r="I469" s="33" t="str">
        <f>_xlfn.IFNA(INDEX('OSA | 3GB'!A:C,MATCH(DATA!D469,'OSA | 3GB'!A:A,0),3),0)</f>
        <v xml:space="preserve"> -   </v>
      </c>
      <c r="J469" s="33">
        <f>INDEX('BIO WAHYU'!B:G,MATCH(DATA!D469,'BIO WAHYU'!B:B,0),5)</f>
        <v>1</v>
      </c>
      <c r="K469" s="34">
        <f>INDEX('BIO WAHYU'!B:G,MATCH(DATA!D469,'BIO WAHYU'!B:B,0),6)</f>
        <v>0</v>
      </c>
      <c r="L469" s="35">
        <f>INDEX('BIO WAHYU'!B:H,MATCH(DATA!D469,'BIO WAHYU'!B:B,0),7)</f>
        <v>0</v>
      </c>
      <c r="M469" s="34">
        <f>INDEX('BIO WAHYU'!B:H,MATCH(DATA!D469,'BIO WAHYU'!B:B,0),4)</f>
        <v>0</v>
      </c>
    </row>
    <row r="470" spans="1:13">
      <c r="A470" s="43" t="s">
        <v>1675</v>
      </c>
      <c r="B470" s="43" t="s">
        <v>136</v>
      </c>
      <c r="C470" s="43" t="s">
        <v>391</v>
      </c>
      <c r="D470" s="10">
        <v>12301666</v>
      </c>
      <c r="E470" s="43" t="s">
        <v>10</v>
      </c>
      <c r="F470" s="8">
        <f>_xlfn.IFNA(INDEX('OSA | 3GB'!J:L,MATCH(DATA!D470,'OSA | 3GB'!J:J,0),2),0)</f>
        <v>1</v>
      </c>
      <c r="G470" s="8">
        <f>_xlfn.IFNA(INDEX('OSA | 3GB'!J:L,MATCH(DATA!D470,'OSA | 3GB'!J:J,0),3),0)</f>
        <v>1729000</v>
      </c>
      <c r="H470" s="32" t="str">
        <f>_xlfn.IFNA(INDEX('OSA | 3GB'!A:C,MATCH(DATA!D470,'OSA | 3GB'!A:A,0),2),0)</f>
        <v xml:space="preserve"> -   </v>
      </c>
      <c r="I470" s="33">
        <f>_xlfn.IFNA(INDEX('OSA | 3GB'!A:C,MATCH(DATA!D470,'OSA | 3GB'!A:A,0),3),0)</f>
        <v>500000</v>
      </c>
      <c r="J470" s="33">
        <f>INDEX('BIO WAHYU'!B:G,MATCH(DATA!D470,'BIO WAHYU'!B:B,0),5)</f>
        <v>2</v>
      </c>
      <c r="K470" s="34">
        <f>INDEX('BIO WAHYU'!B:G,MATCH(DATA!D470,'BIO WAHYU'!B:B,0),6)</f>
        <v>1</v>
      </c>
      <c r="L470" s="35">
        <f>INDEX('BIO WAHYU'!B:H,MATCH(DATA!D470,'BIO WAHYU'!B:B,0),7)</f>
        <v>0</v>
      </c>
      <c r="M470" s="34">
        <f>INDEX('BIO WAHYU'!B:H,MATCH(DATA!D470,'BIO WAHYU'!B:B,0),4)</f>
        <v>0</v>
      </c>
    </row>
    <row r="471" spans="1:13">
      <c r="A471" s="43" t="s">
        <v>1674</v>
      </c>
      <c r="B471" s="43" t="s">
        <v>147</v>
      </c>
      <c r="C471" s="43" t="s">
        <v>597</v>
      </c>
      <c r="D471" s="10">
        <v>127191</v>
      </c>
      <c r="E471" s="43" t="s">
        <v>10</v>
      </c>
      <c r="F471" s="8">
        <f>_xlfn.IFNA(INDEX('OSA | 3GB'!J:L,MATCH(DATA!D471,'OSA | 3GB'!J:J,0),2),0)</f>
        <v>0</v>
      </c>
      <c r="G471" s="8">
        <f>_xlfn.IFNA(INDEX('OSA | 3GB'!J:L,MATCH(DATA!D471,'OSA | 3GB'!J:J,0),3),0)</f>
        <v>500000</v>
      </c>
      <c r="H471" s="32" t="str">
        <f>_xlfn.IFNA(INDEX('OSA | 3GB'!A:C,MATCH(DATA!D471,'OSA | 3GB'!A:A,0),2),0)</f>
        <v xml:space="preserve"> -   </v>
      </c>
      <c r="I471" s="33">
        <f>_xlfn.IFNA(INDEX('OSA | 3GB'!A:C,MATCH(DATA!D471,'OSA | 3GB'!A:A,0),3),0)</f>
        <v>300000</v>
      </c>
      <c r="J471" s="33">
        <f>INDEX('BIO WAHYU'!B:G,MATCH(DATA!D471,'BIO WAHYU'!B:B,0),5)</f>
        <v>1</v>
      </c>
      <c r="K471" s="34">
        <f>INDEX('BIO WAHYU'!B:G,MATCH(DATA!D471,'BIO WAHYU'!B:B,0),6)</f>
        <v>1</v>
      </c>
      <c r="L471" s="35">
        <f>INDEX('BIO WAHYU'!B:H,MATCH(DATA!D471,'BIO WAHYU'!B:B,0),7)</f>
        <v>0</v>
      </c>
      <c r="M471" s="34">
        <f>INDEX('BIO WAHYU'!B:H,MATCH(DATA!D471,'BIO WAHYU'!B:B,0),4)</f>
        <v>0</v>
      </c>
    </row>
    <row r="472" spans="1:13">
      <c r="A472" s="43" t="s">
        <v>1672</v>
      </c>
      <c r="B472" s="43" t="s">
        <v>155</v>
      </c>
      <c r="C472" s="43" t="s">
        <v>942</v>
      </c>
      <c r="D472" s="10">
        <v>393328</v>
      </c>
      <c r="E472" s="43" t="s">
        <v>10</v>
      </c>
      <c r="F472" s="8">
        <f>_xlfn.IFNA(INDEX('OSA | 3GB'!J:L,MATCH(DATA!D472,'OSA | 3GB'!J:J,0),2),0)</f>
        <v>4</v>
      </c>
      <c r="G472" s="8">
        <f>_xlfn.IFNA(INDEX('OSA | 3GB'!J:L,MATCH(DATA!D472,'OSA | 3GB'!J:J,0),3),0)</f>
        <v>2000000</v>
      </c>
      <c r="H472" s="32" t="str">
        <f>_xlfn.IFNA(INDEX('OSA | 3GB'!A:C,MATCH(DATA!D472,'OSA | 3GB'!A:A,0),2),0)</f>
        <v xml:space="preserve"> -   </v>
      </c>
      <c r="I472" s="33">
        <f>_xlfn.IFNA(INDEX('OSA | 3GB'!A:C,MATCH(DATA!D472,'OSA | 3GB'!A:A,0),3),0)</f>
        <v>1100000</v>
      </c>
      <c r="J472" s="33">
        <f>INDEX('BIO WAHYU'!B:G,MATCH(DATA!D472,'BIO WAHYU'!B:B,0),5)</f>
        <v>0</v>
      </c>
      <c r="K472" s="34">
        <f>INDEX('BIO WAHYU'!B:G,MATCH(DATA!D472,'BIO WAHYU'!B:B,0),6)</f>
        <v>0</v>
      </c>
      <c r="L472" s="35">
        <f>INDEX('BIO WAHYU'!B:H,MATCH(DATA!D472,'BIO WAHYU'!B:B,0),7)</f>
        <v>0</v>
      </c>
      <c r="M472" s="34">
        <f>INDEX('BIO WAHYU'!B:H,MATCH(DATA!D472,'BIO WAHYU'!B:B,0),4)</f>
        <v>0</v>
      </c>
    </row>
    <row r="473" spans="1:13">
      <c r="A473" s="43" t="s">
        <v>1672</v>
      </c>
      <c r="B473" s="43" t="s">
        <v>150</v>
      </c>
      <c r="C473" s="43" t="s">
        <v>176</v>
      </c>
      <c r="D473" s="10">
        <v>61947</v>
      </c>
      <c r="E473" s="43" t="s">
        <v>10</v>
      </c>
      <c r="F473" s="8">
        <f>_xlfn.IFNA(INDEX('OSA | 3GB'!J:L,MATCH(DATA!D473,'OSA | 3GB'!J:J,0),2),0)</f>
        <v>13</v>
      </c>
      <c r="G473" s="8">
        <f>_xlfn.IFNA(INDEX('OSA | 3GB'!J:L,MATCH(DATA!D473,'OSA | 3GB'!J:J,0),3),0)</f>
        <v>5493000</v>
      </c>
      <c r="H473" s="32" t="str">
        <f>_xlfn.IFNA(INDEX('OSA | 3GB'!A:C,MATCH(DATA!D473,'OSA | 3GB'!A:A,0),2),0)</f>
        <v xml:space="preserve"> -   </v>
      </c>
      <c r="I473" s="33">
        <f>_xlfn.IFNA(INDEX('OSA | 3GB'!A:C,MATCH(DATA!D473,'OSA | 3GB'!A:A,0),3),0)</f>
        <v>125000</v>
      </c>
      <c r="J473" s="33">
        <f>INDEX('BIO WAHYU'!B:G,MATCH(DATA!D473,'BIO WAHYU'!B:B,0),5)</f>
        <v>0</v>
      </c>
      <c r="K473" s="34">
        <f>INDEX('BIO WAHYU'!B:G,MATCH(DATA!D473,'BIO WAHYU'!B:B,0),6)</f>
        <v>0</v>
      </c>
      <c r="L473" s="35">
        <f>INDEX('BIO WAHYU'!B:H,MATCH(DATA!D473,'BIO WAHYU'!B:B,0),7)</f>
        <v>0</v>
      </c>
      <c r="M473" s="34">
        <f>INDEX('BIO WAHYU'!B:H,MATCH(DATA!D473,'BIO WAHYU'!B:B,0),4)</f>
        <v>0</v>
      </c>
    </row>
    <row r="474" spans="1:13">
      <c r="A474" s="43" t="s">
        <v>1675</v>
      </c>
      <c r="B474" s="43">
        <v>2613051043</v>
      </c>
      <c r="C474" s="43" t="s">
        <v>437</v>
      </c>
      <c r="D474" s="10">
        <v>12296812</v>
      </c>
      <c r="E474" s="43" t="s">
        <v>15</v>
      </c>
      <c r="F474" s="8">
        <f>_xlfn.IFNA(INDEX('OSA | 3GB'!J:L,MATCH(DATA!D474,'OSA | 3GB'!J:J,0),2),0)</f>
        <v>0</v>
      </c>
      <c r="G474" s="8">
        <f>_xlfn.IFNA(INDEX('OSA | 3GB'!J:L,MATCH(DATA!D474,'OSA | 3GB'!J:J,0),3),0)</f>
        <v>623000</v>
      </c>
      <c r="H474" s="32" t="str">
        <f>_xlfn.IFNA(INDEX('OSA | 3GB'!A:C,MATCH(DATA!D474,'OSA | 3GB'!A:A,0),2),0)</f>
        <v xml:space="preserve"> -   </v>
      </c>
      <c r="I474" s="33">
        <f>_xlfn.IFNA(INDEX('OSA | 3GB'!A:C,MATCH(DATA!D474,'OSA | 3GB'!A:A,0),3),0)</f>
        <v>500000</v>
      </c>
      <c r="J474" s="33">
        <f>INDEX('BIO WAHYU'!B:G,MATCH(DATA!D474,'BIO WAHYU'!B:B,0),5)</f>
        <v>0</v>
      </c>
      <c r="K474" s="34">
        <f>INDEX('BIO WAHYU'!B:G,MATCH(DATA!D474,'BIO WAHYU'!B:B,0),6)</f>
        <v>0</v>
      </c>
      <c r="L474" s="35">
        <f>INDEX('BIO WAHYU'!B:H,MATCH(DATA!D474,'BIO WAHYU'!B:B,0),7)</f>
        <v>0</v>
      </c>
      <c r="M474" s="34">
        <f>INDEX('BIO WAHYU'!B:H,MATCH(DATA!D474,'BIO WAHYU'!B:B,0),4)</f>
        <v>0</v>
      </c>
    </row>
    <row r="475" spans="1:13">
      <c r="A475" s="43" t="s">
        <v>1673</v>
      </c>
      <c r="B475" s="43" t="s">
        <v>1140</v>
      </c>
      <c r="C475" s="43" t="s">
        <v>1289</v>
      </c>
      <c r="D475" s="10">
        <v>405461</v>
      </c>
      <c r="E475" s="43" t="s">
        <v>10</v>
      </c>
      <c r="F475" s="8">
        <f>_xlfn.IFNA(INDEX('OSA | 3GB'!J:L,MATCH(DATA!D475,'OSA | 3GB'!J:J,0),2),0)</f>
        <v>6</v>
      </c>
      <c r="G475" s="8">
        <f>_xlfn.IFNA(INDEX('OSA | 3GB'!J:L,MATCH(DATA!D475,'OSA | 3GB'!J:J,0),3),0)</f>
        <v>4347000</v>
      </c>
      <c r="H475" s="32" t="str">
        <f>_xlfn.IFNA(INDEX('OSA | 3GB'!A:C,MATCH(DATA!D475,'OSA | 3GB'!A:A,0),2),0)</f>
        <v xml:space="preserve"> -   </v>
      </c>
      <c r="I475" s="33">
        <f>_xlfn.IFNA(INDEX('OSA | 3GB'!A:C,MATCH(DATA!D475,'OSA | 3GB'!A:A,0),3),0)</f>
        <v>1749000</v>
      </c>
      <c r="J475" s="33">
        <f>INDEX('BIO WAHYU'!B:G,MATCH(DATA!D475,'BIO WAHYU'!B:B,0),5)</f>
        <v>3</v>
      </c>
      <c r="K475" s="34">
        <f>INDEX('BIO WAHYU'!B:G,MATCH(DATA!D475,'BIO WAHYU'!B:B,0),6)</f>
        <v>2</v>
      </c>
      <c r="L475" s="35">
        <f>INDEX('BIO WAHYU'!B:H,MATCH(DATA!D475,'BIO WAHYU'!B:B,0),7)</f>
        <v>0</v>
      </c>
      <c r="M475" s="34">
        <f>INDEX('BIO WAHYU'!B:H,MATCH(DATA!D475,'BIO WAHYU'!B:B,0),4)</f>
        <v>0</v>
      </c>
    </row>
    <row r="476" spans="1:13">
      <c r="A476" s="43" t="s">
        <v>1671</v>
      </c>
      <c r="B476" s="43">
        <v>2613050885</v>
      </c>
      <c r="C476" s="43" t="s">
        <v>299</v>
      </c>
      <c r="D476" s="10">
        <v>523871</v>
      </c>
      <c r="E476" s="43" t="s">
        <v>15</v>
      </c>
      <c r="F476" s="8">
        <f>_xlfn.IFNA(INDEX('OSA | 3GB'!J:L,MATCH(DATA!D476,'OSA | 3GB'!J:J,0),2),0)</f>
        <v>0</v>
      </c>
      <c r="G476" s="8">
        <f>_xlfn.IFNA(INDEX('OSA | 3GB'!J:L,MATCH(DATA!D476,'OSA | 3GB'!J:J,0),3),0)</f>
        <v>100000000</v>
      </c>
      <c r="H476" s="32" t="str">
        <f>_xlfn.IFNA(INDEX('OSA | 3GB'!A:C,MATCH(DATA!D476,'OSA | 3GB'!A:A,0),2),0)</f>
        <v xml:space="preserve"> -   </v>
      </c>
      <c r="I476" s="33">
        <f>_xlfn.IFNA(INDEX('OSA | 3GB'!A:C,MATCH(DATA!D476,'OSA | 3GB'!A:A,0),3),0)</f>
        <v>10000000</v>
      </c>
      <c r="J476" s="33">
        <f>INDEX('BIO WAHYU'!B:G,MATCH(DATA!D476,'BIO WAHYU'!B:B,0),5)</f>
        <v>0</v>
      </c>
      <c r="K476" s="34">
        <f>INDEX('BIO WAHYU'!B:G,MATCH(DATA!D476,'BIO WAHYU'!B:B,0),6)</f>
        <v>0</v>
      </c>
      <c r="L476" s="35">
        <f>INDEX('BIO WAHYU'!B:H,MATCH(DATA!D476,'BIO WAHYU'!B:B,0),7)</f>
        <v>0</v>
      </c>
      <c r="M476" s="34">
        <f>INDEX('BIO WAHYU'!B:H,MATCH(DATA!D476,'BIO WAHYU'!B:B,0),4)</f>
        <v>0</v>
      </c>
    </row>
    <row r="477" spans="1:13">
      <c r="A477" s="43" t="s">
        <v>1674</v>
      </c>
      <c r="B477" s="43">
        <v>2613052222</v>
      </c>
      <c r="C477" s="43" t="s">
        <v>689</v>
      </c>
      <c r="D477" s="10">
        <v>211781</v>
      </c>
      <c r="E477" s="43" t="s">
        <v>10</v>
      </c>
      <c r="F477" s="8">
        <f>_xlfn.IFNA(INDEX('OSA | 3GB'!J:L,MATCH(DATA!D477,'OSA | 3GB'!J:J,0),2),0)</f>
        <v>3</v>
      </c>
      <c r="G477" s="8">
        <f>_xlfn.IFNA(INDEX('OSA | 3GB'!J:L,MATCH(DATA!D477,'OSA | 3GB'!J:J,0),3),0)</f>
        <v>3250000</v>
      </c>
      <c r="H477" s="32" t="str">
        <f>_xlfn.IFNA(INDEX('OSA | 3GB'!A:C,MATCH(DATA!D477,'OSA | 3GB'!A:A,0),2),0)</f>
        <v xml:space="preserve"> -   </v>
      </c>
      <c r="I477" s="33">
        <f>_xlfn.IFNA(INDEX('OSA | 3GB'!A:C,MATCH(DATA!D477,'OSA | 3GB'!A:A,0),3),0)</f>
        <v>1150000</v>
      </c>
      <c r="J477" s="33">
        <f>INDEX('BIO WAHYU'!B:G,MATCH(DATA!D477,'BIO WAHYU'!B:B,0),5)</f>
        <v>14</v>
      </c>
      <c r="K477" s="34">
        <f>INDEX('BIO WAHYU'!B:G,MATCH(DATA!D477,'BIO WAHYU'!B:B,0),6)</f>
        <v>3</v>
      </c>
      <c r="L477" s="35">
        <f>INDEX('BIO WAHYU'!B:H,MATCH(DATA!D477,'BIO WAHYU'!B:B,0),7)</f>
        <v>0</v>
      </c>
      <c r="M477" s="34">
        <f>INDEX('BIO WAHYU'!B:H,MATCH(DATA!D477,'BIO WAHYU'!B:B,0),4)</f>
        <v>0</v>
      </c>
    </row>
    <row r="478" spans="1:13">
      <c r="A478" s="43" t="s">
        <v>1673</v>
      </c>
      <c r="B478" s="43" t="s">
        <v>144</v>
      </c>
      <c r="C478" s="43" t="s">
        <v>227</v>
      </c>
      <c r="D478" s="10">
        <v>397314</v>
      </c>
      <c r="E478" s="43" t="s">
        <v>15</v>
      </c>
      <c r="F478" s="8">
        <f>_xlfn.IFNA(INDEX('OSA | 3GB'!J:L,MATCH(DATA!D478,'OSA | 3GB'!J:J,0),2),0)</f>
        <v>12</v>
      </c>
      <c r="G478" s="8">
        <f>_xlfn.IFNA(INDEX('OSA | 3GB'!J:L,MATCH(DATA!D478,'OSA | 3GB'!J:J,0),3),0)</f>
        <v>150000</v>
      </c>
      <c r="H478" s="32">
        <f>_xlfn.IFNA(INDEX('OSA | 3GB'!A:C,MATCH(DATA!D478,'OSA | 3GB'!A:A,0),2),0)</f>
        <v>2</v>
      </c>
      <c r="I478" s="33">
        <f>_xlfn.IFNA(INDEX('OSA | 3GB'!A:C,MATCH(DATA!D478,'OSA | 3GB'!A:A,0),3),0)</f>
        <v>158000</v>
      </c>
      <c r="J478" s="33">
        <f>INDEX('BIO WAHYU'!B:G,MATCH(DATA!D478,'BIO WAHYU'!B:B,0),5)</f>
        <v>2</v>
      </c>
      <c r="K478" s="34">
        <f>INDEX('BIO WAHYU'!B:G,MATCH(DATA!D478,'BIO WAHYU'!B:B,0),6)</f>
        <v>6</v>
      </c>
      <c r="L478" s="35">
        <f>INDEX('BIO WAHYU'!B:H,MATCH(DATA!D478,'BIO WAHYU'!B:B,0),7)</f>
        <v>4</v>
      </c>
      <c r="M478" s="34">
        <f>INDEX('BIO WAHYU'!B:H,MATCH(DATA!D478,'BIO WAHYU'!B:B,0),4)</f>
        <v>0</v>
      </c>
    </row>
    <row r="479" spans="1:13">
      <c r="A479" s="43" t="s">
        <v>1671</v>
      </c>
      <c r="B479" s="43" t="s">
        <v>142</v>
      </c>
      <c r="C479" s="43" t="s">
        <v>366</v>
      </c>
      <c r="D479" s="10">
        <v>538207</v>
      </c>
      <c r="E479" s="43" t="s">
        <v>10</v>
      </c>
      <c r="F479" s="8">
        <f>_xlfn.IFNA(INDEX('OSA | 3GB'!J:L,MATCH(DATA!D479,'OSA | 3GB'!J:J,0),2),0)</f>
        <v>7</v>
      </c>
      <c r="G479" s="8">
        <f>_xlfn.IFNA(INDEX('OSA | 3GB'!J:L,MATCH(DATA!D479,'OSA | 3GB'!J:J,0),3),0)</f>
        <v>7987000</v>
      </c>
      <c r="H479" s="32">
        <f>_xlfn.IFNA(INDEX('OSA | 3GB'!A:C,MATCH(DATA!D479,'OSA | 3GB'!A:A,0),2),0)</f>
        <v>18</v>
      </c>
      <c r="I479" s="33">
        <f>_xlfn.IFNA(INDEX('OSA | 3GB'!A:C,MATCH(DATA!D479,'OSA | 3GB'!A:A,0),3),0)</f>
        <v>2487000</v>
      </c>
      <c r="J479" s="33">
        <f>INDEX('BIO WAHYU'!B:G,MATCH(DATA!D479,'BIO WAHYU'!B:B,0),5)</f>
        <v>3</v>
      </c>
      <c r="K479" s="34">
        <f>INDEX('BIO WAHYU'!B:G,MATCH(DATA!D479,'BIO WAHYU'!B:B,0),6)</f>
        <v>2</v>
      </c>
      <c r="L479" s="35">
        <f>INDEX('BIO WAHYU'!B:H,MATCH(DATA!D479,'BIO WAHYU'!B:B,0),7)</f>
        <v>0</v>
      </c>
      <c r="M479" s="34">
        <f>INDEX('BIO WAHYU'!B:H,MATCH(DATA!D479,'BIO WAHYU'!B:B,0),4)</f>
        <v>0</v>
      </c>
    </row>
    <row r="480" spans="1:13">
      <c r="A480" s="43" t="s">
        <v>1675</v>
      </c>
      <c r="B480" s="43">
        <v>2613051043</v>
      </c>
      <c r="C480" s="43" t="s">
        <v>1290</v>
      </c>
      <c r="D480" s="10">
        <v>12327272</v>
      </c>
      <c r="E480" s="43" t="s">
        <v>10</v>
      </c>
      <c r="F480" s="8">
        <f>_xlfn.IFNA(INDEX('OSA | 3GB'!J:L,MATCH(DATA!D480,'OSA | 3GB'!J:J,0),2),0)</f>
        <v>10</v>
      </c>
      <c r="G480" s="8">
        <f>_xlfn.IFNA(INDEX('OSA | 3GB'!J:L,MATCH(DATA!D480,'OSA | 3GB'!J:J,0),3),0)</f>
        <v>591000</v>
      </c>
      <c r="H480" s="32" t="str">
        <f>_xlfn.IFNA(INDEX('OSA | 3GB'!A:C,MATCH(DATA!D480,'OSA | 3GB'!A:A,0),2),0)</f>
        <v xml:space="preserve"> -   </v>
      </c>
      <c r="I480" s="33" t="str">
        <f>_xlfn.IFNA(INDEX('OSA | 3GB'!A:C,MATCH(DATA!D480,'OSA | 3GB'!A:A,0),3),0)</f>
        <v xml:space="preserve"> -   </v>
      </c>
      <c r="J480" s="33">
        <f>INDEX('BIO WAHYU'!B:G,MATCH(DATA!D480,'BIO WAHYU'!B:B,0),5)</f>
        <v>0</v>
      </c>
      <c r="K480" s="34">
        <f>INDEX('BIO WAHYU'!B:G,MATCH(DATA!D480,'BIO WAHYU'!B:B,0),6)</f>
        <v>0</v>
      </c>
      <c r="L480" s="35">
        <f>INDEX('BIO WAHYU'!B:H,MATCH(DATA!D480,'BIO WAHYU'!B:B,0),7)</f>
        <v>0</v>
      </c>
      <c r="M480" s="34">
        <f>INDEX('BIO WAHYU'!B:H,MATCH(DATA!D480,'BIO WAHYU'!B:B,0),4)</f>
        <v>0</v>
      </c>
    </row>
    <row r="481" spans="1:13">
      <c r="A481" s="43" t="s">
        <v>1670</v>
      </c>
      <c r="B481" s="43" t="s">
        <v>140</v>
      </c>
      <c r="C481" s="43" t="s">
        <v>459</v>
      </c>
      <c r="D481" s="10">
        <v>12322388</v>
      </c>
      <c r="E481" s="43" t="s">
        <v>10</v>
      </c>
      <c r="F481" s="8">
        <f>_xlfn.IFNA(INDEX('OSA | 3GB'!J:L,MATCH(DATA!D481,'OSA | 3GB'!J:J,0),2),0)</f>
        <v>5</v>
      </c>
      <c r="G481" s="8">
        <f>_xlfn.IFNA(INDEX('OSA | 3GB'!J:L,MATCH(DATA!D481,'OSA | 3GB'!J:J,0),3),0)</f>
        <v>1300000</v>
      </c>
      <c r="H481" s="32" t="str">
        <f>_xlfn.IFNA(INDEX('OSA | 3GB'!A:C,MATCH(DATA!D481,'OSA | 3GB'!A:A,0),2),0)</f>
        <v xml:space="preserve"> -   </v>
      </c>
      <c r="I481" s="33">
        <f>_xlfn.IFNA(INDEX('OSA | 3GB'!A:C,MATCH(DATA!D481,'OSA | 3GB'!A:A,0),3),0)</f>
        <v>600000</v>
      </c>
      <c r="J481" s="33">
        <f>INDEX('BIO WAHYU'!B:G,MATCH(DATA!D481,'BIO WAHYU'!B:B,0),5)</f>
        <v>3</v>
      </c>
      <c r="K481" s="34">
        <f>INDEX('BIO WAHYU'!B:G,MATCH(DATA!D481,'BIO WAHYU'!B:B,0),6)</f>
        <v>1</v>
      </c>
      <c r="L481" s="35">
        <f>INDEX('BIO WAHYU'!B:H,MATCH(DATA!D481,'BIO WAHYU'!B:B,0),7)</f>
        <v>0</v>
      </c>
      <c r="M481" s="34">
        <f>INDEX('BIO WAHYU'!B:H,MATCH(DATA!D481,'BIO WAHYU'!B:B,0),4)</f>
        <v>0</v>
      </c>
    </row>
    <row r="482" spans="1:13">
      <c r="A482" s="43" t="s">
        <v>1670</v>
      </c>
      <c r="B482" s="43">
        <v>2613051412</v>
      </c>
      <c r="C482" s="43" t="s">
        <v>563</v>
      </c>
      <c r="D482" s="10">
        <v>539087</v>
      </c>
      <c r="E482" s="43" t="s">
        <v>10</v>
      </c>
      <c r="F482" s="8">
        <f>_xlfn.IFNA(INDEX('OSA | 3GB'!J:L,MATCH(DATA!D482,'OSA | 3GB'!J:J,0),2),0)</f>
        <v>0</v>
      </c>
      <c r="G482" s="8">
        <f>_xlfn.IFNA(INDEX('OSA | 3GB'!J:L,MATCH(DATA!D482,'OSA | 3GB'!J:J,0),3),0)</f>
        <v>1000000</v>
      </c>
      <c r="H482" s="32">
        <f>_xlfn.IFNA(INDEX('OSA | 3GB'!A:C,MATCH(DATA!D482,'OSA | 3GB'!A:A,0),2),0)</f>
        <v>1</v>
      </c>
      <c r="I482" s="33">
        <f>_xlfn.IFNA(INDEX('OSA | 3GB'!A:C,MATCH(DATA!D482,'OSA | 3GB'!A:A,0),3),0)</f>
        <v>1250000</v>
      </c>
      <c r="J482" s="33">
        <f>INDEX('BIO WAHYU'!B:G,MATCH(DATA!D482,'BIO WAHYU'!B:B,0),5)</f>
        <v>0</v>
      </c>
      <c r="K482" s="34">
        <f>INDEX('BIO WAHYU'!B:G,MATCH(DATA!D482,'BIO WAHYU'!B:B,0),6)</f>
        <v>0</v>
      </c>
      <c r="L482" s="35">
        <f>INDEX('BIO WAHYU'!B:H,MATCH(DATA!D482,'BIO WAHYU'!B:B,0),7)</f>
        <v>0</v>
      </c>
      <c r="M482" s="34">
        <f>INDEX('BIO WAHYU'!B:H,MATCH(DATA!D482,'BIO WAHYU'!B:B,0),4)</f>
        <v>0</v>
      </c>
    </row>
    <row r="483" spans="1:13">
      <c r="A483" s="43" t="s">
        <v>1673</v>
      </c>
      <c r="B483" s="43" t="s">
        <v>1140</v>
      </c>
      <c r="C483" s="43" t="s">
        <v>1291</v>
      </c>
      <c r="D483" s="10">
        <v>534610</v>
      </c>
      <c r="E483" s="43" t="s">
        <v>15</v>
      </c>
      <c r="F483" s="8">
        <f>_xlfn.IFNA(INDEX('OSA | 3GB'!J:L,MATCH(DATA!D483,'OSA | 3GB'!J:J,0),2),0)</f>
        <v>3</v>
      </c>
      <c r="G483" s="8">
        <f>_xlfn.IFNA(INDEX('OSA | 3GB'!J:L,MATCH(DATA!D483,'OSA | 3GB'!J:J,0),3),0)</f>
        <v>1500000</v>
      </c>
      <c r="H483" s="32" t="str">
        <f>_xlfn.IFNA(INDEX('OSA | 3GB'!A:C,MATCH(DATA!D483,'OSA | 3GB'!A:A,0),2),0)</f>
        <v xml:space="preserve"> -   </v>
      </c>
      <c r="I483" s="33">
        <f>_xlfn.IFNA(INDEX('OSA | 3GB'!A:C,MATCH(DATA!D483,'OSA | 3GB'!A:A,0),3),0)</f>
        <v>600000</v>
      </c>
      <c r="J483" s="33">
        <f>INDEX('BIO WAHYU'!B:G,MATCH(DATA!D483,'BIO WAHYU'!B:B,0),5)</f>
        <v>1</v>
      </c>
      <c r="K483" s="34">
        <f>INDEX('BIO WAHYU'!B:G,MATCH(DATA!D483,'BIO WAHYU'!B:B,0),6)</f>
        <v>1</v>
      </c>
      <c r="L483" s="35">
        <f>INDEX('BIO WAHYU'!B:H,MATCH(DATA!D483,'BIO WAHYU'!B:B,0),7)</f>
        <v>0</v>
      </c>
      <c r="M483" s="34">
        <f>INDEX('BIO WAHYU'!B:H,MATCH(DATA!D483,'BIO WAHYU'!B:B,0),4)</f>
        <v>0</v>
      </c>
    </row>
    <row r="484" spans="1:13">
      <c r="A484" s="43" t="s">
        <v>1670</v>
      </c>
      <c r="B484" s="43" t="s">
        <v>146</v>
      </c>
      <c r="C484" s="43" t="s">
        <v>524</v>
      </c>
      <c r="D484" s="10">
        <v>12300154</v>
      </c>
      <c r="E484" s="43" t="s">
        <v>10</v>
      </c>
      <c r="F484" s="8">
        <f>_xlfn.IFNA(INDEX('OSA | 3GB'!J:L,MATCH(DATA!D484,'OSA | 3GB'!J:J,0),2),0)</f>
        <v>4</v>
      </c>
      <c r="G484" s="8">
        <f>_xlfn.IFNA(INDEX('OSA | 3GB'!J:L,MATCH(DATA!D484,'OSA | 3GB'!J:J,0),3),0)</f>
        <v>4005000</v>
      </c>
      <c r="H484" s="32">
        <f>_xlfn.IFNA(INDEX('OSA | 3GB'!A:C,MATCH(DATA!D484,'OSA | 3GB'!A:A,0),2),0)</f>
        <v>3</v>
      </c>
      <c r="I484" s="33">
        <f>_xlfn.IFNA(INDEX('OSA | 3GB'!A:C,MATCH(DATA!D484,'OSA | 3GB'!A:A,0),3),0)</f>
        <v>1500000</v>
      </c>
      <c r="J484" s="33">
        <f>INDEX('BIO WAHYU'!B:G,MATCH(DATA!D484,'BIO WAHYU'!B:B,0),5)</f>
        <v>3</v>
      </c>
      <c r="K484" s="34">
        <f>INDEX('BIO WAHYU'!B:G,MATCH(DATA!D484,'BIO WAHYU'!B:B,0),6)</f>
        <v>3</v>
      </c>
      <c r="L484" s="35">
        <f>INDEX('BIO WAHYU'!B:H,MATCH(DATA!D484,'BIO WAHYU'!B:B,0),7)</f>
        <v>0</v>
      </c>
      <c r="M484" s="34">
        <f>INDEX('BIO WAHYU'!B:H,MATCH(DATA!D484,'BIO WAHYU'!B:B,0),4)</f>
        <v>0</v>
      </c>
    </row>
    <row r="485" spans="1:13">
      <c r="A485" s="43" t="s">
        <v>1673</v>
      </c>
      <c r="B485" s="43" t="s">
        <v>144</v>
      </c>
      <c r="C485" s="43" t="s">
        <v>217</v>
      </c>
      <c r="D485" s="10">
        <v>12326166</v>
      </c>
      <c r="E485" s="43" t="s">
        <v>10</v>
      </c>
      <c r="F485" s="8">
        <f>_xlfn.IFNA(INDEX('OSA | 3GB'!J:L,MATCH(DATA!D485,'OSA | 3GB'!J:J,0),2),0)</f>
        <v>9</v>
      </c>
      <c r="G485" s="8">
        <f>_xlfn.IFNA(INDEX('OSA | 3GB'!J:L,MATCH(DATA!D485,'OSA | 3GB'!J:J,0),3),0)</f>
        <v>2839000</v>
      </c>
      <c r="H485" s="32" t="str">
        <f>_xlfn.IFNA(INDEX('OSA | 3GB'!A:C,MATCH(DATA!D485,'OSA | 3GB'!A:A,0),2),0)</f>
        <v xml:space="preserve"> -   </v>
      </c>
      <c r="I485" s="33">
        <f>_xlfn.IFNA(INDEX('OSA | 3GB'!A:C,MATCH(DATA!D485,'OSA | 3GB'!A:A,0),3),0)</f>
        <v>900000</v>
      </c>
      <c r="J485" s="33">
        <f>INDEX('BIO WAHYU'!B:G,MATCH(DATA!D485,'BIO WAHYU'!B:B,0),5)</f>
        <v>6</v>
      </c>
      <c r="K485" s="34">
        <f>INDEX('BIO WAHYU'!B:G,MATCH(DATA!D485,'BIO WAHYU'!B:B,0),6)</f>
        <v>1</v>
      </c>
      <c r="L485" s="35">
        <f>INDEX('BIO WAHYU'!B:H,MATCH(DATA!D485,'BIO WAHYU'!B:B,0),7)</f>
        <v>0</v>
      </c>
      <c r="M485" s="34">
        <f>INDEX('BIO WAHYU'!B:H,MATCH(DATA!D485,'BIO WAHYU'!B:B,0),4)</f>
        <v>0</v>
      </c>
    </row>
    <row r="486" spans="1:13">
      <c r="A486" s="43" t="s">
        <v>1674</v>
      </c>
      <c r="B486" s="43" t="s">
        <v>152</v>
      </c>
      <c r="C486" s="43" t="s">
        <v>1292</v>
      </c>
      <c r="D486" s="10">
        <v>248865</v>
      </c>
      <c r="E486" s="43" t="s">
        <v>10</v>
      </c>
      <c r="F486" s="8">
        <f>_xlfn.IFNA(INDEX('OSA | 3GB'!J:L,MATCH(DATA!D486,'OSA | 3GB'!J:J,0),2),0)</f>
        <v>3</v>
      </c>
      <c r="G486" s="8">
        <f>_xlfn.IFNA(INDEX('OSA | 3GB'!J:L,MATCH(DATA!D486,'OSA | 3GB'!J:J,0),3),0)</f>
        <v>3183000</v>
      </c>
      <c r="H486" s="32" t="str">
        <f>_xlfn.IFNA(INDEX('OSA | 3GB'!A:C,MATCH(DATA!D486,'OSA | 3GB'!A:A,0),2),0)</f>
        <v xml:space="preserve"> -   </v>
      </c>
      <c r="I486" s="33" t="str">
        <f>_xlfn.IFNA(INDEX('OSA | 3GB'!A:C,MATCH(DATA!D486,'OSA | 3GB'!A:A,0),3),0)</f>
        <v xml:space="preserve"> -   </v>
      </c>
      <c r="J486" s="33">
        <f>INDEX('BIO WAHYU'!B:G,MATCH(DATA!D486,'BIO WAHYU'!B:B,0),5)</f>
        <v>2</v>
      </c>
      <c r="K486" s="34">
        <f>INDEX('BIO WAHYU'!B:G,MATCH(DATA!D486,'BIO WAHYU'!B:B,0),6)</f>
        <v>1</v>
      </c>
      <c r="L486" s="35">
        <f>INDEX('BIO WAHYU'!B:H,MATCH(DATA!D486,'BIO WAHYU'!B:B,0),7)</f>
        <v>0</v>
      </c>
      <c r="M486" s="34">
        <f>INDEX('BIO WAHYU'!B:H,MATCH(DATA!D486,'BIO WAHYU'!B:B,0),4)</f>
        <v>0</v>
      </c>
    </row>
    <row r="487" spans="1:13">
      <c r="A487" s="43" t="s">
        <v>1673</v>
      </c>
      <c r="B487" s="43" t="s">
        <v>141</v>
      </c>
      <c r="C487" s="43" t="s">
        <v>188</v>
      </c>
      <c r="D487" s="10">
        <v>12319246</v>
      </c>
      <c r="E487" s="43" t="s">
        <v>10</v>
      </c>
      <c r="F487" s="8">
        <f>_xlfn.IFNA(INDEX('OSA | 3GB'!J:L,MATCH(DATA!D487,'OSA | 3GB'!J:J,0),2),0)</f>
        <v>3</v>
      </c>
      <c r="G487" s="8">
        <f>_xlfn.IFNA(INDEX('OSA | 3GB'!J:L,MATCH(DATA!D487,'OSA | 3GB'!J:J,0),3),0)</f>
        <v>3000000</v>
      </c>
      <c r="H487" s="32" t="str">
        <f>_xlfn.IFNA(INDEX('OSA | 3GB'!A:C,MATCH(DATA!D487,'OSA | 3GB'!A:A,0),2),0)</f>
        <v xml:space="preserve"> -   </v>
      </c>
      <c r="I487" s="33">
        <f>_xlfn.IFNA(INDEX('OSA | 3GB'!A:C,MATCH(DATA!D487,'OSA | 3GB'!A:A,0),3),0)</f>
        <v>1250000</v>
      </c>
      <c r="J487" s="33">
        <f>INDEX('BIO WAHYU'!B:G,MATCH(DATA!D487,'BIO WAHYU'!B:B,0),5)</f>
        <v>2</v>
      </c>
      <c r="K487" s="34">
        <f>INDEX('BIO WAHYU'!B:G,MATCH(DATA!D487,'BIO WAHYU'!B:B,0),6)</f>
        <v>0</v>
      </c>
      <c r="L487" s="35">
        <f>INDEX('BIO WAHYU'!B:H,MATCH(DATA!D487,'BIO WAHYU'!B:B,0),7)</f>
        <v>0</v>
      </c>
      <c r="M487" s="34">
        <f>INDEX('BIO WAHYU'!B:H,MATCH(DATA!D487,'BIO WAHYU'!B:B,0),4)</f>
        <v>0</v>
      </c>
    </row>
    <row r="488" spans="1:13">
      <c r="A488" s="43" t="s">
        <v>1674</v>
      </c>
      <c r="B488" s="43">
        <v>2613052222</v>
      </c>
      <c r="C488" s="43" t="s">
        <v>1293</v>
      </c>
      <c r="D488" s="10">
        <v>478959</v>
      </c>
      <c r="E488" s="43" t="s">
        <v>10</v>
      </c>
      <c r="F488" s="8">
        <f>_xlfn.IFNA(INDEX('OSA | 3GB'!J:L,MATCH(DATA!D488,'OSA | 3GB'!J:J,0),2),0)</f>
        <v>3</v>
      </c>
      <c r="G488" s="8">
        <f>_xlfn.IFNA(INDEX('OSA | 3GB'!J:L,MATCH(DATA!D488,'OSA | 3GB'!J:J,0),3),0)</f>
        <v>5887000</v>
      </c>
      <c r="H488" s="32" t="str">
        <f>_xlfn.IFNA(INDEX('OSA | 3GB'!A:C,MATCH(DATA!D488,'OSA | 3GB'!A:A,0),2),0)</f>
        <v xml:space="preserve"> -   </v>
      </c>
      <c r="I488" s="33">
        <f>_xlfn.IFNA(INDEX('OSA | 3GB'!A:C,MATCH(DATA!D488,'OSA | 3GB'!A:A,0),3),0)</f>
        <v>1700000</v>
      </c>
      <c r="J488" s="33">
        <f>INDEX('BIO WAHYU'!B:G,MATCH(DATA!D488,'BIO WAHYU'!B:B,0),5)</f>
        <v>3</v>
      </c>
      <c r="K488" s="34">
        <f>INDEX('BIO WAHYU'!B:G,MATCH(DATA!D488,'BIO WAHYU'!B:B,0),6)</f>
        <v>0</v>
      </c>
      <c r="L488" s="35">
        <f>INDEX('BIO WAHYU'!B:H,MATCH(DATA!D488,'BIO WAHYU'!B:B,0),7)</f>
        <v>0</v>
      </c>
      <c r="M488" s="34">
        <f>INDEX('BIO WAHYU'!B:H,MATCH(DATA!D488,'BIO WAHYU'!B:B,0),4)</f>
        <v>0</v>
      </c>
    </row>
    <row r="489" spans="1:13">
      <c r="A489" s="43" t="s">
        <v>1</v>
      </c>
      <c r="B489" s="43" t="s">
        <v>3</v>
      </c>
      <c r="C489" s="43" t="s">
        <v>1087</v>
      </c>
      <c r="D489" s="10">
        <v>571174</v>
      </c>
      <c r="E489" s="43" t="s">
        <v>10</v>
      </c>
      <c r="F489" s="8">
        <f>_xlfn.IFNA(INDEX('OSA | 3GB'!J:L,MATCH(DATA!D489,'OSA | 3GB'!J:J,0),2),0)</f>
        <v>3</v>
      </c>
      <c r="G489" s="8">
        <f>_xlfn.IFNA(INDEX('OSA | 3GB'!J:L,MATCH(DATA!D489,'OSA | 3GB'!J:J,0),3),0)</f>
        <v>610500</v>
      </c>
      <c r="H489" s="32" t="str">
        <f>_xlfn.IFNA(INDEX('OSA | 3GB'!A:C,MATCH(DATA!D489,'OSA | 3GB'!A:A,0),2),0)</f>
        <v xml:space="preserve"> -   </v>
      </c>
      <c r="I489" s="33">
        <f>_xlfn.IFNA(INDEX('OSA | 3GB'!A:C,MATCH(DATA!D489,'OSA | 3GB'!A:A,0),3),0)</f>
        <v>808000</v>
      </c>
      <c r="J489" s="33">
        <f>INDEX('BIO WAHYU'!B:G,MATCH(DATA!D489,'BIO WAHYU'!B:B,0),5)</f>
        <v>3</v>
      </c>
      <c r="K489" s="34">
        <f>INDEX('BIO WAHYU'!B:G,MATCH(DATA!D489,'BIO WAHYU'!B:B,0),6)</f>
        <v>1</v>
      </c>
      <c r="L489" s="35">
        <f>INDEX('BIO WAHYU'!B:H,MATCH(DATA!D489,'BIO WAHYU'!B:B,0),7)</f>
        <v>0</v>
      </c>
      <c r="M489" s="34">
        <f>INDEX('BIO WAHYU'!B:H,MATCH(DATA!D489,'BIO WAHYU'!B:B,0),4)</f>
        <v>0</v>
      </c>
    </row>
    <row r="490" spans="1:13">
      <c r="A490" s="43" t="s">
        <v>1673</v>
      </c>
      <c r="B490" s="43" t="s">
        <v>143</v>
      </c>
      <c r="C490" s="43" t="s">
        <v>1294</v>
      </c>
      <c r="D490" s="10">
        <v>254004</v>
      </c>
      <c r="E490" s="43" t="s">
        <v>10</v>
      </c>
      <c r="F490" s="8">
        <f>_xlfn.IFNA(INDEX('OSA | 3GB'!J:L,MATCH(DATA!D490,'OSA | 3GB'!J:J,0),2),0)</f>
        <v>4</v>
      </c>
      <c r="G490" s="8">
        <f>_xlfn.IFNA(INDEX('OSA | 3GB'!J:L,MATCH(DATA!D490,'OSA | 3GB'!J:J,0),3),0)</f>
        <v>1658000</v>
      </c>
      <c r="H490" s="32">
        <f>_xlfn.IFNA(INDEX('OSA | 3GB'!A:C,MATCH(DATA!D490,'OSA | 3GB'!A:A,0),2),0)</f>
        <v>1</v>
      </c>
      <c r="I490" s="33">
        <f>_xlfn.IFNA(INDEX('OSA | 3GB'!A:C,MATCH(DATA!D490,'OSA | 3GB'!A:A,0),3),0)</f>
        <v>370000</v>
      </c>
      <c r="J490" s="33">
        <f>INDEX('BIO WAHYU'!B:G,MATCH(DATA!D490,'BIO WAHYU'!B:B,0),5)</f>
        <v>4</v>
      </c>
      <c r="K490" s="34">
        <f>INDEX('BIO WAHYU'!B:G,MATCH(DATA!D490,'BIO WAHYU'!B:B,0),6)</f>
        <v>1</v>
      </c>
      <c r="L490" s="35">
        <f>INDEX('BIO WAHYU'!B:H,MATCH(DATA!D490,'BIO WAHYU'!B:B,0),7)</f>
        <v>0</v>
      </c>
      <c r="M490" s="34">
        <f>INDEX('BIO WAHYU'!B:H,MATCH(DATA!D490,'BIO WAHYU'!B:B,0),4)</f>
        <v>0</v>
      </c>
    </row>
    <row r="491" spans="1:13">
      <c r="A491" s="43" t="s">
        <v>1670</v>
      </c>
      <c r="B491" s="43" t="s">
        <v>140</v>
      </c>
      <c r="C491" s="43" t="s">
        <v>456</v>
      </c>
      <c r="D491" s="10">
        <v>12296215</v>
      </c>
      <c r="E491" s="43" t="s">
        <v>10</v>
      </c>
      <c r="F491" s="8">
        <f>_xlfn.IFNA(INDEX('OSA | 3GB'!J:L,MATCH(DATA!D491,'OSA | 3GB'!J:J,0),2),0)</f>
        <v>0</v>
      </c>
      <c r="G491" s="8">
        <f>_xlfn.IFNA(INDEX('OSA | 3GB'!J:L,MATCH(DATA!D491,'OSA | 3GB'!J:J,0),3),0)</f>
        <v>367000</v>
      </c>
      <c r="H491" s="32" t="str">
        <f>_xlfn.IFNA(INDEX('OSA | 3GB'!A:C,MATCH(DATA!D491,'OSA | 3GB'!A:A,0),2),0)</f>
        <v xml:space="preserve"> -   </v>
      </c>
      <c r="I491" s="33">
        <f>_xlfn.IFNA(INDEX('OSA | 3GB'!A:C,MATCH(DATA!D491,'OSA | 3GB'!A:A,0),3),0)</f>
        <v>350000</v>
      </c>
      <c r="J491" s="33">
        <f>INDEX('BIO WAHYU'!B:G,MATCH(DATA!D491,'BIO WAHYU'!B:B,0),5)</f>
        <v>0</v>
      </c>
      <c r="K491" s="34">
        <f>INDEX('BIO WAHYU'!B:G,MATCH(DATA!D491,'BIO WAHYU'!B:B,0),6)</f>
        <v>1</v>
      </c>
      <c r="L491" s="35">
        <f>INDEX('BIO WAHYU'!B:H,MATCH(DATA!D491,'BIO WAHYU'!B:B,0),7)</f>
        <v>1</v>
      </c>
      <c r="M491" s="34">
        <f>INDEX('BIO WAHYU'!B:H,MATCH(DATA!D491,'BIO WAHYU'!B:B,0),4)</f>
        <v>0</v>
      </c>
    </row>
    <row r="492" spans="1:13">
      <c r="A492" s="43" t="s">
        <v>1671</v>
      </c>
      <c r="B492" s="43" t="s">
        <v>142</v>
      </c>
      <c r="C492" s="43" t="s">
        <v>49</v>
      </c>
      <c r="D492" s="10">
        <v>401238</v>
      </c>
      <c r="E492" s="43" t="s">
        <v>10</v>
      </c>
      <c r="F492" s="8">
        <f>_xlfn.IFNA(INDEX('OSA | 3GB'!J:L,MATCH(DATA!D492,'OSA | 3GB'!J:J,0),2),0)</f>
        <v>18</v>
      </c>
      <c r="G492" s="8">
        <f>_xlfn.IFNA(INDEX('OSA | 3GB'!J:L,MATCH(DATA!D492,'OSA | 3GB'!J:J,0),3),0)</f>
        <v>19237000</v>
      </c>
      <c r="H492" s="32">
        <f>_xlfn.IFNA(INDEX('OSA | 3GB'!A:C,MATCH(DATA!D492,'OSA | 3GB'!A:A,0),2),0)</f>
        <v>3</v>
      </c>
      <c r="I492" s="33">
        <f>_xlfn.IFNA(INDEX('OSA | 3GB'!A:C,MATCH(DATA!D492,'OSA | 3GB'!A:A,0),3),0)</f>
        <v>87000</v>
      </c>
      <c r="J492" s="33">
        <f>INDEX('BIO WAHYU'!B:G,MATCH(DATA!D492,'BIO WAHYU'!B:B,0),5)</f>
        <v>4</v>
      </c>
      <c r="K492" s="34">
        <f>INDEX('BIO WAHYU'!B:G,MATCH(DATA!D492,'BIO WAHYU'!B:B,0),6)</f>
        <v>4</v>
      </c>
      <c r="L492" s="35">
        <f>INDEX('BIO WAHYU'!B:H,MATCH(DATA!D492,'BIO WAHYU'!B:B,0),7)</f>
        <v>0</v>
      </c>
      <c r="M492" s="34">
        <f>INDEX('BIO WAHYU'!B:H,MATCH(DATA!D492,'BIO WAHYU'!B:B,0),4)</f>
        <v>0</v>
      </c>
    </row>
    <row r="493" spans="1:13">
      <c r="A493" s="43" t="s">
        <v>1672</v>
      </c>
      <c r="B493" s="43" t="s">
        <v>149</v>
      </c>
      <c r="C493" s="43" t="s">
        <v>745</v>
      </c>
      <c r="D493" s="10">
        <v>282063</v>
      </c>
      <c r="E493" s="43" t="s">
        <v>10</v>
      </c>
      <c r="F493" s="8">
        <f>_xlfn.IFNA(INDEX('OSA | 3GB'!J:L,MATCH(DATA!D493,'OSA | 3GB'!J:J,0),2),0)</f>
        <v>9</v>
      </c>
      <c r="G493" s="8">
        <f>_xlfn.IFNA(INDEX('OSA | 3GB'!J:L,MATCH(DATA!D493,'OSA | 3GB'!J:J,0),3),0)</f>
        <v>6500000</v>
      </c>
      <c r="H493" s="32" t="str">
        <f>_xlfn.IFNA(INDEX('OSA | 3GB'!A:C,MATCH(DATA!D493,'OSA | 3GB'!A:A,0),2),0)</f>
        <v xml:space="preserve"> -   </v>
      </c>
      <c r="I493" s="33">
        <f>_xlfn.IFNA(INDEX('OSA | 3GB'!A:C,MATCH(DATA!D493,'OSA | 3GB'!A:A,0),3),0)</f>
        <v>2300000</v>
      </c>
      <c r="J493" s="33">
        <f>INDEX('BIO WAHYU'!B:G,MATCH(DATA!D493,'BIO WAHYU'!B:B,0),5)</f>
        <v>1</v>
      </c>
      <c r="K493" s="34">
        <f>INDEX('BIO WAHYU'!B:G,MATCH(DATA!D493,'BIO WAHYU'!B:B,0),6)</f>
        <v>0</v>
      </c>
      <c r="L493" s="35">
        <f>INDEX('BIO WAHYU'!B:H,MATCH(DATA!D493,'BIO WAHYU'!B:B,0),7)</f>
        <v>0</v>
      </c>
      <c r="M493" s="34">
        <f>INDEX('BIO WAHYU'!B:H,MATCH(DATA!D493,'BIO WAHYU'!B:B,0),4)</f>
        <v>0</v>
      </c>
    </row>
    <row r="494" spans="1:13">
      <c r="A494" s="43" t="s">
        <v>1674</v>
      </c>
      <c r="B494" s="43" t="s">
        <v>153</v>
      </c>
      <c r="C494" s="43" t="s">
        <v>727</v>
      </c>
      <c r="D494" s="10">
        <v>366720</v>
      </c>
      <c r="E494" s="43" t="s">
        <v>10</v>
      </c>
      <c r="F494" s="8">
        <f>_xlfn.IFNA(INDEX('OSA | 3GB'!J:L,MATCH(DATA!D494,'OSA | 3GB'!J:J,0),2),0)</f>
        <v>3</v>
      </c>
      <c r="G494" s="8">
        <f>_xlfn.IFNA(INDEX('OSA | 3GB'!J:L,MATCH(DATA!D494,'OSA | 3GB'!J:J,0),3),0)</f>
        <v>3500000</v>
      </c>
      <c r="H494" s="32" t="str">
        <f>_xlfn.IFNA(INDEX('OSA | 3GB'!A:C,MATCH(DATA!D494,'OSA | 3GB'!A:A,0),2),0)</f>
        <v xml:space="preserve"> -   </v>
      </c>
      <c r="I494" s="33">
        <f>_xlfn.IFNA(INDEX('OSA | 3GB'!A:C,MATCH(DATA!D494,'OSA | 3GB'!A:A,0),3),0)</f>
        <v>1400000</v>
      </c>
      <c r="J494" s="33">
        <f>INDEX('BIO WAHYU'!B:G,MATCH(DATA!D494,'BIO WAHYU'!B:B,0),5)</f>
        <v>3</v>
      </c>
      <c r="K494" s="34">
        <f>INDEX('BIO WAHYU'!B:G,MATCH(DATA!D494,'BIO WAHYU'!B:B,0),6)</f>
        <v>5</v>
      </c>
      <c r="L494" s="35">
        <f>INDEX('BIO WAHYU'!B:H,MATCH(DATA!D494,'BIO WAHYU'!B:B,0),7)</f>
        <v>2</v>
      </c>
      <c r="M494" s="34">
        <f>INDEX('BIO WAHYU'!B:H,MATCH(DATA!D494,'BIO WAHYU'!B:B,0),4)</f>
        <v>0</v>
      </c>
    </row>
    <row r="495" spans="1:13">
      <c r="A495" s="43" t="s">
        <v>1674</v>
      </c>
      <c r="B495" s="43" t="s">
        <v>148</v>
      </c>
      <c r="C495" s="43" t="s">
        <v>1295</v>
      </c>
      <c r="D495" s="10">
        <v>264732</v>
      </c>
      <c r="E495" s="43" t="s">
        <v>10</v>
      </c>
      <c r="F495" s="8">
        <f>_xlfn.IFNA(INDEX('OSA | 3GB'!J:L,MATCH(DATA!D495,'OSA | 3GB'!J:J,0),2),0)</f>
        <v>3</v>
      </c>
      <c r="G495" s="8">
        <f>_xlfn.IFNA(INDEX('OSA | 3GB'!J:L,MATCH(DATA!D495,'OSA | 3GB'!J:J,0),3),0)</f>
        <v>1325000</v>
      </c>
      <c r="H495" s="32" t="str">
        <f>_xlfn.IFNA(INDEX('OSA | 3GB'!A:C,MATCH(DATA!D495,'OSA | 3GB'!A:A,0),2),0)</f>
        <v xml:space="preserve"> -   </v>
      </c>
      <c r="I495" s="33">
        <f>_xlfn.IFNA(INDEX('OSA | 3GB'!A:C,MATCH(DATA!D495,'OSA | 3GB'!A:A,0),3),0)</f>
        <v>450000</v>
      </c>
      <c r="J495" s="33">
        <f>INDEX('BIO WAHYU'!B:G,MATCH(DATA!D495,'BIO WAHYU'!B:B,0),5)</f>
        <v>1</v>
      </c>
      <c r="K495" s="34">
        <f>INDEX('BIO WAHYU'!B:G,MATCH(DATA!D495,'BIO WAHYU'!B:B,0),6)</f>
        <v>1</v>
      </c>
      <c r="L495" s="35">
        <f>INDEX('BIO WAHYU'!B:H,MATCH(DATA!D495,'BIO WAHYU'!B:B,0),7)</f>
        <v>0</v>
      </c>
      <c r="M495" s="34">
        <f>INDEX('BIO WAHYU'!B:H,MATCH(DATA!D495,'BIO WAHYU'!B:B,0),4)</f>
        <v>0</v>
      </c>
    </row>
    <row r="496" spans="1:13">
      <c r="A496" s="43" t="s">
        <v>1672</v>
      </c>
      <c r="B496" s="43" t="s">
        <v>149</v>
      </c>
      <c r="C496" s="43" t="s">
        <v>788</v>
      </c>
      <c r="D496" s="10">
        <v>399513</v>
      </c>
      <c r="E496" s="43" t="s">
        <v>10</v>
      </c>
      <c r="F496" s="8">
        <f>_xlfn.IFNA(INDEX('OSA | 3GB'!J:L,MATCH(DATA!D496,'OSA | 3GB'!J:J,0),2),0)</f>
        <v>0</v>
      </c>
      <c r="G496" s="8">
        <f>_xlfn.IFNA(INDEX('OSA | 3GB'!J:L,MATCH(DATA!D496,'OSA | 3GB'!J:J,0),3),0)</f>
        <v>11116000</v>
      </c>
      <c r="H496" s="32" t="str">
        <f>_xlfn.IFNA(INDEX('OSA | 3GB'!A:C,MATCH(DATA!D496,'OSA | 3GB'!A:A,0),2),0)</f>
        <v xml:space="preserve"> -   </v>
      </c>
      <c r="I496" s="33">
        <f>_xlfn.IFNA(INDEX('OSA | 3GB'!A:C,MATCH(DATA!D496,'OSA | 3GB'!A:A,0),3),0)</f>
        <v>9000000</v>
      </c>
      <c r="J496" s="33">
        <f>INDEX('BIO WAHYU'!B:G,MATCH(DATA!D496,'BIO WAHYU'!B:B,0),5)</f>
        <v>1</v>
      </c>
      <c r="K496" s="34">
        <f>INDEX('BIO WAHYU'!B:G,MATCH(DATA!D496,'BIO WAHYU'!B:B,0),6)</f>
        <v>0</v>
      </c>
      <c r="L496" s="35">
        <f>INDEX('BIO WAHYU'!B:H,MATCH(DATA!D496,'BIO WAHYU'!B:B,0),7)</f>
        <v>0</v>
      </c>
      <c r="M496" s="34">
        <f>INDEX('BIO WAHYU'!B:H,MATCH(DATA!D496,'BIO WAHYU'!B:B,0),4)</f>
        <v>0</v>
      </c>
    </row>
    <row r="497" spans="1:13">
      <c r="A497" s="43" t="s">
        <v>1672</v>
      </c>
      <c r="B497" s="43" t="s">
        <v>156</v>
      </c>
      <c r="C497" s="43" t="s">
        <v>970</v>
      </c>
      <c r="D497" s="10">
        <v>12303881</v>
      </c>
      <c r="E497" s="43" t="s">
        <v>10</v>
      </c>
      <c r="F497" s="8">
        <f>_xlfn.IFNA(INDEX('OSA | 3GB'!J:L,MATCH(DATA!D497,'OSA | 3GB'!J:J,0),2),0)</f>
        <v>0</v>
      </c>
      <c r="G497" s="8">
        <f>_xlfn.IFNA(INDEX('OSA | 3GB'!J:L,MATCH(DATA!D497,'OSA | 3GB'!J:J,0),3),0)</f>
        <v>2200000</v>
      </c>
      <c r="H497" s="32">
        <f>_xlfn.IFNA(INDEX('OSA | 3GB'!A:C,MATCH(DATA!D497,'OSA | 3GB'!A:A,0),2),0)</f>
        <v>1</v>
      </c>
      <c r="I497" s="33">
        <f>_xlfn.IFNA(INDEX('OSA | 3GB'!A:C,MATCH(DATA!D497,'OSA | 3GB'!A:A,0),3),0)</f>
        <v>500000</v>
      </c>
      <c r="J497" s="33">
        <f>INDEX('BIO WAHYU'!B:G,MATCH(DATA!D497,'BIO WAHYU'!B:B,0),5)</f>
        <v>1</v>
      </c>
      <c r="K497" s="34">
        <f>INDEX('BIO WAHYU'!B:G,MATCH(DATA!D497,'BIO WAHYU'!B:B,0),6)</f>
        <v>1</v>
      </c>
      <c r="L497" s="35">
        <f>INDEX('BIO WAHYU'!B:H,MATCH(DATA!D497,'BIO WAHYU'!B:B,0),7)</f>
        <v>0</v>
      </c>
      <c r="M497" s="34">
        <f>INDEX('BIO WAHYU'!B:H,MATCH(DATA!D497,'BIO WAHYU'!B:B,0),4)</f>
        <v>0</v>
      </c>
    </row>
    <row r="498" spans="1:13">
      <c r="A498" s="43" t="s">
        <v>1</v>
      </c>
      <c r="B498" s="43" t="s">
        <v>4</v>
      </c>
      <c r="C498" s="43" t="s">
        <v>1088</v>
      </c>
      <c r="D498" s="10">
        <v>199010</v>
      </c>
      <c r="E498" s="43" t="s">
        <v>10</v>
      </c>
      <c r="F498" s="8">
        <f>_xlfn.IFNA(INDEX('OSA | 3GB'!J:L,MATCH(DATA!D498,'OSA | 3GB'!J:J,0),2),0)</f>
        <v>0</v>
      </c>
      <c r="G498" s="8">
        <f>_xlfn.IFNA(INDEX('OSA | 3GB'!J:L,MATCH(DATA!D498,'OSA | 3GB'!J:J,0),3),0)</f>
        <v>2950000</v>
      </c>
      <c r="H498" s="32" t="str">
        <f>_xlfn.IFNA(INDEX('OSA | 3GB'!A:C,MATCH(DATA!D498,'OSA | 3GB'!A:A,0),2),0)</f>
        <v xml:space="preserve"> -   </v>
      </c>
      <c r="I498" s="33">
        <f>_xlfn.IFNA(INDEX('OSA | 3GB'!A:C,MATCH(DATA!D498,'OSA | 3GB'!A:A,0),3),0)</f>
        <v>2000000</v>
      </c>
      <c r="J498" s="33">
        <f>INDEX('BIO WAHYU'!B:G,MATCH(DATA!D498,'BIO WAHYU'!B:B,0),5)</f>
        <v>0</v>
      </c>
      <c r="K498" s="34">
        <f>INDEX('BIO WAHYU'!B:G,MATCH(DATA!D498,'BIO WAHYU'!B:B,0),6)</f>
        <v>0</v>
      </c>
      <c r="L498" s="35">
        <f>INDEX('BIO WAHYU'!B:H,MATCH(DATA!D498,'BIO WAHYU'!B:B,0),7)</f>
        <v>0</v>
      </c>
      <c r="M498" s="34">
        <f>INDEX('BIO WAHYU'!B:H,MATCH(DATA!D498,'BIO WAHYU'!B:B,0),4)</f>
        <v>0</v>
      </c>
    </row>
    <row r="499" spans="1:13">
      <c r="A499" s="43" t="s">
        <v>1672</v>
      </c>
      <c r="B499" s="43" t="s">
        <v>151</v>
      </c>
      <c r="C499" s="43" t="s">
        <v>879</v>
      </c>
      <c r="D499" s="10">
        <v>570740</v>
      </c>
      <c r="E499" s="43" t="s">
        <v>10</v>
      </c>
      <c r="F499" s="8">
        <f>_xlfn.IFNA(INDEX('OSA | 3GB'!J:L,MATCH(DATA!D499,'OSA | 3GB'!J:J,0),2),0)</f>
        <v>0</v>
      </c>
      <c r="G499" s="8">
        <f>_xlfn.IFNA(INDEX('OSA | 3GB'!J:L,MATCH(DATA!D499,'OSA | 3GB'!J:J,0),3),0)</f>
        <v>2550000</v>
      </c>
      <c r="H499" s="32" t="str">
        <f>_xlfn.IFNA(INDEX('OSA | 3GB'!A:C,MATCH(DATA!D499,'OSA | 3GB'!A:A,0),2),0)</f>
        <v xml:space="preserve"> -   </v>
      </c>
      <c r="I499" s="33">
        <f>_xlfn.IFNA(INDEX('OSA | 3GB'!A:C,MATCH(DATA!D499,'OSA | 3GB'!A:A,0),3),0)</f>
        <v>750000</v>
      </c>
      <c r="J499" s="33">
        <f>INDEX('BIO WAHYU'!B:G,MATCH(DATA!D499,'BIO WAHYU'!B:B,0),5)</f>
        <v>0</v>
      </c>
      <c r="K499" s="34">
        <f>INDEX('BIO WAHYU'!B:G,MATCH(DATA!D499,'BIO WAHYU'!B:B,0),6)</f>
        <v>0</v>
      </c>
      <c r="L499" s="35">
        <f>INDEX('BIO WAHYU'!B:H,MATCH(DATA!D499,'BIO WAHYU'!B:B,0),7)</f>
        <v>0</v>
      </c>
      <c r="M499" s="34">
        <f>INDEX('BIO WAHYU'!B:H,MATCH(DATA!D499,'BIO WAHYU'!B:B,0),4)</f>
        <v>0</v>
      </c>
    </row>
    <row r="500" spans="1:13">
      <c r="A500" s="43" t="s">
        <v>1675</v>
      </c>
      <c r="B500" s="43" t="s">
        <v>137</v>
      </c>
      <c r="C500" s="43" t="s">
        <v>436</v>
      </c>
      <c r="D500" s="10">
        <v>12323492</v>
      </c>
      <c r="E500" s="43" t="s">
        <v>15</v>
      </c>
      <c r="F500" s="8">
        <f>_xlfn.IFNA(INDEX('OSA | 3GB'!J:L,MATCH(DATA!D500,'OSA | 3GB'!J:J,0),2),0)</f>
        <v>5</v>
      </c>
      <c r="G500" s="8">
        <f>_xlfn.IFNA(INDEX('OSA | 3GB'!J:L,MATCH(DATA!D500,'OSA | 3GB'!J:J,0),3),0)</f>
        <v>150000</v>
      </c>
      <c r="H500" s="32" t="str">
        <f>_xlfn.IFNA(INDEX('OSA | 3GB'!A:C,MATCH(DATA!D500,'OSA | 3GB'!A:A,0),2),0)</f>
        <v xml:space="preserve"> -   </v>
      </c>
      <c r="I500" s="33" t="str">
        <f>_xlfn.IFNA(INDEX('OSA | 3GB'!A:C,MATCH(DATA!D500,'OSA | 3GB'!A:A,0),3),0)</f>
        <v xml:space="preserve"> -   </v>
      </c>
      <c r="J500" s="33">
        <f>INDEX('BIO WAHYU'!B:G,MATCH(DATA!D500,'BIO WAHYU'!B:B,0),5)</f>
        <v>0</v>
      </c>
      <c r="K500" s="34">
        <f>INDEX('BIO WAHYU'!B:G,MATCH(DATA!D500,'BIO WAHYU'!B:B,0),6)</f>
        <v>0</v>
      </c>
      <c r="L500" s="35">
        <f>INDEX('BIO WAHYU'!B:H,MATCH(DATA!D500,'BIO WAHYU'!B:B,0),7)</f>
        <v>0</v>
      </c>
      <c r="M500" s="34">
        <f>INDEX('BIO WAHYU'!B:H,MATCH(DATA!D500,'BIO WAHYU'!B:B,0),4)</f>
        <v>0</v>
      </c>
    </row>
    <row r="501" spans="1:13">
      <c r="A501" s="43" t="s">
        <v>1671</v>
      </c>
      <c r="B501" s="43">
        <v>2613050886</v>
      </c>
      <c r="C501" s="43" t="s">
        <v>323</v>
      </c>
      <c r="D501" s="10">
        <v>325994</v>
      </c>
      <c r="E501" s="43" t="s">
        <v>15</v>
      </c>
      <c r="F501" s="8">
        <f>_xlfn.IFNA(INDEX('OSA | 3GB'!J:L,MATCH(DATA!D501,'OSA | 3GB'!J:J,0),2),0)</f>
        <v>3</v>
      </c>
      <c r="G501" s="8">
        <f>_xlfn.IFNA(INDEX('OSA | 3GB'!J:L,MATCH(DATA!D501,'OSA | 3GB'!J:J,0),3),0)</f>
        <v>400000</v>
      </c>
      <c r="H501" s="32" t="str">
        <f>_xlfn.IFNA(INDEX('OSA | 3GB'!A:C,MATCH(DATA!D501,'OSA | 3GB'!A:A,0),2),0)</f>
        <v xml:space="preserve"> -   </v>
      </c>
      <c r="I501" s="33">
        <f>_xlfn.IFNA(INDEX('OSA | 3GB'!A:C,MATCH(DATA!D501,'OSA | 3GB'!A:A,0),3),0)</f>
        <v>225000</v>
      </c>
      <c r="J501" s="33">
        <f>INDEX('BIO WAHYU'!B:G,MATCH(DATA!D501,'BIO WAHYU'!B:B,0),5)</f>
        <v>1</v>
      </c>
      <c r="K501" s="34">
        <f>INDEX('BIO WAHYU'!B:G,MATCH(DATA!D501,'BIO WAHYU'!B:B,0),6)</f>
        <v>1</v>
      </c>
      <c r="L501" s="35">
        <f>INDEX('BIO WAHYU'!B:H,MATCH(DATA!D501,'BIO WAHYU'!B:B,0),7)</f>
        <v>0</v>
      </c>
      <c r="M501" s="34">
        <f>INDEX('BIO WAHYU'!B:H,MATCH(DATA!D501,'BIO WAHYU'!B:B,0),4)</f>
        <v>0</v>
      </c>
    </row>
    <row r="502" spans="1:13">
      <c r="A502" s="43" t="s">
        <v>1670</v>
      </c>
      <c r="B502" s="43" t="s">
        <v>146</v>
      </c>
      <c r="C502" s="43" t="s">
        <v>531</v>
      </c>
      <c r="D502" s="10">
        <v>12321533</v>
      </c>
      <c r="E502" s="43" t="s">
        <v>10</v>
      </c>
      <c r="F502" s="8">
        <f>_xlfn.IFNA(INDEX('OSA | 3GB'!J:L,MATCH(DATA!D502,'OSA | 3GB'!J:J,0),2),0)</f>
        <v>0</v>
      </c>
      <c r="G502" s="8">
        <f>_xlfn.IFNA(INDEX('OSA | 3GB'!J:L,MATCH(DATA!D502,'OSA | 3GB'!J:J,0),3),0)</f>
        <v>0</v>
      </c>
      <c r="H502" s="32" t="str">
        <f>_xlfn.IFNA(INDEX('OSA | 3GB'!A:C,MATCH(DATA!D502,'OSA | 3GB'!A:A,0),2),0)</f>
        <v xml:space="preserve"> -   </v>
      </c>
      <c r="I502" s="33" t="str">
        <f>_xlfn.IFNA(INDEX('OSA | 3GB'!A:C,MATCH(DATA!D502,'OSA | 3GB'!A:A,0),3),0)</f>
        <v xml:space="preserve"> -   </v>
      </c>
      <c r="J502" s="33">
        <f>INDEX('BIO WAHYU'!B:G,MATCH(DATA!D502,'BIO WAHYU'!B:B,0),5)</f>
        <v>3</v>
      </c>
      <c r="K502" s="34">
        <f>INDEX('BIO WAHYU'!B:G,MATCH(DATA!D502,'BIO WAHYU'!B:B,0),6)</f>
        <v>2</v>
      </c>
      <c r="L502" s="35">
        <f>INDEX('BIO WAHYU'!B:H,MATCH(DATA!D502,'BIO WAHYU'!B:B,0),7)</f>
        <v>0</v>
      </c>
      <c r="M502" s="34">
        <f>INDEX('BIO WAHYU'!B:H,MATCH(DATA!D502,'BIO WAHYU'!B:B,0),4)</f>
        <v>0</v>
      </c>
    </row>
    <row r="503" spans="1:13">
      <c r="A503" s="43" t="s">
        <v>1671</v>
      </c>
      <c r="B503" s="43" t="s">
        <v>142</v>
      </c>
      <c r="C503" s="43" t="s">
        <v>1123</v>
      </c>
      <c r="D503" s="10">
        <v>62139</v>
      </c>
      <c r="E503" s="43" t="s">
        <v>15</v>
      </c>
      <c r="F503" s="8">
        <f>_xlfn.IFNA(INDEX('OSA | 3GB'!J:L,MATCH(DATA!D503,'OSA | 3GB'!J:J,0),2),0)</f>
        <v>1</v>
      </c>
      <c r="G503" s="8">
        <f>_xlfn.IFNA(INDEX('OSA | 3GB'!J:L,MATCH(DATA!D503,'OSA | 3GB'!J:J,0),3),0)</f>
        <v>6900000</v>
      </c>
      <c r="H503" s="32" t="str">
        <f>_xlfn.IFNA(INDEX('OSA | 3GB'!A:C,MATCH(DATA!D503,'OSA | 3GB'!A:A,0),2),0)</f>
        <v xml:space="preserve"> -   </v>
      </c>
      <c r="I503" s="33">
        <f>_xlfn.IFNA(INDEX('OSA | 3GB'!A:C,MATCH(DATA!D503,'OSA | 3GB'!A:A,0),3),0)</f>
        <v>3200000</v>
      </c>
      <c r="J503" s="33">
        <f>INDEX('BIO WAHYU'!B:G,MATCH(DATA!D503,'BIO WAHYU'!B:B,0),5)</f>
        <v>1</v>
      </c>
      <c r="K503" s="34">
        <f>INDEX('BIO WAHYU'!B:G,MATCH(DATA!D503,'BIO WAHYU'!B:B,0),6)</f>
        <v>1</v>
      </c>
      <c r="L503" s="35">
        <f>INDEX('BIO WAHYU'!B:H,MATCH(DATA!D503,'BIO WAHYU'!B:B,0),7)</f>
        <v>0</v>
      </c>
      <c r="M503" s="34">
        <f>INDEX('BIO WAHYU'!B:H,MATCH(DATA!D503,'BIO WAHYU'!B:B,0),4)</f>
        <v>0</v>
      </c>
    </row>
    <row r="504" spans="1:13">
      <c r="A504" s="43" t="s">
        <v>1670</v>
      </c>
      <c r="B504" s="43" t="s">
        <v>145</v>
      </c>
      <c r="C504" s="43" t="s">
        <v>488</v>
      </c>
      <c r="D504" s="10">
        <v>12321725</v>
      </c>
      <c r="E504" s="43" t="s">
        <v>10</v>
      </c>
      <c r="F504" s="8">
        <f>_xlfn.IFNA(INDEX('OSA | 3GB'!J:L,MATCH(DATA!D504,'OSA | 3GB'!J:J,0),2),0)</f>
        <v>9</v>
      </c>
      <c r="G504" s="8">
        <f>_xlfn.IFNA(INDEX('OSA | 3GB'!J:L,MATCH(DATA!D504,'OSA | 3GB'!J:J,0),3),0)</f>
        <v>7095000</v>
      </c>
      <c r="H504" s="32" t="str">
        <f>_xlfn.IFNA(INDEX('OSA | 3GB'!A:C,MATCH(DATA!D504,'OSA | 3GB'!A:A,0),2),0)</f>
        <v xml:space="preserve"> -   </v>
      </c>
      <c r="I504" s="33">
        <f>_xlfn.IFNA(INDEX('OSA | 3GB'!A:C,MATCH(DATA!D504,'OSA | 3GB'!A:A,0),3),0)</f>
        <v>2700000</v>
      </c>
      <c r="J504" s="33">
        <f>INDEX('BIO WAHYU'!B:G,MATCH(DATA!D504,'BIO WAHYU'!B:B,0),5)</f>
        <v>3</v>
      </c>
      <c r="K504" s="34">
        <f>INDEX('BIO WAHYU'!B:G,MATCH(DATA!D504,'BIO WAHYU'!B:B,0),6)</f>
        <v>5</v>
      </c>
      <c r="L504" s="35">
        <f>INDEX('BIO WAHYU'!B:H,MATCH(DATA!D504,'BIO WAHYU'!B:B,0),7)</f>
        <v>2</v>
      </c>
      <c r="M504" s="34">
        <f>INDEX('BIO WAHYU'!B:H,MATCH(DATA!D504,'BIO WAHYU'!B:B,0),4)</f>
        <v>0</v>
      </c>
    </row>
    <row r="505" spans="1:13">
      <c r="A505" s="43" t="s">
        <v>1673</v>
      </c>
      <c r="B505" s="43" t="s">
        <v>1136</v>
      </c>
      <c r="C505" s="43" t="s">
        <v>1296</v>
      </c>
      <c r="D505" s="10">
        <v>579115</v>
      </c>
      <c r="E505" s="43" t="s">
        <v>10</v>
      </c>
      <c r="F505" s="8">
        <f>_xlfn.IFNA(INDEX('OSA | 3GB'!J:L,MATCH(DATA!D505,'OSA | 3GB'!J:J,0),2),0)</f>
        <v>3</v>
      </c>
      <c r="G505" s="8">
        <f>_xlfn.IFNA(INDEX('OSA | 3GB'!J:L,MATCH(DATA!D505,'OSA | 3GB'!J:J,0),3),0)</f>
        <v>300000</v>
      </c>
      <c r="H505" s="32" t="str">
        <f>_xlfn.IFNA(INDEX('OSA | 3GB'!A:C,MATCH(DATA!D505,'OSA | 3GB'!A:A,0),2),0)</f>
        <v xml:space="preserve"> -   </v>
      </c>
      <c r="I505" s="33" t="str">
        <f>_xlfn.IFNA(INDEX('OSA | 3GB'!A:C,MATCH(DATA!D505,'OSA | 3GB'!A:A,0),3),0)</f>
        <v xml:space="preserve"> -   </v>
      </c>
      <c r="J505" s="33">
        <f>INDEX('BIO WAHYU'!B:G,MATCH(DATA!D505,'BIO WAHYU'!B:B,0),5)</f>
        <v>0</v>
      </c>
      <c r="K505" s="34">
        <f>INDEX('BIO WAHYU'!B:G,MATCH(DATA!D505,'BIO WAHYU'!B:B,0),6)</f>
        <v>7</v>
      </c>
      <c r="L505" s="35">
        <f>INDEX('BIO WAHYU'!B:H,MATCH(DATA!D505,'BIO WAHYU'!B:B,0),7)</f>
        <v>7</v>
      </c>
      <c r="M505" s="34">
        <f>INDEX('BIO WAHYU'!B:H,MATCH(DATA!D505,'BIO WAHYU'!B:B,0),4)</f>
        <v>0</v>
      </c>
    </row>
    <row r="506" spans="1:13">
      <c r="A506" s="43" t="s">
        <v>1673</v>
      </c>
      <c r="B506" s="43" t="s">
        <v>144</v>
      </c>
      <c r="C506" s="43" t="s">
        <v>1297</v>
      </c>
      <c r="D506" s="10">
        <v>12305135</v>
      </c>
      <c r="E506" s="43" t="s">
        <v>10</v>
      </c>
      <c r="F506" s="8">
        <f>_xlfn.IFNA(INDEX('OSA | 3GB'!J:L,MATCH(DATA!D506,'OSA | 3GB'!J:J,0),2),0)</f>
        <v>5</v>
      </c>
      <c r="G506" s="8">
        <f>_xlfn.IFNA(INDEX('OSA | 3GB'!J:L,MATCH(DATA!D506,'OSA | 3GB'!J:J,0),3),0)</f>
        <v>245000</v>
      </c>
      <c r="H506" s="32" t="str">
        <f>_xlfn.IFNA(INDEX('OSA | 3GB'!A:C,MATCH(DATA!D506,'OSA | 3GB'!A:A,0),2),0)</f>
        <v xml:space="preserve"> -   </v>
      </c>
      <c r="I506" s="33">
        <f>_xlfn.IFNA(INDEX('OSA | 3GB'!A:C,MATCH(DATA!D506,'OSA | 3GB'!A:A,0),3),0)</f>
        <v>1080370</v>
      </c>
      <c r="J506" s="33">
        <f>INDEX('BIO WAHYU'!B:G,MATCH(DATA!D506,'BIO WAHYU'!B:B,0),5)</f>
        <v>5</v>
      </c>
      <c r="K506" s="34">
        <f>INDEX('BIO WAHYU'!B:G,MATCH(DATA!D506,'BIO WAHYU'!B:B,0),6)</f>
        <v>0</v>
      </c>
      <c r="L506" s="35">
        <f>INDEX('BIO WAHYU'!B:H,MATCH(DATA!D506,'BIO WAHYU'!B:B,0),7)</f>
        <v>0</v>
      </c>
      <c r="M506" s="34">
        <f>INDEX('BIO WAHYU'!B:H,MATCH(DATA!D506,'BIO WAHYU'!B:B,0),4)</f>
        <v>0</v>
      </c>
    </row>
    <row r="507" spans="1:13">
      <c r="A507" s="43" t="s">
        <v>1672</v>
      </c>
      <c r="B507" s="43" t="s">
        <v>150</v>
      </c>
      <c r="C507" s="43" t="s">
        <v>828</v>
      </c>
      <c r="D507" s="10">
        <v>369735</v>
      </c>
      <c r="E507" s="43" t="s">
        <v>10</v>
      </c>
      <c r="F507" s="8">
        <f>_xlfn.IFNA(INDEX('OSA | 3GB'!J:L,MATCH(DATA!D507,'OSA | 3GB'!J:J,0),2),0)</f>
        <v>7</v>
      </c>
      <c r="G507" s="8">
        <f>_xlfn.IFNA(INDEX('OSA | 3GB'!J:L,MATCH(DATA!D507,'OSA | 3GB'!J:J,0),3),0)</f>
        <v>4329000</v>
      </c>
      <c r="H507" s="32" t="str">
        <f>_xlfn.IFNA(INDEX('OSA | 3GB'!A:C,MATCH(DATA!D507,'OSA | 3GB'!A:A,0),2),0)</f>
        <v xml:space="preserve"> -   </v>
      </c>
      <c r="I507" s="33">
        <f>_xlfn.IFNA(INDEX('OSA | 3GB'!A:C,MATCH(DATA!D507,'OSA | 3GB'!A:A,0),3),0)</f>
        <v>1200000</v>
      </c>
      <c r="J507" s="33">
        <f>INDEX('BIO WAHYU'!B:G,MATCH(DATA!D507,'BIO WAHYU'!B:B,0),5)</f>
        <v>0</v>
      </c>
      <c r="K507" s="34">
        <f>INDEX('BIO WAHYU'!B:G,MATCH(DATA!D507,'BIO WAHYU'!B:B,0),6)</f>
        <v>2</v>
      </c>
      <c r="L507" s="35">
        <f>INDEX('BIO WAHYU'!B:H,MATCH(DATA!D507,'BIO WAHYU'!B:B,0),7)</f>
        <v>2</v>
      </c>
      <c r="M507" s="34">
        <f>INDEX('BIO WAHYU'!B:H,MATCH(DATA!D507,'BIO WAHYU'!B:B,0),4)</f>
        <v>0</v>
      </c>
    </row>
    <row r="508" spans="1:13">
      <c r="A508" s="43" t="s">
        <v>1675</v>
      </c>
      <c r="B508" s="43">
        <v>2613051451</v>
      </c>
      <c r="C508" s="43" t="s">
        <v>380</v>
      </c>
      <c r="D508" s="10">
        <v>12324021</v>
      </c>
      <c r="E508" s="43" t="s">
        <v>15</v>
      </c>
      <c r="F508" s="8">
        <f>_xlfn.IFNA(INDEX('OSA | 3GB'!J:L,MATCH(DATA!D508,'OSA | 3GB'!J:J,0),2),0)</f>
        <v>0</v>
      </c>
      <c r="G508" s="8">
        <f>_xlfn.IFNA(INDEX('OSA | 3GB'!J:L,MATCH(DATA!D508,'OSA | 3GB'!J:J,0),3),0)</f>
        <v>0</v>
      </c>
      <c r="H508" s="32" t="str">
        <f>_xlfn.IFNA(INDEX('OSA | 3GB'!A:C,MATCH(DATA!D508,'OSA | 3GB'!A:A,0),2),0)</f>
        <v xml:space="preserve"> -   </v>
      </c>
      <c r="I508" s="33" t="str">
        <f>_xlfn.IFNA(INDEX('OSA | 3GB'!A:C,MATCH(DATA!D508,'OSA | 3GB'!A:A,0),3),0)</f>
        <v xml:space="preserve"> -   </v>
      </c>
      <c r="J508" s="33">
        <f>INDEX('BIO WAHYU'!B:G,MATCH(DATA!D508,'BIO WAHYU'!B:B,0),5)</f>
        <v>0</v>
      </c>
      <c r="K508" s="34">
        <f>INDEX('BIO WAHYU'!B:G,MATCH(DATA!D508,'BIO WAHYU'!B:B,0),6)</f>
        <v>0</v>
      </c>
      <c r="L508" s="35">
        <f>INDEX('BIO WAHYU'!B:H,MATCH(DATA!D508,'BIO WAHYU'!B:B,0),7)</f>
        <v>0</v>
      </c>
      <c r="M508" s="34">
        <f>INDEX('BIO WAHYU'!B:H,MATCH(DATA!D508,'BIO WAHYU'!B:B,0),4)</f>
        <v>0</v>
      </c>
    </row>
    <row r="509" spans="1:13">
      <c r="A509" s="43" t="s">
        <v>1672</v>
      </c>
      <c r="B509" s="43" t="s">
        <v>157</v>
      </c>
      <c r="C509" s="43" t="s">
        <v>1022</v>
      </c>
      <c r="D509" s="10">
        <v>12322351</v>
      </c>
      <c r="E509" s="43" t="s">
        <v>10</v>
      </c>
      <c r="F509" s="8">
        <f>_xlfn.IFNA(INDEX('OSA | 3GB'!J:L,MATCH(DATA!D509,'OSA | 3GB'!J:J,0),2),0)</f>
        <v>120</v>
      </c>
      <c r="G509" s="8">
        <f>_xlfn.IFNA(INDEX('OSA | 3GB'!J:L,MATCH(DATA!D509,'OSA | 3GB'!J:J,0),3),0)</f>
        <v>15200470</v>
      </c>
      <c r="H509" s="32">
        <f>_xlfn.IFNA(INDEX('OSA | 3GB'!A:C,MATCH(DATA!D509,'OSA | 3GB'!A:A,0),2),0)</f>
        <v>48</v>
      </c>
      <c r="I509" s="33">
        <f>_xlfn.IFNA(INDEX('OSA | 3GB'!A:C,MATCH(DATA!D509,'OSA | 3GB'!A:A,0),3),0)</f>
        <v>6247454</v>
      </c>
      <c r="J509" s="33">
        <f>INDEX('BIO WAHYU'!B:G,MATCH(DATA!D509,'BIO WAHYU'!B:B,0),5)</f>
        <v>20</v>
      </c>
      <c r="K509" s="34">
        <f>INDEX('BIO WAHYU'!B:G,MATCH(DATA!D509,'BIO WAHYU'!B:B,0),6)</f>
        <v>4</v>
      </c>
      <c r="L509" s="35">
        <f>INDEX('BIO WAHYU'!B:H,MATCH(DATA!D509,'BIO WAHYU'!B:B,0),7)</f>
        <v>0</v>
      </c>
      <c r="M509" s="34">
        <f>INDEX('BIO WAHYU'!B:H,MATCH(DATA!D509,'BIO WAHYU'!B:B,0),4)</f>
        <v>0</v>
      </c>
    </row>
    <row r="510" spans="1:13">
      <c r="A510" s="43" t="s">
        <v>1675</v>
      </c>
      <c r="B510" s="43" t="s">
        <v>136</v>
      </c>
      <c r="C510" s="43" t="s">
        <v>394</v>
      </c>
      <c r="D510" s="10">
        <v>12305470</v>
      </c>
      <c r="E510" s="43" t="s">
        <v>10</v>
      </c>
      <c r="F510" s="8">
        <f>_xlfn.IFNA(INDEX('OSA | 3GB'!J:L,MATCH(DATA!D510,'OSA | 3GB'!J:J,0),2),0)</f>
        <v>0</v>
      </c>
      <c r="G510" s="8">
        <f>_xlfn.IFNA(INDEX('OSA | 3GB'!J:L,MATCH(DATA!D510,'OSA | 3GB'!J:J,0),3),0)</f>
        <v>0</v>
      </c>
      <c r="H510" s="32" t="str">
        <f>_xlfn.IFNA(INDEX('OSA | 3GB'!A:C,MATCH(DATA!D510,'OSA | 3GB'!A:A,0),2),0)</f>
        <v xml:space="preserve"> -   </v>
      </c>
      <c r="I510" s="33" t="str">
        <f>_xlfn.IFNA(INDEX('OSA | 3GB'!A:C,MATCH(DATA!D510,'OSA | 3GB'!A:A,0),3),0)</f>
        <v xml:space="preserve"> -   </v>
      </c>
      <c r="J510" s="33">
        <f>INDEX('BIO WAHYU'!B:G,MATCH(DATA!D510,'BIO WAHYU'!B:B,0),5)</f>
        <v>0</v>
      </c>
      <c r="K510" s="34">
        <f>INDEX('BIO WAHYU'!B:G,MATCH(DATA!D510,'BIO WAHYU'!B:B,0),6)</f>
        <v>0</v>
      </c>
      <c r="L510" s="35">
        <f>INDEX('BIO WAHYU'!B:H,MATCH(DATA!D510,'BIO WAHYU'!B:B,0),7)</f>
        <v>0</v>
      </c>
      <c r="M510" s="34">
        <f>INDEX('BIO WAHYU'!B:H,MATCH(DATA!D510,'BIO WAHYU'!B:B,0),4)</f>
        <v>0</v>
      </c>
    </row>
    <row r="511" spans="1:13">
      <c r="A511" s="43" t="s">
        <v>1671</v>
      </c>
      <c r="B511" s="43" t="s">
        <v>142</v>
      </c>
      <c r="C511" s="43" t="s">
        <v>374</v>
      </c>
      <c r="D511" s="10">
        <v>565559</v>
      </c>
      <c r="E511" s="43" t="s">
        <v>10</v>
      </c>
      <c r="F511" s="8">
        <f>_xlfn.IFNA(INDEX('OSA | 3GB'!J:L,MATCH(DATA!D511,'OSA | 3GB'!J:J,0),2),0)</f>
        <v>0</v>
      </c>
      <c r="G511" s="8">
        <f>_xlfn.IFNA(INDEX('OSA | 3GB'!J:L,MATCH(DATA!D511,'OSA | 3GB'!J:J,0),3),0)</f>
        <v>0</v>
      </c>
      <c r="H511" s="32" t="str">
        <f>_xlfn.IFNA(INDEX('OSA | 3GB'!A:C,MATCH(DATA!D511,'OSA | 3GB'!A:A,0),2),0)</f>
        <v xml:space="preserve"> -   </v>
      </c>
      <c r="I511" s="33" t="str">
        <f>_xlfn.IFNA(INDEX('OSA | 3GB'!A:C,MATCH(DATA!D511,'OSA | 3GB'!A:A,0),3),0)</f>
        <v xml:space="preserve"> -   </v>
      </c>
      <c r="J511" s="33">
        <f>INDEX('BIO WAHYU'!B:G,MATCH(DATA!D511,'BIO WAHYU'!B:B,0),5)</f>
        <v>0</v>
      </c>
      <c r="K511" s="34">
        <f>INDEX('BIO WAHYU'!B:G,MATCH(DATA!D511,'BIO WAHYU'!B:B,0),6)</f>
        <v>0</v>
      </c>
      <c r="L511" s="35">
        <f>INDEX('BIO WAHYU'!B:H,MATCH(DATA!D511,'BIO WAHYU'!B:B,0),7)</f>
        <v>0</v>
      </c>
      <c r="M511" s="34">
        <f>INDEX('BIO WAHYU'!B:H,MATCH(DATA!D511,'BIO WAHYU'!B:B,0),4)</f>
        <v>0</v>
      </c>
    </row>
    <row r="512" spans="1:13">
      <c r="A512" s="43" t="s">
        <v>1672</v>
      </c>
      <c r="B512" s="43">
        <v>2613051475</v>
      </c>
      <c r="C512" s="43" t="s">
        <v>903</v>
      </c>
      <c r="D512" s="10">
        <v>407992</v>
      </c>
      <c r="E512" s="43" t="s">
        <v>10</v>
      </c>
      <c r="F512" s="8">
        <f>_xlfn.IFNA(INDEX('OSA | 3GB'!J:L,MATCH(DATA!D512,'OSA | 3GB'!J:J,0),2),0)</f>
        <v>3</v>
      </c>
      <c r="G512" s="8">
        <f>_xlfn.IFNA(INDEX('OSA | 3GB'!J:L,MATCH(DATA!D512,'OSA | 3GB'!J:J,0),3),0)</f>
        <v>5829000</v>
      </c>
      <c r="H512" s="32" t="str">
        <f>_xlfn.IFNA(INDEX('OSA | 3GB'!A:C,MATCH(DATA!D512,'OSA | 3GB'!A:A,0),2),0)</f>
        <v xml:space="preserve"> -   </v>
      </c>
      <c r="I512" s="33">
        <f>_xlfn.IFNA(INDEX('OSA | 3GB'!A:C,MATCH(DATA!D512,'OSA | 3GB'!A:A,0),3),0)</f>
        <v>2000000</v>
      </c>
      <c r="J512" s="33">
        <f>INDEX('BIO WAHYU'!B:G,MATCH(DATA!D512,'BIO WAHYU'!B:B,0),5)</f>
        <v>2</v>
      </c>
      <c r="K512" s="34">
        <f>INDEX('BIO WAHYU'!B:G,MATCH(DATA!D512,'BIO WAHYU'!B:B,0),6)</f>
        <v>3</v>
      </c>
      <c r="L512" s="35">
        <f>INDEX('BIO WAHYU'!B:H,MATCH(DATA!D512,'BIO WAHYU'!B:B,0),7)</f>
        <v>1</v>
      </c>
      <c r="M512" s="34">
        <f>INDEX('BIO WAHYU'!B:H,MATCH(DATA!D512,'BIO WAHYU'!B:B,0),4)</f>
        <v>0</v>
      </c>
    </row>
    <row r="513" spans="1:13">
      <c r="A513" s="43" t="s">
        <v>1674</v>
      </c>
      <c r="B513" s="43" t="s">
        <v>152</v>
      </c>
      <c r="C513" s="43" t="s">
        <v>667</v>
      </c>
      <c r="D513" s="10">
        <v>327626</v>
      </c>
      <c r="E513" s="43" t="s">
        <v>10</v>
      </c>
      <c r="F513" s="8">
        <f>_xlfn.IFNA(INDEX('OSA | 3GB'!J:L,MATCH(DATA!D513,'OSA | 3GB'!J:J,0),2),0)</f>
        <v>3</v>
      </c>
      <c r="G513" s="8">
        <f>_xlfn.IFNA(INDEX('OSA | 3GB'!J:L,MATCH(DATA!D513,'OSA | 3GB'!J:J,0),3),0)</f>
        <v>208000</v>
      </c>
      <c r="H513" s="32" t="str">
        <f>_xlfn.IFNA(INDEX('OSA | 3GB'!A:C,MATCH(DATA!D513,'OSA | 3GB'!A:A,0),2),0)</f>
        <v xml:space="preserve"> -   </v>
      </c>
      <c r="I513" s="33">
        <f>_xlfn.IFNA(INDEX('OSA | 3GB'!A:C,MATCH(DATA!D513,'OSA | 3GB'!A:A,0),3),0)</f>
        <v>300000</v>
      </c>
      <c r="J513" s="33">
        <f>INDEX('BIO WAHYU'!B:G,MATCH(DATA!D513,'BIO WAHYU'!B:B,0),5)</f>
        <v>1</v>
      </c>
      <c r="K513" s="34">
        <f>INDEX('BIO WAHYU'!B:G,MATCH(DATA!D513,'BIO WAHYU'!B:B,0),6)</f>
        <v>1</v>
      </c>
      <c r="L513" s="35">
        <f>INDEX('BIO WAHYU'!B:H,MATCH(DATA!D513,'BIO WAHYU'!B:B,0),7)</f>
        <v>0</v>
      </c>
      <c r="M513" s="34">
        <f>INDEX('BIO WAHYU'!B:H,MATCH(DATA!D513,'BIO WAHYU'!B:B,0),4)</f>
        <v>0</v>
      </c>
    </row>
    <row r="514" spans="1:13">
      <c r="A514" s="43" t="s">
        <v>1672</v>
      </c>
      <c r="B514" s="43" t="s">
        <v>151</v>
      </c>
      <c r="C514" s="43" t="s">
        <v>874</v>
      </c>
      <c r="D514" s="10">
        <v>509433</v>
      </c>
      <c r="E514" s="43" t="s">
        <v>10</v>
      </c>
      <c r="F514" s="8">
        <f>_xlfn.IFNA(INDEX('OSA | 3GB'!J:L,MATCH(DATA!D514,'OSA | 3GB'!J:J,0),2),0)</f>
        <v>1</v>
      </c>
      <c r="G514" s="8">
        <f>_xlfn.IFNA(INDEX('OSA | 3GB'!J:L,MATCH(DATA!D514,'OSA | 3GB'!J:J,0),3),0)</f>
        <v>4050000</v>
      </c>
      <c r="H514" s="32">
        <f>_xlfn.IFNA(INDEX('OSA | 3GB'!A:C,MATCH(DATA!D514,'OSA | 3GB'!A:A,0),2),0)</f>
        <v>11</v>
      </c>
      <c r="I514" s="33">
        <f>_xlfn.IFNA(INDEX('OSA | 3GB'!A:C,MATCH(DATA!D514,'OSA | 3GB'!A:A,0),3),0)</f>
        <v>1858000</v>
      </c>
      <c r="J514" s="33">
        <f>INDEX('BIO WAHYU'!B:G,MATCH(DATA!D514,'BIO WAHYU'!B:B,0),5)</f>
        <v>3</v>
      </c>
      <c r="K514" s="34">
        <f>INDEX('BIO WAHYU'!B:G,MATCH(DATA!D514,'BIO WAHYU'!B:B,0),6)</f>
        <v>3</v>
      </c>
      <c r="L514" s="35">
        <f>INDEX('BIO WAHYU'!B:H,MATCH(DATA!D514,'BIO WAHYU'!B:B,0),7)</f>
        <v>0</v>
      </c>
      <c r="M514" s="34">
        <f>INDEX('BIO WAHYU'!B:H,MATCH(DATA!D514,'BIO WAHYU'!B:B,0),4)</f>
        <v>0</v>
      </c>
    </row>
    <row r="515" spans="1:13">
      <c r="A515" s="43" t="s">
        <v>1670</v>
      </c>
      <c r="B515" s="43" t="s">
        <v>146</v>
      </c>
      <c r="C515" s="43" t="s">
        <v>529</v>
      </c>
      <c r="D515" s="10">
        <v>12321213</v>
      </c>
      <c r="E515" s="43" t="s">
        <v>10</v>
      </c>
      <c r="F515" s="8">
        <f>_xlfn.IFNA(INDEX('OSA | 3GB'!J:L,MATCH(DATA!D515,'OSA | 3GB'!J:J,0),2),0)</f>
        <v>3</v>
      </c>
      <c r="G515" s="8">
        <f>_xlfn.IFNA(INDEX('OSA | 3GB'!J:L,MATCH(DATA!D515,'OSA | 3GB'!J:J,0),3),0)</f>
        <v>1890000</v>
      </c>
      <c r="H515" s="32" t="str">
        <f>_xlfn.IFNA(INDEX('OSA | 3GB'!A:C,MATCH(DATA!D515,'OSA | 3GB'!A:A,0),2),0)</f>
        <v xml:space="preserve"> -   </v>
      </c>
      <c r="I515" s="33">
        <f>_xlfn.IFNA(INDEX('OSA | 3GB'!A:C,MATCH(DATA!D515,'OSA | 3GB'!A:A,0),3),0)</f>
        <v>329000</v>
      </c>
      <c r="J515" s="33">
        <f>INDEX('BIO WAHYU'!B:G,MATCH(DATA!D515,'BIO WAHYU'!B:B,0),5)</f>
        <v>3</v>
      </c>
      <c r="K515" s="34">
        <f>INDEX('BIO WAHYU'!B:G,MATCH(DATA!D515,'BIO WAHYU'!B:B,0),6)</f>
        <v>1</v>
      </c>
      <c r="L515" s="35">
        <f>INDEX('BIO WAHYU'!B:H,MATCH(DATA!D515,'BIO WAHYU'!B:B,0),7)</f>
        <v>0</v>
      </c>
      <c r="M515" s="34">
        <f>INDEX('BIO WAHYU'!B:H,MATCH(DATA!D515,'BIO WAHYU'!B:B,0),4)</f>
        <v>0</v>
      </c>
    </row>
    <row r="516" spans="1:13">
      <c r="A516" s="43" t="s">
        <v>1673</v>
      </c>
      <c r="B516" s="43" t="s">
        <v>1136</v>
      </c>
      <c r="C516" s="43" t="s">
        <v>1298</v>
      </c>
      <c r="D516" s="10">
        <v>335803</v>
      </c>
      <c r="E516" s="43" t="s">
        <v>10</v>
      </c>
      <c r="F516" s="8">
        <f>_xlfn.IFNA(INDEX('OSA | 3GB'!J:L,MATCH(DATA!D516,'OSA | 3GB'!J:J,0),2),0)</f>
        <v>0</v>
      </c>
      <c r="G516" s="8">
        <f>_xlfn.IFNA(INDEX('OSA | 3GB'!J:L,MATCH(DATA!D516,'OSA | 3GB'!J:J,0),3),0)</f>
        <v>0</v>
      </c>
      <c r="H516" s="32" t="str">
        <f>_xlfn.IFNA(INDEX('OSA | 3GB'!A:C,MATCH(DATA!D516,'OSA | 3GB'!A:A,0),2),0)</f>
        <v xml:space="preserve"> -   </v>
      </c>
      <c r="I516" s="33" t="str">
        <f>_xlfn.IFNA(INDEX('OSA | 3GB'!A:C,MATCH(DATA!D516,'OSA | 3GB'!A:A,0),3),0)</f>
        <v xml:space="preserve"> -   </v>
      </c>
      <c r="J516" s="33">
        <f>INDEX('BIO WAHYU'!B:G,MATCH(DATA!D516,'BIO WAHYU'!B:B,0),5)</f>
        <v>0</v>
      </c>
      <c r="K516" s="34">
        <f>INDEX('BIO WAHYU'!B:G,MATCH(DATA!D516,'BIO WAHYU'!B:B,0),6)</f>
        <v>0</v>
      </c>
      <c r="L516" s="35">
        <f>INDEX('BIO WAHYU'!B:H,MATCH(DATA!D516,'BIO WAHYU'!B:B,0),7)</f>
        <v>0</v>
      </c>
      <c r="M516" s="34">
        <f>INDEX('BIO WAHYU'!B:H,MATCH(DATA!D516,'BIO WAHYU'!B:B,0),4)</f>
        <v>0</v>
      </c>
    </row>
    <row r="517" spans="1:13">
      <c r="A517" s="43" t="s">
        <v>1</v>
      </c>
      <c r="B517" s="43" t="s">
        <v>3</v>
      </c>
      <c r="C517" s="43" t="s">
        <v>26</v>
      </c>
      <c r="D517" s="10">
        <v>347538</v>
      </c>
      <c r="E517" s="43" t="s">
        <v>10</v>
      </c>
      <c r="F517" s="8">
        <f>_xlfn.IFNA(INDEX('OSA | 3GB'!J:L,MATCH(DATA!D517,'OSA | 3GB'!J:J,0),2),0)</f>
        <v>1</v>
      </c>
      <c r="G517" s="8">
        <f>_xlfn.IFNA(INDEX('OSA | 3GB'!J:L,MATCH(DATA!D517,'OSA | 3GB'!J:J,0),3),0)</f>
        <v>966000</v>
      </c>
      <c r="H517" s="32" t="str">
        <f>_xlfn.IFNA(INDEX('OSA | 3GB'!A:C,MATCH(DATA!D517,'OSA | 3GB'!A:A,0),2),0)</f>
        <v xml:space="preserve"> -   </v>
      </c>
      <c r="I517" s="33" t="str">
        <f>_xlfn.IFNA(INDEX('OSA | 3GB'!A:C,MATCH(DATA!D517,'OSA | 3GB'!A:A,0),3),0)</f>
        <v xml:space="preserve"> -   </v>
      </c>
      <c r="J517" s="33">
        <f>INDEX('BIO WAHYU'!B:G,MATCH(DATA!D517,'BIO WAHYU'!B:B,0),5)</f>
        <v>1</v>
      </c>
      <c r="K517" s="34">
        <f>INDEX('BIO WAHYU'!B:G,MATCH(DATA!D517,'BIO WAHYU'!B:B,0),6)</f>
        <v>0</v>
      </c>
      <c r="L517" s="35">
        <f>INDEX('BIO WAHYU'!B:H,MATCH(DATA!D517,'BIO WAHYU'!B:B,0),7)</f>
        <v>0</v>
      </c>
      <c r="M517" s="34">
        <f>INDEX('BIO WAHYU'!B:H,MATCH(DATA!D517,'BIO WAHYU'!B:B,0),4)</f>
        <v>0</v>
      </c>
    </row>
    <row r="518" spans="1:13">
      <c r="A518" s="43" t="s">
        <v>1</v>
      </c>
      <c r="B518" s="43" t="s">
        <v>3</v>
      </c>
      <c r="C518" s="43" t="s">
        <v>20</v>
      </c>
      <c r="D518" s="10">
        <v>12326313</v>
      </c>
      <c r="E518" s="43" t="s">
        <v>10</v>
      </c>
      <c r="F518" s="8">
        <f>_xlfn.IFNA(INDEX('OSA | 3GB'!J:L,MATCH(DATA!D518,'OSA | 3GB'!J:J,0),2),0)</f>
        <v>31</v>
      </c>
      <c r="G518" s="8">
        <f>_xlfn.IFNA(INDEX('OSA | 3GB'!J:L,MATCH(DATA!D518,'OSA | 3GB'!J:J,0),3),0)</f>
        <v>13385200</v>
      </c>
      <c r="H518" s="32">
        <f>_xlfn.IFNA(INDEX('OSA | 3GB'!A:C,MATCH(DATA!D518,'OSA | 3GB'!A:A,0),2),0)</f>
        <v>3</v>
      </c>
      <c r="I518" s="33">
        <f>_xlfn.IFNA(INDEX('OSA | 3GB'!A:C,MATCH(DATA!D518,'OSA | 3GB'!A:A,0),3),0)</f>
        <v>3150500</v>
      </c>
      <c r="J518" s="33">
        <f>INDEX('BIO WAHYU'!B:G,MATCH(DATA!D518,'BIO WAHYU'!B:B,0),5)</f>
        <v>8</v>
      </c>
      <c r="K518" s="34">
        <f>INDEX('BIO WAHYU'!B:G,MATCH(DATA!D518,'BIO WAHYU'!B:B,0),6)</f>
        <v>5</v>
      </c>
      <c r="L518" s="35">
        <f>INDEX('BIO WAHYU'!B:H,MATCH(DATA!D518,'BIO WAHYU'!B:B,0),7)</f>
        <v>0</v>
      </c>
      <c r="M518" s="34">
        <f>INDEX('BIO WAHYU'!B:H,MATCH(DATA!D518,'BIO WAHYU'!B:B,0),4)</f>
        <v>0</v>
      </c>
    </row>
    <row r="519" spans="1:13">
      <c r="A519" s="43" t="s">
        <v>1674</v>
      </c>
      <c r="B519" s="43" t="s">
        <v>148</v>
      </c>
      <c r="C519" s="43" t="s">
        <v>625</v>
      </c>
      <c r="D519" s="10">
        <v>12294847</v>
      </c>
      <c r="E519" s="43" t="s">
        <v>10</v>
      </c>
      <c r="F519" s="8">
        <f>_xlfn.IFNA(INDEX('OSA | 3GB'!J:L,MATCH(DATA!D519,'OSA | 3GB'!J:J,0),2),0)</f>
        <v>3</v>
      </c>
      <c r="G519" s="8">
        <f>_xlfn.IFNA(INDEX('OSA | 3GB'!J:L,MATCH(DATA!D519,'OSA | 3GB'!J:J,0),3),0)</f>
        <v>2389000</v>
      </c>
      <c r="H519" s="32">
        <f>_xlfn.IFNA(INDEX('OSA | 3GB'!A:C,MATCH(DATA!D519,'OSA | 3GB'!A:A,0),2),0)</f>
        <v>2</v>
      </c>
      <c r="I519" s="33">
        <f>_xlfn.IFNA(INDEX('OSA | 3GB'!A:C,MATCH(DATA!D519,'OSA | 3GB'!A:A,0),3),0)</f>
        <v>1258000</v>
      </c>
      <c r="J519" s="33">
        <f>INDEX('BIO WAHYU'!B:G,MATCH(DATA!D519,'BIO WAHYU'!B:B,0),5)</f>
        <v>8</v>
      </c>
      <c r="K519" s="34">
        <f>INDEX('BIO WAHYU'!B:G,MATCH(DATA!D519,'BIO WAHYU'!B:B,0),6)</f>
        <v>2</v>
      </c>
      <c r="L519" s="35">
        <f>INDEX('BIO WAHYU'!B:H,MATCH(DATA!D519,'BIO WAHYU'!B:B,0),7)</f>
        <v>0</v>
      </c>
      <c r="M519" s="34">
        <f>INDEX('BIO WAHYU'!B:H,MATCH(DATA!D519,'BIO WAHYU'!B:B,0),4)</f>
        <v>0</v>
      </c>
    </row>
    <row r="520" spans="1:13">
      <c r="A520" s="43" t="s">
        <v>1673</v>
      </c>
      <c r="B520" s="43" t="s">
        <v>141</v>
      </c>
      <c r="C520" s="43" t="s">
        <v>1299</v>
      </c>
      <c r="D520" s="10">
        <v>12330602</v>
      </c>
      <c r="E520" s="43" t="s">
        <v>10</v>
      </c>
      <c r="F520" s="8">
        <f>_xlfn.IFNA(INDEX('OSA | 3GB'!J:L,MATCH(DATA!D520,'OSA | 3GB'!J:J,0),2),0)</f>
        <v>55</v>
      </c>
      <c r="G520" s="8">
        <f>_xlfn.IFNA(INDEX('OSA | 3GB'!J:L,MATCH(DATA!D520,'OSA | 3GB'!J:J,0),3),0)</f>
        <v>350000</v>
      </c>
      <c r="H520" s="32" t="str">
        <f>_xlfn.IFNA(INDEX('OSA | 3GB'!A:C,MATCH(DATA!D520,'OSA | 3GB'!A:A,0),2),0)</f>
        <v xml:space="preserve"> -   </v>
      </c>
      <c r="I520" s="33">
        <f>_xlfn.IFNA(INDEX('OSA | 3GB'!A:C,MATCH(DATA!D520,'OSA | 3GB'!A:A,0),3),0)</f>
        <v>350000</v>
      </c>
      <c r="J520" s="33">
        <f>INDEX('BIO WAHYU'!B:G,MATCH(DATA!D520,'BIO WAHYU'!B:B,0),5)</f>
        <v>3</v>
      </c>
      <c r="K520" s="34">
        <f>INDEX('BIO WAHYU'!B:G,MATCH(DATA!D520,'BIO WAHYU'!B:B,0),6)</f>
        <v>0</v>
      </c>
      <c r="L520" s="35">
        <f>INDEX('BIO WAHYU'!B:H,MATCH(DATA!D520,'BIO WAHYU'!B:B,0),7)</f>
        <v>0</v>
      </c>
      <c r="M520" s="34">
        <f>INDEX('BIO WAHYU'!B:H,MATCH(DATA!D520,'BIO WAHYU'!B:B,0),4)</f>
        <v>0</v>
      </c>
    </row>
    <row r="521" spans="1:13">
      <c r="A521" s="43" t="s">
        <v>1672</v>
      </c>
      <c r="B521" s="43" t="s">
        <v>150</v>
      </c>
      <c r="C521" s="43" t="s">
        <v>1300</v>
      </c>
      <c r="D521" s="10">
        <v>265773</v>
      </c>
      <c r="E521" s="43" t="s">
        <v>10</v>
      </c>
      <c r="F521" s="8">
        <f>_xlfn.IFNA(INDEX('OSA | 3GB'!J:L,MATCH(DATA!D521,'OSA | 3GB'!J:J,0),2),0)</f>
        <v>3</v>
      </c>
      <c r="G521" s="8">
        <f>_xlfn.IFNA(INDEX('OSA | 3GB'!J:L,MATCH(DATA!D521,'OSA | 3GB'!J:J,0),3),0)</f>
        <v>7266000</v>
      </c>
      <c r="H521" s="32" t="str">
        <f>_xlfn.IFNA(INDEX('OSA | 3GB'!A:C,MATCH(DATA!D521,'OSA | 3GB'!A:A,0),2),0)</f>
        <v xml:space="preserve"> -   </v>
      </c>
      <c r="I521" s="33">
        <f>_xlfn.IFNA(INDEX('OSA | 3GB'!A:C,MATCH(DATA!D521,'OSA | 3GB'!A:A,0),3),0)</f>
        <v>2350000</v>
      </c>
      <c r="J521" s="33">
        <f>INDEX('BIO WAHYU'!B:G,MATCH(DATA!D521,'BIO WAHYU'!B:B,0),5)</f>
        <v>3</v>
      </c>
      <c r="K521" s="34">
        <f>INDEX('BIO WAHYU'!B:G,MATCH(DATA!D521,'BIO WAHYU'!B:B,0),6)</f>
        <v>0</v>
      </c>
      <c r="L521" s="35">
        <f>INDEX('BIO WAHYU'!B:H,MATCH(DATA!D521,'BIO WAHYU'!B:B,0),7)</f>
        <v>0</v>
      </c>
      <c r="M521" s="34">
        <f>INDEX('BIO WAHYU'!B:H,MATCH(DATA!D521,'BIO WAHYU'!B:B,0),4)</f>
        <v>0</v>
      </c>
    </row>
    <row r="522" spans="1:13">
      <c r="A522" s="43" t="s">
        <v>1672</v>
      </c>
      <c r="B522" s="43">
        <v>2613051475</v>
      </c>
      <c r="C522" s="43" t="s">
        <v>911</v>
      </c>
      <c r="D522" s="10">
        <v>531707</v>
      </c>
      <c r="E522" s="43" t="s">
        <v>10</v>
      </c>
      <c r="F522" s="8">
        <f>_xlfn.IFNA(INDEX('OSA | 3GB'!J:L,MATCH(DATA!D522,'OSA | 3GB'!J:J,0),2),0)</f>
        <v>3</v>
      </c>
      <c r="G522" s="8">
        <f>_xlfn.IFNA(INDEX('OSA | 3GB'!J:L,MATCH(DATA!D522,'OSA | 3GB'!J:J,0),3),0)</f>
        <v>129000</v>
      </c>
      <c r="H522" s="32" t="str">
        <f>_xlfn.IFNA(INDEX('OSA | 3GB'!A:C,MATCH(DATA!D522,'OSA | 3GB'!A:A,0),2),0)</f>
        <v xml:space="preserve"> -   </v>
      </c>
      <c r="I522" s="33" t="str">
        <f>_xlfn.IFNA(INDEX('OSA | 3GB'!A:C,MATCH(DATA!D522,'OSA | 3GB'!A:A,0),3),0)</f>
        <v xml:space="preserve"> -   </v>
      </c>
      <c r="J522" s="33">
        <f>INDEX('BIO WAHYU'!B:G,MATCH(DATA!D522,'BIO WAHYU'!B:B,0),5)</f>
        <v>1</v>
      </c>
      <c r="K522" s="34">
        <f>INDEX('BIO WAHYU'!B:G,MATCH(DATA!D522,'BIO WAHYU'!B:B,0),6)</f>
        <v>0</v>
      </c>
      <c r="L522" s="35">
        <f>INDEX('BIO WAHYU'!B:H,MATCH(DATA!D522,'BIO WAHYU'!B:B,0),7)</f>
        <v>0</v>
      </c>
      <c r="M522" s="34">
        <f>INDEX('BIO WAHYU'!B:H,MATCH(DATA!D522,'BIO WAHYU'!B:B,0),4)</f>
        <v>0</v>
      </c>
    </row>
    <row r="523" spans="1:13">
      <c r="A523" s="43" t="s">
        <v>1672</v>
      </c>
      <c r="B523" s="43" t="s">
        <v>149</v>
      </c>
      <c r="C523" s="43" t="s">
        <v>797</v>
      </c>
      <c r="D523" s="10">
        <v>531749</v>
      </c>
      <c r="E523" s="43" t="s">
        <v>15</v>
      </c>
      <c r="F523" s="8">
        <f>_xlfn.IFNA(INDEX('OSA | 3GB'!J:L,MATCH(DATA!D523,'OSA | 3GB'!J:J,0),2),0)</f>
        <v>3</v>
      </c>
      <c r="G523" s="8">
        <f>_xlfn.IFNA(INDEX('OSA | 3GB'!J:L,MATCH(DATA!D523,'OSA | 3GB'!J:J,0),3),0)</f>
        <v>174000</v>
      </c>
      <c r="H523" s="32" t="str">
        <f>_xlfn.IFNA(INDEX('OSA | 3GB'!A:C,MATCH(DATA!D523,'OSA | 3GB'!A:A,0),2),0)</f>
        <v xml:space="preserve"> -   </v>
      </c>
      <c r="I523" s="33">
        <f>_xlfn.IFNA(INDEX('OSA | 3GB'!A:C,MATCH(DATA!D523,'OSA | 3GB'!A:A,0),3),0)</f>
        <v>800000</v>
      </c>
      <c r="J523" s="33">
        <f>INDEX('BIO WAHYU'!B:G,MATCH(DATA!D523,'BIO WAHYU'!B:B,0),5)</f>
        <v>3</v>
      </c>
      <c r="K523" s="34">
        <f>INDEX('BIO WAHYU'!B:G,MATCH(DATA!D523,'BIO WAHYU'!B:B,0),6)</f>
        <v>1</v>
      </c>
      <c r="L523" s="35">
        <f>INDEX('BIO WAHYU'!B:H,MATCH(DATA!D523,'BIO WAHYU'!B:B,0),7)</f>
        <v>0</v>
      </c>
      <c r="M523" s="34">
        <f>INDEX('BIO WAHYU'!B:H,MATCH(DATA!D523,'BIO WAHYU'!B:B,0),4)</f>
        <v>0</v>
      </c>
    </row>
    <row r="524" spans="1:13">
      <c r="A524" s="43" t="s">
        <v>1672</v>
      </c>
      <c r="B524" s="43">
        <v>2613051475</v>
      </c>
      <c r="C524" s="43" t="s">
        <v>171</v>
      </c>
      <c r="D524" s="10">
        <v>265541</v>
      </c>
      <c r="E524" s="43" t="s">
        <v>10</v>
      </c>
      <c r="F524" s="8">
        <f>_xlfn.IFNA(INDEX('OSA | 3GB'!J:L,MATCH(DATA!D524,'OSA | 3GB'!J:J,0),2),0)</f>
        <v>0</v>
      </c>
      <c r="G524" s="8">
        <f>_xlfn.IFNA(INDEX('OSA | 3GB'!J:L,MATCH(DATA!D524,'OSA | 3GB'!J:J,0),3),0)</f>
        <v>600000</v>
      </c>
      <c r="H524" s="32" t="str">
        <f>_xlfn.IFNA(INDEX('OSA | 3GB'!A:C,MATCH(DATA!D524,'OSA | 3GB'!A:A,0),2),0)</f>
        <v xml:space="preserve"> -   </v>
      </c>
      <c r="I524" s="33">
        <f>_xlfn.IFNA(INDEX('OSA | 3GB'!A:C,MATCH(DATA!D524,'OSA | 3GB'!A:A,0),3),0)</f>
        <v>400000</v>
      </c>
      <c r="J524" s="33">
        <f>INDEX('BIO WAHYU'!B:G,MATCH(DATA!D524,'BIO WAHYU'!B:B,0),5)</f>
        <v>1</v>
      </c>
      <c r="K524" s="34">
        <f>INDEX('BIO WAHYU'!B:G,MATCH(DATA!D524,'BIO WAHYU'!B:B,0),6)</f>
        <v>0</v>
      </c>
      <c r="L524" s="35">
        <f>INDEX('BIO WAHYU'!B:H,MATCH(DATA!D524,'BIO WAHYU'!B:B,0),7)</f>
        <v>0</v>
      </c>
      <c r="M524" s="34">
        <f>INDEX('BIO WAHYU'!B:H,MATCH(DATA!D524,'BIO WAHYU'!B:B,0),4)</f>
        <v>0</v>
      </c>
    </row>
    <row r="525" spans="1:13">
      <c r="A525" s="43" t="s">
        <v>1671</v>
      </c>
      <c r="B525" s="43">
        <v>2613050886</v>
      </c>
      <c r="C525" s="43" t="s">
        <v>325</v>
      </c>
      <c r="D525" s="10">
        <v>488681</v>
      </c>
      <c r="E525" s="43" t="s">
        <v>10</v>
      </c>
      <c r="F525" s="8">
        <f>_xlfn.IFNA(INDEX('OSA | 3GB'!J:L,MATCH(DATA!D525,'OSA | 3GB'!J:J,0),2),0)</f>
        <v>5</v>
      </c>
      <c r="G525" s="8">
        <f>_xlfn.IFNA(INDEX('OSA | 3GB'!J:L,MATCH(DATA!D525,'OSA | 3GB'!J:J,0),3),0)</f>
        <v>600000</v>
      </c>
      <c r="H525" s="32" t="str">
        <f>_xlfn.IFNA(INDEX('OSA | 3GB'!A:C,MATCH(DATA!D525,'OSA | 3GB'!A:A,0),2),0)</f>
        <v xml:space="preserve"> -   </v>
      </c>
      <c r="I525" s="33">
        <f>_xlfn.IFNA(INDEX('OSA | 3GB'!A:C,MATCH(DATA!D525,'OSA | 3GB'!A:A,0),3),0)</f>
        <v>100000</v>
      </c>
      <c r="J525" s="33">
        <f>INDEX('BIO WAHYU'!B:G,MATCH(DATA!D525,'BIO WAHYU'!B:B,0),5)</f>
        <v>2</v>
      </c>
      <c r="K525" s="34">
        <f>INDEX('BIO WAHYU'!B:G,MATCH(DATA!D525,'BIO WAHYU'!B:B,0),6)</f>
        <v>1</v>
      </c>
      <c r="L525" s="35">
        <f>INDEX('BIO WAHYU'!B:H,MATCH(DATA!D525,'BIO WAHYU'!B:B,0),7)</f>
        <v>0</v>
      </c>
      <c r="M525" s="34">
        <f>INDEX('BIO WAHYU'!B:H,MATCH(DATA!D525,'BIO WAHYU'!B:B,0),4)</f>
        <v>0</v>
      </c>
    </row>
    <row r="526" spans="1:13">
      <c r="A526" s="43" t="s">
        <v>1673</v>
      </c>
      <c r="B526" s="43" t="s">
        <v>1140</v>
      </c>
      <c r="C526" s="43" t="s">
        <v>1301</v>
      </c>
      <c r="D526" s="10">
        <v>513123</v>
      </c>
      <c r="E526" s="43" t="s">
        <v>15</v>
      </c>
      <c r="F526" s="8">
        <f>_xlfn.IFNA(INDEX('OSA | 3GB'!J:L,MATCH(DATA!D526,'OSA | 3GB'!J:J,0),2),0)</f>
        <v>3</v>
      </c>
      <c r="G526" s="8">
        <f>_xlfn.IFNA(INDEX('OSA | 3GB'!J:L,MATCH(DATA!D526,'OSA | 3GB'!J:J,0),3),0)</f>
        <v>2100000</v>
      </c>
      <c r="H526" s="32" t="str">
        <f>_xlfn.IFNA(INDEX('OSA | 3GB'!A:C,MATCH(DATA!D526,'OSA | 3GB'!A:A,0),2),0)</f>
        <v xml:space="preserve"> -   </v>
      </c>
      <c r="I526" s="33">
        <f>_xlfn.IFNA(INDEX('OSA | 3GB'!A:C,MATCH(DATA!D526,'OSA | 3GB'!A:A,0),3),0)</f>
        <v>950000</v>
      </c>
      <c r="J526" s="33">
        <f>INDEX('BIO WAHYU'!B:G,MATCH(DATA!D526,'BIO WAHYU'!B:B,0),5)</f>
        <v>1</v>
      </c>
      <c r="K526" s="34">
        <f>INDEX('BIO WAHYU'!B:G,MATCH(DATA!D526,'BIO WAHYU'!B:B,0),6)</f>
        <v>1</v>
      </c>
      <c r="L526" s="35">
        <f>INDEX('BIO WAHYU'!B:H,MATCH(DATA!D526,'BIO WAHYU'!B:B,0),7)</f>
        <v>0</v>
      </c>
      <c r="M526" s="34">
        <f>INDEX('BIO WAHYU'!B:H,MATCH(DATA!D526,'BIO WAHYU'!B:B,0),4)</f>
        <v>0</v>
      </c>
    </row>
    <row r="527" spans="1:13">
      <c r="A527" s="43" t="s">
        <v>1672</v>
      </c>
      <c r="B527" s="43" t="s">
        <v>151</v>
      </c>
      <c r="C527" s="43" t="s">
        <v>872</v>
      </c>
      <c r="D527" s="10">
        <v>411581</v>
      </c>
      <c r="E527" s="43" t="s">
        <v>10</v>
      </c>
      <c r="F527" s="8">
        <f>_xlfn.IFNA(INDEX('OSA | 3GB'!J:L,MATCH(DATA!D527,'OSA | 3GB'!J:J,0),2),0)</f>
        <v>5</v>
      </c>
      <c r="G527" s="8">
        <f>_xlfn.IFNA(INDEX('OSA | 3GB'!J:L,MATCH(DATA!D527,'OSA | 3GB'!J:J,0),3),0)</f>
        <v>279000</v>
      </c>
      <c r="H527" s="32">
        <f>_xlfn.IFNA(INDEX('OSA | 3GB'!A:C,MATCH(DATA!D527,'OSA | 3GB'!A:A,0),2),0)</f>
        <v>2</v>
      </c>
      <c r="I527" s="33">
        <f>_xlfn.IFNA(INDEX('OSA | 3GB'!A:C,MATCH(DATA!D527,'OSA | 3GB'!A:A,0),3),0)</f>
        <v>58000</v>
      </c>
      <c r="J527" s="33">
        <f>INDEX('BIO WAHYU'!B:G,MATCH(DATA!D527,'BIO WAHYU'!B:B,0),5)</f>
        <v>1</v>
      </c>
      <c r="K527" s="34">
        <f>INDEX('BIO WAHYU'!B:G,MATCH(DATA!D527,'BIO WAHYU'!B:B,0),6)</f>
        <v>0</v>
      </c>
      <c r="L527" s="35">
        <f>INDEX('BIO WAHYU'!B:H,MATCH(DATA!D527,'BIO WAHYU'!B:B,0),7)</f>
        <v>0</v>
      </c>
      <c r="M527" s="34">
        <f>INDEX('BIO WAHYU'!B:H,MATCH(DATA!D527,'BIO WAHYU'!B:B,0),4)</f>
        <v>0</v>
      </c>
    </row>
    <row r="528" spans="1:13">
      <c r="A528" s="43" t="s">
        <v>1673</v>
      </c>
      <c r="B528" s="43" t="s">
        <v>158</v>
      </c>
      <c r="C528" s="43" t="s">
        <v>1302</v>
      </c>
      <c r="D528" s="10">
        <v>539830</v>
      </c>
      <c r="E528" s="43" t="s">
        <v>10</v>
      </c>
      <c r="F528" s="8">
        <f>_xlfn.IFNA(INDEX('OSA | 3GB'!J:L,MATCH(DATA!D528,'OSA | 3GB'!J:J,0),2),0)</f>
        <v>3</v>
      </c>
      <c r="G528" s="8">
        <f>_xlfn.IFNA(INDEX('OSA | 3GB'!J:L,MATCH(DATA!D528,'OSA | 3GB'!J:J,0),3),0)</f>
        <v>2100000</v>
      </c>
      <c r="H528" s="32" t="str">
        <f>_xlfn.IFNA(INDEX('OSA | 3GB'!A:C,MATCH(DATA!D528,'OSA | 3GB'!A:A,0),2),0)</f>
        <v xml:space="preserve"> -   </v>
      </c>
      <c r="I528" s="33">
        <f>_xlfn.IFNA(INDEX('OSA | 3GB'!A:C,MATCH(DATA!D528,'OSA | 3GB'!A:A,0),3),0)</f>
        <v>900000</v>
      </c>
      <c r="J528" s="33">
        <f>INDEX('BIO WAHYU'!B:G,MATCH(DATA!D528,'BIO WAHYU'!B:B,0),5)</f>
        <v>4</v>
      </c>
      <c r="K528" s="34">
        <f>INDEX('BIO WAHYU'!B:G,MATCH(DATA!D528,'BIO WAHYU'!B:B,0),6)</f>
        <v>0</v>
      </c>
      <c r="L528" s="35">
        <f>INDEX('BIO WAHYU'!B:H,MATCH(DATA!D528,'BIO WAHYU'!B:B,0),7)</f>
        <v>0</v>
      </c>
      <c r="M528" s="34">
        <f>INDEX('BIO WAHYU'!B:H,MATCH(DATA!D528,'BIO WAHYU'!B:B,0),4)</f>
        <v>0</v>
      </c>
    </row>
    <row r="529" spans="1:13">
      <c r="A529" s="43" t="s">
        <v>1674</v>
      </c>
      <c r="B529" s="43" t="s">
        <v>154</v>
      </c>
      <c r="C529" s="43" t="s">
        <v>734</v>
      </c>
      <c r="D529" s="10">
        <v>12294838</v>
      </c>
      <c r="E529" s="43" t="s">
        <v>10</v>
      </c>
      <c r="F529" s="8">
        <f>_xlfn.IFNA(INDEX('OSA | 3GB'!J:L,MATCH(DATA!D529,'OSA | 3GB'!J:J,0),2),0)</f>
        <v>136</v>
      </c>
      <c r="G529" s="8">
        <f>_xlfn.IFNA(INDEX('OSA | 3GB'!J:L,MATCH(DATA!D529,'OSA | 3GB'!J:J,0),3),0)</f>
        <v>249000</v>
      </c>
      <c r="H529" s="32">
        <f>_xlfn.IFNA(INDEX('OSA | 3GB'!A:C,MATCH(DATA!D529,'OSA | 3GB'!A:A,0),2),0)</f>
        <v>9</v>
      </c>
      <c r="I529" s="33">
        <f>_xlfn.IFNA(INDEX('OSA | 3GB'!A:C,MATCH(DATA!D529,'OSA | 3GB'!A:A,0),3),0)</f>
        <v>261000</v>
      </c>
      <c r="J529" s="33">
        <f>INDEX('BIO WAHYU'!B:G,MATCH(DATA!D529,'BIO WAHYU'!B:B,0),5)</f>
        <v>102</v>
      </c>
      <c r="K529" s="34">
        <f>INDEX('BIO WAHYU'!B:G,MATCH(DATA!D529,'BIO WAHYU'!B:B,0),6)</f>
        <v>18</v>
      </c>
      <c r="L529" s="35">
        <f>INDEX('BIO WAHYU'!B:H,MATCH(DATA!D529,'BIO WAHYU'!B:B,0),7)</f>
        <v>0</v>
      </c>
      <c r="M529" s="34">
        <f>INDEX('BIO WAHYU'!B:H,MATCH(DATA!D529,'BIO WAHYU'!B:B,0),4)</f>
        <v>0</v>
      </c>
    </row>
    <row r="530" spans="1:13">
      <c r="A530" s="43" t="s">
        <v>1672</v>
      </c>
      <c r="B530" s="43" t="s">
        <v>157</v>
      </c>
      <c r="C530" s="43" t="s">
        <v>1039</v>
      </c>
      <c r="D530" s="10">
        <v>328665</v>
      </c>
      <c r="E530" s="43" t="s">
        <v>10</v>
      </c>
      <c r="F530" s="8">
        <f>_xlfn.IFNA(INDEX('OSA | 3GB'!J:L,MATCH(DATA!D530,'OSA | 3GB'!J:J,0),2),0)</f>
        <v>4</v>
      </c>
      <c r="G530" s="8">
        <f>_xlfn.IFNA(INDEX('OSA | 3GB'!J:L,MATCH(DATA!D530,'OSA | 3GB'!J:J,0),3),0)</f>
        <v>0</v>
      </c>
      <c r="H530" s="32" t="str">
        <f>_xlfn.IFNA(INDEX('OSA | 3GB'!A:C,MATCH(DATA!D530,'OSA | 3GB'!A:A,0),2),0)</f>
        <v xml:space="preserve"> -   </v>
      </c>
      <c r="I530" s="33" t="str">
        <f>_xlfn.IFNA(INDEX('OSA | 3GB'!A:C,MATCH(DATA!D530,'OSA | 3GB'!A:A,0),3),0)</f>
        <v xml:space="preserve"> -   </v>
      </c>
      <c r="J530" s="33">
        <f>INDEX('BIO WAHYU'!B:G,MATCH(DATA!D530,'BIO WAHYU'!B:B,0),5)</f>
        <v>1</v>
      </c>
      <c r="K530" s="34">
        <f>INDEX('BIO WAHYU'!B:G,MATCH(DATA!D530,'BIO WAHYU'!B:B,0),6)</f>
        <v>0</v>
      </c>
      <c r="L530" s="35">
        <f>INDEX('BIO WAHYU'!B:H,MATCH(DATA!D530,'BIO WAHYU'!B:B,0),7)</f>
        <v>0</v>
      </c>
      <c r="M530" s="34">
        <f>INDEX('BIO WAHYU'!B:H,MATCH(DATA!D530,'BIO WAHYU'!B:B,0),4)</f>
        <v>0</v>
      </c>
    </row>
    <row r="531" spans="1:13">
      <c r="A531" s="43" t="s">
        <v>1673</v>
      </c>
      <c r="B531" s="43" t="s">
        <v>1136</v>
      </c>
      <c r="C531" s="43" t="s">
        <v>1303</v>
      </c>
      <c r="D531" s="10">
        <v>8220</v>
      </c>
      <c r="E531" s="43" t="s">
        <v>15</v>
      </c>
      <c r="F531" s="8">
        <f>_xlfn.IFNA(INDEX('OSA | 3GB'!J:L,MATCH(DATA!D531,'OSA | 3GB'!J:J,0),2),0)</f>
        <v>4</v>
      </c>
      <c r="G531" s="8">
        <f>_xlfn.IFNA(INDEX('OSA | 3GB'!J:L,MATCH(DATA!D531,'OSA | 3GB'!J:J,0),3),0)</f>
        <v>4050000</v>
      </c>
      <c r="H531" s="32" t="str">
        <f>_xlfn.IFNA(INDEX('OSA | 3GB'!A:C,MATCH(DATA!D531,'OSA | 3GB'!A:A,0),2),0)</f>
        <v xml:space="preserve"> -   </v>
      </c>
      <c r="I531" s="33">
        <f>_xlfn.IFNA(INDEX('OSA | 3GB'!A:C,MATCH(DATA!D531,'OSA | 3GB'!A:A,0),3),0)</f>
        <v>2300000</v>
      </c>
      <c r="J531" s="33">
        <f>INDEX('BIO WAHYU'!B:G,MATCH(DATA!D531,'BIO WAHYU'!B:B,0),5)</f>
        <v>4</v>
      </c>
      <c r="K531" s="34">
        <f>INDEX('BIO WAHYU'!B:G,MATCH(DATA!D531,'BIO WAHYU'!B:B,0),6)</f>
        <v>2</v>
      </c>
      <c r="L531" s="35">
        <f>INDEX('BIO WAHYU'!B:H,MATCH(DATA!D531,'BIO WAHYU'!B:B,0),7)</f>
        <v>0</v>
      </c>
      <c r="M531" s="34">
        <f>INDEX('BIO WAHYU'!B:H,MATCH(DATA!D531,'BIO WAHYU'!B:B,0),4)</f>
        <v>0</v>
      </c>
    </row>
    <row r="532" spans="1:13">
      <c r="A532" s="43" t="s">
        <v>1674</v>
      </c>
      <c r="B532" s="43">
        <v>2613052222</v>
      </c>
      <c r="C532" s="43" t="s">
        <v>1304</v>
      </c>
      <c r="D532" s="10">
        <v>238632</v>
      </c>
      <c r="E532" s="43" t="s">
        <v>10</v>
      </c>
      <c r="F532" s="8">
        <f>_xlfn.IFNA(INDEX('OSA | 3GB'!J:L,MATCH(DATA!D532,'OSA | 3GB'!J:J,0),2),0)</f>
        <v>3</v>
      </c>
      <c r="G532" s="8">
        <f>_xlfn.IFNA(INDEX('OSA | 3GB'!J:L,MATCH(DATA!D532,'OSA | 3GB'!J:J,0),3),0)</f>
        <v>587000</v>
      </c>
      <c r="H532" s="32" t="str">
        <f>_xlfn.IFNA(INDEX('OSA | 3GB'!A:C,MATCH(DATA!D532,'OSA | 3GB'!A:A,0),2),0)</f>
        <v xml:space="preserve"> -   </v>
      </c>
      <c r="I532" s="33" t="str">
        <f>_xlfn.IFNA(INDEX('OSA | 3GB'!A:C,MATCH(DATA!D532,'OSA | 3GB'!A:A,0),3),0)</f>
        <v xml:space="preserve"> -   </v>
      </c>
      <c r="J532" s="33">
        <f>INDEX('BIO WAHYU'!B:G,MATCH(DATA!D532,'BIO WAHYU'!B:B,0),5)</f>
        <v>0</v>
      </c>
      <c r="K532" s="34">
        <f>INDEX('BIO WAHYU'!B:G,MATCH(DATA!D532,'BIO WAHYU'!B:B,0),6)</f>
        <v>0</v>
      </c>
      <c r="L532" s="35">
        <f>INDEX('BIO WAHYU'!B:H,MATCH(DATA!D532,'BIO WAHYU'!B:B,0),7)</f>
        <v>0</v>
      </c>
      <c r="M532" s="34">
        <f>INDEX('BIO WAHYU'!B:H,MATCH(DATA!D532,'BIO WAHYU'!B:B,0),4)</f>
        <v>0</v>
      </c>
    </row>
    <row r="533" spans="1:13">
      <c r="A533" s="43" t="s">
        <v>1672</v>
      </c>
      <c r="B533" s="43" t="s">
        <v>151</v>
      </c>
      <c r="C533" s="43" t="s">
        <v>1305</v>
      </c>
      <c r="D533" s="10">
        <v>63854</v>
      </c>
      <c r="E533" s="43" t="s">
        <v>10</v>
      </c>
      <c r="F533" s="8">
        <f>_xlfn.IFNA(INDEX('OSA | 3GB'!J:L,MATCH(DATA!D533,'OSA | 3GB'!J:J,0),2),0)</f>
        <v>0</v>
      </c>
      <c r="G533" s="8">
        <f>_xlfn.IFNA(INDEX('OSA | 3GB'!J:L,MATCH(DATA!D533,'OSA | 3GB'!J:J,0),3),0)</f>
        <v>500000</v>
      </c>
      <c r="H533" s="32">
        <f>_xlfn.IFNA(INDEX('OSA | 3GB'!A:C,MATCH(DATA!D533,'OSA | 3GB'!A:A,0),2),0)</f>
        <v>2</v>
      </c>
      <c r="I533" s="33">
        <f>_xlfn.IFNA(INDEX('OSA | 3GB'!A:C,MATCH(DATA!D533,'OSA | 3GB'!A:A,0),3),0)</f>
        <v>58000</v>
      </c>
      <c r="J533" s="33">
        <f>INDEX('BIO WAHYU'!B:G,MATCH(DATA!D533,'BIO WAHYU'!B:B,0),5)</f>
        <v>0</v>
      </c>
      <c r="K533" s="34">
        <f>INDEX('BIO WAHYU'!B:G,MATCH(DATA!D533,'BIO WAHYU'!B:B,0),6)</f>
        <v>0</v>
      </c>
      <c r="L533" s="35">
        <f>INDEX('BIO WAHYU'!B:H,MATCH(DATA!D533,'BIO WAHYU'!B:B,0),7)</f>
        <v>0</v>
      </c>
      <c r="M533" s="34">
        <f>INDEX('BIO WAHYU'!B:H,MATCH(DATA!D533,'BIO WAHYU'!B:B,0),4)</f>
        <v>0</v>
      </c>
    </row>
    <row r="534" spans="1:13">
      <c r="A534" s="43" t="s">
        <v>1673</v>
      </c>
      <c r="B534" s="43" t="s">
        <v>1140</v>
      </c>
      <c r="C534" s="43" t="s">
        <v>1306</v>
      </c>
      <c r="D534" s="10">
        <v>424470</v>
      </c>
      <c r="E534" s="43" t="s">
        <v>10</v>
      </c>
      <c r="F534" s="8">
        <f>_xlfn.IFNA(INDEX('OSA | 3GB'!J:L,MATCH(DATA!D534,'OSA | 3GB'!J:J,0),2),0)</f>
        <v>14</v>
      </c>
      <c r="G534" s="8">
        <f>_xlfn.IFNA(INDEX('OSA | 3GB'!J:L,MATCH(DATA!D534,'OSA | 3GB'!J:J,0),3),0)</f>
        <v>2700000</v>
      </c>
      <c r="H534" s="32" t="str">
        <f>_xlfn.IFNA(INDEX('OSA | 3GB'!A:C,MATCH(DATA!D534,'OSA | 3GB'!A:A,0),2),0)</f>
        <v xml:space="preserve"> -   </v>
      </c>
      <c r="I534" s="33">
        <f>_xlfn.IFNA(INDEX('OSA | 3GB'!A:C,MATCH(DATA!D534,'OSA | 3GB'!A:A,0),3),0)</f>
        <v>1100000</v>
      </c>
      <c r="J534" s="33">
        <f>INDEX('BIO WAHYU'!B:G,MATCH(DATA!D534,'BIO WAHYU'!B:B,0),5)</f>
        <v>6</v>
      </c>
      <c r="K534" s="34">
        <f>INDEX('BIO WAHYU'!B:G,MATCH(DATA!D534,'BIO WAHYU'!B:B,0),6)</f>
        <v>1</v>
      </c>
      <c r="L534" s="35">
        <f>INDEX('BIO WAHYU'!B:H,MATCH(DATA!D534,'BIO WAHYU'!B:B,0),7)</f>
        <v>0</v>
      </c>
      <c r="M534" s="34">
        <f>INDEX('BIO WAHYU'!B:H,MATCH(DATA!D534,'BIO WAHYU'!B:B,0),4)</f>
        <v>0</v>
      </c>
    </row>
    <row r="535" spans="1:13">
      <c r="A535" s="43" t="s">
        <v>1672</v>
      </c>
      <c r="B535" s="43" t="s">
        <v>157</v>
      </c>
      <c r="C535" s="43" t="s">
        <v>1307</v>
      </c>
      <c r="D535" s="10">
        <v>61498</v>
      </c>
      <c r="E535" s="43" t="s">
        <v>10</v>
      </c>
      <c r="F535" s="8">
        <f>_xlfn.IFNA(INDEX('OSA | 3GB'!J:L,MATCH(DATA!D535,'OSA | 3GB'!J:J,0),2),0)</f>
        <v>0</v>
      </c>
      <c r="G535" s="8">
        <f>_xlfn.IFNA(INDEX('OSA | 3GB'!J:L,MATCH(DATA!D535,'OSA | 3GB'!J:J,0),3),0)</f>
        <v>0</v>
      </c>
      <c r="H535" s="32" t="str">
        <f>_xlfn.IFNA(INDEX('OSA | 3GB'!A:C,MATCH(DATA!D535,'OSA | 3GB'!A:A,0),2),0)</f>
        <v xml:space="preserve"> -   </v>
      </c>
      <c r="I535" s="33" t="str">
        <f>_xlfn.IFNA(INDEX('OSA | 3GB'!A:C,MATCH(DATA!D535,'OSA | 3GB'!A:A,0),3),0)</f>
        <v xml:space="preserve"> -   </v>
      </c>
      <c r="J535" s="33">
        <f>INDEX('BIO WAHYU'!B:G,MATCH(DATA!D535,'BIO WAHYU'!B:B,0),5)</f>
        <v>0</v>
      </c>
      <c r="K535" s="34">
        <f>INDEX('BIO WAHYU'!B:G,MATCH(DATA!D535,'BIO WAHYU'!B:B,0),6)</f>
        <v>0</v>
      </c>
      <c r="L535" s="35">
        <f>INDEX('BIO WAHYU'!B:H,MATCH(DATA!D535,'BIO WAHYU'!B:B,0),7)</f>
        <v>0</v>
      </c>
      <c r="M535" s="34">
        <f>INDEX('BIO WAHYU'!B:H,MATCH(DATA!D535,'BIO WAHYU'!B:B,0),4)</f>
        <v>0</v>
      </c>
    </row>
    <row r="536" spans="1:13">
      <c r="A536" s="43" t="s">
        <v>1673</v>
      </c>
      <c r="B536" s="43" t="s">
        <v>1136</v>
      </c>
      <c r="C536" s="43" t="s">
        <v>1308</v>
      </c>
      <c r="D536" s="10">
        <v>404684</v>
      </c>
      <c r="E536" s="43" t="s">
        <v>15</v>
      </c>
      <c r="F536" s="8">
        <f>_xlfn.IFNA(INDEX('OSA | 3GB'!J:L,MATCH(DATA!D536,'OSA | 3GB'!J:J,0),2),0)</f>
        <v>23</v>
      </c>
      <c r="G536" s="8">
        <f>_xlfn.IFNA(INDEX('OSA | 3GB'!J:L,MATCH(DATA!D536,'OSA | 3GB'!J:J,0),3),0)</f>
        <v>0</v>
      </c>
      <c r="H536" s="32" t="str">
        <f>_xlfn.IFNA(INDEX('OSA | 3GB'!A:C,MATCH(DATA!D536,'OSA | 3GB'!A:A,0),2),0)</f>
        <v xml:space="preserve"> -   </v>
      </c>
      <c r="I536" s="33" t="str">
        <f>_xlfn.IFNA(INDEX('OSA | 3GB'!A:C,MATCH(DATA!D536,'OSA | 3GB'!A:A,0),3),0)</f>
        <v xml:space="preserve"> -   </v>
      </c>
      <c r="J536" s="33">
        <f>INDEX('BIO WAHYU'!B:G,MATCH(DATA!D536,'BIO WAHYU'!B:B,0),5)</f>
        <v>4</v>
      </c>
      <c r="K536" s="34">
        <f>INDEX('BIO WAHYU'!B:G,MATCH(DATA!D536,'BIO WAHYU'!B:B,0),6)</f>
        <v>0</v>
      </c>
      <c r="L536" s="35">
        <f>INDEX('BIO WAHYU'!B:H,MATCH(DATA!D536,'BIO WAHYU'!B:B,0),7)</f>
        <v>0</v>
      </c>
      <c r="M536" s="34">
        <f>INDEX('BIO WAHYU'!B:H,MATCH(DATA!D536,'BIO WAHYU'!B:B,0),4)</f>
        <v>0</v>
      </c>
    </row>
    <row r="537" spans="1:13">
      <c r="A537" s="43" t="s">
        <v>1671</v>
      </c>
      <c r="B537" s="43">
        <v>2613050885</v>
      </c>
      <c r="C537" s="43" t="s">
        <v>309</v>
      </c>
      <c r="D537" s="10">
        <v>543616</v>
      </c>
      <c r="E537" s="43" t="s">
        <v>10</v>
      </c>
      <c r="F537" s="8">
        <f>_xlfn.IFNA(INDEX('OSA | 3GB'!J:L,MATCH(DATA!D537,'OSA | 3GB'!J:J,0),2),0)</f>
        <v>0</v>
      </c>
      <c r="G537" s="8">
        <f>_xlfn.IFNA(INDEX('OSA | 3GB'!J:L,MATCH(DATA!D537,'OSA | 3GB'!J:J,0),3),0)</f>
        <v>0</v>
      </c>
      <c r="H537" s="32" t="str">
        <f>_xlfn.IFNA(INDEX('OSA | 3GB'!A:C,MATCH(DATA!D537,'OSA | 3GB'!A:A,0),2),0)</f>
        <v xml:space="preserve"> -   </v>
      </c>
      <c r="I537" s="33" t="str">
        <f>_xlfn.IFNA(INDEX('OSA | 3GB'!A:C,MATCH(DATA!D537,'OSA | 3GB'!A:A,0),3),0)</f>
        <v xml:space="preserve"> -   </v>
      </c>
      <c r="J537" s="33">
        <f>INDEX('BIO WAHYU'!B:G,MATCH(DATA!D537,'BIO WAHYU'!B:B,0),5)</f>
        <v>0</v>
      </c>
      <c r="K537" s="34">
        <f>INDEX('BIO WAHYU'!B:G,MATCH(DATA!D537,'BIO WAHYU'!B:B,0),6)</f>
        <v>0</v>
      </c>
      <c r="L537" s="35">
        <f>INDEX('BIO WAHYU'!B:H,MATCH(DATA!D537,'BIO WAHYU'!B:B,0),7)</f>
        <v>0</v>
      </c>
      <c r="M537" s="34">
        <f>INDEX('BIO WAHYU'!B:H,MATCH(DATA!D537,'BIO WAHYU'!B:B,0),4)</f>
        <v>0</v>
      </c>
    </row>
    <row r="538" spans="1:13">
      <c r="A538" s="43" t="s">
        <v>1673</v>
      </c>
      <c r="B538" s="43" t="s">
        <v>143</v>
      </c>
      <c r="C538" s="43" t="s">
        <v>253</v>
      </c>
      <c r="D538" s="10">
        <v>1978</v>
      </c>
      <c r="E538" s="43" t="s">
        <v>10</v>
      </c>
      <c r="F538" s="8">
        <f>_xlfn.IFNA(INDEX('OSA | 3GB'!J:L,MATCH(DATA!D538,'OSA | 3GB'!J:J,0),2),0)</f>
        <v>3</v>
      </c>
      <c r="G538" s="8">
        <f>_xlfn.IFNA(INDEX('OSA | 3GB'!J:L,MATCH(DATA!D538,'OSA | 3GB'!J:J,0),3),0)</f>
        <v>1558000</v>
      </c>
      <c r="H538" s="32">
        <f>_xlfn.IFNA(INDEX('OSA | 3GB'!A:C,MATCH(DATA!D538,'OSA | 3GB'!A:A,0),2),0)</f>
        <v>1</v>
      </c>
      <c r="I538" s="33">
        <f>_xlfn.IFNA(INDEX('OSA | 3GB'!A:C,MATCH(DATA!D538,'OSA | 3GB'!A:A,0),3),0)</f>
        <v>1070000</v>
      </c>
      <c r="J538" s="33">
        <f>INDEX('BIO WAHYU'!B:G,MATCH(DATA!D538,'BIO WAHYU'!B:B,0),5)</f>
        <v>3</v>
      </c>
      <c r="K538" s="34">
        <f>INDEX('BIO WAHYU'!B:G,MATCH(DATA!D538,'BIO WAHYU'!B:B,0),6)</f>
        <v>1</v>
      </c>
      <c r="L538" s="35">
        <f>INDEX('BIO WAHYU'!B:H,MATCH(DATA!D538,'BIO WAHYU'!B:B,0),7)</f>
        <v>0</v>
      </c>
      <c r="M538" s="34">
        <f>INDEX('BIO WAHYU'!B:H,MATCH(DATA!D538,'BIO WAHYU'!B:B,0),4)</f>
        <v>0</v>
      </c>
    </row>
    <row r="539" spans="1:13">
      <c r="A539" s="43" t="s">
        <v>1670</v>
      </c>
      <c r="B539" s="43">
        <v>2613052584</v>
      </c>
      <c r="C539" s="43" t="s">
        <v>580</v>
      </c>
      <c r="D539" s="10">
        <v>12328831</v>
      </c>
      <c r="E539" s="43" t="s">
        <v>10</v>
      </c>
      <c r="F539" s="8">
        <f>_xlfn.IFNA(INDEX('OSA | 3GB'!J:L,MATCH(DATA!D539,'OSA | 3GB'!J:J,0),2),0)</f>
        <v>4</v>
      </c>
      <c r="G539" s="8">
        <f>_xlfn.IFNA(INDEX('OSA | 3GB'!J:L,MATCH(DATA!D539,'OSA | 3GB'!J:J,0),3),0)</f>
        <v>661500</v>
      </c>
      <c r="H539" s="32" t="str">
        <f>_xlfn.IFNA(INDEX('OSA | 3GB'!A:C,MATCH(DATA!D539,'OSA | 3GB'!A:A,0),2),0)</f>
        <v xml:space="preserve"> -   </v>
      </c>
      <c r="I539" s="33" t="str">
        <f>_xlfn.IFNA(INDEX('OSA | 3GB'!A:C,MATCH(DATA!D539,'OSA | 3GB'!A:A,0),3),0)</f>
        <v xml:space="preserve"> -   </v>
      </c>
      <c r="J539" s="33">
        <f>INDEX('BIO WAHYU'!B:G,MATCH(DATA!D539,'BIO WAHYU'!B:B,0),5)</f>
        <v>2</v>
      </c>
      <c r="K539" s="34">
        <f>INDEX('BIO WAHYU'!B:G,MATCH(DATA!D539,'BIO WAHYU'!B:B,0),6)</f>
        <v>0</v>
      </c>
      <c r="L539" s="35">
        <f>INDEX('BIO WAHYU'!B:H,MATCH(DATA!D539,'BIO WAHYU'!B:B,0),7)</f>
        <v>0</v>
      </c>
      <c r="M539" s="34">
        <f>INDEX('BIO WAHYU'!B:H,MATCH(DATA!D539,'BIO WAHYU'!B:B,0),4)</f>
        <v>0</v>
      </c>
    </row>
    <row r="540" spans="1:13">
      <c r="A540" s="43" t="s">
        <v>1671</v>
      </c>
      <c r="B540" s="43">
        <v>2613050885</v>
      </c>
      <c r="C540" s="43" t="s">
        <v>1309</v>
      </c>
      <c r="D540" s="10">
        <v>323376</v>
      </c>
      <c r="E540" s="43" t="s">
        <v>15</v>
      </c>
      <c r="F540" s="8">
        <f>_xlfn.IFNA(INDEX('OSA | 3GB'!J:L,MATCH(DATA!D540,'OSA | 3GB'!J:J,0),2),0)</f>
        <v>3</v>
      </c>
      <c r="G540" s="8">
        <f>_xlfn.IFNA(INDEX('OSA | 3GB'!J:L,MATCH(DATA!D540,'OSA | 3GB'!J:J,0),3),0)</f>
        <v>12808300</v>
      </c>
      <c r="H540" s="32">
        <f>_xlfn.IFNA(INDEX('OSA | 3GB'!A:C,MATCH(DATA!D540,'OSA | 3GB'!A:A,0),2),0)</f>
        <v>3</v>
      </c>
      <c r="I540" s="33" t="str">
        <f>_xlfn.IFNA(INDEX('OSA | 3GB'!A:C,MATCH(DATA!D540,'OSA | 3GB'!A:A,0),3),0)</f>
        <v xml:space="preserve"> -   </v>
      </c>
      <c r="J540" s="33">
        <f>INDEX('BIO WAHYU'!B:G,MATCH(DATA!D540,'BIO WAHYU'!B:B,0),5)</f>
        <v>3</v>
      </c>
      <c r="K540" s="34">
        <f>INDEX('BIO WAHYU'!B:G,MATCH(DATA!D540,'BIO WAHYU'!B:B,0),6)</f>
        <v>3</v>
      </c>
      <c r="L540" s="35">
        <f>INDEX('BIO WAHYU'!B:H,MATCH(DATA!D540,'BIO WAHYU'!B:B,0),7)</f>
        <v>0</v>
      </c>
      <c r="M540" s="34">
        <f>INDEX('BIO WAHYU'!B:H,MATCH(DATA!D540,'BIO WAHYU'!B:B,0),4)</f>
        <v>0</v>
      </c>
    </row>
    <row r="541" spans="1:13">
      <c r="A541" s="43" t="s">
        <v>1674</v>
      </c>
      <c r="B541" s="43" t="s">
        <v>147</v>
      </c>
      <c r="C541" s="43" t="s">
        <v>596</v>
      </c>
      <c r="D541" s="10">
        <v>127148</v>
      </c>
      <c r="E541" s="43" t="s">
        <v>10</v>
      </c>
      <c r="F541" s="8">
        <f>_xlfn.IFNA(INDEX('OSA | 3GB'!J:L,MATCH(DATA!D541,'OSA | 3GB'!J:J,0),2),0)</f>
        <v>3</v>
      </c>
      <c r="G541" s="8">
        <f>_xlfn.IFNA(INDEX('OSA | 3GB'!J:L,MATCH(DATA!D541,'OSA | 3GB'!J:J,0),3),0)</f>
        <v>850000</v>
      </c>
      <c r="H541" s="32" t="str">
        <f>_xlfn.IFNA(INDEX('OSA | 3GB'!A:C,MATCH(DATA!D541,'OSA | 3GB'!A:A,0),2),0)</f>
        <v xml:space="preserve"> -   </v>
      </c>
      <c r="I541" s="33">
        <f>_xlfn.IFNA(INDEX('OSA | 3GB'!A:C,MATCH(DATA!D541,'OSA | 3GB'!A:A,0),3),0)</f>
        <v>100000</v>
      </c>
      <c r="J541" s="33">
        <f>INDEX('BIO WAHYU'!B:G,MATCH(DATA!D541,'BIO WAHYU'!B:B,0),5)</f>
        <v>1</v>
      </c>
      <c r="K541" s="34">
        <f>INDEX('BIO WAHYU'!B:G,MATCH(DATA!D541,'BIO WAHYU'!B:B,0),6)</f>
        <v>0</v>
      </c>
      <c r="L541" s="35">
        <f>INDEX('BIO WAHYU'!B:H,MATCH(DATA!D541,'BIO WAHYU'!B:B,0),7)</f>
        <v>0</v>
      </c>
      <c r="M541" s="34">
        <f>INDEX('BIO WAHYU'!B:H,MATCH(DATA!D541,'BIO WAHYU'!B:B,0),4)</f>
        <v>0</v>
      </c>
    </row>
    <row r="542" spans="1:13">
      <c r="A542" s="43" t="s">
        <v>1671</v>
      </c>
      <c r="B542" s="43">
        <v>2613050885</v>
      </c>
      <c r="C542" s="43" t="s">
        <v>1310</v>
      </c>
      <c r="D542" s="10">
        <v>62131</v>
      </c>
      <c r="E542" s="43" t="s">
        <v>15</v>
      </c>
      <c r="F542" s="8">
        <f>_xlfn.IFNA(INDEX('OSA | 3GB'!J:L,MATCH(DATA!D542,'OSA | 3GB'!J:J,0),2),0)</f>
        <v>0</v>
      </c>
      <c r="G542" s="8">
        <f>_xlfn.IFNA(INDEX('OSA | 3GB'!J:L,MATCH(DATA!D542,'OSA | 3GB'!J:J,0),3),0)</f>
        <v>600000</v>
      </c>
      <c r="H542" s="32" t="str">
        <f>_xlfn.IFNA(INDEX('OSA | 3GB'!A:C,MATCH(DATA!D542,'OSA | 3GB'!A:A,0),2),0)</f>
        <v xml:space="preserve"> -   </v>
      </c>
      <c r="I542" s="33">
        <f>_xlfn.IFNA(INDEX('OSA | 3GB'!A:C,MATCH(DATA!D542,'OSA | 3GB'!A:A,0),3),0)</f>
        <v>50000</v>
      </c>
      <c r="J542" s="33">
        <f>INDEX('BIO WAHYU'!B:G,MATCH(DATA!D542,'BIO WAHYU'!B:B,0),5)</f>
        <v>1</v>
      </c>
      <c r="K542" s="34">
        <f>INDEX('BIO WAHYU'!B:G,MATCH(DATA!D542,'BIO WAHYU'!B:B,0),6)</f>
        <v>0</v>
      </c>
      <c r="L542" s="35">
        <f>INDEX('BIO WAHYU'!B:H,MATCH(DATA!D542,'BIO WAHYU'!B:B,0),7)</f>
        <v>0</v>
      </c>
      <c r="M542" s="34">
        <f>INDEX('BIO WAHYU'!B:H,MATCH(DATA!D542,'BIO WAHYU'!B:B,0),4)</f>
        <v>0</v>
      </c>
    </row>
    <row r="543" spans="1:13">
      <c r="A543" s="43" t="s">
        <v>1674</v>
      </c>
      <c r="B543" s="43" t="s">
        <v>148</v>
      </c>
      <c r="C543" s="43" t="s">
        <v>1311</v>
      </c>
      <c r="D543" s="10">
        <v>62039</v>
      </c>
      <c r="E543" s="43" t="s">
        <v>10</v>
      </c>
      <c r="F543" s="8">
        <f>_xlfn.IFNA(INDEX('OSA | 3GB'!J:L,MATCH(DATA!D543,'OSA | 3GB'!J:J,0),2),0)</f>
        <v>0</v>
      </c>
      <c r="G543" s="8">
        <f>_xlfn.IFNA(INDEX('OSA | 3GB'!J:L,MATCH(DATA!D543,'OSA | 3GB'!J:J,0),3),0)</f>
        <v>0</v>
      </c>
      <c r="H543" s="32" t="str">
        <f>_xlfn.IFNA(INDEX('OSA | 3GB'!A:C,MATCH(DATA!D543,'OSA | 3GB'!A:A,0),2),0)</f>
        <v xml:space="preserve"> -   </v>
      </c>
      <c r="I543" s="33" t="str">
        <f>_xlfn.IFNA(INDEX('OSA | 3GB'!A:C,MATCH(DATA!D543,'OSA | 3GB'!A:A,0),3),0)</f>
        <v xml:space="preserve"> -   </v>
      </c>
      <c r="J543" s="33">
        <f>INDEX('BIO WAHYU'!B:G,MATCH(DATA!D543,'BIO WAHYU'!B:B,0),5)</f>
        <v>0</v>
      </c>
      <c r="K543" s="34">
        <f>INDEX('BIO WAHYU'!B:G,MATCH(DATA!D543,'BIO WAHYU'!B:B,0),6)</f>
        <v>0</v>
      </c>
      <c r="L543" s="35">
        <f>INDEX('BIO WAHYU'!B:H,MATCH(DATA!D543,'BIO WAHYU'!B:B,0),7)</f>
        <v>0</v>
      </c>
      <c r="M543" s="34">
        <f>INDEX('BIO WAHYU'!B:H,MATCH(DATA!D543,'BIO WAHYU'!B:B,0),4)</f>
        <v>0</v>
      </c>
    </row>
    <row r="544" spans="1:13">
      <c r="A544" s="43" t="s">
        <v>1671</v>
      </c>
      <c r="B544" s="43">
        <v>2613050885</v>
      </c>
      <c r="C544" s="43" t="s">
        <v>1312</v>
      </c>
      <c r="D544" s="10">
        <v>512777</v>
      </c>
      <c r="E544" s="43" t="s">
        <v>10</v>
      </c>
      <c r="F544" s="8">
        <f>_xlfn.IFNA(INDEX('OSA | 3GB'!J:L,MATCH(DATA!D544,'OSA | 3GB'!J:J,0),2),0)</f>
        <v>9</v>
      </c>
      <c r="G544" s="8">
        <f>_xlfn.IFNA(INDEX('OSA | 3GB'!J:L,MATCH(DATA!D544,'OSA | 3GB'!J:J,0),3),0)</f>
        <v>13137000</v>
      </c>
      <c r="H544" s="32">
        <f>_xlfn.IFNA(INDEX('OSA | 3GB'!A:C,MATCH(DATA!D544,'OSA | 3GB'!A:A,0),2),0)</f>
        <v>3</v>
      </c>
      <c r="I544" s="33" t="str">
        <f>_xlfn.IFNA(INDEX('OSA | 3GB'!A:C,MATCH(DATA!D544,'OSA | 3GB'!A:A,0),3),0)</f>
        <v xml:space="preserve"> -   </v>
      </c>
      <c r="J544" s="33">
        <f>INDEX('BIO WAHYU'!B:G,MATCH(DATA!D544,'BIO WAHYU'!B:B,0),5)</f>
        <v>3</v>
      </c>
      <c r="K544" s="34">
        <f>INDEX('BIO WAHYU'!B:G,MATCH(DATA!D544,'BIO WAHYU'!B:B,0),6)</f>
        <v>3</v>
      </c>
      <c r="L544" s="35">
        <f>INDEX('BIO WAHYU'!B:H,MATCH(DATA!D544,'BIO WAHYU'!B:B,0),7)</f>
        <v>0</v>
      </c>
      <c r="M544" s="34">
        <f>INDEX('BIO WAHYU'!B:H,MATCH(DATA!D544,'BIO WAHYU'!B:B,0),4)</f>
        <v>0</v>
      </c>
    </row>
    <row r="545" spans="1:13">
      <c r="A545" s="43" t="s">
        <v>1675</v>
      </c>
      <c r="B545" s="43" t="s">
        <v>137</v>
      </c>
      <c r="C545" s="43" t="s">
        <v>417</v>
      </c>
      <c r="D545" s="10">
        <v>12295756</v>
      </c>
      <c r="E545" s="43" t="s">
        <v>15</v>
      </c>
      <c r="F545" s="8">
        <f>_xlfn.IFNA(INDEX('OSA | 3GB'!J:L,MATCH(DATA!D545,'OSA | 3GB'!J:J,0),2),0)</f>
        <v>47</v>
      </c>
      <c r="G545" s="8">
        <f>_xlfn.IFNA(INDEX('OSA | 3GB'!J:L,MATCH(DATA!D545,'OSA | 3GB'!J:J,0),3),0)</f>
        <v>360000</v>
      </c>
      <c r="H545" s="32" t="str">
        <f>_xlfn.IFNA(INDEX('OSA | 3GB'!A:C,MATCH(DATA!D545,'OSA | 3GB'!A:A,0),2),0)</f>
        <v xml:space="preserve"> -   </v>
      </c>
      <c r="I545" s="33" t="str">
        <f>_xlfn.IFNA(INDEX('OSA | 3GB'!A:C,MATCH(DATA!D545,'OSA | 3GB'!A:A,0),3),0)</f>
        <v xml:space="preserve"> -   </v>
      </c>
      <c r="J545" s="33">
        <f>INDEX('BIO WAHYU'!B:G,MATCH(DATA!D545,'BIO WAHYU'!B:B,0),5)</f>
        <v>12</v>
      </c>
      <c r="K545" s="34">
        <f>INDEX('BIO WAHYU'!B:G,MATCH(DATA!D545,'BIO WAHYU'!B:B,0),6)</f>
        <v>2</v>
      </c>
      <c r="L545" s="35">
        <f>INDEX('BIO WAHYU'!B:H,MATCH(DATA!D545,'BIO WAHYU'!B:B,0),7)</f>
        <v>0</v>
      </c>
      <c r="M545" s="34">
        <f>INDEX('BIO WAHYU'!B:H,MATCH(DATA!D545,'BIO WAHYU'!B:B,0),4)</f>
        <v>0</v>
      </c>
    </row>
    <row r="546" spans="1:13">
      <c r="A546" s="43" t="s">
        <v>1670</v>
      </c>
      <c r="B546" s="43">
        <v>2613051412</v>
      </c>
      <c r="C546" s="43" t="s">
        <v>561</v>
      </c>
      <c r="D546" s="10">
        <v>470900</v>
      </c>
      <c r="E546" s="43" t="s">
        <v>10</v>
      </c>
      <c r="F546" s="8">
        <f>_xlfn.IFNA(INDEX('OSA | 3GB'!J:L,MATCH(DATA!D546,'OSA | 3GB'!J:J,0),2),0)</f>
        <v>0</v>
      </c>
      <c r="G546" s="8">
        <f>_xlfn.IFNA(INDEX('OSA | 3GB'!J:L,MATCH(DATA!D546,'OSA | 3GB'!J:J,0),3),0)</f>
        <v>0</v>
      </c>
      <c r="H546" s="32">
        <f>_xlfn.IFNA(INDEX('OSA | 3GB'!A:C,MATCH(DATA!D546,'OSA | 3GB'!A:A,0),2),0)</f>
        <v>3</v>
      </c>
      <c r="I546" s="33" t="str">
        <f>_xlfn.IFNA(INDEX('OSA | 3GB'!A:C,MATCH(DATA!D546,'OSA | 3GB'!A:A,0),3),0)</f>
        <v xml:space="preserve"> -   </v>
      </c>
      <c r="J546" s="33">
        <f>INDEX('BIO WAHYU'!B:G,MATCH(DATA!D546,'BIO WAHYU'!B:B,0),5)</f>
        <v>0</v>
      </c>
      <c r="K546" s="34">
        <f>INDEX('BIO WAHYU'!B:G,MATCH(DATA!D546,'BIO WAHYU'!B:B,0),6)</f>
        <v>3</v>
      </c>
      <c r="L546" s="35">
        <f>INDEX('BIO WAHYU'!B:H,MATCH(DATA!D546,'BIO WAHYU'!B:B,0),7)</f>
        <v>3</v>
      </c>
      <c r="M546" s="34">
        <f>INDEX('BIO WAHYU'!B:H,MATCH(DATA!D546,'BIO WAHYU'!B:B,0),4)</f>
        <v>0</v>
      </c>
    </row>
    <row r="547" spans="1:13">
      <c r="A547" s="43" t="s">
        <v>1670</v>
      </c>
      <c r="B547" s="43" t="s">
        <v>140</v>
      </c>
      <c r="C547" s="43" t="s">
        <v>1313</v>
      </c>
      <c r="D547" s="10">
        <v>12324541</v>
      </c>
      <c r="E547" s="43" t="s">
        <v>15</v>
      </c>
      <c r="F547" s="8">
        <f>_xlfn.IFNA(INDEX('OSA | 3GB'!J:L,MATCH(DATA!D547,'OSA | 3GB'!J:J,0),2),0)</f>
        <v>1</v>
      </c>
      <c r="G547" s="8">
        <f>_xlfn.IFNA(INDEX('OSA | 3GB'!J:L,MATCH(DATA!D547,'OSA | 3GB'!J:J,0),3),0)</f>
        <v>500000</v>
      </c>
      <c r="H547" s="32" t="str">
        <f>_xlfn.IFNA(INDEX('OSA | 3GB'!A:C,MATCH(DATA!D547,'OSA | 3GB'!A:A,0),2),0)</f>
        <v xml:space="preserve"> -   </v>
      </c>
      <c r="I547" s="33" t="str">
        <f>_xlfn.IFNA(INDEX('OSA | 3GB'!A:C,MATCH(DATA!D547,'OSA | 3GB'!A:A,0),3),0)</f>
        <v xml:space="preserve"> -   </v>
      </c>
      <c r="J547" s="33">
        <f>INDEX('BIO WAHYU'!B:G,MATCH(DATA!D547,'BIO WAHYU'!B:B,0),5)</f>
        <v>1</v>
      </c>
      <c r="K547" s="34">
        <f>INDEX('BIO WAHYU'!B:G,MATCH(DATA!D547,'BIO WAHYU'!B:B,0),6)</f>
        <v>0</v>
      </c>
      <c r="L547" s="35">
        <f>INDEX('BIO WAHYU'!B:H,MATCH(DATA!D547,'BIO WAHYU'!B:B,0),7)</f>
        <v>0</v>
      </c>
      <c r="M547" s="34">
        <f>INDEX('BIO WAHYU'!B:H,MATCH(DATA!D547,'BIO WAHYU'!B:B,0),4)</f>
        <v>0</v>
      </c>
    </row>
    <row r="548" spans="1:13">
      <c r="A548" s="43" t="s">
        <v>1672</v>
      </c>
      <c r="B548" s="43" t="s">
        <v>150</v>
      </c>
      <c r="C548" s="43" t="s">
        <v>841</v>
      </c>
      <c r="D548" s="10">
        <v>61948</v>
      </c>
      <c r="E548" s="43" t="s">
        <v>10</v>
      </c>
      <c r="F548" s="8">
        <f>_xlfn.IFNA(INDEX('OSA | 3GB'!J:L,MATCH(DATA!D548,'OSA | 3GB'!J:J,0),2),0)</f>
        <v>0</v>
      </c>
      <c r="G548" s="8">
        <f>_xlfn.IFNA(INDEX('OSA | 3GB'!J:L,MATCH(DATA!D548,'OSA | 3GB'!J:J,0),3),0)</f>
        <v>100000</v>
      </c>
      <c r="H548" s="32" t="str">
        <f>_xlfn.IFNA(INDEX('OSA | 3GB'!A:C,MATCH(DATA!D548,'OSA | 3GB'!A:A,0),2),0)</f>
        <v xml:space="preserve"> -   </v>
      </c>
      <c r="I548" s="33" t="str">
        <f>_xlfn.IFNA(INDEX('OSA | 3GB'!A:C,MATCH(DATA!D548,'OSA | 3GB'!A:A,0),3),0)</f>
        <v xml:space="preserve"> -   </v>
      </c>
      <c r="J548" s="33">
        <f>INDEX('BIO WAHYU'!B:G,MATCH(DATA!D548,'BIO WAHYU'!B:B,0),5)</f>
        <v>0</v>
      </c>
      <c r="K548" s="34">
        <f>INDEX('BIO WAHYU'!B:G,MATCH(DATA!D548,'BIO WAHYU'!B:B,0),6)</f>
        <v>0</v>
      </c>
      <c r="L548" s="35">
        <f>INDEX('BIO WAHYU'!B:H,MATCH(DATA!D548,'BIO WAHYU'!B:B,0),7)</f>
        <v>0</v>
      </c>
      <c r="M548" s="34">
        <f>INDEX('BIO WAHYU'!B:H,MATCH(DATA!D548,'BIO WAHYU'!B:B,0),4)</f>
        <v>0</v>
      </c>
    </row>
    <row r="549" spans="1:13">
      <c r="A549" s="43" t="s">
        <v>1672</v>
      </c>
      <c r="B549" s="43">
        <v>2613051475</v>
      </c>
      <c r="C549" s="43" t="s">
        <v>893</v>
      </c>
      <c r="D549" s="10">
        <v>269947</v>
      </c>
      <c r="E549" s="43" t="s">
        <v>10</v>
      </c>
      <c r="F549" s="8">
        <f>_xlfn.IFNA(INDEX('OSA | 3GB'!J:L,MATCH(DATA!D549,'OSA | 3GB'!J:J,0),2),0)</f>
        <v>0</v>
      </c>
      <c r="G549" s="8">
        <f>_xlfn.IFNA(INDEX('OSA | 3GB'!J:L,MATCH(DATA!D549,'OSA | 3GB'!J:J,0),3),0)</f>
        <v>11229000</v>
      </c>
      <c r="H549" s="32">
        <f>_xlfn.IFNA(INDEX('OSA | 3GB'!A:C,MATCH(DATA!D549,'OSA | 3GB'!A:A,0),2),0)</f>
        <v>1</v>
      </c>
      <c r="I549" s="33">
        <f>_xlfn.IFNA(INDEX('OSA | 3GB'!A:C,MATCH(DATA!D549,'OSA | 3GB'!A:A,0),3),0)</f>
        <v>4629850</v>
      </c>
      <c r="J549" s="33">
        <f>INDEX('BIO WAHYU'!B:G,MATCH(DATA!D549,'BIO WAHYU'!B:B,0),5)</f>
        <v>4</v>
      </c>
      <c r="K549" s="34">
        <f>INDEX('BIO WAHYU'!B:G,MATCH(DATA!D549,'BIO WAHYU'!B:B,0),6)</f>
        <v>2</v>
      </c>
      <c r="L549" s="35">
        <f>INDEX('BIO WAHYU'!B:H,MATCH(DATA!D549,'BIO WAHYU'!B:B,0),7)</f>
        <v>0</v>
      </c>
      <c r="M549" s="34">
        <f>INDEX('BIO WAHYU'!B:H,MATCH(DATA!D549,'BIO WAHYU'!B:B,0),4)</f>
        <v>0</v>
      </c>
    </row>
    <row r="550" spans="1:13">
      <c r="A550" s="43" t="s">
        <v>1672</v>
      </c>
      <c r="B550" s="43" t="s">
        <v>157</v>
      </c>
      <c r="C550" s="43" t="s">
        <v>166</v>
      </c>
      <c r="D550" s="10">
        <v>284945</v>
      </c>
      <c r="E550" s="43" t="s">
        <v>10</v>
      </c>
      <c r="F550" s="8">
        <f>_xlfn.IFNA(INDEX('OSA | 3GB'!J:L,MATCH(DATA!D550,'OSA | 3GB'!J:J,0),2),0)</f>
        <v>3</v>
      </c>
      <c r="G550" s="8">
        <f>_xlfn.IFNA(INDEX('OSA | 3GB'!J:L,MATCH(DATA!D550,'OSA | 3GB'!J:J,0),3),0)</f>
        <v>1000000</v>
      </c>
      <c r="H550" s="32" t="str">
        <f>_xlfn.IFNA(INDEX('OSA | 3GB'!A:C,MATCH(DATA!D550,'OSA | 3GB'!A:A,0),2),0)</f>
        <v xml:space="preserve"> -   </v>
      </c>
      <c r="I550" s="33" t="str">
        <f>_xlfn.IFNA(INDEX('OSA | 3GB'!A:C,MATCH(DATA!D550,'OSA | 3GB'!A:A,0),3),0)</f>
        <v xml:space="preserve"> -   </v>
      </c>
      <c r="J550" s="33">
        <f>INDEX('BIO WAHYU'!B:G,MATCH(DATA!D550,'BIO WAHYU'!B:B,0),5)</f>
        <v>0</v>
      </c>
      <c r="K550" s="34">
        <f>INDEX('BIO WAHYU'!B:G,MATCH(DATA!D550,'BIO WAHYU'!B:B,0),6)</f>
        <v>0</v>
      </c>
      <c r="L550" s="35">
        <f>INDEX('BIO WAHYU'!B:H,MATCH(DATA!D550,'BIO WAHYU'!B:B,0),7)</f>
        <v>0</v>
      </c>
      <c r="M550" s="34">
        <f>INDEX('BIO WAHYU'!B:H,MATCH(DATA!D550,'BIO WAHYU'!B:B,0),4)</f>
        <v>0</v>
      </c>
    </row>
    <row r="551" spans="1:13">
      <c r="A551" s="43" t="s">
        <v>1</v>
      </c>
      <c r="B551" s="43" t="s">
        <v>3</v>
      </c>
      <c r="C551" s="43" t="s">
        <v>1089</v>
      </c>
      <c r="D551" s="10">
        <v>12295833</v>
      </c>
      <c r="E551" s="43" t="s">
        <v>15</v>
      </c>
      <c r="F551" s="8">
        <f>_xlfn.IFNA(INDEX('OSA | 3GB'!J:L,MATCH(DATA!D551,'OSA | 3GB'!J:J,0),2),0)</f>
        <v>3</v>
      </c>
      <c r="G551" s="8">
        <f>_xlfn.IFNA(INDEX('OSA | 3GB'!J:L,MATCH(DATA!D551,'OSA | 3GB'!J:J,0),3),0)</f>
        <v>1000</v>
      </c>
      <c r="H551" s="32" t="str">
        <f>_xlfn.IFNA(INDEX('OSA | 3GB'!A:C,MATCH(DATA!D551,'OSA | 3GB'!A:A,0),2),0)</f>
        <v xml:space="preserve"> -   </v>
      </c>
      <c r="I551" s="33" t="str">
        <f>_xlfn.IFNA(INDEX('OSA | 3GB'!A:C,MATCH(DATA!D551,'OSA | 3GB'!A:A,0),3),0)</f>
        <v xml:space="preserve"> -   </v>
      </c>
      <c r="J551" s="33">
        <f>INDEX('BIO WAHYU'!B:G,MATCH(DATA!D551,'BIO WAHYU'!B:B,0),5)</f>
        <v>3</v>
      </c>
      <c r="K551" s="34">
        <f>INDEX('BIO WAHYU'!B:G,MATCH(DATA!D551,'BIO WAHYU'!B:B,0),6)</f>
        <v>0</v>
      </c>
      <c r="L551" s="35">
        <f>INDEX('BIO WAHYU'!B:H,MATCH(DATA!D551,'BIO WAHYU'!B:B,0),7)</f>
        <v>0</v>
      </c>
      <c r="M551" s="34">
        <f>INDEX('BIO WAHYU'!B:H,MATCH(DATA!D551,'BIO WAHYU'!B:B,0),4)</f>
        <v>0</v>
      </c>
    </row>
    <row r="552" spans="1:13">
      <c r="A552" s="43" t="s">
        <v>1672</v>
      </c>
      <c r="B552" s="43" t="s">
        <v>157</v>
      </c>
      <c r="C552" s="43" t="s">
        <v>1062</v>
      </c>
      <c r="D552" s="10">
        <v>61927</v>
      </c>
      <c r="E552" s="43" t="s">
        <v>10</v>
      </c>
      <c r="F552" s="8">
        <f>_xlfn.IFNA(INDEX('OSA | 3GB'!J:L,MATCH(DATA!D552,'OSA | 3GB'!J:J,0),2),0)</f>
        <v>0</v>
      </c>
      <c r="G552" s="8">
        <f>_xlfn.IFNA(INDEX('OSA | 3GB'!J:L,MATCH(DATA!D552,'OSA | 3GB'!J:J,0),3),0)</f>
        <v>29000</v>
      </c>
      <c r="H552" s="32" t="str">
        <f>_xlfn.IFNA(INDEX('OSA | 3GB'!A:C,MATCH(DATA!D552,'OSA | 3GB'!A:A,0),2),0)</f>
        <v xml:space="preserve"> -   </v>
      </c>
      <c r="I552" s="33" t="str">
        <f>_xlfn.IFNA(INDEX('OSA | 3GB'!A:C,MATCH(DATA!D552,'OSA | 3GB'!A:A,0),3),0)</f>
        <v xml:space="preserve"> -   </v>
      </c>
      <c r="J552" s="33">
        <f>INDEX('BIO WAHYU'!B:G,MATCH(DATA!D552,'BIO WAHYU'!B:B,0),5)</f>
        <v>0</v>
      </c>
      <c r="K552" s="34">
        <f>INDEX('BIO WAHYU'!B:G,MATCH(DATA!D552,'BIO WAHYU'!B:B,0),6)</f>
        <v>0</v>
      </c>
      <c r="L552" s="35">
        <f>INDEX('BIO WAHYU'!B:H,MATCH(DATA!D552,'BIO WAHYU'!B:B,0),7)</f>
        <v>0</v>
      </c>
      <c r="M552" s="34">
        <f>INDEX('BIO WAHYU'!B:H,MATCH(DATA!D552,'BIO WAHYU'!B:B,0),4)</f>
        <v>0</v>
      </c>
    </row>
    <row r="553" spans="1:13">
      <c r="A553" s="43" t="s">
        <v>1672</v>
      </c>
      <c r="B553" s="43" t="s">
        <v>157</v>
      </c>
      <c r="C553" s="43" t="s">
        <v>1020</v>
      </c>
      <c r="D553" s="10">
        <v>12303922</v>
      </c>
      <c r="E553" s="43" t="s">
        <v>10</v>
      </c>
      <c r="F553" s="8">
        <f>_xlfn.IFNA(INDEX('OSA | 3GB'!J:L,MATCH(DATA!D553,'OSA | 3GB'!J:J,0),2),0)</f>
        <v>83</v>
      </c>
      <c r="G553" s="8">
        <f>_xlfn.IFNA(INDEX('OSA | 3GB'!J:L,MATCH(DATA!D553,'OSA | 3GB'!J:J,0),3),0)</f>
        <v>595500</v>
      </c>
      <c r="H553" s="32">
        <f>_xlfn.IFNA(INDEX('OSA | 3GB'!A:C,MATCH(DATA!D553,'OSA | 3GB'!A:A,0),2),0)</f>
        <v>7</v>
      </c>
      <c r="I553" s="33">
        <f>_xlfn.IFNA(INDEX('OSA | 3GB'!A:C,MATCH(DATA!D553,'OSA | 3GB'!A:A,0),3),0)</f>
        <v>150000</v>
      </c>
      <c r="J553" s="33">
        <f>INDEX('BIO WAHYU'!B:G,MATCH(DATA!D553,'BIO WAHYU'!B:B,0),5)</f>
        <v>38</v>
      </c>
      <c r="K553" s="34">
        <f>INDEX('BIO WAHYU'!B:G,MATCH(DATA!D553,'BIO WAHYU'!B:B,0),6)</f>
        <v>30</v>
      </c>
      <c r="L553" s="35">
        <f>INDEX('BIO WAHYU'!B:H,MATCH(DATA!D553,'BIO WAHYU'!B:B,0),7)</f>
        <v>0</v>
      </c>
      <c r="M553" s="34">
        <f>INDEX('BIO WAHYU'!B:H,MATCH(DATA!D553,'BIO WAHYU'!B:B,0),4)</f>
        <v>0</v>
      </c>
    </row>
    <row r="554" spans="1:13">
      <c r="A554" s="43" t="s">
        <v>1</v>
      </c>
      <c r="B554" s="43" t="s">
        <v>5</v>
      </c>
      <c r="C554" s="43" t="s">
        <v>1090</v>
      </c>
      <c r="D554" s="10">
        <v>352167</v>
      </c>
      <c r="E554" s="43" t="s">
        <v>10</v>
      </c>
      <c r="F554" s="8">
        <f>_xlfn.IFNA(INDEX('OSA | 3GB'!J:L,MATCH(DATA!D554,'OSA | 3GB'!J:J,0),2),0)</f>
        <v>0</v>
      </c>
      <c r="G554" s="8">
        <f>_xlfn.IFNA(INDEX('OSA | 3GB'!J:L,MATCH(DATA!D554,'OSA | 3GB'!J:J,0),3),0)</f>
        <v>1200000</v>
      </c>
      <c r="H554" s="32" t="str">
        <f>_xlfn.IFNA(INDEX('OSA | 3GB'!A:C,MATCH(DATA!D554,'OSA | 3GB'!A:A,0),2),0)</f>
        <v xml:space="preserve"> -   </v>
      </c>
      <c r="I554" s="33">
        <f>_xlfn.IFNA(INDEX('OSA | 3GB'!A:C,MATCH(DATA!D554,'OSA | 3GB'!A:A,0),3),0)</f>
        <v>500000</v>
      </c>
      <c r="J554" s="33">
        <f>INDEX('BIO WAHYU'!B:G,MATCH(DATA!D554,'BIO WAHYU'!B:B,0),5)</f>
        <v>1</v>
      </c>
      <c r="K554" s="34">
        <f>INDEX('BIO WAHYU'!B:G,MATCH(DATA!D554,'BIO WAHYU'!B:B,0),6)</f>
        <v>0</v>
      </c>
      <c r="L554" s="35">
        <f>INDEX('BIO WAHYU'!B:H,MATCH(DATA!D554,'BIO WAHYU'!B:B,0),7)</f>
        <v>0</v>
      </c>
      <c r="M554" s="34">
        <f>INDEX('BIO WAHYU'!B:H,MATCH(DATA!D554,'BIO WAHYU'!B:B,0),4)</f>
        <v>0</v>
      </c>
    </row>
    <row r="555" spans="1:13">
      <c r="A555" s="43" t="s">
        <v>1675</v>
      </c>
      <c r="B555" s="43">
        <v>2613051451</v>
      </c>
      <c r="C555" s="43" t="s">
        <v>379</v>
      </c>
      <c r="D555" s="10">
        <v>12300882</v>
      </c>
      <c r="E555" s="43" t="s">
        <v>10</v>
      </c>
      <c r="F555" s="8">
        <f>_xlfn.IFNA(INDEX('OSA | 3GB'!J:L,MATCH(DATA!D555,'OSA | 3GB'!J:J,0),2),0)</f>
        <v>0</v>
      </c>
      <c r="G555" s="8">
        <f>_xlfn.IFNA(INDEX('OSA | 3GB'!J:L,MATCH(DATA!D555,'OSA | 3GB'!J:J,0),3),0)</f>
        <v>0</v>
      </c>
      <c r="H555" s="32" t="str">
        <f>_xlfn.IFNA(INDEX('OSA | 3GB'!A:C,MATCH(DATA!D555,'OSA | 3GB'!A:A,0),2),0)</f>
        <v xml:space="preserve"> -   </v>
      </c>
      <c r="I555" s="33" t="str">
        <f>_xlfn.IFNA(INDEX('OSA | 3GB'!A:C,MATCH(DATA!D555,'OSA | 3GB'!A:A,0),3),0)</f>
        <v xml:space="preserve"> -   </v>
      </c>
      <c r="J555" s="33">
        <f>INDEX('BIO WAHYU'!B:G,MATCH(DATA!D555,'BIO WAHYU'!B:B,0),5)</f>
        <v>0</v>
      </c>
      <c r="K555" s="34">
        <f>INDEX('BIO WAHYU'!B:G,MATCH(DATA!D555,'BIO WAHYU'!B:B,0),6)</f>
        <v>0</v>
      </c>
      <c r="L555" s="35">
        <f>INDEX('BIO WAHYU'!B:H,MATCH(DATA!D555,'BIO WAHYU'!B:B,0),7)</f>
        <v>0</v>
      </c>
      <c r="M555" s="34">
        <f>INDEX('BIO WAHYU'!B:H,MATCH(DATA!D555,'BIO WAHYU'!B:B,0),4)</f>
        <v>0</v>
      </c>
    </row>
    <row r="556" spans="1:13">
      <c r="A556" s="43" t="s">
        <v>1672</v>
      </c>
      <c r="B556" s="43">
        <v>2613051475</v>
      </c>
      <c r="C556" s="43" t="s">
        <v>915</v>
      </c>
      <c r="D556" s="10">
        <v>540113</v>
      </c>
      <c r="E556" s="43" t="s">
        <v>10</v>
      </c>
      <c r="F556" s="8">
        <f>_xlfn.IFNA(INDEX('OSA | 3GB'!J:L,MATCH(DATA!D556,'OSA | 3GB'!J:J,0),2),0)</f>
        <v>0</v>
      </c>
      <c r="G556" s="8">
        <f>_xlfn.IFNA(INDEX('OSA | 3GB'!J:L,MATCH(DATA!D556,'OSA | 3GB'!J:J,0),3),0)</f>
        <v>0</v>
      </c>
      <c r="H556" s="32" t="str">
        <f>_xlfn.IFNA(INDEX('OSA | 3GB'!A:C,MATCH(DATA!D556,'OSA | 3GB'!A:A,0),2),0)</f>
        <v xml:space="preserve"> -   </v>
      </c>
      <c r="I556" s="33" t="str">
        <f>_xlfn.IFNA(INDEX('OSA | 3GB'!A:C,MATCH(DATA!D556,'OSA | 3GB'!A:A,0),3),0)</f>
        <v xml:space="preserve"> -   </v>
      </c>
      <c r="J556" s="33">
        <f>INDEX('BIO WAHYU'!B:G,MATCH(DATA!D556,'BIO WAHYU'!B:B,0),5)</f>
        <v>1</v>
      </c>
      <c r="K556" s="34">
        <f>INDEX('BIO WAHYU'!B:G,MATCH(DATA!D556,'BIO WAHYU'!B:B,0),6)</f>
        <v>0</v>
      </c>
      <c r="L556" s="35">
        <f>INDEX('BIO WAHYU'!B:H,MATCH(DATA!D556,'BIO WAHYU'!B:B,0),7)</f>
        <v>0</v>
      </c>
      <c r="M556" s="34">
        <f>INDEX('BIO WAHYU'!B:H,MATCH(DATA!D556,'BIO WAHYU'!B:B,0),4)</f>
        <v>0</v>
      </c>
    </row>
    <row r="557" spans="1:13">
      <c r="A557" s="43" t="s">
        <v>1670</v>
      </c>
      <c r="B557" s="43" t="s">
        <v>145</v>
      </c>
      <c r="C557" s="43" t="s">
        <v>513</v>
      </c>
      <c r="D557" s="10">
        <v>512640</v>
      </c>
      <c r="E557" s="43" t="s">
        <v>10</v>
      </c>
      <c r="F557" s="8">
        <f>_xlfn.IFNA(INDEX('OSA | 3GB'!J:L,MATCH(DATA!D557,'OSA | 3GB'!J:J,0),2),0)</f>
        <v>4</v>
      </c>
      <c r="G557" s="8">
        <f>_xlfn.IFNA(INDEX('OSA | 3GB'!J:L,MATCH(DATA!D557,'OSA | 3GB'!J:J,0),3),0)</f>
        <v>3800000</v>
      </c>
      <c r="H557" s="32" t="str">
        <f>_xlfn.IFNA(INDEX('OSA | 3GB'!A:C,MATCH(DATA!D557,'OSA | 3GB'!A:A,0),2),0)</f>
        <v xml:space="preserve"> -   </v>
      </c>
      <c r="I557" s="33">
        <f>_xlfn.IFNA(INDEX('OSA | 3GB'!A:C,MATCH(DATA!D557,'OSA | 3GB'!A:A,0),3),0)</f>
        <v>1300000</v>
      </c>
      <c r="J557" s="33">
        <f>INDEX('BIO WAHYU'!B:G,MATCH(DATA!D557,'BIO WAHYU'!B:B,0),5)</f>
        <v>3</v>
      </c>
      <c r="K557" s="34">
        <f>INDEX('BIO WAHYU'!B:G,MATCH(DATA!D557,'BIO WAHYU'!B:B,0),6)</f>
        <v>2</v>
      </c>
      <c r="L557" s="35">
        <f>INDEX('BIO WAHYU'!B:H,MATCH(DATA!D557,'BIO WAHYU'!B:B,0),7)</f>
        <v>0</v>
      </c>
      <c r="M557" s="34">
        <f>INDEX('BIO WAHYU'!B:H,MATCH(DATA!D557,'BIO WAHYU'!B:B,0),4)</f>
        <v>0</v>
      </c>
    </row>
    <row r="558" spans="1:13">
      <c r="A558" s="43" t="s">
        <v>1670</v>
      </c>
      <c r="B558" s="43" t="s">
        <v>145</v>
      </c>
      <c r="C558" s="43" t="s">
        <v>509</v>
      </c>
      <c r="D558" s="10">
        <v>412602</v>
      </c>
      <c r="E558" s="43" t="s">
        <v>10</v>
      </c>
      <c r="F558" s="8">
        <f>_xlfn.IFNA(INDEX('OSA | 3GB'!J:L,MATCH(DATA!D558,'OSA | 3GB'!J:J,0),2),0)</f>
        <v>5</v>
      </c>
      <c r="G558" s="8">
        <f>_xlfn.IFNA(INDEX('OSA | 3GB'!J:L,MATCH(DATA!D558,'OSA | 3GB'!J:J,0),3),0)</f>
        <v>7955000</v>
      </c>
      <c r="H558" s="32">
        <f>_xlfn.IFNA(INDEX('OSA | 3GB'!A:C,MATCH(DATA!D558,'OSA | 3GB'!A:A,0),2),0)</f>
        <v>3</v>
      </c>
      <c r="I558" s="33">
        <f>_xlfn.IFNA(INDEX('OSA | 3GB'!A:C,MATCH(DATA!D558,'OSA | 3GB'!A:A,0),3),0)</f>
        <v>2550000</v>
      </c>
      <c r="J558" s="33">
        <f>INDEX('BIO WAHYU'!B:G,MATCH(DATA!D558,'BIO WAHYU'!B:B,0),5)</f>
        <v>4</v>
      </c>
      <c r="K558" s="34">
        <f>INDEX('BIO WAHYU'!B:G,MATCH(DATA!D558,'BIO WAHYU'!B:B,0),6)</f>
        <v>0</v>
      </c>
      <c r="L558" s="35">
        <f>INDEX('BIO WAHYU'!B:H,MATCH(DATA!D558,'BIO WAHYU'!B:B,0),7)</f>
        <v>0</v>
      </c>
      <c r="M558" s="34">
        <f>INDEX('BIO WAHYU'!B:H,MATCH(DATA!D558,'BIO WAHYU'!B:B,0),4)</f>
        <v>0</v>
      </c>
    </row>
    <row r="559" spans="1:13">
      <c r="A559" s="43" t="s">
        <v>1672</v>
      </c>
      <c r="B559" s="43" t="s">
        <v>150</v>
      </c>
      <c r="C559" s="43" t="s">
        <v>1314</v>
      </c>
      <c r="D559" s="10">
        <v>538626</v>
      </c>
      <c r="E559" s="43" t="s">
        <v>10</v>
      </c>
      <c r="F559" s="8">
        <f>_xlfn.IFNA(INDEX('OSA | 3GB'!J:L,MATCH(DATA!D559,'OSA | 3GB'!J:J,0),2),0)</f>
        <v>1</v>
      </c>
      <c r="G559" s="8">
        <f>_xlfn.IFNA(INDEX('OSA | 3GB'!J:L,MATCH(DATA!D559,'OSA | 3GB'!J:J,0),3),0)</f>
        <v>1708000</v>
      </c>
      <c r="H559" s="32">
        <f>_xlfn.IFNA(INDEX('OSA | 3GB'!A:C,MATCH(DATA!D559,'OSA | 3GB'!A:A,0),2),0)</f>
        <v>9</v>
      </c>
      <c r="I559" s="33">
        <f>_xlfn.IFNA(INDEX('OSA | 3GB'!A:C,MATCH(DATA!D559,'OSA | 3GB'!A:A,0),3),0)</f>
        <v>675000</v>
      </c>
      <c r="J559" s="33">
        <f>INDEX('BIO WAHYU'!B:G,MATCH(DATA!D559,'BIO WAHYU'!B:B,0),5)</f>
        <v>1</v>
      </c>
      <c r="K559" s="34">
        <f>INDEX('BIO WAHYU'!B:G,MATCH(DATA!D559,'BIO WAHYU'!B:B,0),6)</f>
        <v>3</v>
      </c>
      <c r="L559" s="35">
        <f>INDEX('BIO WAHYU'!B:H,MATCH(DATA!D559,'BIO WAHYU'!B:B,0),7)</f>
        <v>2</v>
      </c>
      <c r="M559" s="34">
        <f>INDEX('BIO WAHYU'!B:H,MATCH(DATA!D559,'BIO WAHYU'!B:B,0),4)</f>
        <v>0</v>
      </c>
    </row>
    <row r="560" spans="1:13">
      <c r="A560" s="43" t="s">
        <v>1</v>
      </c>
      <c r="B560" s="43" t="s">
        <v>5</v>
      </c>
      <c r="C560" s="43" t="s">
        <v>101</v>
      </c>
      <c r="D560" s="10">
        <v>510299</v>
      </c>
      <c r="E560" s="43" t="s">
        <v>15</v>
      </c>
      <c r="F560" s="8">
        <f>_xlfn.IFNA(INDEX('OSA | 3GB'!J:L,MATCH(DATA!D560,'OSA | 3GB'!J:J,0),2),0)</f>
        <v>0</v>
      </c>
      <c r="G560" s="8">
        <f>_xlfn.IFNA(INDEX('OSA | 3GB'!J:L,MATCH(DATA!D560,'OSA | 3GB'!J:J,0),3),0)</f>
        <v>0</v>
      </c>
      <c r="H560" s="32" t="str">
        <f>_xlfn.IFNA(INDEX('OSA | 3GB'!A:C,MATCH(DATA!D560,'OSA | 3GB'!A:A,0),2),0)</f>
        <v xml:space="preserve"> -   </v>
      </c>
      <c r="I560" s="33">
        <f>_xlfn.IFNA(INDEX('OSA | 3GB'!A:C,MATCH(DATA!D560,'OSA | 3GB'!A:A,0),3),0)</f>
        <v>500000</v>
      </c>
      <c r="J560" s="33">
        <f>INDEX('BIO WAHYU'!B:G,MATCH(DATA!D560,'BIO WAHYU'!B:B,0),5)</f>
        <v>0</v>
      </c>
      <c r="K560" s="34">
        <f>INDEX('BIO WAHYU'!B:G,MATCH(DATA!D560,'BIO WAHYU'!B:B,0),6)</f>
        <v>0</v>
      </c>
      <c r="L560" s="35">
        <f>INDEX('BIO WAHYU'!B:H,MATCH(DATA!D560,'BIO WAHYU'!B:B,0),7)</f>
        <v>0</v>
      </c>
      <c r="M560" s="34">
        <f>INDEX('BIO WAHYU'!B:H,MATCH(DATA!D560,'BIO WAHYU'!B:B,0),4)</f>
        <v>0</v>
      </c>
    </row>
    <row r="561" spans="1:13">
      <c r="A561" s="43" t="s">
        <v>1672</v>
      </c>
      <c r="B561" s="43" t="s">
        <v>151</v>
      </c>
      <c r="C561" s="43" t="s">
        <v>853</v>
      </c>
      <c r="D561" s="10">
        <v>12323388</v>
      </c>
      <c r="E561" s="43" t="s">
        <v>15</v>
      </c>
      <c r="F561" s="8">
        <f>_xlfn.IFNA(INDEX('OSA | 3GB'!J:L,MATCH(DATA!D561,'OSA | 3GB'!J:J,0),2),0)</f>
        <v>70</v>
      </c>
      <c r="G561" s="8">
        <f>_xlfn.IFNA(INDEX('OSA | 3GB'!J:L,MATCH(DATA!D561,'OSA | 3GB'!J:J,0),3),0)</f>
        <v>291000</v>
      </c>
      <c r="H561" s="32">
        <f>_xlfn.IFNA(INDEX('OSA | 3GB'!A:C,MATCH(DATA!D561,'OSA | 3GB'!A:A,0),2),0)</f>
        <v>15</v>
      </c>
      <c r="I561" s="33">
        <f>_xlfn.IFNA(INDEX('OSA | 3GB'!A:C,MATCH(DATA!D561,'OSA | 3GB'!A:A,0),3),0)</f>
        <v>450000</v>
      </c>
      <c r="J561" s="33">
        <f>INDEX('BIO WAHYU'!B:G,MATCH(DATA!D561,'BIO WAHYU'!B:B,0),5)</f>
        <v>59</v>
      </c>
      <c r="K561" s="34">
        <f>INDEX('BIO WAHYU'!B:G,MATCH(DATA!D561,'BIO WAHYU'!B:B,0),6)</f>
        <v>11</v>
      </c>
      <c r="L561" s="35">
        <f>INDEX('BIO WAHYU'!B:H,MATCH(DATA!D561,'BIO WAHYU'!B:B,0),7)</f>
        <v>0</v>
      </c>
      <c r="M561" s="34">
        <f>INDEX('BIO WAHYU'!B:H,MATCH(DATA!D561,'BIO WAHYU'!B:B,0),4)</f>
        <v>0</v>
      </c>
    </row>
    <row r="562" spans="1:13">
      <c r="A562" s="43" t="s">
        <v>1670</v>
      </c>
      <c r="B562" s="43" t="s">
        <v>145</v>
      </c>
      <c r="C562" s="43" t="s">
        <v>504</v>
      </c>
      <c r="D562" s="10">
        <v>392372</v>
      </c>
      <c r="E562" s="43" t="s">
        <v>10</v>
      </c>
      <c r="F562" s="8">
        <f>_xlfn.IFNA(INDEX('OSA | 3GB'!J:L,MATCH(DATA!D562,'OSA | 3GB'!J:J,0),2),0)</f>
        <v>3</v>
      </c>
      <c r="G562" s="8">
        <f>_xlfn.IFNA(INDEX('OSA | 3GB'!J:L,MATCH(DATA!D562,'OSA | 3GB'!J:J,0),3),0)</f>
        <v>11258000</v>
      </c>
      <c r="H562" s="32">
        <f>_xlfn.IFNA(INDEX('OSA | 3GB'!A:C,MATCH(DATA!D562,'OSA | 3GB'!A:A,0),2),0)</f>
        <v>5</v>
      </c>
      <c r="I562" s="33">
        <f>_xlfn.IFNA(INDEX('OSA | 3GB'!A:C,MATCH(DATA!D562,'OSA | 3GB'!A:A,0),3),0)</f>
        <v>2923000</v>
      </c>
      <c r="J562" s="33">
        <f>INDEX('BIO WAHYU'!B:G,MATCH(DATA!D562,'BIO WAHYU'!B:B,0),5)</f>
        <v>2</v>
      </c>
      <c r="K562" s="34">
        <f>INDEX('BIO WAHYU'!B:G,MATCH(DATA!D562,'BIO WAHYU'!B:B,0),6)</f>
        <v>2</v>
      </c>
      <c r="L562" s="35">
        <f>INDEX('BIO WAHYU'!B:H,MATCH(DATA!D562,'BIO WAHYU'!B:B,0),7)</f>
        <v>0</v>
      </c>
      <c r="M562" s="34">
        <f>INDEX('BIO WAHYU'!B:H,MATCH(DATA!D562,'BIO WAHYU'!B:B,0),4)</f>
        <v>0</v>
      </c>
    </row>
    <row r="563" spans="1:13">
      <c r="A563" s="43" t="s">
        <v>1670</v>
      </c>
      <c r="B563" s="43" t="s">
        <v>140</v>
      </c>
      <c r="C563" s="43" t="s">
        <v>1315</v>
      </c>
      <c r="D563" s="10">
        <v>199236</v>
      </c>
      <c r="E563" s="43" t="s">
        <v>10</v>
      </c>
      <c r="F563" s="8">
        <f>_xlfn.IFNA(INDEX('OSA | 3GB'!J:L,MATCH(DATA!D563,'OSA | 3GB'!J:J,0),2),0)</f>
        <v>4</v>
      </c>
      <c r="G563" s="8">
        <f>_xlfn.IFNA(INDEX('OSA | 3GB'!J:L,MATCH(DATA!D563,'OSA | 3GB'!J:J,0),3),0)</f>
        <v>31000000</v>
      </c>
      <c r="H563" s="32" t="str">
        <f>_xlfn.IFNA(INDEX('OSA | 3GB'!A:C,MATCH(DATA!D563,'OSA | 3GB'!A:A,0),2),0)</f>
        <v xml:space="preserve"> -   </v>
      </c>
      <c r="I563" s="33">
        <f>_xlfn.IFNA(INDEX('OSA | 3GB'!A:C,MATCH(DATA!D563,'OSA | 3GB'!A:A,0),3),0)</f>
        <v>13000000</v>
      </c>
      <c r="J563" s="33">
        <f>INDEX('BIO WAHYU'!B:G,MATCH(DATA!D563,'BIO WAHYU'!B:B,0),5)</f>
        <v>9</v>
      </c>
      <c r="K563" s="34">
        <f>INDEX('BIO WAHYU'!B:G,MATCH(DATA!D563,'BIO WAHYU'!B:B,0),6)</f>
        <v>10</v>
      </c>
      <c r="L563" s="35">
        <f>INDEX('BIO WAHYU'!B:H,MATCH(DATA!D563,'BIO WAHYU'!B:B,0),7)</f>
        <v>1</v>
      </c>
      <c r="M563" s="34">
        <f>INDEX('BIO WAHYU'!B:H,MATCH(DATA!D563,'BIO WAHYU'!B:B,0),4)</f>
        <v>0</v>
      </c>
    </row>
    <row r="564" spans="1:13">
      <c r="A564" s="43" t="s">
        <v>1670</v>
      </c>
      <c r="B564" s="43">
        <v>2613052584</v>
      </c>
      <c r="C564" s="43" t="s">
        <v>585</v>
      </c>
      <c r="D564" s="10">
        <v>327231</v>
      </c>
      <c r="E564" s="43" t="s">
        <v>10</v>
      </c>
      <c r="F564" s="8">
        <f>_xlfn.IFNA(INDEX('OSA | 3GB'!J:L,MATCH(DATA!D564,'OSA | 3GB'!J:J,0),2),0)</f>
        <v>0</v>
      </c>
      <c r="G564" s="8">
        <f>_xlfn.IFNA(INDEX('OSA | 3GB'!J:L,MATCH(DATA!D564,'OSA | 3GB'!J:J,0),3),0)</f>
        <v>0</v>
      </c>
      <c r="H564" s="32">
        <f>_xlfn.IFNA(INDEX('OSA | 3GB'!A:C,MATCH(DATA!D564,'OSA | 3GB'!A:A,0),2),0)</f>
        <v>1</v>
      </c>
      <c r="I564" s="33">
        <f>_xlfn.IFNA(INDEX('OSA | 3GB'!A:C,MATCH(DATA!D564,'OSA | 3GB'!A:A,0),3),0)</f>
        <v>29000</v>
      </c>
      <c r="J564" s="33">
        <f>INDEX('BIO WAHYU'!B:G,MATCH(DATA!D564,'BIO WAHYU'!B:B,0),5)</f>
        <v>0</v>
      </c>
      <c r="K564" s="34">
        <f>INDEX('BIO WAHYU'!B:G,MATCH(DATA!D564,'BIO WAHYU'!B:B,0),6)</f>
        <v>1</v>
      </c>
      <c r="L564" s="35">
        <f>INDEX('BIO WAHYU'!B:H,MATCH(DATA!D564,'BIO WAHYU'!B:B,0),7)</f>
        <v>1</v>
      </c>
      <c r="M564" s="34">
        <f>INDEX('BIO WAHYU'!B:H,MATCH(DATA!D564,'BIO WAHYU'!B:B,0),4)</f>
        <v>0</v>
      </c>
    </row>
    <row r="565" spans="1:13">
      <c r="A565" s="43" t="s">
        <v>1</v>
      </c>
      <c r="B565" s="43" t="s">
        <v>3</v>
      </c>
      <c r="C565" s="43" t="s">
        <v>1091</v>
      </c>
      <c r="D565" s="10">
        <v>484741</v>
      </c>
      <c r="E565" s="43" t="s">
        <v>10</v>
      </c>
      <c r="F565" s="8">
        <f>_xlfn.IFNA(INDEX('OSA | 3GB'!J:L,MATCH(DATA!D565,'OSA | 3GB'!J:J,0),2),0)</f>
        <v>0</v>
      </c>
      <c r="G565" s="8">
        <f>_xlfn.IFNA(INDEX('OSA | 3GB'!J:L,MATCH(DATA!D565,'OSA | 3GB'!J:J,0),3),0)</f>
        <v>3100000</v>
      </c>
      <c r="H565" s="32">
        <f>_xlfn.IFNA(INDEX('OSA | 3GB'!A:C,MATCH(DATA!D565,'OSA | 3GB'!A:A,0),2),0)</f>
        <v>3</v>
      </c>
      <c r="I565" s="33">
        <f>_xlfn.IFNA(INDEX('OSA | 3GB'!A:C,MATCH(DATA!D565,'OSA | 3GB'!A:A,0),3),0)</f>
        <v>2100000</v>
      </c>
      <c r="J565" s="33">
        <f>INDEX('BIO WAHYU'!B:G,MATCH(DATA!D565,'BIO WAHYU'!B:B,0),5)</f>
        <v>3</v>
      </c>
      <c r="K565" s="34">
        <f>INDEX('BIO WAHYU'!B:G,MATCH(DATA!D565,'BIO WAHYU'!B:B,0),6)</f>
        <v>3</v>
      </c>
      <c r="L565" s="35">
        <f>INDEX('BIO WAHYU'!B:H,MATCH(DATA!D565,'BIO WAHYU'!B:B,0),7)</f>
        <v>0</v>
      </c>
      <c r="M565" s="34">
        <f>INDEX('BIO WAHYU'!B:H,MATCH(DATA!D565,'BIO WAHYU'!B:B,0),4)</f>
        <v>0</v>
      </c>
    </row>
    <row r="566" spans="1:13">
      <c r="A566" s="43" t="s">
        <v>1673</v>
      </c>
      <c r="B566" s="43" t="s">
        <v>143</v>
      </c>
      <c r="C566" s="43" t="s">
        <v>1255</v>
      </c>
      <c r="D566" s="10">
        <v>254042</v>
      </c>
      <c r="E566" s="43" t="s">
        <v>10</v>
      </c>
      <c r="F566" s="8">
        <f>_xlfn.IFNA(INDEX('OSA | 3GB'!J:L,MATCH(DATA!D566,'OSA | 3GB'!J:J,0),2),0)</f>
        <v>3</v>
      </c>
      <c r="G566" s="8">
        <f>_xlfn.IFNA(INDEX('OSA | 3GB'!J:L,MATCH(DATA!D566,'OSA | 3GB'!J:J,0),3),0)</f>
        <v>1158000</v>
      </c>
      <c r="H566" s="32">
        <f>_xlfn.IFNA(INDEX('OSA | 3GB'!A:C,MATCH(DATA!D566,'OSA | 3GB'!A:A,0),2),0)</f>
        <v>2</v>
      </c>
      <c r="I566" s="33">
        <f>_xlfn.IFNA(INDEX('OSA | 3GB'!A:C,MATCH(DATA!D566,'OSA | 3GB'!A:A,0),3),0)</f>
        <v>470000</v>
      </c>
      <c r="J566" s="33">
        <f>INDEX('BIO WAHYU'!B:G,MATCH(DATA!D566,'BIO WAHYU'!B:B,0),5)</f>
        <v>3</v>
      </c>
      <c r="K566" s="34">
        <f>INDEX('BIO WAHYU'!B:G,MATCH(DATA!D566,'BIO WAHYU'!B:B,0),6)</f>
        <v>1</v>
      </c>
      <c r="L566" s="35">
        <f>INDEX('BIO WAHYU'!B:H,MATCH(DATA!D566,'BIO WAHYU'!B:B,0),7)</f>
        <v>0</v>
      </c>
      <c r="M566" s="34">
        <f>INDEX('BIO WAHYU'!B:H,MATCH(DATA!D566,'BIO WAHYU'!B:B,0),4)</f>
        <v>0</v>
      </c>
    </row>
    <row r="567" spans="1:13">
      <c r="A567" s="43" t="s">
        <v>1675</v>
      </c>
      <c r="B567" s="43">
        <v>2613051043</v>
      </c>
      <c r="C567" s="43" t="s">
        <v>1316</v>
      </c>
      <c r="D567" s="10">
        <v>12297197</v>
      </c>
      <c r="E567" s="43" t="s">
        <v>15</v>
      </c>
      <c r="F567" s="8">
        <f>_xlfn.IFNA(INDEX('OSA | 3GB'!J:L,MATCH(DATA!D567,'OSA | 3GB'!J:J,0),2),0)</f>
        <v>0</v>
      </c>
      <c r="G567" s="8">
        <f>_xlfn.IFNA(INDEX('OSA | 3GB'!J:L,MATCH(DATA!D567,'OSA | 3GB'!J:J,0),3),0)</f>
        <v>0</v>
      </c>
      <c r="H567" s="32">
        <f>_xlfn.IFNA(INDEX('OSA | 3GB'!A:C,MATCH(DATA!D567,'OSA | 3GB'!A:A,0),2),0)</f>
        <v>1</v>
      </c>
      <c r="I567" s="33">
        <f>_xlfn.IFNA(INDEX('OSA | 3GB'!A:C,MATCH(DATA!D567,'OSA | 3GB'!A:A,0),3),0)</f>
        <v>29000</v>
      </c>
      <c r="J567" s="33">
        <f>INDEX('BIO WAHYU'!B:G,MATCH(DATA!D567,'BIO WAHYU'!B:B,0),5)</f>
        <v>0</v>
      </c>
      <c r="K567" s="34">
        <f>INDEX('BIO WAHYU'!B:G,MATCH(DATA!D567,'BIO WAHYU'!B:B,0),6)</f>
        <v>1</v>
      </c>
      <c r="L567" s="35">
        <f>INDEX('BIO WAHYU'!B:H,MATCH(DATA!D567,'BIO WAHYU'!B:B,0),7)</f>
        <v>1</v>
      </c>
      <c r="M567" s="34">
        <f>INDEX('BIO WAHYU'!B:H,MATCH(DATA!D567,'BIO WAHYU'!B:B,0),4)</f>
        <v>0</v>
      </c>
    </row>
    <row r="568" spans="1:13">
      <c r="A568" s="43" t="s">
        <v>1674</v>
      </c>
      <c r="B568" s="43" t="s">
        <v>152</v>
      </c>
      <c r="C568" s="43" t="s">
        <v>665</v>
      </c>
      <c r="D568" s="10">
        <v>272014</v>
      </c>
      <c r="E568" s="43" t="s">
        <v>10</v>
      </c>
      <c r="F568" s="8">
        <f>_xlfn.IFNA(INDEX('OSA | 3GB'!J:L,MATCH(DATA!D568,'OSA | 3GB'!J:J,0),2),0)</f>
        <v>3</v>
      </c>
      <c r="G568" s="8">
        <f>_xlfn.IFNA(INDEX('OSA | 3GB'!J:L,MATCH(DATA!D568,'OSA | 3GB'!J:J,0),3),0)</f>
        <v>6758000</v>
      </c>
      <c r="H568" s="32">
        <f>_xlfn.IFNA(INDEX('OSA | 3GB'!A:C,MATCH(DATA!D568,'OSA | 3GB'!A:A,0),2),0)</f>
        <v>1</v>
      </c>
      <c r="I568" s="33">
        <f>_xlfn.IFNA(INDEX('OSA | 3GB'!A:C,MATCH(DATA!D568,'OSA | 3GB'!A:A,0),3),0)</f>
        <v>3429000</v>
      </c>
      <c r="J568" s="33">
        <f>INDEX('BIO WAHYU'!B:G,MATCH(DATA!D568,'BIO WAHYU'!B:B,0),5)</f>
        <v>2</v>
      </c>
      <c r="K568" s="34">
        <f>INDEX('BIO WAHYU'!B:G,MATCH(DATA!D568,'BIO WAHYU'!B:B,0),6)</f>
        <v>1</v>
      </c>
      <c r="L568" s="35">
        <f>INDEX('BIO WAHYU'!B:H,MATCH(DATA!D568,'BIO WAHYU'!B:B,0),7)</f>
        <v>0</v>
      </c>
      <c r="M568" s="34">
        <f>INDEX('BIO WAHYU'!B:H,MATCH(DATA!D568,'BIO WAHYU'!B:B,0),4)</f>
        <v>0</v>
      </c>
    </row>
    <row r="569" spans="1:13">
      <c r="A569" s="43" t="s">
        <v>1673</v>
      </c>
      <c r="B569" s="43" t="s">
        <v>141</v>
      </c>
      <c r="C569" s="43" t="s">
        <v>184</v>
      </c>
      <c r="D569" s="10">
        <v>12296070</v>
      </c>
      <c r="E569" s="43" t="s">
        <v>10</v>
      </c>
      <c r="F569" s="8">
        <f>_xlfn.IFNA(INDEX('OSA | 3GB'!J:L,MATCH(DATA!D569,'OSA | 3GB'!J:J,0),2),0)</f>
        <v>3</v>
      </c>
      <c r="G569" s="8">
        <f>_xlfn.IFNA(INDEX('OSA | 3GB'!J:L,MATCH(DATA!D569,'OSA | 3GB'!J:J,0),3),0)</f>
        <v>294000</v>
      </c>
      <c r="H569" s="32" t="str">
        <f>_xlfn.IFNA(INDEX('OSA | 3GB'!A:C,MATCH(DATA!D569,'OSA | 3GB'!A:A,0),2),0)</f>
        <v xml:space="preserve"> -   </v>
      </c>
      <c r="I569" s="33" t="str">
        <f>_xlfn.IFNA(INDEX('OSA | 3GB'!A:C,MATCH(DATA!D569,'OSA | 3GB'!A:A,0),3),0)</f>
        <v xml:space="preserve"> -   </v>
      </c>
      <c r="J569" s="33">
        <f>INDEX('BIO WAHYU'!B:G,MATCH(DATA!D569,'BIO WAHYU'!B:B,0),5)</f>
        <v>2</v>
      </c>
      <c r="K569" s="34">
        <f>INDEX('BIO WAHYU'!B:G,MATCH(DATA!D569,'BIO WAHYU'!B:B,0),6)</f>
        <v>0</v>
      </c>
      <c r="L569" s="35">
        <f>INDEX('BIO WAHYU'!B:H,MATCH(DATA!D569,'BIO WAHYU'!B:B,0),7)</f>
        <v>0</v>
      </c>
      <c r="M569" s="34">
        <f>INDEX('BIO WAHYU'!B:H,MATCH(DATA!D569,'BIO WAHYU'!B:B,0),4)</f>
        <v>0</v>
      </c>
    </row>
    <row r="570" spans="1:13">
      <c r="A570" s="43" t="s">
        <v>1671</v>
      </c>
      <c r="B570" s="43">
        <v>2613050885</v>
      </c>
      <c r="C570" s="43" t="s">
        <v>279</v>
      </c>
      <c r="D570" s="10">
        <v>12325666</v>
      </c>
      <c r="E570" s="43" t="s">
        <v>10</v>
      </c>
      <c r="F570" s="8">
        <f>_xlfn.IFNA(INDEX('OSA | 3GB'!J:L,MATCH(DATA!D570,'OSA | 3GB'!J:J,0),2),0)</f>
        <v>6</v>
      </c>
      <c r="G570" s="8">
        <f>_xlfn.IFNA(INDEX('OSA | 3GB'!J:L,MATCH(DATA!D570,'OSA | 3GB'!J:J,0),3),0)</f>
        <v>12180000</v>
      </c>
      <c r="H570" s="32">
        <f>_xlfn.IFNA(INDEX('OSA | 3GB'!A:C,MATCH(DATA!D570,'OSA | 3GB'!A:A,0),2),0)</f>
        <v>3</v>
      </c>
      <c r="I570" s="33" t="str">
        <f>_xlfn.IFNA(INDEX('OSA | 3GB'!A:C,MATCH(DATA!D570,'OSA | 3GB'!A:A,0),3),0)</f>
        <v xml:space="preserve"> -   </v>
      </c>
      <c r="J570" s="33">
        <f>INDEX('BIO WAHYU'!B:G,MATCH(DATA!D570,'BIO WAHYU'!B:B,0),5)</f>
        <v>5</v>
      </c>
      <c r="K570" s="34">
        <f>INDEX('BIO WAHYU'!B:G,MATCH(DATA!D570,'BIO WAHYU'!B:B,0),6)</f>
        <v>2</v>
      </c>
      <c r="L570" s="35">
        <f>INDEX('BIO WAHYU'!B:H,MATCH(DATA!D570,'BIO WAHYU'!B:B,0),7)</f>
        <v>0</v>
      </c>
      <c r="M570" s="34">
        <f>INDEX('BIO WAHYU'!B:H,MATCH(DATA!D570,'BIO WAHYU'!B:B,0),4)</f>
        <v>0</v>
      </c>
    </row>
    <row r="571" spans="1:13">
      <c r="A571" s="43" t="s">
        <v>1673</v>
      </c>
      <c r="B571" s="43" t="s">
        <v>1136</v>
      </c>
      <c r="C571" s="43" t="s">
        <v>1317</v>
      </c>
      <c r="D571" s="10">
        <v>536320</v>
      </c>
      <c r="E571" s="43" t="s">
        <v>10</v>
      </c>
      <c r="F571" s="8">
        <f>_xlfn.IFNA(INDEX('OSA | 3GB'!J:L,MATCH(DATA!D571,'OSA | 3GB'!J:J,0),2),0)</f>
        <v>0</v>
      </c>
      <c r="G571" s="8">
        <f>_xlfn.IFNA(INDEX('OSA | 3GB'!J:L,MATCH(DATA!D571,'OSA | 3GB'!J:J,0),3),0)</f>
        <v>450000</v>
      </c>
      <c r="H571" s="32" t="str">
        <f>_xlfn.IFNA(INDEX('OSA | 3GB'!A:C,MATCH(DATA!D571,'OSA | 3GB'!A:A,0),2),0)</f>
        <v xml:space="preserve"> -   </v>
      </c>
      <c r="I571" s="33">
        <f>_xlfn.IFNA(INDEX('OSA | 3GB'!A:C,MATCH(DATA!D571,'OSA | 3GB'!A:A,0),3),0)</f>
        <v>100000</v>
      </c>
      <c r="J571" s="33">
        <f>INDEX('BIO WAHYU'!B:G,MATCH(DATA!D571,'BIO WAHYU'!B:B,0),5)</f>
        <v>2</v>
      </c>
      <c r="K571" s="34">
        <f>INDEX('BIO WAHYU'!B:G,MATCH(DATA!D571,'BIO WAHYU'!B:B,0),6)</f>
        <v>2</v>
      </c>
      <c r="L571" s="35">
        <f>INDEX('BIO WAHYU'!B:H,MATCH(DATA!D571,'BIO WAHYU'!B:B,0),7)</f>
        <v>0</v>
      </c>
      <c r="M571" s="34">
        <f>INDEX('BIO WAHYU'!B:H,MATCH(DATA!D571,'BIO WAHYU'!B:B,0),4)</f>
        <v>0</v>
      </c>
    </row>
    <row r="572" spans="1:13">
      <c r="A572" s="43" t="s">
        <v>1674</v>
      </c>
      <c r="B572" s="43" t="s">
        <v>147</v>
      </c>
      <c r="C572" s="43" t="s">
        <v>1318</v>
      </c>
      <c r="D572" s="10">
        <v>62365</v>
      </c>
      <c r="E572" s="43" t="s">
        <v>10</v>
      </c>
      <c r="F572" s="8">
        <f>_xlfn.IFNA(INDEX('OSA | 3GB'!J:L,MATCH(DATA!D572,'OSA | 3GB'!J:J,0),2),0)</f>
        <v>3</v>
      </c>
      <c r="G572" s="8">
        <f>_xlfn.IFNA(INDEX('OSA | 3GB'!J:L,MATCH(DATA!D572,'OSA | 3GB'!J:J,0),3),0)</f>
        <v>3055000</v>
      </c>
      <c r="H572" s="32" t="str">
        <f>_xlfn.IFNA(INDEX('OSA | 3GB'!A:C,MATCH(DATA!D572,'OSA | 3GB'!A:A,0),2),0)</f>
        <v xml:space="preserve"> -   </v>
      </c>
      <c r="I572" s="33">
        <f>_xlfn.IFNA(INDEX('OSA | 3GB'!A:C,MATCH(DATA!D572,'OSA | 3GB'!A:A,0),3),0)</f>
        <v>1250000</v>
      </c>
      <c r="J572" s="33">
        <f>INDEX('BIO WAHYU'!B:G,MATCH(DATA!D572,'BIO WAHYU'!B:B,0),5)</f>
        <v>2</v>
      </c>
      <c r="K572" s="34">
        <f>INDEX('BIO WAHYU'!B:G,MATCH(DATA!D572,'BIO WAHYU'!B:B,0),6)</f>
        <v>2</v>
      </c>
      <c r="L572" s="35">
        <f>INDEX('BIO WAHYU'!B:H,MATCH(DATA!D572,'BIO WAHYU'!B:B,0),7)</f>
        <v>0</v>
      </c>
      <c r="M572" s="34">
        <f>INDEX('BIO WAHYU'!B:H,MATCH(DATA!D572,'BIO WAHYU'!B:B,0),4)</f>
        <v>0</v>
      </c>
    </row>
    <row r="573" spans="1:13">
      <c r="A573" s="43" t="s">
        <v>1670</v>
      </c>
      <c r="B573" s="43" t="s">
        <v>140</v>
      </c>
      <c r="C573" s="43" t="s">
        <v>1319</v>
      </c>
      <c r="D573" s="10">
        <v>288094</v>
      </c>
      <c r="E573" s="43" t="s">
        <v>10</v>
      </c>
      <c r="F573" s="8">
        <f>_xlfn.IFNA(INDEX('OSA | 3GB'!J:L,MATCH(DATA!D573,'OSA | 3GB'!J:J,0),2),0)</f>
        <v>4</v>
      </c>
      <c r="G573" s="8">
        <f>_xlfn.IFNA(INDEX('OSA | 3GB'!J:L,MATCH(DATA!D573,'OSA | 3GB'!J:J,0),3),0)</f>
        <v>200000</v>
      </c>
      <c r="H573" s="32" t="str">
        <f>_xlfn.IFNA(INDEX('OSA | 3GB'!A:C,MATCH(DATA!D573,'OSA | 3GB'!A:A,0),2),0)</f>
        <v xml:space="preserve"> -   </v>
      </c>
      <c r="I573" s="33">
        <f>_xlfn.IFNA(INDEX('OSA | 3GB'!A:C,MATCH(DATA!D573,'OSA | 3GB'!A:A,0),3),0)</f>
        <v>200000</v>
      </c>
      <c r="J573" s="33">
        <f>INDEX('BIO WAHYU'!B:G,MATCH(DATA!D573,'BIO WAHYU'!B:B,0),5)</f>
        <v>2</v>
      </c>
      <c r="K573" s="34">
        <f>INDEX('BIO WAHYU'!B:G,MATCH(DATA!D573,'BIO WAHYU'!B:B,0),6)</f>
        <v>0</v>
      </c>
      <c r="L573" s="35">
        <f>INDEX('BIO WAHYU'!B:H,MATCH(DATA!D573,'BIO WAHYU'!B:B,0),7)</f>
        <v>0</v>
      </c>
      <c r="M573" s="34">
        <f>INDEX('BIO WAHYU'!B:H,MATCH(DATA!D573,'BIO WAHYU'!B:B,0),4)</f>
        <v>0</v>
      </c>
    </row>
    <row r="574" spans="1:13">
      <c r="A574" s="43" t="s">
        <v>1673</v>
      </c>
      <c r="B574" s="43" t="s">
        <v>143</v>
      </c>
      <c r="C574" s="43" t="s">
        <v>260</v>
      </c>
      <c r="D574" s="10">
        <v>410976</v>
      </c>
      <c r="E574" s="43" t="s">
        <v>15</v>
      </c>
      <c r="F574" s="8">
        <f>_xlfn.IFNA(INDEX('OSA | 3GB'!J:L,MATCH(DATA!D574,'OSA | 3GB'!J:J,0),2),0)</f>
        <v>3</v>
      </c>
      <c r="G574" s="8">
        <f>_xlfn.IFNA(INDEX('OSA | 3GB'!J:L,MATCH(DATA!D574,'OSA | 3GB'!J:J,0),3),0)</f>
        <v>400000</v>
      </c>
      <c r="H574" s="32" t="str">
        <f>_xlfn.IFNA(INDEX('OSA | 3GB'!A:C,MATCH(DATA!D574,'OSA | 3GB'!A:A,0),2),0)</f>
        <v xml:space="preserve"> -   </v>
      </c>
      <c r="I574" s="33">
        <f>_xlfn.IFNA(INDEX('OSA | 3GB'!A:C,MATCH(DATA!D574,'OSA | 3GB'!A:A,0),3),0)</f>
        <v>300000</v>
      </c>
      <c r="J574" s="33">
        <f>INDEX('BIO WAHYU'!B:G,MATCH(DATA!D574,'BIO WAHYU'!B:B,0),5)</f>
        <v>2</v>
      </c>
      <c r="K574" s="34">
        <f>INDEX('BIO WAHYU'!B:G,MATCH(DATA!D574,'BIO WAHYU'!B:B,0),6)</f>
        <v>0</v>
      </c>
      <c r="L574" s="35">
        <f>INDEX('BIO WAHYU'!B:H,MATCH(DATA!D574,'BIO WAHYU'!B:B,0),7)</f>
        <v>0</v>
      </c>
      <c r="M574" s="34">
        <f>INDEX('BIO WAHYU'!B:H,MATCH(DATA!D574,'BIO WAHYU'!B:B,0),4)</f>
        <v>0</v>
      </c>
    </row>
    <row r="575" spans="1:13">
      <c r="A575" s="43" t="s">
        <v>1673</v>
      </c>
      <c r="B575" s="43" t="s">
        <v>1136</v>
      </c>
      <c r="C575" s="43" t="s">
        <v>1320</v>
      </c>
      <c r="D575" s="10">
        <v>329519</v>
      </c>
      <c r="E575" s="43" t="s">
        <v>10</v>
      </c>
      <c r="F575" s="8">
        <f>_xlfn.IFNA(INDEX('OSA | 3GB'!J:L,MATCH(DATA!D575,'OSA | 3GB'!J:J,0),2),0)</f>
        <v>0</v>
      </c>
      <c r="G575" s="8">
        <f>_xlfn.IFNA(INDEX('OSA | 3GB'!J:L,MATCH(DATA!D575,'OSA | 3GB'!J:J,0),3),0)</f>
        <v>8980000</v>
      </c>
      <c r="H575" s="32" t="str">
        <f>_xlfn.IFNA(INDEX('OSA | 3GB'!A:C,MATCH(DATA!D575,'OSA | 3GB'!A:A,0),2),0)</f>
        <v xml:space="preserve"> -   </v>
      </c>
      <c r="I575" s="33">
        <f>_xlfn.IFNA(INDEX('OSA | 3GB'!A:C,MATCH(DATA!D575,'OSA | 3GB'!A:A,0),3),0)</f>
        <v>2290000</v>
      </c>
      <c r="J575" s="33">
        <f>INDEX('BIO WAHYU'!B:G,MATCH(DATA!D575,'BIO WAHYU'!B:B,0),5)</f>
        <v>3</v>
      </c>
      <c r="K575" s="34">
        <f>INDEX('BIO WAHYU'!B:G,MATCH(DATA!D575,'BIO WAHYU'!B:B,0),6)</f>
        <v>2</v>
      </c>
      <c r="L575" s="35">
        <f>INDEX('BIO WAHYU'!B:H,MATCH(DATA!D575,'BIO WAHYU'!B:B,0),7)</f>
        <v>0</v>
      </c>
      <c r="M575" s="34">
        <f>INDEX('BIO WAHYU'!B:H,MATCH(DATA!D575,'BIO WAHYU'!B:B,0),4)</f>
        <v>0</v>
      </c>
    </row>
    <row r="576" spans="1:13">
      <c r="A576" s="43" t="s">
        <v>1675</v>
      </c>
      <c r="B576" s="43" t="s">
        <v>136</v>
      </c>
      <c r="C576" s="43" t="s">
        <v>399</v>
      </c>
      <c r="D576" s="10">
        <v>127072</v>
      </c>
      <c r="E576" s="43" t="s">
        <v>10</v>
      </c>
      <c r="F576" s="8">
        <f>_xlfn.IFNA(INDEX('OSA | 3GB'!J:L,MATCH(DATA!D576,'OSA | 3GB'!J:J,0),2),0)</f>
        <v>5</v>
      </c>
      <c r="G576" s="8">
        <f>_xlfn.IFNA(INDEX('OSA | 3GB'!J:L,MATCH(DATA!D576,'OSA | 3GB'!J:J,0),3),0)</f>
        <v>950000</v>
      </c>
      <c r="H576" s="32" t="str">
        <f>_xlfn.IFNA(INDEX('OSA | 3GB'!A:C,MATCH(DATA!D576,'OSA | 3GB'!A:A,0),2),0)</f>
        <v xml:space="preserve"> -   </v>
      </c>
      <c r="I576" s="33">
        <f>_xlfn.IFNA(INDEX('OSA | 3GB'!A:C,MATCH(DATA!D576,'OSA | 3GB'!A:A,0),3),0)</f>
        <v>500000</v>
      </c>
      <c r="J576" s="33">
        <f>INDEX('BIO WAHYU'!B:G,MATCH(DATA!D576,'BIO WAHYU'!B:B,0),5)</f>
        <v>3</v>
      </c>
      <c r="K576" s="34">
        <f>INDEX('BIO WAHYU'!B:G,MATCH(DATA!D576,'BIO WAHYU'!B:B,0),6)</f>
        <v>0</v>
      </c>
      <c r="L576" s="35">
        <f>INDEX('BIO WAHYU'!B:H,MATCH(DATA!D576,'BIO WAHYU'!B:B,0),7)</f>
        <v>0</v>
      </c>
      <c r="M576" s="34">
        <f>INDEX('BIO WAHYU'!B:H,MATCH(DATA!D576,'BIO WAHYU'!B:B,0),4)</f>
        <v>0</v>
      </c>
    </row>
    <row r="577" spans="1:13">
      <c r="A577" s="43" t="s">
        <v>1674</v>
      </c>
      <c r="B577" s="43" t="s">
        <v>152</v>
      </c>
      <c r="C577" s="43" t="s">
        <v>657</v>
      </c>
      <c r="D577" s="10">
        <v>195102</v>
      </c>
      <c r="E577" s="43" t="s">
        <v>10</v>
      </c>
      <c r="F577" s="8">
        <f>_xlfn.IFNA(INDEX('OSA | 3GB'!J:L,MATCH(DATA!D577,'OSA | 3GB'!J:J,0),2),0)</f>
        <v>0</v>
      </c>
      <c r="G577" s="8">
        <f>_xlfn.IFNA(INDEX('OSA | 3GB'!J:L,MATCH(DATA!D577,'OSA | 3GB'!J:J,0),3),0)</f>
        <v>7290000</v>
      </c>
      <c r="H577" s="32">
        <f>_xlfn.IFNA(INDEX('OSA | 3GB'!A:C,MATCH(DATA!D577,'OSA | 3GB'!A:A,0),2),0)</f>
        <v>4</v>
      </c>
      <c r="I577" s="33">
        <f>_xlfn.IFNA(INDEX('OSA | 3GB'!A:C,MATCH(DATA!D577,'OSA | 3GB'!A:A,0),3),0)</f>
        <v>2868000</v>
      </c>
      <c r="J577" s="33">
        <f>INDEX('BIO WAHYU'!B:G,MATCH(DATA!D577,'BIO WAHYU'!B:B,0),5)</f>
        <v>6</v>
      </c>
      <c r="K577" s="34">
        <f>INDEX('BIO WAHYU'!B:G,MATCH(DATA!D577,'BIO WAHYU'!B:B,0),6)</f>
        <v>5</v>
      </c>
      <c r="L577" s="35">
        <f>INDEX('BIO WAHYU'!B:H,MATCH(DATA!D577,'BIO WAHYU'!B:B,0),7)</f>
        <v>0</v>
      </c>
      <c r="M577" s="34">
        <f>INDEX('BIO WAHYU'!B:H,MATCH(DATA!D577,'BIO WAHYU'!B:B,0),4)</f>
        <v>0</v>
      </c>
    </row>
    <row r="578" spans="1:13">
      <c r="A578" s="43" t="s">
        <v>1675</v>
      </c>
      <c r="B578" s="43" t="s">
        <v>136</v>
      </c>
      <c r="C578" s="43" t="s">
        <v>1321</v>
      </c>
      <c r="D578" s="10">
        <v>489794</v>
      </c>
      <c r="E578" s="43" t="s">
        <v>10</v>
      </c>
      <c r="F578" s="8">
        <f>_xlfn.IFNA(INDEX('OSA | 3GB'!J:L,MATCH(DATA!D578,'OSA | 3GB'!J:J,0),2),0)</f>
        <v>5</v>
      </c>
      <c r="G578" s="8">
        <f>_xlfn.IFNA(INDEX('OSA | 3GB'!J:L,MATCH(DATA!D578,'OSA | 3GB'!J:J,0),3),0)</f>
        <v>350000</v>
      </c>
      <c r="H578" s="32" t="str">
        <f>_xlfn.IFNA(INDEX('OSA | 3GB'!A:C,MATCH(DATA!D578,'OSA | 3GB'!A:A,0),2),0)</f>
        <v xml:space="preserve"> -   </v>
      </c>
      <c r="I578" s="33" t="str">
        <f>_xlfn.IFNA(INDEX('OSA | 3GB'!A:C,MATCH(DATA!D578,'OSA | 3GB'!A:A,0),3),0)</f>
        <v xml:space="preserve"> -   </v>
      </c>
      <c r="J578" s="33">
        <f>INDEX('BIO WAHYU'!B:G,MATCH(DATA!D578,'BIO WAHYU'!B:B,0),5)</f>
        <v>1</v>
      </c>
      <c r="K578" s="34">
        <f>INDEX('BIO WAHYU'!B:G,MATCH(DATA!D578,'BIO WAHYU'!B:B,0),6)</f>
        <v>1</v>
      </c>
      <c r="L578" s="35">
        <f>INDEX('BIO WAHYU'!B:H,MATCH(DATA!D578,'BIO WAHYU'!B:B,0),7)</f>
        <v>0</v>
      </c>
      <c r="M578" s="34">
        <f>INDEX('BIO WAHYU'!B:H,MATCH(DATA!D578,'BIO WAHYU'!B:B,0),4)</f>
        <v>0</v>
      </c>
    </row>
    <row r="579" spans="1:13">
      <c r="A579" s="43" t="s">
        <v>1674</v>
      </c>
      <c r="B579" s="43" t="s">
        <v>152</v>
      </c>
      <c r="C579" s="43" t="s">
        <v>676</v>
      </c>
      <c r="D579" s="10">
        <v>61652</v>
      </c>
      <c r="E579" s="43" t="s">
        <v>10</v>
      </c>
      <c r="F579" s="8">
        <f>_xlfn.IFNA(INDEX('OSA | 3GB'!J:L,MATCH(DATA!D579,'OSA | 3GB'!J:J,0),2),0)</f>
        <v>3</v>
      </c>
      <c r="G579" s="8">
        <f>_xlfn.IFNA(INDEX('OSA | 3GB'!J:L,MATCH(DATA!D579,'OSA | 3GB'!J:J,0),3),0)</f>
        <v>58000</v>
      </c>
      <c r="H579" s="32" t="str">
        <f>_xlfn.IFNA(INDEX('OSA | 3GB'!A:C,MATCH(DATA!D579,'OSA | 3GB'!A:A,0),2),0)</f>
        <v xml:space="preserve"> -   </v>
      </c>
      <c r="I579" s="33" t="str">
        <f>_xlfn.IFNA(INDEX('OSA | 3GB'!A:C,MATCH(DATA!D579,'OSA | 3GB'!A:A,0),3),0)</f>
        <v xml:space="preserve"> -   </v>
      </c>
      <c r="J579" s="33">
        <f>INDEX('BIO WAHYU'!B:G,MATCH(DATA!D579,'BIO WAHYU'!B:B,0),5)</f>
        <v>1</v>
      </c>
      <c r="K579" s="34">
        <f>INDEX('BIO WAHYU'!B:G,MATCH(DATA!D579,'BIO WAHYU'!B:B,0),6)</f>
        <v>1</v>
      </c>
      <c r="L579" s="35">
        <f>INDEX('BIO WAHYU'!B:H,MATCH(DATA!D579,'BIO WAHYU'!B:B,0),7)</f>
        <v>0</v>
      </c>
      <c r="M579" s="34">
        <f>INDEX('BIO WAHYU'!B:H,MATCH(DATA!D579,'BIO WAHYU'!B:B,0),4)</f>
        <v>0</v>
      </c>
    </row>
    <row r="580" spans="1:13">
      <c r="A580" s="43" t="s">
        <v>1673</v>
      </c>
      <c r="B580" s="43" t="s">
        <v>143</v>
      </c>
      <c r="C580" s="43" t="s">
        <v>266</v>
      </c>
      <c r="D580" s="10">
        <v>510981</v>
      </c>
      <c r="E580" s="43" t="s">
        <v>10</v>
      </c>
      <c r="F580" s="8">
        <f>_xlfn.IFNA(INDEX('OSA | 3GB'!J:L,MATCH(DATA!D580,'OSA | 3GB'!J:J,0),2),0)</f>
        <v>131</v>
      </c>
      <c r="G580" s="8">
        <f>_xlfn.IFNA(INDEX('OSA | 3GB'!J:L,MATCH(DATA!D580,'OSA | 3GB'!J:J,0),3),0)</f>
        <v>28000000</v>
      </c>
      <c r="H580" s="32" t="str">
        <f>_xlfn.IFNA(INDEX('OSA | 3GB'!A:C,MATCH(DATA!D580,'OSA | 3GB'!A:A,0),2),0)</f>
        <v xml:space="preserve"> -   </v>
      </c>
      <c r="I580" s="33">
        <f>_xlfn.IFNA(INDEX('OSA | 3GB'!A:C,MATCH(DATA!D580,'OSA | 3GB'!A:A,0),3),0)</f>
        <v>12000000</v>
      </c>
      <c r="J580" s="33">
        <f>INDEX('BIO WAHYU'!B:G,MATCH(DATA!D580,'BIO WAHYU'!B:B,0),5)</f>
        <v>6</v>
      </c>
      <c r="K580" s="34">
        <f>INDEX('BIO WAHYU'!B:G,MATCH(DATA!D580,'BIO WAHYU'!B:B,0),6)</f>
        <v>2</v>
      </c>
      <c r="L580" s="35">
        <f>INDEX('BIO WAHYU'!B:H,MATCH(DATA!D580,'BIO WAHYU'!B:B,0),7)</f>
        <v>0</v>
      </c>
      <c r="M580" s="34">
        <f>INDEX('BIO WAHYU'!B:H,MATCH(DATA!D580,'BIO WAHYU'!B:B,0),4)</f>
        <v>0</v>
      </c>
    </row>
    <row r="581" spans="1:13">
      <c r="A581" s="43" t="s">
        <v>1</v>
      </c>
      <c r="B581" s="43" t="s">
        <v>5</v>
      </c>
      <c r="C581" s="43" t="s">
        <v>1092</v>
      </c>
      <c r="D581" s="10">
        <v>12324194</v>
      </c>
      <c r="E581" s="43" t="s">
        <v>10</v>
      </c>
      <c r="F581" s="8">
        <f>_xlfn.IFNA(INDEX('OSA | 3GB'!J:L,MATCH(DATA!D581,'OSA | 3GB'!J:J,0),2),0)</f>
        <v>8</v>
      </c>
      <c r="G581" s="8">
        <f>_xlfn.IFNA(INDEX('OSA | 3GB'!J:L,MATCH(DATA!D581,'OSA | 3GB'!J:J,0),3),0)</f>
        <v>0</v>
      </c>
      <c r="H581" s="32">
        <f>_xlfn.IFNA(INDEX('OSA | 3GB'!A:C,MATCH(DATA!D581,'OSA | 3GB'!A:A,0),2),0)</f>
        <v>4</v>
      </c>
      <c r="I581" s="33" t="str">
        <f>_xlfn.IFNA(INDEX('OSA | 3GB'!A:C,MATCH(DATA!D581,'OSA | 3GB'!A:A,0),3),0)</f>
        <v xml:space="preserve"> -   </v>
      </c>
      <c r="J581" s="33">
        <f>INDEX('BIO WAHYU'!B:G,MATCH(DATA!D581,'BIO WAHYU'!B:B,0),5)</f>
        <v>5</v>
      </c>
      <c r="K581" s="34">
        <f>INDEX('BIO WAHYU'!B:G,MATCH(DATA!D581,'BIO WAHYU'!B:B,0),6)</f>
        <v>4</v>
      </c>
      <c r="L581" s="35">
        <f>INDEX('BIO WAHYU'!B:H,MATCH(DATA!D581,'BIO WAHYU'!B:B,0),7)</f>
        <v>0</v>
      </c>
      <c r="M581" s="34">
        <f>INDEX('BIO WAHYU'!B:H,MATCH(DATA!D581,'BIO WAHYU'!B:B,0),4)</f>
        <v>0</v>
      </c>
    </row>
    <row r="582" spans="1:13">
      <c r="A582" s="43" t="s">
        <v>1672</v>
      </c>
      <c r="B582" s="43" t="s">
        <v>156</v>
      </c>
      <c r="C582" s="43" t="s">
        <v>1322</v>
      </c>
      <c r="D582" s="10">
        <v>2677</v>
      </c>
      <c r="E582" s="43" t="s">
        <v>10</v>
      </c>
      <c r="F582" s="8">
        <f>_xlfn.IFNA(INDEX('OSA | 3GB'!J:L,MATCH(DATA!D582,'OSA | 3GB'!J:J,0),2),0)</f>
        <v>3</v>
      </c>
      <c r="G582" s="8">
        <f>_xlfn.IFNA(INDEX('OSA | 3GB'!J:L,MATCH(DATA!D582,'OSA | 3GB'!J:J,0),3),0)</f>
        <v>1900000</v>
      </c>
      <c r="H582" s="32" t="str">
        <f>_xlfn.IFNA(INDEX('OSA | 3GB'!A:C,MATCH(DATA!D582,'OSA | 3GB'!A:A,0),2),0)</f>
        <v xml:space="preserve"> -   </v>
      </c>
      <c r="I582" s="33">
        <f>_xlfn.IFNA(INDEX('OSA | 3GB'!A:C,MATCH(DATA!D582,'OSA | 3GB'!A:A,0),3),0)</f>
        <v>300000</v>
      </c>
      <c r="J582" s="33">
        <f>INDEX('BIO WAHYU'!B:G,MATCH(DATA!D582,'BIO WAHYU'!B:B,0),5)</f>
        <v>3</v>
      </c>
      <c r="K582" s="34">
        <f>INDEX('BIO WAHYU'!B:G,MATCH(DATA!D582,'BIO WAHYU'!B:B,0),6)</f>
        <v>0</v>
      </c>
      <c r="L582" s="35">
        <f>INDEX('BIO WAHYU'!B:H,MATCH(DATA!D582,'BIO WAHYU'!B:B,0),7)</f>
        <v>0</v>
      </c>
      <c r="M582" s="34">
        <f>INDEX('BIO WAHYU'!B:H,MATCH(DATA!D582,'BIO WAHYU'!B:B,0),4)</f>
        <v>0</v>
      </c>
    </row>
    <row r="583" spans="1:13">
      <c r="A583" s="43" t="s">
        <v>1672</v>
      </c>
      <c r="B583" s="43" t="s">
        <v>155</v>
      </c>
      <c r="C583" s="43" t="s">
        <v>1323</v>
      </c>
      <c r="D583" s="10">
        <v>502217</v>
      </c>
      <c r="E583" s="43" t="s">
        <v>10</v>
      </c>
      <c r="F583" s="8">
        <f>_xlfn.IFNA(INDEX('OSA | 3GB'!J:L,MATCH(DATA!D583,'OSA | 3GB'!J:J,0),2),0)</f>
        <v>4</v>
      </c>
      <c r="G583" s="8">
        <f>_xlfn.IFNA(INDEX('OSA | 3GB'!J:L,MATCH(DATA!D583,'OSA | 3GB'!J:J,0),3),0)</f>
        <v>200000</v>
      </c>
      <c r="H583" s="32">
        <f>_xlfn.IFNA(INDEX('OSA | 3GB'!A:C,MATCH(DATA!D583,'OSA | 3GB'!A:A,0),2),0)</f>
        <v>5</v>
      </c>
      <c r="I583" s="33">
        <f>_xlfn.IFNA(INDEX('OSA | 3GB'!A:C,MATCH(DATA!D583,'OSA | 3GB'!A:A,0),3),0)</f>
        <v>208000</v>
      </c>
      <c r="J583" s="33">
        <f>INDEX('BIO WAHYU'!B:G,MATCH(DATA!D583,'BIO WAHYU'!B:B,0),5)</f>
        <v>1</v>
      </c>
      <c r="K583" s="34">
        <f>INDEX('BIO WAHYU'!B:G,MATCH(DATA!D583,'BIO WAHYU'!B:B,0),6)</f>
        <v>3</v>
      </c>
      <c r="L583" s="35">
        <f>INDEX('BIO WAHYU'!B:H,MATCH(DATA!D583,'BIO WAHYU'!B:B,0),7)</f>
        <v>2</v>
      </c>
      <c r="M583" s="34">
        <f>INDEX('BIO WAHYU'!B:H,MATCH(DATA!D583,'BIO WAHYU'!B:B,0),4)</f>
        <v>0</v>
      </c>
    </row>
    <row r="584" spans="1:13">
      <c r="A584" s="43" t="s">
        <v>1</v>
      </c>
      <c r="B584" s="43" t="s">
        <v>3</v>
      </c>
      <c r="C584" s="43" t="s">
        <v>31</v>
      </c>
      <c r="D584" s="10">
        <v>523938</v>
      </c>
      <c r="E584" s="43" t="s">
        <v>10</v>
      </c>
      <c r="F584" s="8">
        <f>_xlfn.IFNA(INDEX('OSA | 3GB'!J:L,MATCH(DATA!D584,'OSA | 3GB'!J:J,0),2),0)</f>
        <v>0</v>
      </c>
      <c r="G584" s="8">
        <f>_xlfn.IFNA(INDEX('OSA | 3GB'!J:L,MATCH(DATA!D584,'OSA | 3GB'!J:J,0),3),0)</f>
        <v>320500</v>
      </c>
      <c r="H584" s="32" t="str">
        <f>_xlfn.IFNA(INDEX('OSA | 3GB'!A:C,MATCH(DATA!D584,'OSA | 3GB'!A:A,0),2),0)</f>
        <v xml:space="preserve"> -   </v>
      </c>
      <c r="I584" s="33" t="str">
        <f>_xlfn.IFNA(INDEX('OSA | 3GB'!A:C,MATCH(DATA!D584,'OSA | 3GB'!A:A,0),3),0)</f>
        <v xml:space="preserve"> -   </v>
      </c>
      <c r="J584" s="33">
        <f>INDEX('BIO WAHYU'!B:G,MATCH(DATA!D584,'BIO WAHYU'!B:B,0),5)</f>
        <v>3</v>
      </c>
      <c r="K584" s="34">
        <f>INDEX('BIO WAHYU'!B:G,MATCH(DATA!D584,'BIO WAHYU'!B:B,0),6)</f>
        <v>0</v>
      </c>
      <c r="L584" s="35">
        <f>INDEX('BIO WAHYU'!B:H,MATCH(DATA!D584,'BIO WAHYU'!B:B,0),7)</f>
        <v>0</v>
      </c>
      <c r="M584" s="34">
        <f>INDEX('BIO WAHYU'!B:H,MATCH(DATA!D584,'BIO WAHYU'!B:B,0),4)</f>
        <v>0</v>
      </c>
    </row>
    <row r="585" spans="1:13">
      <c r="A585" s="43" t="s">
        <v>1671</v>
      </c>
      <c r="B585" s="43">
        <v>2613050885</v>
      </c>
      <c r="C585" s="43" t="s">
        <v>281</v>
      </c>
      <c r="D585" s="10">
        <v>149221</v>
      </c>
      <c r="E585" s="43" t="s">
        <v>10</v>
      </c>
      <c r="F585" s="8">
        <f>_xlfn.IFNA(INDEX('OSA | 3GB'!J:L,MATCH(DATA!D585,'OSA | 3GB'!J:J,0),2),0)</f>
        <v>0</v>
      </c>
      <c r="G585" s="8">
        <f>_xlfn.IFNA(INDEX('OSA | 3GB'!J:L,MATCH(DATA!D585,'OSA | 3GB'!J:J,0),3),0)</f>
        <v>0</v>
      </c>
      <c r="H585" s="32" t="str">
        <f>_xlfn.IFNA(INDEX('OSA | 3GB'!A:C,MATCH(DATA!D585,'OSA | 3GB'!A:A,0),2),0)</f>
        <v xml:space="preserve"> -   </v>
      </c>
      <c r="I585" s="33" t="str">
        <f>_xlfn.IFNA(INDEX('OSA | 3GB'!A:C,MATCH(DATA!D585,'OSA | 3GB'!A:A,0),3),0)</f>
        <v xml:space="preserve"> -   </v>
      </c>
      <c r="J585" s="33">
        <f>INDEX('BIO WAHYU'!B:G,MATCH(DATA!D585,'BIO WAHYU'!B:B,0),5)</f>
        <v>1</v>
      </c>
      <c r="K585" s="34">
        <f>INDEX('BIO WAHYU'!B:G,MATCH(DATA!D585,'BIO WAHYU'!B:B,0),6)</f>
        <v>0</v>
      </c>
      <c r="L585" s="35">
        <f>INDEX('BIO WAHYU'!B:H,MATCH(DATA!D585,'BIO WAHYU'!B:B,0),7)</f>
        <v>0</v>
      </c>
      <c r="M585" s="34">
        <f>INDEX('BIO WAHYU'!B:H,MATCH(DATA!D585,'BIO WAHYU'!B:B,0),4)</f>
        <v>0</v>
      </c>
    </row>
    <row r="586" spans="1:13">
      <c r="A586" s="43" t="s">
        <v>1673</v>
      </c>
      <c r="B586" s="43" t="s">
        <v>143</v>
      </c>
      <c r="C586" s="43" t="s">
        <v>267</v>
      </c>
      <c r="D586" s="10">
        <v>514404</v>
      </c>
      <c r="E586" s="43" t="s">
        <v>10</v>
      </c>
      <c r="F586" s="8">
        <f>_xlfn.IFNA(INDEX('OSA | 3GB'!J:L,MATCH(DATA!D586,'OSA | 3GB'!J:J,0),2),0)</f>
        <v>0</v>
      </c>
      <c r="G586" s="8">
        <f>_xlfn.IFNA(INDEX('OSA | 3GB'!J:L,MATCH(DATA!D586,'OSA | 3GB'!J:J,0),3),0)</f>
        <v>0</v>
      </c>
      <c r="H586" s="32" t="str">
        <f>_xlfn.IFNA(INDEX('OSA | 3GB'!A:C,MATCH(DATA!D586,'OSA | 3GB'!A:A,0),2),0)</f>
        <v xml:space="preserve"> -   </v>
      </c>
      <c r="I586" s="33" t="str">
        <f>_xlfn.IFNA(INDEX('OSA | 3GB'!A:C,MATCH(DATA!D586,'OSA | 3GB'!A:A,0),3),0)</f>
        <v xml:space="preserve"> -   </v>
      </c>
      <c r="J586" s="33">
        <f>INDEX('BIO WAHYU'!B:G,MATCH(DATA!D586,'BIO WAHYU'!B:B,0),5)</f>
        <v>0</v>
      </c>
      <c r="K586" s="34">
        <f>INDEX('BIO WAHYU'!B:G,MATCH(DATA!D586,'BIO WAHYU'!B:B,0),6)</f>
        <v>0</v>
      </c>
      <c r="L586" s="35">
        <f>INDEX('BIO WAHYU'!B:H,MATCH(DATA!D586,'BIO WAHYU'!B:B,0),7)</f>
        <v>0</v>
      </c>
      <c r="M586" s="34">
        <f>INDEX('BIO WAHYU'!B:H,MATCH(DATA!D586,'BIO WAHYU'!B:B,0),4)</f>
        <v>0</v>
      </c>
    </row>
    <row r="587" spans="1:13">
      <c r="A587" s="43" t="s">
        <v>1670</v>
      </c>
      <c r="B587" s="43" t="s">
        <v>140</v>
      </c>
      <c r="C587" s="43" t="s">
        <v>1324</v>
      </c>
      <c r="D587" s="10">
        <v>211589</v>
      </c>
      <c r="E587" s="43" t="s">
        <v>10</v>
      </c>
      <c r="F587" s="8">
        <f>_xlfn.IFNA(INDEX('OSA | 3GB'!J:L,MATCH(DATA!D587,'OSA | 3GB'!J:J,0),2),0)</f>
        <v>5</v>
      </c>
      <c r="G587" s="8">
        <f>_xlfn.IFNA(INDEX('OSA | 3GB'!J:L,MATCH(DATA!D587,'OSA | 3GB'!J:J,0),3),0)</f>
        <v>1800000</v>
      </c>
      <c r="H587" s="32" t="str">
        <f>_xlfn.IFNA(INDEX('OSA | 3GB'!A:C,MATCH(DATA!D587,'OSA | 3GB'!A:A,0),2),0)</f>
        <v xml:space="preserve"> -   </v>
      </c>
      <c r="I587" s="33">
        <f>_xlfn.IFNA(INDEX('OSA | 3GB'!A:C,MATCH(DATA!D587,'OSA | 3GB'!A:A,0),3),0)</f>
        <v>450000</v>
      </c>
      <c r="J587" s="33">
        <f>INDEX('BIO WAHYU'!B:G,MATCH(DATA!D587,'BIO WAHYU'!B:B,0),5)</f>
        <v>4</v>
      </c>
      <c r="K587" s="34">
        <f>INDEX('BIO WAHYU'!B:G,MATCH(DATA!D587,'BIO WAHYU'!B:B,0),6)</f>
        <v>0</v>
      </c>
      <c r="L587" s="35">
        <f>INDEX('BIO WAHYU'!B:H,MATCH(DATA!D587,'BIO WAHYU'!B:B,0),7)</f>
        <v>0</v>
      </c>
      <c r="M587" s="34">
        <f>INDEX('BIO WAHYU'!B:H,MATCH(DATA!D587,'BIO WAHYU'!B:B,0),4)</f>
        <v>0</v>
      </c>
    </row>
    <row r="588" spans="1:13">
      <c r="A588" s="43" t="s">
        <v>1672</v>
      </c>
      <c r="B588" s="43" t="s">
        <v>155</v>
      </c>
      <c r="C588" s="43" t="s">
        <v>941</v>
      </c>
      <c r="D588" s="10">
        <v>392325</v>
      </c>
      <c r="E588" s="43" t="s">
        <v>15</v>
      </c>
      <c r="F588" s="8">
        <f>_xlfn.IFNA(INDEX('OSA | 3GB'!J:L,MATCH(DATA!D588,'OSA | 3GB'!J:J,0),2),0)</f>
        <v>6</v>
      </c>
      <c r="G588" s="8">
        <f>_xlfn.IFNA(INDEX('OSA | 3GB'!J:L,MATCH(DATA!D588,'OSA | 3GB'!J:J,0),3),0)</f>
        <v>2800000</v>
      </c>
      <c r="H588" s="32">
        <f>_xlfn.IFNA(INDEX('OSA | 3GB'!A:C,MATCH(DATA!D588,'OSA | 3GB'!A:A,0),2),0)</f>
        <v>3</v>
      </c>
      <c r="I588" s="33">
        <f>_xlfn.IFNA(INDEX('OSA | 3GB'!A:C,MATCH(DATA!D588,'OSA | 3GB'!A:A,0),3),0)</f>
        <v>1300000</v>
      </c>
      <c r="J588" s="33">
        <f>INDEX('BIO WAHYU'!B:G,MATCH(DATA!D588,'BIO WAHYU'!B:B,0),5)</f>
        <v>3</v>
      </c>
      <c r="K588" s="34">
        <f>INDEX('BIO WAHYU'!B:G,MATCH(DATA!D588,'BIO WAHYU'!B:B,0),6)</f>
        <v>4</v>
      </c>
      <c r="L588" s="35">
        <f>INDEX('BIO WAHYU'!B:H,MATCH(DATA!D588,'BIO WAHYU'!B:B,0),7)</f>
        <v>1</v>
      </c>
      <c r="M588" s="34">
        <f>INDEX('BIO WAHYU'!B:H,MATCH(DATA!D588,'BIO WAHYU'!B:B,0),4)</f>
        <v>0</v>
      </c>
    </row>
    <row r="589" spans="1:13">
      <c r="A589" s="43" t="s">
        <v>1674</v>
      </c>
      <c r="B589" s="43" t="s">
        <v>148</v>
      </c>
      <c r="C589" s="43" t="s">
        <v>631</v>
      </c>
      <c r="D589" s="10">
        <v>1556</v>
      </c>
      <c r="E589" s="43" t="s">
        <v>10</v>
      </c>
      <c r="F589" s="8">
        <f>_xlfn.IFNA(INDEX('OSA | 3GB'!J:L,MATCH(DATA!D589,'OSA | 3GB'!J:J,0),2),0)</f>
        <v>9</v>
      </c>
      <c r="G589" s="8">
        <f>_xlfn.IFNA(INDEX('OSA | 3GB'!J:L,MATCH(DATA!D589,'OSA | 3GB'!J:J,0),3),0)</f>
        <v>4477000</v>
      </c>
      <c r="H589" s="32">
        <f>_xlfn.IFNA(INDEX('OSA | 3GB'!A:C,MATCH(DATA!D589,'OSA | 3GB'!A:A,0),2),0)</f>
        <v>4</v>
      </c>
      <c r="I589" s="33">
        <f>_xlfn.IFNA(INDEX('OSA | 3GB'!A:C,MATCH(DATA!D589,'OSA | 3GB'!A:A,0),3),0)</f>
        <v>2166000</v>
      </c>
      <c r="J589" s="33">
        <f>INDEX('BIO WAHYU'!B:G,MATCH(DATA!D589,'BIO WAHYU'!B:B,0),5)</f>
        <v>15</v>
      </c>
      <c r="K589" s="34">
        <f>INDEX('BIO WAHYU'!B:G,MATCH(DATA!D589,'BIO WAHYU'!B:B,0),6)</f>
        <v>7</v>
      </c>
      <c r="L589" s="35">
        <f>INDEX('BIO WAHYU'!B:H,MATCH(DATA!D589,'BIO WAHYU'!B:B,0),7)</f>
        <v>0</v>
      </c>
      <c r="M589" s="34">
        <f>INDEX('BIO WAHYU'!B:H,MATCH(DATA!D589,'BIO WAHYU'!B:B,0),4)</f>
        <v>0</v>
      </c>
    </row>
    <row r="590" spans="1:13">
      <c r="A590" s="43" t="s">
        <v>1672</v>
      </c>
      <c r="B590" s="43" t="s">
        <v>150</v>
      </c>
      <c r="C590" s="43" t="s">
        <v>826</v>
      </c>
      <c r="D590" s="10">
        <v>364974</v>
      </c>
      <c r="E590" s="43" t="s">
        <v>10</v>
      </c>
      <c r="F590" s="8">
        <f>_xlfn.IFNA(INDEX('OSA | 3GB'!J:L,MATCH(DATA!D590,'OSA | 3GB'!J:J,0),2),0)</f>
        <v>1</v>
      </c>
      <c r="G590" s="8">
        <f>_xlfn.IFNA(INDEX('OSA | 3GB'!J:L,MATCH(DATA!D590,'OSA | 3GB'!J:J,0),3),0)</f>
        <v>1150000</v>
      </c>
      <c r="H590" s="32" t="str">
        <f>_xlfn.IFNA(INDEX('OSA | 3GB'!A:C,MATCH(DATA!D590,'OSA | 3GB'!A:A,0),2),0)</f>
        <v xml:space="preserve"> -   </v>
      </c>
      <c r="I590" s="33">
        <f>_xlfn.IFNA(INDEX('OSA | 3GB'!A:C,MATCH(DATA!D590,'OSA | 3GB'!A:A,0),3),0)</f>
        <v>200000</v>
      </c>
      <c r="J590" s="33">
        <f>INDEX('BIO WAHYU'!B:G,MATCH(DATA!D590,'BIO WAHYU'!B:B,0),5)</f>
        <v>3</v>
      </c>
      <c r="K590" s="34">
        <f>INDEX('BIO WAHYU'!B:G,MATCH(DATA!D590,'BIO WAHYU'!B:B,0),6)</f>
        <v>0</v>
      </c>
      <c r="L590" s="35">
        <f>INDEX('BIO WAHYU'!B:H,MATCH(DATA!D590,'BIO WAHYU'!B:B,0),7)</f>
        <v>0</v>
      </c>
      <c r="M590" s="34">
        <f>INDEX('BIO WAHYU'!B:H,MATCH(DATA!D590,'BIO WAHYU'!B:B,0),4)</f>
        <v>0</v>
      </c>
    </row>
    <row r="591" spans="1:13">
      <c r="A591" s="43" t="s">
        <v>1672</v>
      </c>
      <c r="B591" s="43" t="s">
        <v>156</v>
      </c>
      <c r="C591" s="43" t="s">
        <v>1000</v>
      </c>
      <c r="D591" s="10">
        <v>541003</v>
      </c>
      <c r="E591" s="43" t="s">
        <v>10</v>
      </c>
      <c r="F591" s="8">
        <f>_xlfn.IFNA(INDEX('OSA | 3GB'!J:L,MATCH(DATA!D591,'OSA | 3GB'!J:J,0),2),0)</f>
        <v>0</v>
      </c>
      <c r="G591" s="8">
        <f>_xlfn.IFNA(INDEX('OSA | 3GB'!J:L,MATCH(DATA!D591,'OSA | 3GB'!J:J,0),3),0)</f>
        <v>2900000</v>
      </c>
      <c r="H591" s="32" t="str">
        <f>_xlfn.IFNA(INDEX('OSA | 3GB'!A:C,MATCH(DATA!D591,'OSA | 3GB'!A:A,0),2),0)</f>
        <v xml:space="preserve"> -   </v>
      </c>
      <c r="I591" s="33">
        <f>_xlfn.IFNA(INDEX('OSA | 3GB'!A:C,MATCH(DATA!D591,'OSA | 3GB'!A:A,0),3),0)</f>
        <v>1000000</v>
      </c>
      <c r="J591" s="33">
        <f>INDEX('BIO WAHYU'!B:G,MATCH(DATA!D591,'BIO WAHYU'!B:B,0),5)</f>
        <v>1</v>
      </c>
      <c r="K591" s="34">
        <f>INDEX('BIO WAHYU'!B:G,MATCH(DATA!D591,'BIO WAHYU'!B:B,0),6)</f>
        <v>1</v>
      </c>
      <c r="L591" s="35">
        <f>INDEX('BIO WAHYU'!B:H,MATCH(DATA!D591,'BIO WAHYU'!B:B,0),7)</f>
        <v>0</v>
      </c>
      <c r="M591" s="34">
        <f>INDEX('BIO WAHYU'!B:H,MATCH(DATA!D591,'BIO WAHYU'!B:B,0),4)</f>
        <v>0</v>
      </c>
    </row>
    <row r="592" spans="1:13">
      <c r="A592" s="43" t="s">
        <v>1</v>
      </c>
      <c r="B592" s="43" t="s">
        <v>4</v>
      </c>
      <c r="C592" s="43" t="s">
        <v>65</v>
      </c>
      <c r="D592" s="10">
        <v>543720</v>
      </c>
      <c r="E592" s="43" t="s">
        <v>15</v>
      </c>
      <c r="F592" s="8">
        <f>_xlfn.IFNA(INDEX('OSA | 3GB'!J:L,MATCH(DATA!D592,'OSA | 3GB'!J:J,0),2),0)</f>
        <v>11</v>
      </c>
      <c r="G592" s="8">
        <f>_xlfn.IFNA(INDEX('OSA | 3GB'!J:L,MATCH(DATA!D592,'OSA | 3GB'!J:J,0),3),0)</f>
        <v>469950</v>
      </c>
      <c r="H592" s="32">
        <f>_xlfn.IFNA(INDEX('OSA | 3GB'!A:C,MATCH(DATA!D592,'OSA | 3GB'!A:A,0),2),0)</f>
        <v>5</v>
      </c>
      <c r="I592" s="33" t="str">
        <f>_xlfn.IFNA(INDEX('OSA | 3GB'!A:C,MATCH(DATA!D592,'OSA | 3GB'!A:A,0),3),0)</f>
        <v xml:space="preserve"> -   </v>
      </c>
      <c r="J592" s="33">
        <f>INDEX('BIO WAHYU'!B:G,MATCH(DATA!D592,'BIO WAHYU'!B:B,0),5)</f>
        <v>9</v>
      </c>
      <c r="K592" s="34">
        <f>INDEX('BIO WAHYU'!B:G,MATCH(DATA!D592,'BIO WAHYU'!B:B,0),6)</f>
        <v>5</v>
      </c>
      <c r="L592" s="35">
        <f>INDEX('BIO WAHYU'!B:H,MATCH(DATA!D592,'BIO WAHYU'!B:B,0),7)</f>
        <v>0</v>
      </c>
      <c r="M592" s="34">
        <f>INDEX('BIO WAHYU'!B:H,MATCH(DATA!D592,'BIO WAHYU'!B:B,0),4)</f>
        <v>0</v>
      </c>
    </row>
    <row r="593" spans="1:13">
      <c r="A593" s="43" t="s">
        <v>1</v>
      </c>
      <c r="B593" s="43" t="s">
        <v>3</v>
      </c>
      <c r="C593" s="43" t="s">
        <v>21</v>
      </c>
      <c r="D593" s="10">
        <v>12326533</v>
      </c>
      <c r="E593" s="43" t="s">
        <v>15</v>
      </c>
      <c r="F593" s="8">
        <f>_xlfn.IFNA(INDEX('OSA | 3GB'!J:L,MATCH(DATA!D593,'OSA | 3GB'!J:J,0),2),0)</f>
        <v>3</v>
      </c>
      <c r="G593" s="8">
        <f>_xlfn.IFNA(INDEX('OSA | 3GB'!J:L,MATCH(DATA!D593,'OSA | 3GB'!J:J,0),3),0)</f>
        <v>2320600</v>
      </c>
      <c r="H593" s="32" t="str">
        <f>_xlfn.IFNA(INDEX('OSA | 3GB'!A:C,MATCH(DATA!D593,'OSA | 3GB'!A:A,0),2),0)</f>
        <v xml:space="preserve"> -   </v>
      </c>
      <c r="I593" s="33">
        <f>_xlfn.IFNA(INDEX('OSA | 3GB'!A:C,MATCH(DATA!D593,'OSA | 3GB'!A:A,0),3),0)</f>
        <v>50000</v>
      </c>
      <c r="J593" s="33">
        <f>INDEX('BIO WAHYU'!B:G,MATCH(DATA!D593,'BIO WAHYU'!B:B,0),5)</f>
        <v>3</v>
      </c>
      <c r="K593" s="34">
        <f>INDEX('BIO WAHYU'!B:G,MATCH(DATA!D593,'BIO WAHYU'!B:B,0),6)</f>
        <v>0</v>
      </c>
      <c r="L593" s="35">
        <f>INDEX('BIO WAHYU'!B:H,MATCH(DATA!D593,'BIO WAHYU'!B:B,0),7)</f>
        <v>0</v>
      </c>
      <c r="M593" s="34">
        <f>INDEX('BIO WAHYU'!B:H,MATCH(DATA!D593,'BIO WAHYU'!B:B,0),4)</f>
        <v>0</v>
      </c>
    </row>
    <row r="594" spans="1:13">
      <c r="A594" s="43" t="s">
        <v>1</v>
      </c>
      <c r="B594" s="43" t="s">
        <v>5</v>
      </c>
      <c r="C594" s="43" t="s">
        <v>95</v>
      </c>
      <c r="D594" s="10">
        <v>477625</v>
      </c>
      <c r="E594" s="43" t="s">
        <v>10</v>
      </c>
      <c r="F594" s="8">
        <f>_xlfn.IFNA(INDEX('OSA | 3GB'!J:L,MATCH(DATA!D594,'OSA | 3GB'!J:J,0),2),0)</f>
        <v>3</v>
      </c>
      <c r="G594" s="8">
        <f>_xlfn.IFNA(INDEX('OSA | 3GB'!J:L,MATCH(DATA!D594,'OSA | 3GB'!J:J,0),3),0)</f>
        <v>0</v>
      </c>
      <c r="H594" s="32">
        <f>_xlfn.IFNA(INDEX('OSA | 3GB'!A:C,MATCH(DATA!D594,'OSA | 3GB'!A:A,0),2),0)</f>
        <v>56</v>
      </c>
      <c r="I594" s="33" t="str">
        <f>_xlfn.IFNA(INDEX('OSA | 3GB'!A:C,MATCH(DATA!D594,'OSA | 3GB'!A:A,0),3),0)</f>
        <v xml:space="preserve"> -   </v>
      </c>
      <c r="J594" s="33">
        <f>INDEX('BIO WAHYU'!B:G,MATCH(DATA!D594,'BIO WAHYU'!B:B,0),5)</f>
        <v>3</v>
      </c>
      <c r="K594" s="34">
        <f>INDEX('BIO WAHYU'!B:G,MATCH(DATA!D594,'BIO WAHYU'!B:B,0),6)</f>
        <v>56</v>
      </c>
      <c r="L594" s="35">
        <f>INDEX('BIO WAHYU'!B:H,MATCH(DATA!D594,'BIO WAHYU'!B:B,0),7)</f>
        <v>53</v>
      </c>
      <c r="M594" s="34">
        <f>INDEX('BIO WAHYU'!B:H,MATCH(DATA!D594,'BIO WAHYU'!B:B,0),4)</f>
        <v>0</v>
      </c>
    </row>
    <row r="595" spans="1:13">
      <c r="A595" s="43" t="s">
        <v>1670</v>
      </c>
      <c r="B595" s="43" t="s">
        <v>140</v>
      </c>
      <c r="C595" s="43" t="s">
        <v>1325</v>
      </c>
      <c r="D595" s="10">
        <v>12321885</v>
      </c>
      <c r="E595" s="43" t="s">
        <v>15</v>
      </c>
      <c r="F595" s="8">
        <f>_xlfn.IFNA(INDEX('OSA | 3GB'!J:L,MATCH(DATA!D595,'OSA | 3GB'!J:J,0),2),0)</f>
        <v>3</v>
      </c>
      <c r="G595" s="8">
        <f>_xlfn.IFNA(INDEX('OSA | 3GB'!J:L,MATCH(DATA!D595,'OSA | 3GB'!J:J,0),3),0)</f>
        <v>2000000</v>
      </c>
      <c r="H595" s="32" t="str">
        <f>_xlfn.IFNA(INDEX('OSA | 3GB'!A:C,MATCH(DATA!D595,'OSA | 3GB'!A:A,0),2),0)</f>
        <v xml:space="preserve"> -   </v>
      </c>
      <c r="I595" s="33" t="str">
        <f>_xlfn.IFNA(INDEX('OSA | 3GB'!A:C,MATCH(DATA!D595,'OSA | 3GB'!A:A,0),3),0)</f>
        <v xml:space="preserve"> -   </v>
      </c>
      <c r="J595" s="33">
        <f>INDEX('BIO WAHYU'!B:G,MATCH(DATA!D595,'BIO WAHYU'!B:B,0),5)</f>
        <v>4</v>
      </c>
      <c r="K595" s="34">
        <f>INDEX('BIO WAHYU'!B:G,MATCH(DATA!D595,'BIO WAHYU'!B:B,0),6)</f>
        <v>0</v>
      </c>
      <c r="L595" s="35">
        <f>INDEX('BIO WAHYU'!B:H,MATCH(DATA!D595,'BIO WAHYU'!B:B,0),7)</f>
        <v>0</v>
      </c>
      <c r="M595" s="34">
        <f>INDEX('BIO WAHYU'!B:H,MATCH(DATA!D595,'BIO WAHYU'!B:B,0),4)</f>
        <v>0</v>
      </c>
    </row>
    <row r="596" spans="1:13">
      <c r="A596" s="43" t="s">
        <v>1</v>
      </c>
      <c r="B596" s="43" t="s">
        <v>5</v>
      </c>
      <c r="C596" s="43" t="s">
        <v>87</v>
      </c>
      <c r="D596" s="10">
        <v>126963</v>
      </c>
      <c r="E596" s="43" t="s">
        <v>10</v>
      </c>
      <c r="F596" s="8">
        <f>_xlfn.IFNA(INDEX('OSA | 3GB'!J:L,MATCH(DATA!D596,'OSA | 3GB'!J:J,0),2),0)</f>
        <v>4</v>
      </c>
      <c r="G596" s="8">
        <f>_xlfn.IFNA(INDEX('OSA | 3GB'!J:L,MATCH(DATA!D596,'OSA | 3GB'!J:J,0),3),0)</f>
        <v>716000</v>
      </c>
      <c r="H596" s="32">
        <f>_xlfn.IFNA(INDEX('OSA | 3GB'!A:C,MATCH(DATA!D596,'OSA | 3GB'!A:A,0),2),0)</f>
        <v>4</v>
      </c>
      <c r="I596" s="33">
        <f>_xlfn.IFNA(INDEX('OSA | 3GB'!A:C,MATCH(DATA!D596,'OSA | 3GB'!A:A,0),3),0)</f>
        <v>400000</v>
      </c>
      <c r="J596" s="33">
        <f>INDEX('BIO WAHYU'!B:G,MATCH(DATA!D596,'BIO WAHYU'!B:B,0),5)</f>
        <v>4</v>
      </c>
      <c r="K596" s="34">
        <f>INDEX('BIO WAHYU'!B:G,MATCH(DATA!D596,'BIO WAHYU'!B:B,0),6)</f>
        <v>0</v>
      </c>
      <c r="L596" s="35">
        <f>INDEX('BIO WAHYU'!B:H,MATCH(DATA!D596,'BIO WAHYU'!B:B,0),7)</f>
        <v>0</v>
      </c>
      <c r="M596" s="34">
        <f>INDEX('BIO WAHYU'!B:H,MATCH(DATA!D596,'BIO WAHYU'!B:B,0),4)</f>
        <v>0</v>
      </c>
    </row>
    <row r="597" spans="1:13">
      <c r="A597" s="43" t="s">
        <v>1672</v>
      </c>
      <c r="B597" s="43" t="s">
        <v>156</v>
      </c>
      <c r="C597" s="43" t="s">
        <v>997</v>
      </c>
      <c r="D597" s="10">
        <v>494950</v>
      </c>
      <c r="E597" s="43" t="s">
        <v>10</v>
      </c>
      <c r="F597" s="8">
        <f>_xlfn.IFNA(INDEX('OSA | 3GB'!J:L,MATCH(DATA!D597,'OSA | 3GB'!J:J,0),2),0)</f>
        <v>1</v>
      </c>
      <c r="G597" s="8">
        <f>_xlfn.IFNA(INDEX('OSA | 3GB'!J:L,MATCH(DATA!D597,'OSA | 3GB'!J:J,0),3),0)</f>
        <v>1000000</v>
      </c>
      <c r="H597" s="32" t="str">
        <f>_xlfn.IFNA(INDEX('OSA | 3GB'!A:C,MATCH(DATA!D597,'OSA | 3GB'!A:A,0),2),0)</f>
        <v xml:space="preserve"> -   </v>
      </c>
      <c r="I597" s="33">
        <f>_xlfn.IFNA(INDEX('OSA | 3GB'!A:C,MATCH(DATA!D597,'OSA | 3GB'!A:A,0),3),0)</f>
        <v>300000</v>
      </c>
      <c r="J597" s="33">
        <f>INDEX('BIO WAHYU'!B:G,MATCH(DATA!D597,'BIO WAHYU'!B:B,0),5)</f>
        <v>2</v>
      </c>
      <c r="K597" s="34">
        <f>INDEX('BIO WAHYU'!B:G,MATCH(DATA!D597,'BIO WAHYU'!B:B,0),6)</f>
        <v>1</v>
      </c>
      <c r="L597" s="35">
        <f>INDEX('BIO WAHYU'!B:H,MATCH(DATA!D597,'BIO WAHYU'!B:B,0),7)</f>
        <v>0</v>
      </c>
      <c r="M597" s="34">
        <f>INDEX('BIO WAHYU'!B:H,MATCH(DATA!D597,'BIO WAHYU'!B:B,0),4)</f>
        <v>0</v>
      </c>
    </row>
    <row r="598" spans="1:13">
      <c r="A598" s="43" t="s">
        <v>1673</v>
      </c>
      <c r="B598" s="43" t="s">
        <v>144</v>
      </c>
      <c r="C598" s="43" t="s">
        <v>222</v>
      </c>
      <c r="D598" s="10">
        <v>279169</v>
      </c>
      <c r="E598" s="43" t="s">
        <v>10</v>
      </c>
      <c r="F598" s="8">
        <f>_xlfn.IFNA(INDEX('OSA | 3GB'!J:L,MATCH(DATA!D598,'OSA | 3GB'!J:J,0),2),0)</f>
        <v>0</v>
      </c>
      <c r="G598" s="8">
        <f>_xlfn.IFNA(INDEX('OSA | 3GB'!J:L,MATCH(DATA!D598,'OSA | 3GB'!J:J,0),3),0)</f>
        <v>50000</v>
      </c>
      <c r="H598" s="32" t="str">
        <f>_xlfn.IFNA(INDEX('OSA | 3GB'!A:C,MATCH(DATA!D598,'OSA | 3GB'!A:A,0),2),0)</f>
        <v xml:space="preserve"> -   </v>
      </c>
      <c r="I598" s="33" t="str">
        <f>_xlfn.IFNA(INDEX('OSA | 3GB'!A:C,MATCH(DATA!D598,'OSA | 3GB'!A:A,0),3),0)</f>
        <v xml:space="preserve"> -   </v>
      </c>
      <c r="J598" s="33">
        <f>INDEX('BIO WAHYU'!B:G,MATCH(DATA!D598,'BIO WAHYU'!B:B,0),5)</f>
        <v>0</v>
      </c>
      <c r="K598" s="34">
        <f>INDEX('BIO WAHYU'!B:G,MATCH(DATA!D598,'BIO WAHYU'!B:B,0),6)</f>
        <v>0</v>
      </c>
      <c r="L598" s="35">
        <f>INDEX('BIO WAHYU'!B:H,MATCH(DATA!D598,'BIO WAHYU'!B:B,0),7)</f>
        <v>0</v>
      </c>
      <c r="M598" s="34">
        <f>INDEX('BIO WAHYU'!B:H,MATCH(DATA!D598,'BIO WAHYU'!B:B,0),4)</f>
        <v>0</v>
      </c>
    </row>
    <row r="599" spans="1:13">
      <c r="A599" s="43" t="s">
        <v>1672</v>
      </c>
      <c r="B599" s="43" t="s">
        <v>156</v>
      </c>
      <c r="C599" s="43" t="s">
        <v>977</v>
      </c>
      <c r="D599" s="10">
        <v>231806</v>
      </c>
      <c r="E599" s="43" t="s">
        <v>10</v>
      </c>
      <c r="F599" s="8">
        <f>_xlfn.IFNA(INDEX('OSA | 3GB'!J:L,MATCH(DATA!D599,'OSA | 3GB'!J:J,0),2),0)</f>
        <v>1</v>
      </c>
      <c r="G599" s="8">
        <f>_xlfn.IFNA(INDEX('OSA | 3GB'!J:L,MATCH(DATA!D599,'OSA | 3GB'!J:J,0),3),0)</f>
        <v>4000000</v>
      </c>
      <c r="H599" s="32">
        <f>_xlfn.IFNA(INDEX('OSA | 3GB'!A:C,MATCH(DATA!D599,'OSA | 3GB'!A:A,0),2),0)</f>
        <v>2</v>
      </c>
      <c r="I599" s="33">
        <f>_xlfn.IFNA(INDEX('OSA | 3GB'!A:C,MATCH(DATA!D599,'OSA | 3GB'!A:A,0),3),0)</f>
        <v>2000000</v>
      </c>
      <c r="J599" s="33">
        <f>INDEX('BIO WAHYU'!B:G,MATCH(DATA!D599,'BIO WAHYU'!B:B,0),5)</f>
        <v>1</v>
      </c>
      <c r="K599" s="34">
        <f>INDEX('BIO WAHYU'!B:G,MATCH(DATA!D599,'BIO WAHYU'!B:B,0),6)</f>
        <v>2</v>
      </c>
      <c r="L599" s="35">
        <f>INDEX('BIO WAHYU'!B:H,MATCH(DATA!D599,'BIO WAHYU'!B:B,0),7)</f>
        <v>1</v>
      </c>
      <c r="M599" s="34">
        <f>INDEX('BIO WAHYU'!B:H,MATCH(DATA!D599,'BIO WAHYU'!B:B,0),4)</f>
        <v>0</v>
      </c>
    </row>
    <row r="600" spans="1:13">
      <c r="A600" s="43" t="s">
        <v>1670</v>
      </c>
      <c r="B600" s="43" t="s">
        <v>140</v>
      </c>
      <c r="C600" s="43" t="s">
        <v>1326</v>
      </c>
      <c r="D600" s="10">
        <v>62019</v>
      </c>
      <c r="E600" s="43" t="s">
        <v>10</v>
      </c>
      <c r="F600" s="8">
        <f>_xlfn.IFNA(INDEX('OSA | 3GB'!J:L,MATCH(DATA!D600,'OSA | 3GB'!J:J,0),2),0)</f>
        <v>4</v>
      </c>
      <c r="G600" s="8">
        <f>_xlfn.IFNA(INDEX('OSA | 3GB'!J:L,MATCH(DATA!D600,'OSA | 3GB'!J:J,0),3),0)</f>
        <v>3163000</v>
      </c>
      <c r="H600" s="32" t="str">
        <f>_xlfn.IFNA(INDEX('OSA | 3GB'!A:C,MATCH(DATA!D600,'OSA | 3GB'!A:A,0),2),0)</f>
        <v xml:space="preserve"> -   </v>
      </c>
      <c r="I600" s="33" t="str">
        <f>_xlfn.IFNA(INDEX('OSA | 3GB'!A:C,MATCH(DATA!D600,'OSA | 3GB'!A:A,0),3),0)</f>
        <v xml:space="preserve"> -   </v>
      </c>
      <c r="J600" s="33">
        <f>INDEX('BIO WAHYU'!B:G,MATCH(DATA!D600,'BIO WAHYU'!B:B,0),5)</f>
        <v>3</v>
      </c>
      <c r="K600" s="34">
        <f>INDEX('BIO WAHYU'!B:G,MATCH(DATA!D600,'BIO WAHYU'!B:B,0),6)</f>
        <v>1</v>
      </c>
      <c r="L600" s="35">
        <f>INDEX('BIO WAHYU'!B:H,MATCH(DATA!D600,'BIO WAHYU'!B:B,0),7)</f>
        <v>0</v>
      </c>
      <c r="M600" s="34">
        <f>INDEX('BIO WAHYU'!B:H,MATCH(DATA!D600,'BIO WAHYU'!B:B,0),4)</f>
        <v>0</v>
      </c>
    </row>
    <row r="601" spans="1:13">
      <c r="A601" s="43" t="s">
        <v>1671</v>
      </c>
      <c r="B601" s="43" t="s">
        <v>142</v>
      </c>
      <c r="C601" s="43" t="s">
        <v>342</v>
      </c>
      <c r="D601" s="10">
        <v>115177</v>
      </c>
      <c r="E601" s="43" t="s">
        <v>10</v>
      </c>
      <c r="F601" s="8">
        <f>_xlfn.IFNA(INDEX('OSA | 3GB'!J:L,MATCH(DATA!D601,'OSA | 3GB'!J:J,0),2),0)</f>
        <v>0</v>
      </c>
      <c r="G601" s="8">
        <f>_xlfn.IFNA(INDEX('OSA | 3GB'!J:L,MATCH(DATA!D601,'OSA | 3GB'!J:J,0),3),0)</f>
        <v>0</v>
      </c>
      <c r="H601" s="32" t="str">
        <f>_xlfn.IFNA(INDEX('OSA | 3GB'!A:C,MATCH(DATA!D601,'OSA | 3GB'!A:A,0),2),0)</f>
        <v xml:space="preserve"> -   </v>
      </c>
      <c r="I601" s="33" t="str">
        <f>_xlfn.IFNA(INDEX('OSA | 3GB'!A:C,MATCH(DATA!D601,'OSA | 3GB'!A:A,0),3),0)</f>
        <v xml:space="preserve"> -   </v>
      </c>
      <c r="J601" s="33">
        <f>INDEX('BIO WAHYU'!B:G,MATCH(DATA!D601,'BIO WAHYU'!B:B,0),5)</f>
        <v>0</v>
      </c>
      <c r="K601" s="34">
        <f>INDEX('BIO WAHYU'!B:G,MATCH(DATA!D601,'BIO WAHYU'!B:B,0),6)</f>
        <v>0</v>
      </c>
      <c r="L601" s="35">
        <f>INDEX('BIO WAHYU'!B:H,MATCH(DATA!D601,'BIO WAHYU'!B:B,0),7)</f>
        <v>0</v>
      </c>
      <c r="M601" s="34">
        <f>INDEX('BIO WAHYU'!B:H,MATCH(DATA!D601,'BIO WAHYU'!B:B,0),4)</f>
        <v>0</v>
      </c>
    </row>
    <row r="602" spans="1:13">
      <c r="A602" s="43" t="s">
        <v>1672</v>
      </c>
      <c r="B602" s="43" t="s">
        <v>151</v>
      </c>
      <c r="C602" s="43" t="s">
        <v>865</v>
      </c>
      <c r="D602" s="10">
        <v>2643</v>
      </c>
      <c r="E602" s="43" t="s">
        <v>15</v>
      </c>
      <c r="F602" s="8">
        <f>_xlfn.IFNA(INDEX('OSA | 3GB'!J:L,MATCH(DATA!D602,'OSA | 3GB'!J:J,0),2),0)</f>
        <v>0</v>
      </c>
      <c r="G602" s="8">
        <f>_xlfn.IFNA(INDEX('OSA | 3GB'!J:L,MATCH(DATA!D602,'OSA | 3GB'!J:J,0),3),0)</f>
        <v>400000</v>
      </c>
      <c r="H602" s="32">
        <f>_xlfn.IFNA(INDEX('OSA | 3GB'!A:C,MATCH(DATA!D602,'OSA | 3GB'!A:A,0),2),0)</f>
        <v>2</v>
      </c>
      <c r="I602" s="33">
        <f>_xlfn.IFNA(INDEX('OSA | 3GB'!A:C,MATCH(DATA!D602,'OSA | 3GB'!A:A,0),3),0)</f>
        <v>158000</v>
      </c>
      <c r="J602" s="33">
        <f>INDEX('BIO WAHYU'!B:G,MATCH(DATA!D602,'BIO WAHYU'!B:B,0),5)</f>
        <v>1</v>
      </c>
      <c r="K602" s="34">
        <f>INDEX('BIO WAHYU'!B:G,MATCH(DATA!D602,'BIO WAHYU'!B:B,0),6)</f>
        <v>1</v>
      </c>
      <c r="L602" s="35">
        <f>INDEX('BIO WAHYU'!B:H,MATCH(DATA!D602,'BIO WAHYU'!B:B,0),7)</f>
        <v>0</v>
      </c>
      <c r="M602" s="34">
        <f>INDEX('BIO WAHYU'!B:H,MATCH(DATA!D602,'BIO WAHYU'!B:B,0),4)</f>
        <v>0</v>
      </c>
    </row>
    <row r="603" spans="1:13">
      <c r="A603" s="43" t="s">
        <v>1670</v>
      </c>
      <c r="B603" s="43" t="s">
        <v>146</v>
      </c>
      <c r="C603" s="43" t="s">
        <v>1327</v>
      </c>
      <c r="D603" s="10">
        <v>488992</v>
      </c>
      <c r="E603" s="43" t="s">
        <v>10</v>
      </c>
      <c r="F603" s="8">
        <f>_xlfn.IFNA(INDEX('OSA | 3GB'!J:L,MATCH(DATA!D603,'OSA | 3GB'!J:J,0),2),0)</f>
        <v>2</v>
      </c>
      <c r="G603" s="8">
        <f>_xlfn.IFNA(INDEX('OSA | 3GB'!J:L,MATCH(DATA!D603,'OSA | 3GB'!J:J,0),3),0)</f>
        <v>1150000</v>
      </c>
      <c r="H603" s="32" t="str">
        <f>_xlfn.IFNA(INDEX('OSA | 3GB'!A:C,MATCH(DATA!D603,'OSA | 3GB'!A:A,0),2),0)</f>
        <v xml:space="preserve"> -   </v>
      </c>
      <c r="I603" s="33">
        <f>_xlfn.IFNA(INDEX('OSA | 3GB'!A:C,MATCH(DATA!D603,'OSA | 3GB'!A:A,0),3),0)</f>
        <v>600000</v>
      </c>
      <c r="J603" s="33">
        <f>INDEX('BIO WAHYU'!B:G,MATCH(DATA!D603,'BIO WAHYU'!B:B,0),5)</f>
        <v>2</v>
      </c>
      <c r="K603" s="34">
        <f>INDEX('BIO WAHYU'!B:G,MATCH(DATA!D603,'BIO WAHYU'!B:B,0),6)</f>
        <v>0</v>
      </c>
      <c r="L603" s="35">
        <f>INDEX('BIO WAHYU'!B:H,MATCH(DATA!D603,'BIO WAHYU'!B:B,0),7)</f>
        <v>0</v>
      </c>
      <c r="M603" s="34">
        <f>INDEX('BIO WAHYU'!B:H,MATCH(DATA!D603,'BIO WAHYU'!B:B,0),4)</f>
        <v>0</v>
      </c>
    </row>
    <row r="604" spans="1:13">
      <c r="A604" s="43" t="s">
        <v>1674</v>
      </c>
      <c r="B604" s="43" t="s">
        <v>153</v>
      </c>
      <c r="C604" s="43" t="s">
        <v>724</v>
      </c>
      <c r="D604" s="10">
        <v>342770</v>
      </c>
      <c r="E604" s="43" t="s">
        <v>10</v>
      </c>
      <c r="F604" s="8">
        <f>_xlfn.IFNA(INDEX('OSA | 3GB'!J:L,MATCH(DATA!D604,'OSA | 3GB'!J:J,0),2),0)</f>
        <v>2</v>
      </c>
      <c r="G604" s="8">
        <f>_xlfn.IFNA(INDEX('OSA | 3GB'!J:L,MATCH(DATA!D604,'OSA | 3GB'!J:J,0),3),0)</f>
        <v>0</v>
      </c>
      <c r="H604" s="32" t="str">
        <f>_xlfn.IFNA(INDEX('OSA | 3GB'!A:C,MATCH(DATA!D604,'OSA | 3GB'!A:A,0),2),0)</f>
        <v xml:space="preserve"> -   </v>
      </c>
      <c r="I604" s="33" t="str">
        <f>_xlfn.IFNA(INDEX('OSA | 3GB'!A:C,MATCH(DATA!D604,'OSA | 3GB'!A:A,0),3),0)</f>
        <v xml:space="preserve"> -   </v>
      </c>
      <c r="J604" s="33">
        <f>INDEX('BIO WAHYU'!B:G,MATCH(DATA!D604,'BIO WAHYU'!B:B,0),5)</f>
        <v>2</v>
      </c>
      <c r="K604" s="34">
        <f>INDEX('BIO WAHYU'!B:G,MATCH(DATA!D604,'BIO WAHYU'!B:B,0),6)</f>
        <v>1</v>
      </c>
      <c r="L604" s="35">
        <f>INDEX('BIO WAHYU'!B:H,MATCH(DATA!D604,'BIO WAHYU'!B:B,0),7)</f>
        <v>0</v>
      </c>
      <c r="M604" s="34">
        <f>INDEX('BIO WAHYU'!B:H,MATCH(DATA!D604,'BIO WAHYU'!B:B,0),4)</f>
        <v>0</v>
      </c>
    </row>
    <row r="605" spans="1:13">
      <c r="A605" s="43" t="s">
        <v>1674</v>
      </c>
      <c r="B605" s="43" t="s">
        <v>147</v>
      </c>
      <c r="C605" s="43" t="s">
        <v>590</v>
      </c>
      <c r="D605" s="10">
        <v>114854</v>
      </c>
      <c r="E605" s="43" t="s">
        <v>10</v>
      </c>
      <c r="F605" s="8">
        <f>_xlfn.IFNA(INDEX('OSA | 3GB'!J:L,MATCH(DATA!D605,'OSA | 3GB'!J:J,0),2),0)</f>
        <v>0</v>
      </c>
      <c r="G605" s="8">
        <f>_xlfn.IFNA(INDEX('OSA | 3GB'!J:L,MATCH(DATA!D605,'OSA | 3GB'!J:J,0),3),0)</f>
        <v>350000</v>
      </c>
      <c r="H605" s="32" t="str">
        <f>_xlfn.IFNA(INDEX('OSA | 3GB'!A:C,MATCH(DATA!D605,'OSA | 3GB'!A:A,0),2),0)</f>
        <v xml:space="preserve"> -   </v>
      </c>
      <c r="I605" s="33" t="str">
        <f>_xlfn.IFNA(INDEX('OSA | 3GB'!A:C,MATCH(DATA!D605,'OSA | 3GB'!A:A,0),3),0)</f>
        <v xml:space="preserve"> -   </v>
      </c>
      <c r="J605" s="33">
        <f>INDEX('BIO WAHYU'!B:G,MATCH(DATA!D605,'BIO WAHYU'!B:B,0),5)</f>
        <v>0</v>
      </c>
      <c r="K605" s="34">
        <f>INDEX('BIO WAHYU'!B:G,MATCH(DATA!D605,'BIO WAHYU'!B:B,0),6)</f>
        <v>0</v>
      </c>
      <c r="L605" s="35">
        <f>INDEX('BIO WAHYU'!B:H,MATCH(DATA!D605,'BIO WAHYU'!B:B,0),7)</f>
        <v>0</v>
      </c>
      <c r="M605" s="34">
        <f>INDEX('BIO WAHYU'!B:H,MATCH(DATA!D605,'BIO WAHYU'!B:B,0),4)</f>
        <v>0</v>
      </c>
    </row>
    <row r="606" spans="1:13">
      <c r="A606" s="43" t="s">
        <v>1673</v>
      </c>
      <c r="B606" s="43" t="s">
        <v>144</v>
      </c>
      <c r="C606" s="43" t="s">
        <v>1328</v>
      </c>
      <c r="D606" s="10">
        <v>61981</v>
      </c>
      <c r="E606" s="43" t="s">
        <v>10</v>
      </c>
      <c r="F606" s="8">
        <f>_xlfn.IFNA(INDEX('OSA | 3GB'!J:L,MATCH(DATA!D606,'OSA | 3GB'!J:J,0),2),0)</f>
        <v>3</v>
      </c>
      <c r="G606" s="8">
        <f>_xlfn.IFNA(INDEX('OSA | 3GB'!J:L,MATCH(DATA!D606,'OSA | 3GB'!J:J,0),3),0)</f>
        <v>3829000</v>
      </c>
      <c r="H606" s="32" t="str">
        <f>_xlfn.IFNA(INDEX('OSA | 3GB'!A:C,MATCH(DATA!D606,'OSA | 3GB'!A:A,0),2),0)</f>
        <v xml:space="preserve"> -   </v>
      </c>
      <c r="I606" s="33">
        <f>_xlfn.IFNA(INDEX('OSA | 3GB'!A:C,MATCH(DATA!D606,'OSA | 3GB'!A:A,0),3),0)</f>
        <v>1500000</v>
      </c>
      <c r="J606" s="33">
        <f>INDEX('BIO WAHYU'!B:G,MATCH(DATA!D606,'BIO WAHYU'!B:B,0),5)</f>
        <v>4</v>
      </c>
      <c r="K606" s="34">
        <f>INDEX('BIO WAHYU'!B:G,MATCH(DATA!D606,'BIO WAHYU'!B:B,0),6)</f>
        <v>0</v>
      </c>
      <c r="L606" s="35">
        <f>INDEX('BIO WAHYU'!B:H,MATCH(DATA!D606,'BIO WAHYU'!B:B,0),7)</f>
        <v>0</v>
      </c>
      <c r="M606" s="34">
        <f>INDEX('BIO WAHYU'!B:H,MATCH(DATA!D606,'BIO WAHYU'!B:B,0),4)</f>
        <v>0</v>
      </c>
    </row>
    <row r="607" spans="1:13">
      <c r="A607" s="43" t="s">
        <v>1673</v>
      </c>
      <c r="B607" s="43" t="s">
        <v>158</v>
      </c>
      <c r="C607" s="43" t="s">
        <v>1218</v>
      </c>
      <c r="D607" s="10">
        <v>231086</v>
      </c>
      <c r="E607" s="43" t="s">
        <v>15</v>
      </c>
      <c r="F607" s="8">
        <f>_xlfn.IFNA(INDEX('OSA | 3GB'!J:L,MATCH(DATA!D607,'OSA | 3GB'!J:J,0),2),0)</f>
        <v>3</v>
      </c>
      <c r="G607" s="8">
        <f>_xlfn.IFNA(INDEX('OSA | 3GB'!J:L,MATCH(DATA!D607,'OSA | 3GB'!J:J,0),3),0)</f>
        <v>1300000</v>
      </c>
      <c r="H607" s="32" t="str">
        <f>_xlfn.IFNA(INDEX('OSA | 3GB'!A:C,MATCH(DATA!D607,'OSA | 3GB'!A:A,0),2),0)</f>
        <v xml:space="preserve"> -   </v>
      </c>
      <c r="I607" s="33">
        <f>_xlfn.IFNA(INDEX('OSA | 3GB'!A:C,MATCH(DATA!D607,'OSA | 3GB'!A:A,0),3),0)</f>
        <v>450000</v>
      </c>
      <c r="J607" s="33">
        <f>INDEX('BIO WAHYU'!B:G,MATCH(DATA!D607,'BIO WAHYU'!B:B,0),5)</f>
        <v>3</v>
      </c>
      <c r="K607" s="34">
        <f>INDEX('BIO WAHYU'!B:G,MATCH(DATA!D607,'BIO WAHYU'!B:B,0),6)</f>
        <v>0</v>
      </c>
      <c r="L607" s="35">
        <f>INDEX('BIO WAHYU'!B:H,MATCH(DATA!D607,'BIO WAHYU'!B:B,0),7)</f>
        <v>0</v>
      </c>
      <c r="M607" s="34">
        <f>INDEX('BIO WAHYU'!B:H,MATCH(DATA!D607,'BIO WAHYU'!B:B,0),4)</f>
        <v>0</v>
      </c>
    </row>
    <row r="608" spans="1:13">
      <c r="A608" s="43" t="s">
        <v>1673</v>
      </c>
      <c r="B608" s="43" t="s">
        <v>1136</v>
      </c>
      <c r="C608" s="43" t="s">
        <v>1329</v>
      </c>
      <c r="D608" s="10">
        <v>61799</v>
      </c>
      <c r="E608" s="43" t="s">
        <v>10</v>
      </c>
      <c r="F608" s="8">
        <f>_xlfn.IFNA(INDEX('OSA | 3GB'!J:L,MATCH(DATA!D608,'OSA | 3GB'!J:J,0),2),0)</f>
        <v>11</v>
      </c>
      <c r="G608" s="8">
        <f>_xlfn.IFNA(INDEX('OSA | 3GB'!J:L,MATCH(DATA!D608,'OSA | 3GB'!J:J,0),3),0)</f>
        <v>750000</v>
      </c>
      <c r="H608" s="32" t="str">
        <f>_xlfn.IFNA(INDEX('OSA | 3GB'!A:C,MATCH(DATA!D608,'OSA | 3GB'!A:A,0),2),0)</f>
        <v xml:space="preserve"> -   </v>
      </c>
      <c r="I608" s="33">
        <f>_xlfn.IFNA(INDEX('OSA | 3GB'!A:C,MATCH(DATA!D608,'OSA | 3GB'!A:A,0),3),0)</f>
        <v>150000</v>
      </c>
      <c r="J608" s="33">
        <f>INDEX('BIO WAHYU'!B:G,MATCH(DATA!D608,'BIO WAHYU'!B:B,0),5)</f>
        <v>4</v>
      </c>
      <c r="K608" s="34">
        <f>INDEX('BIO WAHYU'!B:G,MATCH(DATA!D608,'BIO WAHYU'!B:B,0),6)</f>
        <v>1</v>
      </c>
      <c r="L608" s="35">
        <f>INDEX('BIO WAHYU'!B:H,MATCH(DATA!D608,'BIO WAHYU'!B:B,0),7)</f>
        <v>0</v>
      </c>
      <c r="M608" s="34">
        <f>INDEX('BIO WAHYU'!B:H,MATCH(DATA!D608,'BIO WAHYU'!B:B,0),4)</f>
        <v>0</v>
      </c>
    </row>
    <row r="609" spans="1:13">
      <c r="A609" s="43" t="s">
        <v>1673</v>
      </c>
      <c r="B609" s="43" t="s">
        <v>1140</v>
      </c>
      <c r="C609" s="43" t="s">
        <v>1330</v>
      </c>
      <c r="D609" s="10">
        <v>330648</v>
      </c>
      <c r="E609" s="43" t="s">
        <v>15</v>
      </c>
      <c r="F609" s="8">
        <f>_xlfn.IFNA(INDEX('OSA | 3GB'!J:L,MATCH(DATA!D609,'OSA | 3GB'!J:J,0),2),0)</f>
        <v>3</v>
      </c>
      <c r="G609" s="8">
        <f>_xlfn.IFNA(INDEX('OSA | 3GB'!J:L,MATCH(DATA!D609,'OSA | 3GB'!J:J,0),3),0)</f>
        <v>1200000</v>
      </c>
      <c r="H609" s="32" t="str">
        <f>_xlfn.IFNA(INDEX('OSA | 3GB'!A:C,MATCH(DATA!D609,'OSA | 3GB'!A:A,0),2),0)</f>
        <v xml:space="preserve"> -   </v>
      </c>
      <c r="I609" s="33">
        <f>_xlfn.IFNA(INDEX('OSA | 3GB'!A:C,MATCH(DATA!D609,'OSA | 3GB'!A:A,0),3),0)</f>
        <v>400000</v>
      </c>
      <c r="J609" s="33">
        <f>INDEX('BIO WAHYU'!B:G,MATCH(DATA!D609,'BIO WAHYU'!B:B,0),5)</f>
        <v>1</v>
      </c>
      <c r="K609" s="34">
        <f>INDEX('BIO WAHYU'!B:G,MATCH(DATA!D609,'BIO WAHYU'!B:B,0),6)</f>
        <v>2</v>
      </c>
      <c r="L609" s="35">
        <f>INDEX('BIO WAHYU'!B:H,MATCH(DATA!D609,'BIO WAHYU'!B:B,0),7)</f>
        <v>1</v>
      </c>
      <c r="M609" s="34">
        <f>INDEX('BIO WAHYU'!B:H,MATCH(DATA!D609,'BIO WAHYU'!B:B,0),4)</f>
        <v>0</v>
      </c>
    </row>
    <row r="610" spans="1:13">
      <c r="A610" s="43" t="s">
        <v>1673</v>
      </c>
      <c r="B610" s="43" t="s">
        <v>158</v>
      </c>
      <c r="C610" s="43" t="s">
        <v>1331</v>
      </c>
      <c r="D610" s="10">
        <v>199185</v>
      </c>
      <c r="E610" s="43" t="s">
        <v>10</v>
      </c>
      <c r="F610" s="8">
        <f>_xlfn.IFNA(INDEX('OSA | 3GB'!J:L,MATCH(DATA!D610,'OSA | 3GB'!J:J,0),2),0)</f>
        <v>7</v>
      </c>
      <c r="G610" s="8">
        <f>_xlfn.IFNA(INDEX('OSA | 3GB'!J:L,MATCH(DATA!D610,'OSA | 3GB'!J:J,0),3),0)</f>
        <v>1379000</v>
      </c>
      <c r="H610" s="32">
        <f>_xlfn.IFNA(INDEX('OSA | 3GB'!A:C,MATCH(DATA!D610,'OSA | 3GB'!A:A,0),2),0)</f>
        <v>2</v>
      </c>
      <c r="I610" s="33">
        <f>_xlfn.IFNA(INDEX('OSA | 3GB'!A:C,MATCH(DATA!D610,'OSA | 3GB'!A:A,0),3),0)</f>
        <v>250000</v>
      </c>
      <c r="J610" s="33">
        <f>INDEX('BIO WAHYU'!B:G,MATCH(DATA!D610,'BIO WAHYU'!B:B,0),5)</f>
        <v>7</v>
      </c>
      <c r="K610" s="34">
        <f>INDEX('BIO WAHYU'!B:G,MATCH(DATA!D610,'BIO WAHYU'!B:B,0),6)</f>
        <v>9</v>
      </c>
      <c r="L610" s="35">
        <f>INDEX('BIO WAHYU'!B:H,MATCH(DATA!D610,'BIO WAHYU'!B:B,0),7)</f>
        <v>2</v>
      </c>
      <c r="M610" s="34">
        <f>INDEX('BIO WAHYU'!B:H,MATCH(DATA!D610,'BIO WAHYU'!B:B,0),4)</f>
        <v>0</v>
      </c>
    </row>
    <row r="611" spans="1:13">
      <c r="A611" s="43" t="s">
        <v>1674</v>
      </c>
      <c r="B611" s="43" t="s">
        <v>154</v>
      </c>
      <c r="C611" s="43" t="s">
        <v>739</v>
      </c>
      <c r="D611" s="10">
        <v>2201</v>
      </c>
      <c r="E611" s="43" t="s">
        <v>10</v>
      </c>
      <c r="F611" s="8">
        <f>_xlfn.IFNA(INDEX('OSA | 3GB'!J:L,MATCH(DATA!D611,'OSA | 3GB'!J:J,0),2),0)</f>
        <v>2</v>
      </c>
      <c r="G611" s="8">
        <f>_xlfn.IFNA(INDEX('OSA | 3GB'!J:L,MATCH(DATA!D611,'OSA | 3GB'!J:J,0),3),0)</f>
        <v>13050000</v>
      </c>
      <c r="H611" s="32" t="str">
        <f>_xlfn.IFNA(INDEX('OSA | 3GB'!A:C,MATCH(DATA!D611,'OSA | 3GB'!A:A,0),2),0)</f>
        <v xml:space="preserve"> -   </v>
      </c>
      <c r="I611" s="33">
        <f>_xlfn.IFNA(INDEX('OSA | 3GB'!A:C,MATCH(DATA!D611,'OSA | 3GB'!A:A,0),3),0)</f>
        <v>5300000</v>
      </c>
      <c r="J611" s="33">
        <f>INDEX('BIO WAHYU'!B:G,MATCH(DATA!D611,'BIO WAHYU'!B:B,0),5)</f>
        <v>6</v>
      </c>
      <c r="K611" s="34">
        <f>INDEX('BIO WAHYU'!B:G,MATCH(DATA!D611,'BIO WAHYU'!B:B,0),6)</f>
        <v>1</v>
      </c>
      <c r="L611" s="35">
        <f>INDEX('BIO WAHYU'!B:H,MATCH(DATA!D611,'BIO WAHYU'!B:B,0),7)</f>
        <v>0</v>
      </c>
      <c r="M611" s="34">
        <f>INDEX('BIO WAHYU'!B:H,MATCH(DATA!D611,'BIO WAHYU'!B:B,0),4)</f>
        <v>0</v>
      </c>
    </row>
    <row r="612" spans="1:13">
      <c r="A612" s="43" t="s">
        <v>1672</v>
      </c>
      <c r="B612" s="43">
        <v>2613051475</v>
      </c>
      <c r="C612" s="43" t="s">
        <v>1332</v>
      </c>
      <c r="D612" s="10">
        <v>274492</v>
      </c>
      <c r="E612" s="43" t="s">
        <v>10</v>
      </c>
      <c r="F612" s="8">
        <f>_xlfn.IFNA(INDEX('OSA | 3GB'!J:L,MATCH(DATA!D612,'OSA | 3GB'!J:J,0),2),0)</f>
        <v>3</v>
      </c>
      <c r="G612" s="8">
        <f>_xlfn.IFNA(INDEX('OSA | 3GB'!J:L,MATCH(DATA!D612,'OSA | 3GB'!J:J,0),3),0)</f>
        <v>1178000</v>
      </c>
      <c r="H612" s="32">
        <f>_xlfn.IFNA(INDEX('OSA | 3GB'!A:C,MATCH(DATA!D612,'OSA | 3GB'!A:A,0),2),0)</f>
        <v>2</v>
      </c>
      <c r="I612" s="33">
        <f>_xlfn.IFNA(INDEX('OSA | 3GB'!A:C,MATCH(DATA!D612,'OSA | 3GB'!A:A,0),3),0)</f>
        <v>1350000</v>
      </c>
      <c r="J612" s="33">
        <f>INDEX('BIO WAHYU'!B:G,MATCH(DATA!D612,'BIO WAHYU'!B:B,0),5)</f>
        <v>0</v>
      </c>
      <c r="K612" s="34">
        <f>INDEX('BIO WAHYU'!B:G,MATCH(DATA!D612,'BIO WAHYU'!B:B,0),6)</f>
        <v>3</v>
      </c>
      <c r="L612" s="35">
        <f>INDEX('BIO WAHYU'!B:H,MATCH(DATA!D612,'BIO WAHYU'!B:B,0),7)</f>
        <v>3</v>
      </c>
      <c r="M612" s="34">
        <f>INDEX('BIO WAHYU'!B:H,MATCH(DATA!D612,'BIO WAHYU'!B:B,0),4)</f>
        <v>0</v>
      </c>
    </row>
    <row r="613" spans="1:13">
      <c r="A613" s="43" t="s">
        <v>1675</v>
      </c>
      <c r="B613" s="43" t="s">
        <v>137</v>
      </c>
      <c r="C613" s="43" t="s">
        <v>428</v>
      </c>
      <c r="D613" s="10">
        <v>12296071</v>
      </c>
      <c r="E613" s="43" t="s">
        <v>15</v>
      </c>
      <c r="F613" s="8">
        <f>_xlfn.IFNA(INDEX('OSA | 3GB'!J:L,MATCH(DATA!D613,'OSA | 3GB'!J:J,0),2),0)</f>
        <v>6</v>
      </c>
      <c r="G613" s="8">
        <f>_xlfn.IFNA(INDEX('OSA | 3GB'!J:L,MATCH(DATA!D613,'OSA | 3GB'!J:J,0),3),0)</f>
        <v>1931000</v>
      </c>
      <c r="H613" s="32">
        <f>_xlfn.IFNA(INDEX('OSA | 3GB'!A:C,MATCH(DATA!D613,'OSA | 3GB'!A:A,0),2),0)</f>
        <v>3</v>
      </c>
      <c r="I613" s="33">
        <f>_xlfn.IFNA(INDEX('OSA | 3GB'!A:C,MATCH(DATA!D613,'OSA | 3GB'!A:A,0),3),0)</f>
        <v>300000</v>
      </c>
      <c r="J613" s="33">
        <f>INDEX('BIO WAHYU'!B:G,MATCH(DATA!D613,'BIO WAHYU'!B:B,0),5)</f>
        <v>8</v>
      </c>
      <c r="K613" s="34">
        <f>INDEX('BIO WAHYU'!B:G,MATCH(DATA!D613,'BIO WAHYU'!B:B,0),6)</f>
        <v>3</v>
      </c>
      <c r="L613" s="35">
        <f>INDEX('BIO WAHYU'!B:H,MATCH(DATA!D613,'BIO WAHYU'!B:B,0),7)</f>
        <v>0</v>
      </c>
      <c r="M613" s="34">
        <f>INDEX('BIO WAHYU'!B:H,MATCH(DATA!D613,'BIO WAHYU'!B:B,0),4)</f>
        <v>0</v>
      </c>
    </row>
    <row r="614" spans="1:13">
      <c r="A614" s="43" t="s">
        <v>1672</v>
      </c>
      <c r="B614" s="43">
        <v>2613051475</v>
      </c>
      <c r="C614" s="43" t="s">
        <v>904</v>
      </c>
      <c r="D614" s="10">
        <v>458949</v>
      </c>
      <c r="E614" s="43" t="s">
        <v>10</v>
      </c>
      <c r="F614" s="8">
        <f>_xlfn.IFNA(INDEX('OSA | 3GB'!J:L,MATCH(DATA!D614,'OSA | 3GB'!J:J,0),2),0)</f>
        <v>1</v>
      </c>
      <c r="G614" s="8">
        <f>_xlfn.IFNA(INDEX('OSA | 3GB'!J:L,MATCH(DATA!D614,'OSA | 3GB'!J:J,0),3),0)</f>
        <v>5912000</v>
      </c>
      <c r="H614" s="32">
        <f>_xlfn.IFNA(INDEX('OSA | 3GB'!A:C,MATCH(DATA!D614,'OSA | 3GB'!A:A,0),2),0)</f>
        <v>1</v>
      </c>
      <c r="I614" s="33">
        <f>_xlfn.IFNA(INDEX('OSA | 3GB'!A:C,MATCH(DATA!D614,'OSA | 3GB'!A:A,0),3),0)</f>
        <v>1800000</v>
      </c>
      <c r="J614" s="33">
        <f>INDEX('BIO WAHYU'!B:G,MATCH(DATA!D614,'BIO WAHYU'!B:B,0),5)</f>
        <v>8</v>
      </c>
      <c r="K614" s="34">
        <f>INDEX('BIO WAHYU'!B:G,MATCH(DATA!D614,'BIO WAHYU'!B:B,0),6)</f>
        <v>1</v>
      </c>
      <c r="L614" s="35">
        <f>INDEX('BIO WAHYU'!B:H,MATCH(DATA!D614,'BIO WAHYU'!B:B,0),7)</f>
        <v>0</v>
      </c>
      <c r="M614" s="34">
        <f>INDEX('BIO WAHYU'!B:H,MATCH(DATA!D614,'BIO WAHYU'!B:B,0),4)</f>
        <v>1</v>
      </c>
    </row>
    <row r="615" spans="1:13">
      <c r="A615" s="43" t="s">
        <v>1</v>
      </c>
      <c r="B615" s="43" t="s">
        <v>3</v>
      </c>
      <c r="C615" s="43" t="s">
        <v>25</v>
      </c>
      <c r="D615" s="10">
        <v>287622</v>
      </c>
      <c r="E615" s="43" t="s">
        <v>10</v>
      </c>
      <c r="F615" s="8">
        <f>_xlfn.IFNA(INDEX('OSA | 3GB'!J:L,MATCH(DATA!D615,'OSA | 3GB'!J:J,0),2),0)</f>
        <v>5</v>
      </c>
      <c r="G615" s="8">
        <f>_xlfn.IFNA(INDEX('OSA | 3GB'!J:L,MATCH(DATA!D615,'OSA | 3GB'!J:J,0),3),0)</f>
        <v>2117000</v>
      </c>
      <c r="H615" s="32" t="str">
        <f>_xlfn.IFNA(INDEX('OSA | 3GB'!A:C,MATCH(DATA!D615,'OSA | 3GB'!A:A,0),2),0)</f>
        <v xml:space="preserve"> -   </v>
      </c>
      <c r="I615" s="33">
        <f>_xlfn.IFNA(INDEX('OSA | 3GB'!A:C,MATCH(DATA!D615,'OSA | 3GB'!A:A,0),3),0)</f>
        <v>670500</v>
      </c>
      <c r="J615" s="33">
        <f>INDEX('BIO WAHYU'!B:G,MATCH(DATA!D615,'BIO WAHYU'!B:B,0),5)</f>
        <v>5</v>
      </c>
      <c r="K615" s="34">
        <f>INDEX('BIO WAHYU'!B:G,MATCH(DATA!D615,'BIO WAHYU'!B:B,0),6)</f>
        <v>0</v>
      </c>
      <c r="L615" s="35">
        <f>INDEX('BIO WAHYU'!B:H,MATCH(DATA!D615,'BIO WAHYU'!B:B,0),7)</f>
        <v>0</v>
      </c>
      <c r="M615" s="34">
        <f>INDEX('BIO WAHYU'!B:H,MATCH(DATA!D615,'BIO WAHYU'!B:B,0),4)</f>
        <v>0</v>
      </c>
    </row>
    <row r="616" spans="1:13">
      <c r="A616" s="43" t="s">
        <v>1672</v>
      </c>
      <c r="B616" s="43" t="s">
        <v>156</v>
      </c>
      <c r="C616" s="43" t="s">
        <v>969</v>
      </c>
      <c r="D616" s="10">
        <v>12300536</v>
      </c>
      <c r="E616" s="43" t="s">
        <v>10</v>
      </c>
      <c r="F616" s="8">
        <f>_xlfn.IFNA(INDEX('OSA | 3GB'!J:L,MATCH(DATA!D616,'OSA | 3GB'!J:J,0),2),0)</f>
        <v>0</v>
      </c>
      <c r="G616" s="8">
        <f>_xlfn.IFNA(INDEX('OSA | 3GB'!J:L,MATCH(DATA!D616,'OSA | 3GB'!J:J,0),3),0)</f>
        <v>0</v>
      </c>
      <c r="H616" s="32" t="str">
        <f>_xlfn.IFNA(INDEX('OSA | 3GB'!A:C,MATCH(DATA!D616,'OSA | 3GB'!A:A,0),2),0)</f>
        <v xml:space="preserve"> -   </v>
      </c>
      <c r="I616" s="33" t="str">
        <f>_xlfn.IFNA(INDEX('OSA | 3GB'!A:C,MATCH(DATA!D616,'OSA | 3GB'!A:A,0),3),0)</f>
        <v xml:space="preserve"> -   </v>
      </c>
      <c r="J616" s="33">
        <f>INDEX('BIO WAHYU'!B:G,MATCH(DATA!D616,'BIO WAHYU'!B:B,0),5)</f>
        <v>0</v>
      </c>
      <c r="K616" s="34">
        <f>INDEX('BIO WAHYU'!B:G,MATCH(DATA!D616,'BIO WAHYU'!B:B,0),6)</f>
        <v>0</v>
      </c>
      <c r="L616" s="35">
        <f>INDEX('BIO WAHYU'!B:H,MATCH(DATA!D616,'BIO WAHYU'!B:B,0),7)</f>
        <v>0</v>
      </c>
      <c r="M616" s="34">
        <f>INDEX('BIO WAHYU'!B:H,MATCH(DATA!D616,'BIO WAHYU'!B:B,0),4)</f>
        <v>0</v>
      </c>
    </row>
    <row r="617" spans="1:13">
      <c r="A617" s="43" t="s">
        <v>1674</v>
      </c>
      <c r="B617" s="43" t="s">
        <v>154</v>
      </c>
      <c r="C617" s="43" t="s">
        <v>1333</v>
      </c>
      <c r="D617" s="10">
        <v>265466</v>
      </c>
      <c r="E617" s="43" t="s">
        <v>10</v>
      </c>
      <c r="F617" s="8">
        <f>_xlfn.IFNA(INDEX('OSA | 3GB'!J:L,MATCH(DATA!D617,'OSA | 3GB'!J:J,0),2),0)</f>
        <v>20</v>
      </c>
      <c r="G617" s="8">
        <f>_xlfn.IFNA(INDEX('OSA | 3GB'!J:L,MATCH(DATA!D617,'OSA | 3GB'!J:J,0),3),0)</f>
        <v>301000</v>
      </c>
      <c r="H617" s="32" t="str">
        <f>_xlfn.IFNA(INDEX('OSA | 3GB'!A:C,MATCH(DATA!D617,'OSA | 3GB'!A:A,0),2),0)</f>
        <v xml:space="preserve"> -   </v>
      </c>
      <c r="I617" s="33" t="str">
        <f>_xlfn.IFNA(INDEX('OSA | 3GB'!A:C,MATCH(DATA!D617,'OSA | 3GB'!A:A,0),3),0)</f>
        <v xml:space="preserve"> -   </v>
      </c>
      <c r="J617" s="33">
        <f>INDEX('BIO WAHYU'!B:G,MATCH(DATA!D617,'BIO WAHYU'!B:B,0),5)</f>
        <v>4</v>
      </c>
      <c r="K617" s="34">
        <f>INDEX('BIO WAHYU'!B:G,MATCH(DATA!D617,'BIO WAHYU'!B:B,0),6)</f>
        <v>4</v>
      </c>
      <c r="L617" s="35">
        <f>INDEX('BIO WAHYU'!B:H,MATCH(DATA!D617,'BIO WAHYU'!B:B,0),7)</f>
        <v>0</v>
      </c>
      <c r="M617" s="34">
        <f>INDEX('BIO WAHYU'!B:H,MATCH(DATA!D617,'BIO WAHYU'!B:B,0),4)</f>
        <v>0</v>
      </c>
    </row>
    <row r="618" spans="1:13">
      <c r="A618" s="43" t="s">
        <v>1671</v>
      </c>
      <c r="B618" s="43">
        <v>2613050886</v>
      </c>
      <c r="C618" s="43" t="s">
        <v>341</v>
      </c>
      <c r="D618" s="10">
        <v>571637</v>
      </c>
      <c r="E618" s="43" t="s">
        <v>15</v>
      </c>
      <c r="F618" s="8">
        <f>_xlfn.IFNA(INDEX('OSA | 3GB'!J:L,MATCH(DATA!D618,'OSA | 3GB'!J:J,0),2),0)</f>
        <v>3</v>
      </c>
      <c r="G618" s="8">
        <f>_xlfn.IFNA(INDEX('OSA | 3GB'!J:L,MATCH(DATA!D618,'OSA | 3GB'!J:J,0),3),0)</f>
        <v>400000</v>
      </c>
      <c r="H618" s="32" t="str">
        <f>_xlfn.IFNA(INDEX('OSA | 3GB'!A:C,MATCH(DATA!D618,'OSA | 3GB'!A:A,0),2),0)</f>
        <v xml:space="preserve"> -   </v>
      </c>
      <c r="I618" s="33">
        <f>_xlfn.IFNA(INDEX('OSA | 3GB'!A:C,MATCH(DATA!D618,'OSA | 3GB'!A:A,0),3),0)</f>
        <v>400000</v>
      </c>
      <c r="J618" s="33">
        <f>INDEX('BIO WAHYU'!B:G,MATCH(DATA!D618,'BIO WAHYU'!B:B,0),5)</f>
        <v>1</v>
      </c>
      <c r="K618" s="34">
        <f>INDEX('BIO WAHYU'!B:G,MATCH(DATA!D618,'BIO WAHYU'!B:B,0),6)</f>
        <v>0</v>
      </c>
      <c r="L618" s="35">
        <f>INDEX('BIO WAHYU'!B:H,MATCH(DATA!D618,'BIO WAHYU'!B:B,0),7)</f>
        <v>0</v>
      </c>
      <c r="M618" s="34">
        <f>INDEX('BIO WAHYU'!B:H,MATCH(DATA!D618,'BIO WAHYU'!B:B,0),4)</f>
        <v>0</v>
      </c>
    </row>
    <row r="619" spans="1:13">
      <c r="A619" s="43" t="s">
        <v>1674</v>
      </c>
      <c r="B619" s="43" t="s">
        <v>152</v>
      </c>
      <c r="C619" s="43" t="s">
        <v>457</v>
      </c>
      <c r="D619" s="10">
        <v>524914</v>
      </c>
      <c r="E619" s="43" t="s">
        <v>10</v>
      </c>
      <c r="F619" s="8">
        <f>_xlfn.IFNA(INDEX('OSA | 3GB'!J:L,MATCH(DATA!D619,'OSA | 3GB'!J:J,0),2),0)</f>
        <v>4</v>
      </c>
      <c r="G619" s="8">
        <f>_xlfn.IFNA(INDEX('OSA | 3GB'!J:L,MATCH(DATA!D619,'OSA | 3GB'!J:J,0),3),0)</f>
        <v>1933000</v>
      </c>
      <c r="H619" s="32" t="str">
        <f>_xlfn.IFNA(INDEX('OSA | 3GB'!A:C,MATCH(DATA!D619,'OSA | 3GB'!A:A,0),2),0)</f>
        <v xml:space="preserve"> -   </v>
      </c>
      <c r="I619" s="33">
        <f>_xlfn.IFNA(INDEX('OSA | 3GB'!A:C,MATCH(DATA!D619,'OSA | 3GB'!A:A,0),3),0)</f>
        <v>1000000</v>
      </c>
      <c r="J619" s="33">
        <f>INDEX('BIO WAHYU'!B:G,MATCH(DATA!D619,'BIO WAHYU'!B:B,0),5)</f>
        <v>2</v>
      </c>
      <c r="K619" s="34">
        <f>INDEX('BIO WAHYU'!B:G,MATCH(DATA!D619,'BIO WAHYU'!B:B,0),6)</f>
        <v>1</v>
      </c>
      <c r="L619" s="35">
        <f>INDEX('BIO WAHYU'!B:H,MATCH(DATA!D619,'BIO WAHYU'!B:B,0),7)</f>
        <v>0</v>
      </c>
      <c r="M619" s="34">
        <f>INDEX('BIO WAHYU'!B:H,MATCH(DATA!D619,'BIO WAHYU'!B:B,0),4)</f>
        <v>0</v>
      </c>
    </row>
    <row r="620" spans="1:13">
      <c r="A620" s="43" t="s">
        <v>1674</v>
      </c>
      <c r="B620" s="43" t="s">
        <v>152</v>
      </c>
      <c r="C620" s="43" t="s">
        <v>678</v>
      </c>
      <c r="D620" s="10">
        <v>62083</v>
      </c>
      <c r="E620" s="43" t="s">
        <v>10</v>
      </c>
      <c r="F620" s="8">
        <f>_xlfn.IFNA(INDEX('OSA | 3GB'!J:L,MATCH(DATA!D620,'OSA | 3GB'!J:J,0),2),0)</f>
        <v>3</v>
      </c>
      <c r="G620" s="8">
        <f>_xlfn.IFNA(INDEX('OSA | 3GB'!J:L,MATCH(DATA!D620,'OSA | 3GB'!J:J,0),3),0)</f>
        <v>758000</v>
      </c>
      <c r="H620" s="32" t="str">
        <f>_xlfn.IFNA(INDEX('OSA | 3GB'!A:C,MATCH(DATA!D620,'OSA | 3GB'!A:A,0),2),0)</f>
        <v xml:space="preserve"> -   </v>
      </c>
      <c r="I620" s="33">
        <f>_xlfn.IFNA(INDEX('OSA | 3GB'!A:C,MATCH(DATA!D620,'OSA | 3GB'!A:A,0),3),0)</f>
        <v>100000</v>
      </c>
      <c r="J620" s="33">
        <f>INDEX('BIO WAHYU'!B:G,MATCH(DATA!D620,'BIO WAHYU'!B:B,0),5)</f>
        <v>1</v>
      </c>
      <c r="K620" s="34">
        <f>INDEX('BIO WAHYU'!B:G,MATCH(DATA!D620,'BIO WAHYU'!B:B,0),6)</f>
        <v>0</v>
      </c>
      <c r="L620" s="35">
        <f>INDEX('BIO WAHYU'!B:H,MATCH(DATA!D620,'BIO WAHYU'!B:B,0),7)</f>
        <v>0</v>
      </c>
      <c r="M620" s="34">
        <f>INDEX('BIO WAHYU'!B:H,MATCH(DATA!D620,'BIO WAHYU'!B:B,0),4)</f>
        <v>0</v>
      </c>
    </row>
    <row r="621" spans="1:13">
      <c r="A621" s="43" t="s">
        <v>1</v>
      </c>
      <c r="B621" s="43" t="s">
        <v>5</v>
      </c>
      <c r="C621" s="43" t="s">
        <v>1093</v>
      </c>
      <c r="D621" s="10">
        <v>12318079</v>
      </c>
      <c r="E621" s="43" t="s">
        <v>10</v>
      </c>
      <c r="F621" s="8">
        <f>_xlfn.IFNA(INDEX('OSA | 3GB'!J:L,MATCH(DATA!D621,'OSA | 3GB'!J:J,0),2),0)</f>
        <v>4</v>
      </c>
      <c r="G621" s="8">
        <f>_xlfn.IFNA(INDEX('OSA | 3GB'!J:L,MATCH(DATA!D621,'OSA | 3GB'!J:J,0),3),0)</f>
        <v>766000</v>
      </c>
      <c r="H621" s="32">
        <f>_xlfn.IFNA(INDEX('OSA | 3GB'!A:C,MATCH(DATA!D621,'OSA | 3GB'!A:A,0),2),0)</f>
        <v>4</v>
      </c>
      <c r="I621" s="33">
        <f>_xlfn.IFNA(INDEX('OSA | 3GB'!A:C,MATCH(DATA!D621,'OSA | 3GB'!A:A,0),3),0)</f>
        <v>300000</v>
      </c>
      <c r="J621" s="33">
        <f>INDEX('BIO WAHYU'!B:G,MATCH(DATA!D621,'BIO WAHYU'!B:B,0),5)</f>
        <v>4</v>
      </c>
      <c r="K621" s="34">
        <f>INDEX('BIO WAHYU'!B:G,MATCH(DATA!D621,'BIO WAHYU'!B:B,0),6)</f>
        <v>1</v>
      </c>
      <c r="L621" s="35">
        <f>INDEX('BIO WAHYU'!B:H,MATCH(DATA!D621,'BIO WAHYU'!B:B,0),7)</f>
        <v>0</v>
      </c>
      <c r="M621" s="34">
        <f>INDEX('BIO WAHYU'!B:H,MATCH(DATA!D621,'BIO WAHYU'!B:B,0),4)</f>
        <v>0</v>
      </c>
    </row>
    <row r="622" spans="1:13">
      <c r="A622" s="43" t="s">
        <v>1670</v>
      </c>
      <c r="B622" s="43" t="s">
        <v>146</v>
      </c>
      <c r="C622" s="43" t="s">
        <v>538</v>
      </c>
      <c r="D622" s="10">
        <v>211696</v>
      </c>
      <c r="E622" s="43" t="s">
        <v>15</v>
      </c>
      <c r="F622" s="8">
        <f>_xlfn.IFNA(INDEX('OSA | 3GB'!J:L,MATCH(DATA!D622,'OSA | 3GB'!J:J,0),2),0)</f>
        <v>6</v>
      </c>
      <c r="G622" s="8">
        <f>_xlfn.IFNA(INDEX('OSA | 3GB'!J:L,MATCH(DATA!D622,'OSA | 3GB'!J:J,0),3),0)</f>
        <v>50000</v>
      </c>
      <c r="H622" s="32">
        <f>_xlfn.IFNA(INDEX('OSA | 3GB'!A:C,MATCH(DATA!D622,'OSA | 3GB'!A:A,0),2),0)</f>
        <v>1</v>
      </c>
      <c r="I622" s="33">
        <f>_xlfn.IFNA(INDEX('OSA | 3GB'!A:C,MATCH(DATA!D622,'OSA | 3GB'!A:A,0),3),0)</f>
        <v>379000</v>
      </c>
      <c r="J622" s="33">
        <f>INDEX('BIO WAHYU'!B:G,MATCH(DATA!D622,'BIO WAHYU'!B:B,0),5)</f>
        <v>3</v>
      </c>
      <c r="K622" s="34">
        <f>INDEX('BIO WAHYU'!B:G,MATCH(DATA!D622,'BIO WAHYU'!B:B,0),6)</f>
        <v>1</v>
      </c>
      <c r="L622" s="35">
        <f>INDEX('BIO WAHYU'!B:H,MATCH(DATA!D622,'BIO WAHYU'!B:B,0),7)</f>
        <v>0</v>
      </c>
      <c r="M622" s="34">
        <f>INDEX('BIO WAHYU'!B:H,MATCH(DATA!D622,'BIO WAHYU'!B:B,0),4)</f>
        <v>0</v>
      </c>
    </row>
    <row r="623" spans="1:13">
      <c r="A623" s="43" t="s">
        <v>1670</v>
      </c>
      <c r="B623" s="43" t="s">
        <v>145</v>
      </c>
      <c r="C623" s="43" t="s">
        <v>521</v>
      </c>
      <c r="D623" s="10">
        <v>61848</v>
      </c>
      <c r="E623" s="43" t="s">
        <v>10</v>
      </c>
      <c r="F623" s="8">
        <f>_xlfn.IFNA(INDEX('OSA | 3GB'!J:L,MATCH(DATA!D623,'OSA | 3GB'!J:J,0),2),0)</f>
        <v>0</v>
      </c>
      <c r="G623" s="8">
        <f>_xlfn.IFNA(INDEX('OSA | 3GB'!J:L,MATCH(DATA!D623,'OSA | 3GB'!J:J,0),3),0)</f>
        <v>500000</v>
      </c>
      <c r="H623" s="32" t="str">
        <f>_xlfn.IFNA(INDEX('OSA | 3GB'!A:C,MATCH(DATA!D623,'OSA | 3GB'!A:A,0),2),0)</f>
        <v xml:space="preserve"> -   </v>
      </c>
      <c r="I623" s="33" t="str">
        <f>_xlfn.IFNA(INDEX('OSA | 3GB'!A:C,MATCH(DATA!D623,'OSA | 3GB'!A:A,0),3),0)</f>
        <v xml:space="preserve"> -   </v>
      </c>
      <c r="J623" s="33">
        <f>INDEX('BIO WAHYU'!B:G,MATCH(DATA!D623,'BIO WAHYU'!B:B,0),5)</f>
        <v>0</v>
      </c>
      <c r="K623" s="34">
        <f>INDEX('BIO WAHYU'!B:G,MATCH(DATA!D623,'BIO WAHYU'!B:B,0),6)</f>
        <v>0</v>
      </c>
      <c r="L623" s="35">
        <f>INDEX('BIO WAHYU'!B:H,MATCH(DATA!D623,'BIO WAHYU'!B:B,0),7)</f>
        <v>0</v>
      </c>
      <c r="M623" s="34">
        <f>INDEX('BIO WAHYU'!B:H,MATCH(DATA!D623,'BIO WAHYU'!B:B,0),4)</f>
        <v>0</v>
      </c>
    </row>
    <row r="624" spans="1:13">
      <c r="A624" s="43" t="s">
        <v>1671</v>
      </c>
      <c r="B624" s="43">
        <v>2613050885</v>
      </c>
      <c r="C624" s="43" t="s">
        <v>297</v>
      </c>
      <c r="D624" s="10">
        <v>518161</v>
      </c>
      <c r="E624" s="43" t="s">
        <v>15</v>
      </c>
      <c r="F624" s="8">
        <f>_xlfn.IFNA(INDEX('OSA | 3GB'!J:L,MATCH(DATA!D624,'OSA | 3GB'!J:J,0),2),0)</f>
        <v>0</v>
      </c>
      <c r="G624" s="8">
        <f>_xlfn.IFNA(INDEX('OSA | 3GB'!J:L,MATCH(DATA!D624,'OSA | 3GB'!J:J,0),3),0)</f>
        <v>800000</v>
      </c>
      <c r="H624" s="32" t="str">
        <f>_xlfn.IFNA(INDEX('OSA | 3GB'!A:C,MATCH(DATA!D624,'OSA | 3GB'!A:A,0),2),0)</f>
        <v xml:space="preserve"> -   </v>
      </c>
      <c r="I624" s="33">
        <f>_xlfn.IFNA(INDEX('OSA | 3GB'!A:C,MATCH(DATA!D624,'OSA | 3GB'!A:A,0),3),0)</f>
        <v>500000</v>
      </c>
      <c r="J624" s="33">
        <f>INDEX('BIO WAHYU'!B:G,MATCH(DATA!D624,'BIO WAHYU'!B:B,0),5)</f>
        <v>0</v>
      </c>
      <c r="K624" s="34">
        <f>INDEX('BIO WAHYU'!B:G,MATCH(DATA!D624,'BIO WAHYU'!B:B,0),6)</f>
        <v>0</v>
      </c>
      <c r="L624" s="35">
        <f>INDEX('BIO WAHYU'!B:H,MATCH(DATA!D624,'BIO WAHYU'!B:B,0),7)</f>
        <v>0</v>
      </c>
      <c r="M624" s="34">
        <f>INDEX('BIO WAHYU'!B:H,MATCH(DATA!D624,'BIO WAHYU'!B:B,0),4)</f>
        <v>0</v>
      </c>
    </row>
    <row r="625" spans="1:13">
      <c r="A625" s="43" t="s">
        <v>1672</v>
      </c>
      <c r="B625" s="43" t="s">
        <v>149</v>
      </c>
      <c r="C625" s="43" t="s">
        <v>1334</v>
      </c>
      <c r="D625" s="10">
        <v>12294918</v>
      </c>
      <c r="E625" s="43" t="s">
        <v>10</v>
      </c>
      <c r="F625" s="8">
        <f>_xlfn.IFNA(INDEX('OSA | 3GB'!J:L,MATCH(DATA!D625,'OSA | 3GB'!J:J,0),2),0)</f>
        <v>17</v>
      </c>
      <c r="G625" s="8">
        <f>_xlfn.IFNA(INDEX('OSA | 3GB'!J:L,MATCH(DATA!D625,'OSA | 3GB'!J:J,0),3),0)</f>
        <v>1400000</v>
      </c>
      <c r="H625" s="32" t="str">
        <f>_xlfn.IFNA(INDEX('OSA | 3GB'!A:C,MATCH(DATA!D625,'OSA | 3GB'!A:A,0),2),0)</f>
        <v xml:space="preserve"> -   </v>
      </c>
      <c r="I625" s="33">
        <f>_xlfn.IFNA(INDEX('OSA | 3GB'!A:C,MATCH(DATA!D625,'OSA | 3GB'!A:A,0),3),0)</f>
        <v>500000</v>
      </c>
      <c r="J625" s="33">
        <f>INDEX('BIO WAHYU'!B:G,MATCH(DATA!D625,'BIO WAHYU'!B:B,0),5)</f>
        <v>3</v>
      </c>
      <c r="K625" s="34">
        <f>INDEX('BIO WAHYU'!B:G,MATCH(DATA!D625,'BIO WAHYU'!B:B,0),6)</f>
        <v>1</v>
      </c>
      <c r="L625" s="35">
        <f>INDEX('BIO WAHYU'!B:H,MATCH(DATA!D625,'BIO WAHYU'!B:B,0),7)</f>
        <v>0</v>
      </c>
      <c r="M625" s="34">
        <f>INDEX('BIO WAHYU'!B:H,MATCH(DATA!D625,'BIO WAHYU'!B:B,0),4)</f>
        <v>0</v>
      </c>
    </row>
    <row r="626" spans="1:13">
      <c r="A626" s="43" t="s">
        <v>1674</v>
      </c>
      <c r="B626" s="43" t="s">
        <v>153</v>
      </c>
      <c r="C626" s="43" t="s">
        <v>1335</v>
      </c>
      <c r="D626" s="10">
        <v>211807</v>
      </c>
      <c r="E626" s="43" t="s">
        <v>10</v>
      </c>
      <c r="F626" s="8">
        <f>_xlfn.IFNA(INDEX('OSA | 3GB'!J:L,MATCH(DATA!D626,'OSA | 3GB'!J:J,0),2),0)</f>
        <v>4</v>
      </c>
      <c r="G626" s="8">
        <f>_xlfn.IFNA(INDEX('OSA | 3GB'!J:L,MATCH(DATA!D626,'OSA | 3GB'!J:J,0),3),0)</f>
        <v>2087000</v>
      </c>
      <c r="H626" s="32" t="str">
        <f>_xlfn.IFNA(INDEX('OSA | 3GB'!A:C,MATCH(DATA!D626,'OSA | 3GB'!A:A,0),2),0)</f>
        <v xml:space="preserve"> -   </v>
      </c>
      <c r="I626" s="33">
        <f>_xlfn.IFNA(INDEX('OSA | 3GB'!A:C,MATCH(DATA!D626,'OSA | 3GB'!A:A,0),3),0)</f>
        <v>2000000</v>
      </c>
      <c r="J626" s="33">
        <f>INDEX('BIO WAHYU'!B:G,MATCH(DATA!D626,'BIO WAHYU'!B:B,0),5)</f>
        <v>4</v>
      </c>
      <c r="K626" s="34">
        <f>INDEX('BIO WAHYU'!B:G,MATCH(DATA!D626,'BIO WAHYU'!B:B,0),6)</f>
        <v>0</v>
      </c>
      <c r="L626" s="35">
        <f>INDEX('BIO WAHYU'!B:H,MATCH(DATA!D626,'BIO WAHYU'!B:B,0),7)</f>
        <v>0</v>
      </c>
      <c r="M626" s="34">
        <f>INDEX('BIO WAHYU'!B:H,MATCH(DATA!D626,'BIO WAHYU'!B:B,0),4)</f>
        <v>0</v>
      </c>
    </row>
    <row r="627" spans="1:13">
      <c r="A627" s="43" t="s">
        <v>1675</v>
      </c>
      <c r="B627" s="43" t="s">
        <v>136</v>
      </c>
      <c r="C627" s="43" t="s">
        <v>411</v>
      </c>
      <c r="D627" s="10">
        <v>580416</v>
      </c>
      <c r="E627" s="43" t="s">
        <v>10</v>
      </c>
      <c r="F627" s="8">
        <f>_xlfn.IFNA(INDEX('OSA | 3GB'!J:L,MATCH(DATA!D627,'OSA | 3GB'!J:J,0),2),0)</f>
        <v>8</v>
      </c>
      <c r="G627" s="8">
        <f>_xlfn.IFNA(INDEX('OSA | 3GB'!J:L,MATCH(DATA!D627,'OSA | 3GB'!J:J,0),3),0)</f>
        <v>116000</v>
      </c>
      <c r="H627" s="32">
        <f>_xlfn.IFNA(INDEX('OSA | 3GB'!A:C,MATCH(DATA!D627,'OSA | 3GB'!A:A,0),2),0)</f>
        <v>10</v>
      </c>
      <c r="I627" s="33" t="str">
        <f>_xlfn.IFNA(INDEX('OSA | 3GB'!A:C,MATCH(DATA!D627,'OSA | 3GB'!A:A,0),3),0)</f>
        <v xml:space="preserve"> -   </v>
      </c>
      <c r="J627" s="33">
        <f>INDEX('BIO WAHYU'!B:G,MATCH(DATA!D627,'BIO WAHYU'!B:B,0),5)</f>
        <v>15</v>
      </c>
      <c r="K627" s="34">
        <f>INDEX('BIO WAHYU'!B:G,MATCH(DATA!D627,'BIO WAHYU'!B:B,0),6)</f>
        <v>9</v>
      </c>
      <c r="L627" s="35">
        <f>INDEX('BIO WAHYU'!B:H,MATCH(DATA!D627,'BIO WAHYU'!B:B,0),7)</f>
        <v>0</v>
      </c>
      <c r="M627" s="34">
        <f>INDEX('BIO WAHYU'!B:H,MATCH(DATA!D627,'BIO WAHYU'!B:B,0),4)</f>
        <v>0</v>
      </c>
    </row>
    <row r="628" spans="1:13">
      <c r="A628" s="43" t="s">
        <v>1670</v>
      </c>
      <c r="B628" s="43">
        <v>2613052584</v>
      </c>
      <c r="C628" s="43" t="s">
        <v>581</v>
      </c>
      <c r="D628" s="10">
        <v>12330397</v>
      </c>
      <c r="E628" s="43" t="s">
        <v>10</v>
      </c>
      <c r="F628" s="8">
        <f>_xlfn.IFNA(INDEX('OSA | 3GB'!J:L,MATCH(DATA!D628,'OSA | 3GB'!J:J,0),2),0)</f>
        <v>3</v>
      </c>
      <c r="G628" s="8">
        <f>_xlfn.IFNA(INDEX('OSA | 3GB'!J:L,MATCH(DATA!D628,'OSA | 3GB'!J:J,0),3),0)</f>
        <v>1461500</v>
      </c>
      <c r="H628" s="32" t="str">
        <f>_xlfn.IFNA(INDEX('OSA | 3GB'!A:C,MATCH(DATA!D628,'OSA | 3GB'!A:A,0),2),0)</f>
        <v xml:space="preserve"> -   </v>
      </c>
      <c r="I628" s="33">
        <f>_xlfn.IFNA(INDEX('OSA | 3GB'!A:C,MATCH(DATA!D628,'OSA | 3GB'!A:A,0),3),0)</f>
        <v>200000</v>
      </c>
      <c r="J628" s="33">
        <f>INDEX('BIO WAHYU'!B:G,MATCH(DATA!D628,'BIO WAHYU'!B:B,0),5)</f>
        <v>0</v>
      </c>
      <c r="K628" s="34">
        <f>INDEX('BIO WAHYU'!B:G,MATCH(DATA!D628,'BIO WAHYU'!B:B,0),6)</f>
        <v>0</v>
      </c>
      <c r="L628" s="35">
        <f>INDEX('BIO WAHYU'!B:H,MATCH(DATA!D628,'BIO WAHYU'!B:B,0),7)</f>
        <v>0</v>
      </c>
      <c r="M628" s="34">
        <f>INDEX('BIO WAHYU'!B:H,MATCH(DATA!D628,'BIO WAHYU'!B:B,0),4)</f>
        <v>0</v>
      </c>
    </row>
    <row r="629" spans="1:13">
      <c r="A629" s="43" t="s">
        <v>1672</v>
      </c>
      <c r="B629" s="43" t="s">
        <v>151</v>
      </c>
      <c r="C629" s="43" t="s">
        <v>856</v>
      </c>
      <c r="D629" s="10">
        <v>12328568</v>
      </c>
      <c r="E629" s="43" t="s">
        <v>10</v>
      </c>
      <c r="F629" s="8">
        <f>_xlfn.IFNA(INDEX('OSA | 3GB'!J:L,MATCH(DATA!D629,'OSA | 3GB'!J:J,0),2),0)</f>
        <v>2</v>
      </c>
      <c r="G629" s="8">
        <f>_xlfn.IFNA(INDEX('OSA | 3GB'!J:L,MATCH(DATA!D629,'OSA | 3GB'!J:J,0),3),0)</f>
        <v>50000</v>
      </c>
      <c r="H629" s="32">
        <f>_xlfn.IFNA(INDEX('OSA | 3GB'!A:C,MATCH(DATA!D629,'OSA | 3GB'!A:A,0),2),0)</f>
        <v>2</v>
      </c>
      <c r="I629" s="33">
        <f>_xlfn.IFNA(INDEX('OSA | 3GB'!A:C,MATCH(DATA!D629,'OSA | 3GB'!A:A,0),3),0)</f>
        <v>58000</v>
      </c>
      <c r="J629" s="33">
        <f>INDEX('BIO WAHYU'!B:G,MATCH(DATA!D629,'BIO WAHYU'!B:B,0),5)</f>
        <v>1</v>
      </c>
      <c r="K629" s="34">
        <f>INDEX('BIO WAHYU'!B:G,MATCH(DATA!D629,'BIO WAHYU'!B:B,0),6)</f>
        <v>0</v>
      </c>
      <c r="L629" s="35">
        <f>INDEX('BIO WAHYU'!B:H,MATCH(DATA!D629,'BIO WAHYU'!B:B,0),7)</f>
        <v>0</v>
      </c>
      <c r="M629" s="34">
        <f>INDEX('BIO WAHYU'!B:H,MATCH(DATA!D629,'BIO WAHYU'!B:B,0),4)</f>
        <v>0</v>
      </c>
    </row>
    <row r="630" spans="1:13">
      <c r="A630" s="43" t="s">
        <v>1</v>
      </c>
      <c r="B630" s="43" t="s">
        <v>5</v>
      </c>
      <c r="C630" s="43" t="s">
        <v>88</v>
      </c>
      <c r="D630" s="10">
        <v>195918</v>
      </c>
      <c r="E630" s="43" t="s">
        <v>10</v>
      </c>
      <c r="F630" s="8">
        <f>_xlfn.IFNA(INDEX('OSA | 3GB'!J:L,MATCH(DATA!D630,'OSA | 3GB'!J:J,0),2),0)</f>
        <v>0</v>
      </c>
      <c r="G630" s="8">
        <f>_xlfn.IFNA(INDEX('OSA | 3GB'!J:L,MATCH(DATA!D630,'OSA | 3GB'!J:J,0),3),0)</f>
        <v>16535110</v>
      </c>
      <c r="H630" s="32">
        <f>_xlfn.IFNA(INDEX('OSA | 3GB'!A:C,MATCH(DATA!D630,'OSA | 3GB'!A:A,0),2),0)</f>
        <v>4</v>
      </c>
      <c r="I630" s="33">
        <f>_xlfn.IFNA(INDEX('OSA | 3GB'!A:C,MATCH(DATA!D630,'OSA | 3GB'!A:A,0),3),0)</f>
        <v>5116000</v>
      </c>
      <c r="J630" s="33">
        <f>INDEX('BIO WAHYU'!B:G,MATCH(DATA!D630,'BIO WAHYU'!B:B,0),5)</f>
        <v>3</v>
      </c>
      <c r="K630" s="34">
        <f>INDEX('BIO WAHYU'!B:G,MATCH(DATA!D630,'BIO WAHYU'!B:B,0),6)</f>
        <v>2</v>
      </c>
      <c r="L630" s="35">
        <f>INDEX('BIO WAHYU'!B:H,MATCH(DATA!D630,'BIO WAHYU'!B:B,0),7)</f>
        <v>0</v>
      </c>
      <c r="M630" s="34">
        <f>INDEX('BIO WAHYU'!B:H,MATCH(DATA!D630,'BIO WAHYU'!B:B,0),4)</f>
        <v>0</v>
      </c>
    </row>
    <row r="631" spans="1:13">
      <c r="A631" s="43" t="s">
        <v>1673</v>
      </c>
      <c r="B631" s="43" t="s">
        <v>158</v>
      </c>
      <c r="C631" s="43" t="s">
        <v>1336</v>
      </c>
      <c r="D631" s="10">
        <v>12324062</v>
      </c>
      <c r="E631" s="43" t="s">
        <v>15</v>
      </c>
      <c r="F631" s="8">
        <f>_xlfn.IFNA(INDEX('OSA | 3GB'!J:L,MATCH(DATA!D631,'OSA | 3GB'!J:J,0),2),0)</f>
        <v>85</v>
      </c>
      <c r="G631" s="8">
        <f>_xlfn.IFNA(INDEX('OSA | 3GB'!J:L,MATCH(DATA!D631,'OSA | 3GB'!J:J,0),3),0)</f>
        <v>378500</v>
      </c>
      <c r="H631" s="32" t="str">
        <f>_xlfn.IFNA(INDEX('OSA | 3GB'!A:C,MATCH(DATA!D631,'OSA | 3GB'!A:A,0),2),0)</f>
        <v xml:space="preserve"> -   </v>
      </c>
      <c r="I631" s="33">
        <f>_xlfn.IFNA(INDEX('OSA | 3GB'!A:C,MATCH(DATA!D631,'OSA | 3GB'!A:A,0),3),0)</f>
        <v>130000</v>
      </c>
      <c r="J631" s="33">
        <f>INDEX('BIO WAHYU'!B:G,MATCH(DATA!D631,'BIO WAHYU'!B:B,0),5)</f>
        <v>2</v>
      </c>
      <c r="K631" s="34">
        <f>INDEX('BIO WAHYU'!B:G,MATCH(DATA!D631,'BIO WAHYU'!B:B,0),6)</f>
        <v>1</v>
      </c>
      <c r="L631" s="35">
        <f>INDEX('BIO WAHYU'!B:H,MATCH(DATA!D631,'BIO WAHYU'!B:B,0),7)</f>
        <v>0</v>
      </c>
      <c r="M631" s="34">
        <f>INDEX('BIO WAHYU'!B:H,MATCH(DATA!D631,'BIO WAHYU'!B:B,0),4)</f>
        <v>0</v>
      </c>
    </row>
    <row r="632" spans="1:13">
      <c r="A632" s="43" t="s">
        <v>1671</v>
      </c>
      <c r="B632" s="43" t="s">
        <v>142</v>
      </c>
      <c r="C632" s="43" t="s">
        <v>347</v>
      </c>
      <c r="D632" s="10">
        <v>211669</v>
      </c>
      <c r="E632" s="43" t="s">
        <v>10</v>
      </c>
      <c r="F632" s="8">
        <f>_xlfn.IFNA(INDEX('OSA | 3GB'!J:L,MATCH(DATA!D632,'OSA | 3GB'!J:J,0),2),0)</f>
        <v>0</v>
      </c>
      <c r="G632" s="8">
        <f>_xlfn.IFNA(INDEX('OSA | 3GB'!J:L,MATCH(DATA!D632,'OSA | 3GB'!J:J,0),3),0)</f>
        <v>0</v>
      </c>
      <c r="H632" s="32" t="str">
        <f>_xlfn.IFNA(INDEX('OSA | 3GB'!A:C,MATCH(DATA!D632,'OSA | 3GB'!A:A,0),2),0)</f>
        <v xml:space="preserve"> -   </v>
      </c>
      <c r="I632" s="33" t="str">
        <f>_xlfn.IFNA(INDEX('OSA | 3GB'!A:C,MATCH(DATA!D632,'OSA | 3GB'!A:A,0),3),0)</f>
        <v xml:space="preserve"> -   </v>
      </c>
      <c r="J632" s="33">
        <f>INDEX('BIO WAHYU'!B:G,MATCH(DATA!D632,'BIO WAHYU'!B:B,0),5)</f>
        <v>0</v>
      </c>
      <c r="K632" s="34">
        <f>INDEX('BIO WAHYU'!B:G,MATCH(DATA!D632,'BIO WAHYU'!B:B,0),6)</f>
        <v>0</v>
      </c>
      <c r="L632" s="35">
        <f>INDEX('BIO WAHYU'!B:H,MATCH(DATA!D632,'BIO WAHYU'!B:B,0),7)</f>
        <v>0</v>
      </c>
      <c r="M632" s="34">
        <f>INDEX('BIO WAHYU'!B:H,MATCH(DATA!D632,'BIO WAHYU'!B:B,0),4)</f>
        <v>0</v>
      </c>
    </row>
    <row r="633" spans="1:13">
      <c r="A633" s="43" t="s">
        <v>1670</v>
      </c>
      <c r="B633" s="43">
        <v>2613051412</v>
      </c>
      <c r="C633" s="43" t="s">
        <v>553</v>
      </c>
      <c r="D633" s="10">
        <v>12327415</v>
      </c>
      <c r="E633" s="43" t="s">
        <v>10</v>
      </c>
      <c r="F633" s="8">
        <f>_xlfn.IFNA(INDEX('OSA | 3GB'!J:L,MATCH(DATA!D633,'OSA | 3GB'!J:J,0),2),0)</f>
        <v>3</v>
      </c>
      <c r="G633" s="8">
        <f>_xlfn.IFNA(INDEX('OSA | 3GB'!J:L,MATCH(DATA!D633,'OSA | 3GB'!J:J,0),3),0)</f>
        <v>0</v>
      </c>
      <c r="H633" s="32">
        <f>_xlfn.IFNA(INDEX('OSA | 3GB'!A:C,MATCH(DATA!D633,'OSA | 3GB'!A:A,0),2),0)</f>
        <v>56</v>
      </c>
      <c r="I633" s="33" t="str">
        <f>_xlfn.IFNA(INDEX('OSA | 3GB'!A:C,MATCH(DATA!D633,'OSA | 3GB'!A:A,0),3),0)</f>
        <v xml:space="preserve"> -   </v>
      </c>
      <c r="J633" s="33">
        <f>INDEX('BIO WAHYU'!B:G,MATCH(DATA!D633,'BIO WAHYU'!B:B,0),5)</f>
        <v>3</v>
      </c>
      <c r="K633" s="34">
        <f>INDEX('BIO WAHYU'!B:G,MATCH(DATA!D633,'BIO WAHYU'!B:B,0),6)</f>
        <v>11</v>
      </c>
      <c r="L633" s="35">
        <f>INDEX('BIO WAHYU'!B:H,MATCH(DATA!D633,'BIO WAHYU'!B:B,0),7)</f>
        <v>8</v>
      </c>
      <c r="M633" s="34">
        <f>INDEX('BIO WAHYU'!B:H,MATCH(DATA!D633,'BIO WAHYU'!B:B,0),4)</f>
        <v>0</v>
      </c>
    </row>
    <row r="634" spans="1:13">
      <c r="A634" s="43" t="s">
        <v>1673</v>
      </c>
      <c r="B634" s="43" t="s">
        <v>158</v>
      </c>
      <c r="C634" s="43" t="s">
        <v>1337</v>
      </c>
      <c r="D634" s="10">
        <v>341960</v>
      </c>
      <c r="E634" s="43" t="s">
        <v>10</v>
      </c>
      <c r="F634" s="8">
        <f>_xlfn.IFNA(INDEX('OSA | 3GB'!J:L,MATCH(DATA!D634,'OSA | 3GB'!J:J,0),2),0)</f>
        <v>3</v>
      </c>
      <c r="G634" s="8">
        <f>_xlfn.IFNA(INDEX('OSA | 3GB'!J:L,MATCH(DATA!D634,'OSA | 3GB'!J:J,0),3),0)</f>
        <v>500000</v>
      </c>
      <c r="H634" s="32" t="str">
        <f>_xlfn.IFNA(INDEX('OSA | 3GB'!A:C,MATCH(DATA!D634,'OSA | 3GB'!A:A,0),2),0)</f>
        <v xml:space="preserve"> -   </v>
      </c>
      <c r="I634" s="33">
        <f>_xlfn.IFNA(INDEX('OSA | 3GB'!A:C,MATCH(DATA!D634,'OSA | 3GB'!A:A,0),3),0)</f>
        <v>250000</v>
      </c>
      <c r="J634" s="33">
        <f>INDEX('BIO WAHYU'!B:G,MATCH(DATA!D634,'BIO WAHYU'!B:B,0),5)</f>
        <v>4</v>
      </c>
      <c r="K634" s="34">
        <f>INDEX('BIO WAHYU'!B:G,MATCH(DATA!D634,'BIO WAHYU'!B:B,0),6)</f>
        <v>1</v>
      </c>
      <c r="L634" s="35">
        <f>INDEX('BIO WAHYU'!B:H,MATCH(DATA!D634,'BIO WAHYU'!B:B,0),7)</f>
        <v>0</v>
      </c>
      <c r="M634" s="34">
        <f>INDEX('BIO WAHYU'!B:H,MATCH(DATA!D634,'BIO WAHYU'!B:B,0),4)</f>
        <v>0</v>
      </c>
    </row>
    <row r="635" spans="1:13">
      <c r="A635" s="43" t="s">
        <v>1671</v>
      </c>
      <c r="B635" s="43">
        <v>2613050885</v>
      </c>
      <c r="C635" s="43" t="s">
        <v>302</v>
      </c>
      <c r="D635" s="10">
        <v>523918</v>
      </c>
      <c r="E635" s="43" t="s">
        <v>15</v>
      </c>
      <c r="F635" s="8">
        <f>_xlfn.IFNA(INDEX('OSA | 3GB'!J:L,MATCH(DATA!D635,'OSA | 3GB'!J:J,0),2),0)</f>
        <v>3</v>
      </c>
      <c r="G635" s="8">
        <f>_xlfn.IFNA(INDEX('OSA | 3GB'!J:L,MATCH(DATA!D635,'OSA | 3GB'!J:J,0),3),0)</f>
        <v>16130000</v>
      </c>
      <c r="H635" s="32">
        <f>_xlfn.IFNA(INDEX('OSA | 3GB'!A:C,MATCH(DATA!D635,'OSA | 3GB'!A:A,0),2),0)</f>
        <v>3</v>
      </c>
      <c r="I635" s="33" t="str">
        <f>_xlfn.IFNA(INDEX('OSA | 3GB'!A:C,MATCH(DATA!D635,'OSA | 3GB'!A:A,0),3),0)</f>
        <v xml:space="preserve"> -   </v>
      </c>
      <c r="J635" s="33">
        <f>INDEX('BIO WAHYU'!B:G,MATCH(DATA!D635,'BIO WAHYU'!B:B,0),5)</f>
        <v>1</v>
      </c>
      <c r="K635" s="34">
        <f>INDEX('BIO WAHYU'!B:G,MATCH(DATA!D635,'BIO WAHYU'!B:B,0),6)</f>
        <v>3</v>
      </c>
      <c r="L635" s="35">
        <f>INDEX('BIO WAHYU'!B:H,MATCH(DATA!D635,'BIO WAHYU'!B:B,0),7)</f>
        <v>2</v>
      </c>
      <c r="M635" s="34">
        <f>INDEX('BIO WAHYU'!B:H,MATCH(DATA!D635,'BIO WAHYU'!B:B,0),4)</f>
        <v>0</v>
      </c>
    </row>
    <row r="636" spans="1:13">
      <c r="A636" s="43" t="s">
        <v>1</v>
      </c>
      <c r="B636" s="43" t="s">
        <v>3</v>
      </c>
      <c r="C636" s="43" t="s">
        <v>34</v>
      </c>
      <c r="D636" s="10">
        <v>535790</v>
      </c>
      <c r="E636" s="43" t="s">
        <v>10</v>
      </c>
      <c r="F636" s="8">
        <f>_xlfn.IFNA(INDEX('OSA | 3GB'!J:L,MATCH(DATA!D636,'OSA | 3GB'!J:J,0),2),0)</f>
        <v>3</v>
      </c>
      <c r="G636" s="8">
        <f>_xlfn.IFNA(INDEX('OSA | 3GB'!J:L,MATCH(DATA!D636,'OSA | 3GB'!J:J,0),3),0)</f>
        <v>2300000</v>
      </c>
      <c r="H636" s="32">
        <f>_xlfn.IFNA(INDEX('OSA | 3GB'!A:C,MATCH(DATA!D636,'OSA | 3GB'!A:A,0),2),0)</f>
        <v>3</v>
      </c>
      <c r="I636" s="33">
        <f>_xlfn.IFNA(INDEX('OSA | 3GB'!A:C,MATCH(DATA!D636,'OSA | 3GB'!A:A,0),3),0)</f>
        <v>1100000</v>
      </c>
      <c r="J636" s="33">
        <f>INDEX('BIO WAHYU'!B:G,MATCH(DATA!D636,'BIO WAHYU'!B:B,0),5)</f>
        <v>3</v>
      </c>
      <c r="K636" s="34">
        <f>INDEX('BIO WAHYU'!B:G,MATCH(DATA!D636,'BIO WAHYU'!B:B,0),6)</f>
        <v>3</v>
      </c>
      <c r="L636" s="35">
        <f>INDEX('BIO WAHYU'!B:H,MATCH(DATA!D636,'BIO WAHYU'!B:B,0),7)</f>
        <v>0</v>
      </c>
      <c r="M636" s="34">
        <f>INDEX('BIO WAHYU'!B:H,MATCH(DATA!D636,'BIO WAHYU'!B:B,0),4)</f>
        <v>0</v>
      </c>
    </row>
    <row r="637" spans="1:13">
      <c r="A637" s="43" t="s">
        <v>1670</v>
      </c>
      <c r="B637" s="43">
        <v>2613051412</v>
      </c>
      <c r="C637" s="43" t="s">
        <v>556</v>
      </c>
      <c r="D637" s="10">
        <v>336362</v>
      </c>
      <c r="E637" s="43" t="s">
        <v>10</v>
      </c>
      <c r="F637" s="8">
        <f>_xlfn.IFNA(INDEX('OSA | 3GB'!J:L,MATCH(DATA!D637,'OSA | 3GB'!J:J,0),2),0)</f>
        <v>0</v>
      </c>
      <c r="G637" s="8">
        <f>_xlfn.IFNA(INDEX('OSA | 3GB'!J:L,MATCH(DATA!D637,'OSA | 3GB'!J:J,0),3),0)</f>
        <v>1000000</v>
      </c>
      <c r="H637" s="32" t="str">
        <f>_xlfn.IFNA(INDEX('OSA | 3GB'!A:C,MATCH(DATA!D637,'OSA | 3GB'!A:A,0),2),0)</f>
        <v xml:space="preserve"> -   </v>
      </c>
      <c r="I637" s="33" t="str">
        <f>_xlfn.IFNA(INDEX('OSA | 3GB'!A:C,MATCH(DATA!D637,'OSA | 3GB'!A:A,0),3),0)</f>
        <v xml:space="preserve"> -   </v>
      </c>
      <c r="J637" s="33">
        <f>INDEX('BIO WAHYU'!B:G,MATCH(DATA!D637,'BIO WAHYU'!B:B,0),5)</f>
        <v>0</v>
      </c>
      <c r="K637" s="34">
        <f>INDEX('BIO WAHYU'!B:G,MATCH(DATA!D637,'BIO WAHYU'!B:B,0),6)</f>
        <v>0</v>
      </c>
      <c r="L637" s="35">
        <f>INDEX('BIO WAHYU'!B:H,MATCH(DATA!D637,'BIO WAHYU'!B:B,0),7)</f>
        <v>0</v>
      </c>
      <c r="M637" s="34">
        <f>INDEX('BIO WAHYU'!B:H,MATCH(DATA!D637,'BIO WAHYU'!B:B,0),4)</f>
        <v>0</v>
      </c>
    </row>
    <row r="638" spans="1:13">
      <c r="A638" s="43" t="s">
        <v>1671</v>
      </c>
      <c r="B638" s="43" t="s">
        <v>142</v>
      </c>
      <c r="C638" s="43" t="s">
        <v>370</v>
      </c>
      <c r="D638" s="10">
        <v>547285</v>
      </c>
      <c r="E638" s="43" t="s">
        <v>10</v>
      </c>
      <c r="F638" s="8">
        <f>_xlfn.IFNA(INDEX('OSA | 3GB'!J:L,MATCH(DATA!D638,'OSA | 3GB'!J:J,0),2),0)</f>
        <v>6</v>
      </c>
      <c r="G638" s="8">
        <f>_xlfn.IFNA(INDEX('OSA | 3GB'!J:L,MATCH(DATA!D638,'OSA | 3GB'!J:J,0),3),0)</f>
        <v>3600000</v>
      </c>
      <c r="H638" s="32">
        <f>_xlfn.IFNA(INDEX('OSA | 3GB'!A:C,MATCH(DATA!D638,'OSA | 3GB'!A:A,0),2),0)</f>
        <v>4</v>
      </c>
      <c r="I638" s="33">
        <f>_xlfn.IFNA(INDEX('OSA | 3GB'!A:C,MATCH(DATA!D638,'OSA | 3GB'!A:A,0),3),0)</f>
        <v>116000</v>
      </c>
      <c r="J638" s="33">
        <f>INDEX('BIO WAHYU'!B:G,MATCH(DATA!D638,'BIO WAHYU'!B:B,0),5)</f>
        <v>1</v>
      </c>
      <c r="K638" s="34">
        <f>INDEX('BIO WAHYU'!B:G,MATCH(DATA!D638,'BIO WAHYU'!B:B,0),6)</f>
        <v>1</v>
      </c>
      <c r="L638" s="35">
        <f>INDEX('BIO WAHYU'!B:H,MATCH(DATA!D638,'BIO WAHYU'!B:B,0),7)</f>
        <v>0</v>
      </c>
      <c r="M638" s="34">
        <f>INDEX('BIO WAHYU'!B:H,MATCH(DATA!D638,'BIO WAHYU'!B:B,0),4)</f>
        <v>0</v>
      </c>
    </row>
    <row r="639" spans="1:13">
      <c r="A639" s="43" t="s">
        <v>1674</v>
      </c>
      <c r="B639" s="43">
        <v>2613052222</v>
      </c>
      <c r="C639" s="43" t="s">
        <v>685</v>
      </c>
      <c r="D639" s="10">
        <v>12323326</v>
      </c>
      <c r="E639" s="43" t="s">
        <v>10</v>
      </c>
      <c r="F639" s="8">
        <f>_xlfn.IFNA(INDEX('OSA | 3GB'!J:L,MATCH(DATA!D639,'OSA | 3GB'!J:J,0),2),0)</f>
        <v>88</v>
      </c>
      <c r="G639" s="8">
        <f>_xlfn.IFNA(INDEX('OSA | 3GB'!J:L,MATCH(DATA!D639,'OSA | 3GB'!J:J,0),3),0)</f>
        <v>26519560</v>
      </c>
      <c r="H639" s="32" t="str">
        <f>_xlfn.IFNA(INDEX('OSA | 3GB'!A:C,MATCH(DATA!D639,'OSA | 3GB'!A:A,0),2),0)</f>
        <v xml:space="preserve"> -   </v>
      </c>
      <c r="I639" s="33" t="str">
        <f>_xlfn.IFNA(INDEX('OSA | 3GB'!A:C,MATCH(DATA!D639,'OSA | 3GB'!A:A,0),3),0)</f>
        <v xml:space="preserve"> -   </v>
      </c>
      <c r="J639" s="33">
        <f>INDEX('BIO WAHYU'!B:G,MATCH(DATA!D639,'BIO WAHYU'!B:B,0),5)</f>
        <v>95</v>
      </c>
      <c r="K639" s="34">
        <f>INDEX('BIO WAHYU'!B:G,MATCH(DATA!D639,'BIO WAHYU'!B:B,0),6)</f>
        <v>45</v>
      </c>
      <c r="L639" s="35">
        <f>INDEX('BIO WAHYU'!B:H,MATCH(DATA!D639,'BIO WAHYU'!B:B,0),7)</f>
        <v>0</v>
      </c>
      <c r="M639" s="34">
        <f>INDEX('BIO WAHYU'!B:H,MATCH(DATA!D639,'BIO WAHYU'!B:B,0),4)</f>
        <v>0</v>
      </c>
    </row>
    <row r="640" spans="1:13">
      <c r="A640" s="43" t="s">
        <v>1675</v>
      </c>
      <c r="B640" s="43">
        <v>2613051043</v>
      </c>
      <c r="C640" s="43" t="s">
        <v>164</v>
      </c>
      <c r="D640" s="10">
        <v>12297032</v>
      </c>
      <c r="E640" s="43" t="s">
        <v>15</v>
      </c>
      <c r="F640" s="8">
        <f>_xlfn.IFNA(INDEX('OSA | 3GB'!J:L,MATCH(DATA!D640,'OSA | 3GB'!J:J,0),2),0)</f>
        <v>0</v>
      </c>
      <c r="G640" s="8">
        <f>_xlfn.IFNA(INDEX('OSA | 3GB'!J:L,MATCH(DATA!D640,'OSA | 3GB'!J:J,0),3),0)</f>
        <v>0</v>
      </c>
      <c r="H640" s="32" t="str">
        <f>_xlfn.IFNA(INDEX('OSA | 3GB'!A:C,MATCH(DATA!D640,'OSA | 3GB'!A:A,0),2),0)</f>
        <v xml:space="preserve"> -   </v>
      </c>
      <c r="I640" s="33" t="str">
        <f>_xlfn.IFNA(INDEX('OSA | 3GB'!A:C,MATCH(DATA!D640,'OSA | 3GB'!A:A,0),3),0)</f>
        <v xml:space="preserve"> -   </v>
      </c>
      <c r="J640" s="33">
        <f>INDEX('BIO WAHYU'!B:G,MATCH(DATA!D640,'BIO WAHYU'!B:B,0),5)</f>
        <v>1</v>
      </c>
      <c r="K640" s="34">
        <f>INDEX('BIO WAHYU'!B:G,MATCH(DATA!D640,'BIO WAHYU'!B:B,0),6)</f>
        <v>0</v>
      </c>
      <c r="L640" s="35">
        <f>INDEX('BIO WAHYU'!B:H,MATCH(DATA!D640,'BIO WAHYU'!B:B,0),7)</f>
        <v>0</v>
      </c>
      <c r="M640" s="34">
        <f>INDEX('BIO WAHYU'!B:H,MATCH(DATA!D640,'BIO WAHYU'!B:B,0),4)</f>
        <v>0</v>
      </c>
    </row>
    <row r="641" spans="1:13">
      <c r="A641" s="43" t="s">
        <v>1670</v>
      </c>
      <c r="B641" s="43">
        <v>2613051412</v>
      </c>
      <c r="C641" s="43" t="s">
        <v>1338</v>
      </c>
      <c r="D641" s="10">
        <v>12328134</v>
      </c>
      <c r="E641" s="43" t="s">
        <v>10</v>
      </c>
      <c r="F641" s="8">
        <f>_xlfn.IFNA(INDEX('OSA | 3GB'!J:L,MATCH(DATA!D641,'OSA | 3GB'!J:J,0),2),0)</f>
        <v>3</v>
      </c>
      <c r="G641" s="8">
        <f>_xlfn.IFNA(INDEX('OSA | 3GB'!J:L,MATCH(DATA!D641,'OSA | 3GB'!J:J,0),3),0)</f>
        <v>0</v>
      </c>
      <c r="H641" s="32">
        <f>_xlfn.IFNA(INDEX('OSA | 3GB'!A:C,MATCH(DATA!D641,'OSA | 3GB'!A:A,0),2),0)</f>
        <v>5</v>
      </c>
      <c r="I641" s="33">
        <f>_xlfn.IFNA(INDEX('OSA | 3GB'!A:C,MATCH(DATA!D641,'OSA | 3GB'!A:A,0),3),0)</f>
        <v>5750000</v>
      </c>
      <c r="J641" s="33">
        <f>INDEX('BIO WAHYU'!B:G,MATCH(DATA!D641,'BIO WAHYU'!B:B,0),5)</f>
        <v>3</v>
      </c>
      <c r="K641" s="34">
        <f>INDEX('BIO WAHYU'!B:G,MATCH(DATA!D641,'BIO WAHYU'!B:B,0),6)</f>
        <v>4</v>
      </c>
      <c r="L641" s="35">
        <f>INDEX('BIO WAHYU'!B:H,MATCH(DATA!D641,'BIO WAHYU'!B:B,0),7)</f>
        <v>1</v>
      </c>
      <c r="M641" s="34">
        <f>INDEX('BIO WAHYU'!B:H,MATCH(DATA!D641,'BIO WAHYU'!B:B,0),4)</f>
        <v>0</v>
      </c>
    </row>
    <row r="642" spans="1:13">
      <c r="A642" s="43" t="s">
        <v>1674</v>
      </c>
      <c r="B642" s="43" t="s">
        <v>154</v>
      </c>
      <c r="C642" s="43" t="s">
        <v>747</v>
      </c>
      <c r="D642" s="10">
        <v>445499</v>
      </c>
      <c r="E642" s="43" t="s">
        <v>10</v>
      </c>
      <c r="F642" s="8">
        <f>_xlfn.IFNA(INDEX('OSA | 3GB'!J:L,MATCH(DATA!D642,'OSA | 3GB'!J:J,0),2),0)</f>
        <v>15</v>
      </c>
      <c r="G642" s="8">
        <f>_xlfn.IFNA(INDEX('OSA | 3GB'!J:L,MATCH(DATA!D642,'OSA | 3GB'!J:J,0),3),0)</f>
        <v>9655000</v>
      </c>
      <c r="H642" s="32" t="str">
        <f>_xlfn.IFNA(INDEX('OSA | 3GB'!A:C,MATCH(DATA!D642,'OSA | 3GB'!A:A,0),2),0)</f>
        <v xml:space="preserve"> -   </v>
      </c>
      <c r="I642" s="33">
        <f>_xlfn.IFNA(INDEX('OSA | 3GB'!A:C,MATCH(DATA!D642,'OSA | 3GB'!A:A,0),3),0)</f>
        <v>5439935</v>
      </c>
      <c r="J642" s="33">
        <f>INDEX('BIO WAHYU'!B:G,MATCH(DATA!D642,'BIO WAHYU'!B:B,0),5)</f>
        <v>7</v>
      </c>
      <c r="K642" s="34">
        <f>INDEX('BIO WAHYU'!B:G,MATCH(DATA!D642,'BIO WAHYU'!B:B,0),6)</f>
        <v>0</v>
      </c>
      <c r="L642" s="35">
        <f>INDEX('BIO WAHYU'!B:H,MATCH(DATA!D642,'BIO WAHYU'!B:B,0),7)</f>
        <v>0</v>
      </c>
      <c r="M642" s="34">
        <f>INDEX('BIO WAHYU'!B:H,MATCH(DATA!D642,'BIO WAHYU'!B:B,0),4)</f>
        <v>0</v>
      </c>
    </row>
    <row r="643" spans="1:13">
      <c r="A643" s="43" t="s">
        <v>1675</v>
      </c>
      <c r="B643" s="43" t="s">
        <v>136</v>
      </c>
      <c r="C643" s="43" t="s">
        <v>1339</v>
      </c>
      <c r="D643" s="10">
        <v>524025</v>
      </c>
      <c r="E643" s="43" t="s">
        <v>15</v>
      </c>
      <c r="F643" s="8">
        <f>_xlfn.IFNA(INDEX('OSA | 3GB'!J:L,MATCH(DATA!D643,'OSA | 3GB'!J:J,0),2),0)</f>
        <v>3</v>
      </c>
      <c r="G643" s="8">
        <f>_xlfn.IFNA(INDEX('OSA | 3GB'!J:L,MATCH(DATA!D643,'OSA | 3GB'!J:J,0),3),0)</f>
        <v>0</v>
      </c>
      <c r="H643" s="32" t="str">
        <f>_xlfn.IFNA(INDEX('OSA | 3GB'!A:C,MATCH(DATA!D643,'OSA | 3GB'!A:A,0),2),0)</f>
        <v xml:space="preserve"> -   </v>
      </c>
      <c r="I643" s="33" t="str">
        <f>_xlfn.IFNA(INDEX('OSA | 3GB'!A:C,MATCH(DATA!D643,'OSA | 3GB'!A:A,0),3),0)</f>
        <v xml:space="preserve"> -   </v>
      </c>
      <c r="J643" s="33">
        <f>INDEX('BIO WAHYU'!B:G,MATCH(DATA!D643,'BIO WAHYU'!B:B,0),5)</f>
        <v>4</v>
      </c>
      <c r="K643" s="34">
        <f>INDEX('BIO WAHYU'!B:G,MATCH(DATA!D643,'BIO WAHYU'!B:B,0),6)</f>
        <v>0</v>
      </c>
      <c r="L643" s="35">
        <f>INDEX('BIO WAHYU'!B:H,MATCH(DATA!D643,'BIO WAHYU'!B:B,0),7)</f>
        <v>0</v>
      </c>
      <c r="M643" s="34">
        <f>INDEX('BIO WAHYU'!B:H,MATCH(DATA!D643,'BIO WAHYU'!B:B,0),4)</f>
        <v>0</v>
      </c>
    </row>
    <row r="644" spans="1:13">
      <c r="A644" s="43" t="s">
        <v>1672</v>
      </c>
      <c r="B644" s="43" t="s">
        <v>151</v>
      </c>
      <c r="C644" s="43" t="s">
        <v>855</v>
      </c>
      <c r="D644" s="10">
        <v>12326005</v>
      </c>
      <c r="E644" s="43" t="s">
        <v>10</v>
      </c>
      <c r="F644" s="8">
        <f>_xlfn.IFNA(INDEX('OSA | 3GB'!J:L,MATCH(DATA!D644,'OSA | 3GB'!J:J,0),2),0)</f>
        <v>1</v>
      </c>
      <c r="G644" s="8">
        <f>_xlfn.IFNA(INDEX('OSA | 3GB'!J:L,MATCH(DATA!D644,'OSA | 3GB'!J:J,0),3),0)</f>
        <v>8688000</v>
      </c>
      <c r="H644" s="32" t="str">
        <f>_xlfn.IFNA(INDEX('OSA | 3GB'!A:C,MATCH(DATA!D644,'OSA | 3GB'!A:A,0),2),0)</f>
        <v xml:space="preserve"> -   </v>
      </c>
      <c r="I644" s="33">
        <f>_xlfn.IFNA(INDEX('OSA | 3GB'!A:C,MATCH(DATA!D644,'OSA | 3GB'!A:A,0),3),0)</f>
        <v>2500000</v>
      </c>
      <c r="J644" s="33">
        <f>INDEX('BIO WAHYU'!B:G,MATCH(DATA!D644,'BIO WAHYU'!B:B,0),5)</f>
        <v>9</v>
      </c>
      <c r="K644" s="34">
        <f>INDEX('BIO WAHYU'!B:G,MATCH(DATA!D644,'BIO WAHYU'!B:B,0),6)</f>
        <v>3</v>
      </c>
      <c r="L644" s="35">
        <f>INDEX('BIO WAHYU'!B:H,MATCH(DATA!D644,'BIO WAHYU'!B:B,0),7)</f>
        <v>0</v>
      </c>
      <c r="M644" s="34">
        <f>INDEX('BIO WAHYU'!B:H,MATCH(DATA!D644,'BIO WAHYU'!B:B,0),4)</f>
        <v>1</v>
      </c>
    </row>
    <row r="645" spans="1:13">
      <c r="A645" s="43" t="s">
        <v>1672</v>
      </c>
      <c r="B645" s="43" t="s">
        <v>157</v>
      </c>
      <c r="C645" s="43" t="s">
        <v>1031</v>
      </c>
      <c r="D645" s="10">
        <v>267498</v>
      </c>
      <c r="E645" s="43" t="s">
        <v>10</v>
      </c>
      <c r="F645" s="8">
        <f>_xlfn.IFNA(INDEX('OSA | 3GB'!J:L,MATCH(DATA!D645,'OSA | 3GB'!J:J,0),2),0)</f>
        <v>0</v>
      </c>
      <c r="G645" s="8">
        <f>_xlfn.IFNA(INDEX('OSA | 3GB'!J:L,MATCH(DATA!D645,'OSA | 3GB'!J:J,0),3),0)</f>
        <v>1300000</v>
      </c>
      <c r="H645" s="32" t="str">
        <f>_xlfn.IFNA(INDEX('OSA | 3GB'!A:C,MATCH(DATA!D645,'OSA | 3GB'!A:A,0),2),0)</f>
        <v xml:space="preserve"> -   </v>
      </c>
      <c r="I645" s="33">
        <f>_xlfn.IFNA(INDEX('OSA | 3GB'!A:C,MATCH(DATA!D645,'OSA | 3GB'!A:A,0),3),0)</f>
        <v>500000</v>
      </c>
      <c r="J645" s="33">
        <f>INDEX('BIO WAHYU'!B:G,MATCH(DATA!D645,'BIO WAHYU'!B:B,0),5)</f>
        <v>0</v>
      </c>
      <c r="K645" s="34">
        <f>INDEX('BIO WAHYU'!B:G,MATCH(DATA!D645,'BIO WAHYU'!B:B,0),6)</f>
        <v>1</v>
      </c>
      <c r="L645" s="35">
        <f>INDEX('BIO WAHYU'!B:H,MATCH(DATA!D645,'BIO WAHYU'!B:B,0),7)</f>
        <v>1</v>
      </c>
      <c r="M645" s="34">
        <f>INDEX('BIO WAHYU'!B:H,MATCH(DATA!D645,'BIO WAHYU'!B:B,0),4)</f>
        <v>0</v>
      </c>
    </row>
    <row r="646" spans="1:13">
      <c r="A646" s="43" t="s">
        <v>1675</v>
      </c>
      <c r="B646" s="43" t="s">
        <v>136</v>
      </c>
      <c r="C646" s="43" t="s">
        <v>392</v>
      </c>
      <c r="D646" s="10">
        <v>12304568</v>
      </c>
      <c r="E646" s="43" t="s">
        <v>10</v>
      </c>
      <c r="F646" s="8">
        <f>_xlfn.IFNA(INDEX('OSA | 3GB'!J:L,MATCH(DATA!D646,'OSA | 3GB'!J:J,0),2),0)</f>
        <v>5</v>
      </c>
      <c r="G646" s="8">
        <f>_xlfn.IFNA(INDEX('OSA | 3GB'!J:L,MATCH(DATA!D646,'OSA | 3GB'!J:J,0),3),0)</f>
        <v>0</v>
      </c>
      <c r="H646" s="32">
        <f>_xlfn.IFNA(INDEX('OSA | 3GB'!A:C,MATCH(DATA!D646,'OSA | 3GB'!A:A,0),2),0)</f>
        <v>10</v>
      </c>
      <c r="I646" s="33" t="str">
        <f>_xlfn.IFNA(INDEX('OSA | 3GB'!A:C,MATCH(DATA!D646,'OSA | 3GB'!A:A,0),3),0)</f>
        <v xml:space="preserve"> -   </v>
      </c>
      <c r="J646" s="33">
        <f>INDEX('BIO WAHYU'!B:G,MATCH(DATA!D646,'BIO WAHYU'!B:B,0),5)</f>
        <v>10</v>
      </c>
      <c r="K646" s="34">
        <f>INDEX('BIO WAHYU'!B:G,MATCH(DATA!D646,'BIO WAHYU'!B:B,0),6)</f>
        <v>10</v>
      </c>
      <c r="L646" s="35">
        <f>INDEX('BIO WAHYU'!B:H,MATCH(DATA!D646,'BIO WAHYU'!B:B,0),7)</f>
        <v>0</v>
      </c>
      <c r="M646" s="34">
        <f>INDEX('BIO WAHYU'!B:H,MATCH(DATA!D646,'BIO WAHYU'!B:B,0),4)</f>
        <v>0</v>
      </c>
    </row>
    <row r="647" spans="1:13">
      <c r="A647" s="43" t="s">
        <v>1671</v>
      </c>
      <c r="B647" s="43">
        <v>2613050885</v>
      </c>
      <c r="C647" s="43" t="s">
        <v>292</v>
      </c>
      <c r="D647" s="10">
        <v>490411</v>
      </c>
      <c r="E647" s="43" t="s">
        <v>15</v>
      </c>
      <c r="F647" s="8">
        <f>_xlfn.IFNA(INDEX('OSA | 3GB'!J:L,MATCH(DATA!D647,'OSA | 3GB'!J:J,0),2),0)</f>
        <v>4</v>
      </c>
      <c r="G647" s="8">
        <f>_xlfn.IFNA(INDEX('OSA | 3GB'!J:L,MATCH(DATA!D647,'OSA | 3GB'!J:J,0),3),0)</f>
        <v>13137000</v>
      </c>
      <c r="H647" s="32">
        <f>_xlfn.IFNA(INDEX('OSA | 3GB'!A:C,MATCH(DATA!D647,'OSA | 3GB'!A:A,0),2),0)</f>
        <v>3</v>
      </c>
      <c r="I647" s="33" t="str">
        <f>_xlfn.IFNA(INDEX('OSA | 3GB'!A:C,MATCH(DATA!D647,'OSA | 3GB'!A:A,0),3),0)</f>
        <v xml:space="preserve"> -   </v>
      </c>
      <c r="J647" s="33">
        <f>INDEX('BIO WAHYU'!B:G,MATCH(DATA!D647,'BIO WAHYU'!B:B,0),5)</f>
        <v>3</v>
      </c>
      <c r="K647" s="34">
        <f>INDEX('BIO WAHYU'!B:G,MATCH(DATA!D647,'BIO WAHYU'!B:B,0),6)</f>
        <v>3</v>
      </c>
      <c r="L647" s="35">
        <f>INDEX('BIO WAHYU'!B:H,MATCH(DATA!D647,'BIO WAHYU'!B:B,0),7)</f>
        <v>0</v>
      </c>
      <c r="M647" s="34">
        <f>INDEX('BIO WAHYU'!B:H,MATCH(DATA!D647,'BIO WAHYU'!B:B,0),4)</f>
        <v>0</v>
      </c>
    </row>
    <row r="648" spans="1:13">
      <c r="A648" s="43" t="s">
        <v>1670</v>
      </c>
      <c r="B648" s="43" t="s">
        <v>145</v>
      </c>
      <c r="C648" s="43" t="s">
        <v>494</v>
      </c>
      <c r="D648" s="10">
        <v>1937</v>
      </c>
      <c r="E648" s="43" t="s">
        <v>10</v>
      </c>
      <c r="F648" s="8">
        <f>_xlfn.IFNA(INDEX('OSA | 3GB'!J:L,MATCH(DATA!D648,'OSA | 3GB'!J:J,0),2),0)</f>
        <v>4</v>
      </c>
      <c r="G648" s="8">
        <f>_xlfn.IFNA(INDEX('OSA | 3GB'!J:L,MATCH(DATA!D648,'OSA | 3GB'!J:J,0),3),0)</f>
        <v>3059000</v>
      </c>
      <c r="H648" s="32">
        <f>_xlfn.IFNA(INDEX('OSA | 3GB'!A:C,MATCH(DATA!D648,'OSA | 3GB'!A:A,0),2),0)</f>
        <v>3</v>
      </c>
      <c r="I648" s="33">
        <f>_xlfn.IFNA(INDEX('OSA | 3GB'!A:C,MATCH(DATA!D648,'OSA | 3GB'!A:A,0),3),0)</f>
        <v>900000</v>
      </c>
      <c r="J648" s="33">
        <f>INDEX('BIO WAHYU'!B:G,MATCH(DATA!D648,'BIO WAHYU'!B:B,0),5)</f>
        <v>4</v>
      </c>
      <c r="K648" s="34">
        <f>INDEX('BIO WAHYU'!B:G,MATCH(DATA!D648,'BIO WAHYU'!B:B,0),6)</f>
        <v>2</v>
      </c>
      <c r="L648" s="35">
        <f>INDEX('BIO WAHYU'!B:H,MATCH(DATA!D648,'BIO WAHYU'!B:B,0),7)</f>
        <v>0</v>
      </c>
      <c r="M648" s="34">
        <f>INDEX('BIO WAHYU'!B:H,MATCH(DATA!D648,'BIO WAHYU'!B:B,0),4)</f>
        <v>0</v>
      </c>
    </row>
    <row r="649" spans="1:13">
      <c r="A649" s="43" t="s">
        <v>1673</v>
      </c>
      <c r="B649" s="43" t="s">
        <v>1140</v>
      </c>
      <c r="C649" s="43" t="s">
        <v>1340</v>
      </c>
      <c r="D649" s="10">
        <v>496630</v>
      </c>
      <c r="E649" s="43" t="s">
        <v>15</v>
      </c>
      <c r="F649" s="8">
        <f>_xlfn.IFNA(INDEX('OSA | 3GB'!J:L,MATCH(DATA!D649,'OSA | 3GB'!J:J,0),2),0)</f>
        <v>0</v>
      </c>
      <c r="G649" s="8">
        <f>_xlfn.IFNA(INDEX('OSA | 3GB'!J:L,MATCH(DATA!D649,'OSA | 3GB'!J:J,0),3),0)</f>
        <v>0</v>
      </c>
      <c r="H649" s="32" t="str">
        <f>_xlfn.IFNA(INDEX('OSA | 3GB'!A:C,MATCH(DATA!D649,'OSA | 3GB'!A:A,0),2),0)</f>
        <v xml:space="preserve"> -   </v>
      </c>
      <c r="I649" s="33" t="str">
        <f>_xlfn.IFNA(INDEX('OSA | 3GB'!A:C,MATCH(DATA!D649,'OSA | 3GB'!A:A,0),3),0)</f>
        <v xml:space="preserve"> -   </v>
      </c>
      <c r="J649" s="33">
        <f>INDEX('BIO WAHYU'!B:G,MATCH(DATA!D649,'BIO WAHYU'!B:B,0),5)</f>
        <v>0</v>
      </c>
      <c r="K649" s="34">
        <f>INDEX('BIO WAHYU'!B:G,MATCH(DATA!D649,'BIO WAHYU'!B:B,0),6)</f>
        <v>0</v>
      </c>
      <c r="L649" s="35">
        <f>INDEX('BIO WAHYU'!B:H,MATCH(DATA!D649,'BIO WAHYU'!B:B,0),7)</f>
        <v>0</v>
      </c>
      <c r="M649" s="34">
        <f>INDEX('BIO WAHYU'!B:H,MATCH(DATA!D649,'BIO WAHYU'!B:B,0),4)</f>
        <v>0</v>
      </c>
    </row>
    <row r="650" spans="1:13">
      <c r="A650" s="43" t="s">
        <v>1675</v>
      </c>
      <c r="B650" s="43" t="s">
        <v>137</v>
      </c>
      <c r="C650" s="43" t="s">
        <v>1341</v>
      </c>
      <c r="D650" s="10">
        <v>12295782</v>
      </c>
      <c r="E650" s="43" t="s">
        <v>15</v>
      </c>
      <c r="F650" s="8">
        <f>_xlfn.IFNA(INDEX('OSA | 3GB'!J:L,MATCH(DATA!D650,'OSA | 3GB'!J:J,0),2),0)</f>
        <v>5</v>
      </c>
      <c r="G650" s="8">
        <f>_xlfn.IFNA(INDEX('OSA | 3GB'!J:L,MATCH(DATA!D650,'OSA | 3GB'!J:J,0),3),0)</f>
        <v>350000</v>
      </c>
      <c r="H650" s="32" t="str">
        <f>_xlfn.IFNA(INDEX('OSA | 3GB'!A:C,MATCH(DATA!D650,'OSA | 3GB'!A:A,0),2),0)</f>
        <v xml:space="preserve"> -   </v>
      </c>
      <c r="I650" s="33">
        <f>_xlfn.IFNA(INDEX('OSA | 3GB'!A:C,MATCH(DATA!D650,'OSA | 3GB'!A:A,0),3),0)</f>
        <v>500000</v>
      </c>
      <c r="J650" s="33">
        <f>INDEX('BIO WAHYU'!B:G,MATCH(DATA!D650,'BIO WAHYU'!B:B,0),5)</f>
        <v>0</v>
      </c>
      <c r="K650" s="34">
        <f>INDEX('BIO WAHYU'!B:G,MATCH(DATA!D650,'BIO WAHYU'!B:B,0),6)</f>
        <v>0</v>
      </c>
      <c r="L650" s="35">
        <f>INDEX('BIO WAHYU'!B:H,MATCH(DATA!D650,'BIO WAHYU'!B:B,0),7)</f>
        <v>0</v>
      </c>
      <c r="M650" s="34">
        <f>INDEX('BIO WAHYU'!B:H,MATCH(DATA!D650,'BIO WAHYU'!B:B,0),4)</f>
        <v>0</v>
      </c>
    </row>
    <row r="651" spans="1:13">
      <c r="A651" s="43" t="s">
        <v>1673</v>
      </c>
      <c r="B651" s="43" t="s">
        <v>141</v>
      </c>
      <c r="C651" s="43" t="s">
        <v>202</v>
      </c>
      <c r="D651" s="10">
        <v>4761</v>
      </c>
      <c r="E651" s="43" t="s">
        <v>15</v>
      </c>
      <c r="F651" s="8">
        <f>_xlfn.IFNA(INDEX('OSA | 3GB'!J:L,MATCH(DATA!D651,'OSA | 3GB'!J:J,0),2),0)</f>
        <v>3</v>
      </c>
      <c r="G651" s="8">
        <f>_xlfn.IFNA(INDEX('OSA | 3GB'!J:L,MATCH(DATA!D651,'OSA | 3GB'!J:J,0),3),0)</f>
        <v>1500000</v>
      </c>
      <c r="H651" s="32" t="str">
        <f>_xlfn.IFNA(INDEX('OSA | 3GB'!A:C,MATCH(DATA!D651,'OSA | 3GB'!A:A,0),2),0)</f>
        <v xml:space="preserve"> -   </v>
      </c>
      <c r="I651" s="33">
        <f>_xlfn.IFNA(INDEX('OSA | 3GB'!A:C,MATCH(DATA!D651,'OSA | 3GB'!A:A,0),3),0)</f>
        <v>500000</v>
      </c>
      <c r="J651" s="33">
        <f>INDEX('BIO WAHYU'!B:G,MATCH(DATA!D651,'BIO WAHYU'!B:B,0),5)</f>
        <v>2</v>
      </c>
      <c r="K651" s="34">
        <f>INDEX('BIO WAHYU'!B:G,MATCH(DATA!D651,'BIO WAHYU'!B:B,0),6)</f>
        <v>0</v>
      </c>
      <c r="L651" s="35">
        <f>INDEX('BIO WAHYU'!B:H,MATCH(DATA!D651,'BIO WAHYU'!B:B,0),7)</f>
        <v>0</v>
      </c>
      <c r="M651" s="34">
        <f>INDEX('BIO WAHYU'!B:H,MATCH(DATA!D651,'BIO WAHYU'!B:B,0),4)</f>
        <v>0</v>
      </c>
    </row>
    <row r="652" spans="1:13">
      <c r="A652" s="43" t="s">
        <v>1673</v>
      </c>
      <c r="B652" s="43" t="s">
        <v>141</v>
      </c>
      <c r="C652" s="43" t="s">
        <v>1342</v>
      </c>
      <c r="D652" s="10">
        <v>390324</v>
      </c>
      <c r="E652" s="43" t="s">
        <v>10</v>
      </c>
      <c r="F652" s="8">
        <f>_xlfn.IFNA(INDEX('OSA | 3GB'!J:L,MATCH(DATA!D652,'OSA | 3GB'!J:J,0),2),0)</f>
        <v>6</v>
      </c>
      <c r="G652" s="8">
        <f>_xlfn.IFNA(INDEX('OSA | 3GB'!J:L,MATCH(DATA!D652,'OSA | 3GB'!J:J,0),3),0)</f>
        <v>1365000</v>
      </c>
      <c r="H652" s="32">
        <f>_xlfn.IFNA(INDEX('OSA | 3GB'!A:C,MATCH(DATA!D652,'OSA | 3GB'!A:A,0),2),0)</f>
        <v>1</v>
      </c>
      <c r="I652" s="33">
        <f>_xlfn.IFNA(INDEX('OSA | 3GB'!A:C,MATCH(DATA!D652,'OSA | 3GB'!A:A,0),3),0)</f>
        <v>329000</v>
      </c>
      <c r="J652" s="33">
        <f>INDEX('BIO WAHYU'!B:G,MATCH(DATA!D652,'BIO WAHYU'!B:B,0),5)</f>
        <v>2</v>
      </c>
      <c r="K652" s="34">
        <f>INDEX('BIO WAHYU'!B:G,MATCH(DATA!D652,'BIO WAHYU'!B:B,0),6)</f>
        <v>1</v>
      </c>
      <c r="L652" s="35">
        <f>INDEX('BIO WAHYU'!B:H,MATCH(DATA!D652,'BIO WAHYU'!B:B,0),7)</f>
        <v>0</v>
      </c>
      <c r="M652" s="34">
        <f>INDEX('BIO WAHYU'!B:H,MATCH(DATA!D652,'BIO WAHYU'!B:B,0),4)</f>
        <v>0</v>
      </c>
    </row>
    <row r="653" spans="1:13">
      <c r="A653" s="43" t="s">
        <v>1670</v>
      </c>
      <c r="B653" s="43" t="s">
        <v>145</v>
      </c>
      <c r="C653" s="43" t="s">
        <v>507</v>
      </c>
      <c r="D653" s="10">
        <v>401840</v>
      </c>
      <c r="E653" s="43" t="s">
        <v>10</v>
      </c>
      <c r="F653" s="8">
        <f>_xlfn.IFNA(INDEX('OSA | 3GB'!J:L,MATCH(DATA!D653,'OSA | 3GB'!J:J,0),2),0)</f>
        <v>3</v>
      </c>
      <c r="G653" s="8">
        <f>_xlfn.IFNA(INDEX('OSA | 3GB'!J:L,MATCH(DATA!D653,'OSA | 3GB'!J:J,0),3),0)</f>
        <v>900000</v>
      </c>
      <c r="H653" s="32" t="str">
        <f>_xlfn.IFNA(INDEX('OSA | 3GB'!A:C,MATCH(DATA!D653,'OSA | 3GB'!A:A,0),2),0)</f>
        <v xml:space="preserve"> -   </v>
      </c>
      <c r="I653" s="33">
        <f>_xlfn.IFNA(INDEX('OSA | 3GB'!A:C,MATCH(DATA!D653,'OSA | 3GB'!A:A,0),3),0)</f>
        <v>300000</v>
      </c>
      <c r="J653" s="33">
        <f>INDEX('BIO WAHYU'!B:G,MATCH(DATA!D653,'BIO WAHYU'!B:B,0),5)</f>
        <v>0</v>
      </c>
      <c r="K653" s="34">
        <f>INDEX('BIO WAHYU'!B:G,MATCH(DATA!D653,'BIO WAHYU'!B:B,0),6)</f>
        <v>1</v>
      </c>
      <c r="L653" s="35">
        <f>INDEX('BIO WAHYU'!B:H,MATCH(DATA!D653,'BIO WAHYU'!B:B,0),7)</f>
        <v>1</v>
      </c>
      <c r="M653" s="34">
        <f>INDEX('BIO WAHYU'!B:H,MATCH(DATA!D653,'BIO WAHYU'!B:B,0),4)</f>
        <v>0</v>
      </c>
    </row>
    <row r="654" spans="1:13">
      <c r="A654" s="43" t="s">
        <v>1672</v>
      </c>
      <c r="B654" s="43" t="s">
        <v>151</v>
      </c>
      <c r="C654" s="43" t="s">
        <v>873</v>
      </c>
      <c r="D654" s="10">
        <v>453857</v>
      </c>
      <c r="E654" s="43" t="s">
        <v>10</v>
      </c>
      <c r="F654" s="8">
        <f>_xlfn.IFNA(INDEX('OSA | 3GB'!J:L,MATCH(DATA!D654,'OSA | 3GB'!J:J,0),2),0)</f>
        <v>0</v>
      </c>
      <c r="G654" s="8">
        <f>_xlfn.IFNA(INDEX('OSA | 3GB'!J:L,MATCH(DATA!D654,'OSA | 3GB'!J:J,0),3),0)</f>
        <v>0</v>
      </c>
      <c r="H654" s="32" t="str">
        <f>_xlfn.IFNA(INDEX('OSA | 3GB'!A:C,MATCH(DATA!D654,'OSA | 3GB'!A:A,0),2),0)</f>
        <v xml:space="preserve"> -   </v>
      </c>
      <c r="I654" s="33" t="str">
        <f>_xlfn.IFNA(INDEX('OSA | 3GB'!A:C,MATCH(DATA!D654,'OSA | 3GB'!A:A,0),3),0)</f>
        <v xml:space="preserve"> -   </v>
      </c>
      <c r="J654" s="33">
        <f>INDEX('BIO WAHYU'!B:G,MATCH(DATA!D654,'BIO WAHYU'!B:B,0),5)</f>
        <v>0</v>
      </c>
      <c r="K654" s="34">
        <f>INDEX('BIO WAHYU'!B:G,MATCH(DATA!D654,'BIO WAHYU'!B:B,0),6)</f>
        <v>0</v>
      </c>
      <c r="L654" s="35">
        <f>INDEX('BIO WAHYU'!B:H,MATCH(DATA!D654,'BIO WAHYU'!B:B,0),7)</f>
        <v>0</v>
      </c>
      <c r="M654" s="34">
        <f>INDEX('BIO WAHYU'!B:H,MATCH(DATA!D654,'BIO WAHYU'!B:B,0),4)</f>
        <v>0</v>
      </c>
    </row>
    <row r="655" spans="1:13">
      <c r="A655" s="43" t="s">
        <v>1</v>
      </c>
      <c r="B655" s="43" t="s">
        <v>5</v>
      </c>
      <c r="C655" s="43" t="s">
        <v>97</v>
      </c>
      <c r="D655" s="10">
        <v>499483</v>
      </c>
      <c r="E655" s="43" t="s">
        <v>10</v>
      </c>
      <c r="F655" s="8">
        <f>_xlfn.IFNA(INDEX('OSA | 3GB'!J:L,MATCH(DATA!D655,'OSA | 3GB'!J:J,0),2),0)</f>
        <v>4</v>
      </c>
      <c r="G655" s="8">
        <f>_xlfn.IFNA(INDEX('OSA | 3GB'!J:L,MATCH(DATA!D655,'OSA | 3GB'!J:J,0),3),0)</f>
        <v>5800000</v>
      </c>
      <c r="H655" s="32">
        <f>_xlfn.IFNA(INDEX('OSA | 3GB'!A:C,MATCH(DATA!D655,'OSA | 3GB'!A:A,0),2),0)</f>
        <v>4</v>
      </c>
      <c r="I655" s="33">
        <f>_xlfn.IFNA(INDEX('OSA | 3GB'!A:C,MATCH(DATA!D655,'OSA | 3GB'!A:A,0),3),0)</f>
        <v>1000000</v>
      </c>
      <c r="J655" s="33">
        <f>INDEX('BIO WAHYU'!B:G,MATCH(DATA!D655,'BIO WAHYU'!B:B,0),5)</f>
        <v>3</v>
      </c>
      <c r="K655" s="34">
        <f>INDEX('BIO WAHYU'!B:G,MATCH(DATA!D655,'BIO WAHYU'!B:B,0),6)</f>
        <v>0</v>
      </c>
      <c r="L655" s="35">
        <f>INDEX('BIO WAHYU'!B:H,MATCH(DATA!D655,'BIO WAHYU'!B:B,0),7)</f>
        <v>0</v>
      </c>
      <c r="M655" s="34">
        <f>INDEX('BIO WAHYU'!B:H,MATCH(DATA!D655,'BIO WAHYU'!B:B,0),4)</f>
        <v>1</v>
      </c>
    </row>
    <row r="656" spans="1:13">
      <c r="A656" s="43" t="s">
        <v>1673</v>
      </c>
      <c r="B656" s="43" t="s">
        <v>1140</v>
      </c>
      <c r="C656" s="43" t="s">
        <v>163</v>
      </c>
      <c r="D656" s="10">
        <v>344269</v>
      </c>
      <c r="E656" s="43" t="s">
        <v>15</v>
      </c>
      <c r="F656" s="8">
        <f>_xlfn.IFNA(INDEX('OSA | 3GB'!J:L,MATCH(DATA!D656,'OSA | 3GB'!J:J,0),2),0)</f>
        <v>0</v>
      </c>
      <c r="G656" s="8">
        <f>_xlfn.IFNA(INDEX('OSA | 3GB'!J:L,MATCH(DATA!D656,'OSA | 3GB'!J:J,0),3),0)</f>
        <v>0</v>
      </c>
      <c r="H656" s="32" t="str">
        <f>_xlfn.IFNA(INDEX('OSA | 3GB'!A:C,MATCH(DATA!D656,'OSA | 3GB'!A:A,0),2),0)</f>
        <v xml:space="preserve"> -   </v>
      </c>
      <c r="I656" s="33" t="str">
        <f>_xlfn.IFNA(INDEX('OSA | 3GB'!A:C,MATCH(DATA!D656,'OSA | 3GB'!A:A,0),3),0)</f>
        <v xml:space="preserve"> -   </v>
      </c>
      <c r="J656" s="33">
        <f>INDEX('BIO WAHYU'!B:G,MATCH(DATA!D656,'BIO WAHYU'!B:B,0),5)</f>
        <v>0</v>
      </c>
      <c r="K656" s="34">
        <f>INDEX('BIO WAHYU'!B:G,MATCH(DATA!D656,'BIO WAHYU'!B:B,0),6)</f>
        <v>0</v>
      </c>
      <c r="L656" s="35">
        <f>INDEX('BIO WAHYU'!B:H,MATCH(DATA!D656,'BIO WAHYU'!B:B,0),7)</f>
        <v>0</v>
      </c>
      <c r="M656" s="34">
        <f>INDEX('BIO WAHYU'!B:H,MATCH(DATA!D656,'BIO WAHYU'!B:B,0),4)</f>
        <v>0</v>
      </c>
    </row>
    <row r="657" spans="1:13">
      <c r="A657" s="43" t="s">
        <v>1</v>
      </c>
      <c r="B657" s="43" t="s">
        <v>4</v>
      </c>
      <c r="C657" s="43" t="s">
        <v>1094</v>
      </c>
      <c r="D657" s="10">
        <v>231278</v>
      </c>
      <c r="E657" s="43" t="s">
        <v>10</v>
      </c>
      <c r="F657" s="8">
        <f>_xlfn.IFNA(INDEX('OSA | 3GB'!J:L,MATCH(DATA!D657,'OSA | 3GB'!J:J,0),2),0)</f>
        <v>1</v>
      </c>
      <c r="G657" s="8">
        <f>_xlfn.IFNA(INDEX('OSA | 3GB'!J:L,MATCH(DATA!D657,'OSA | 3GB'!J:J,0),3),0)</f>
        <v>500000</v>
      </c>
      <c r="H657" s="32" t="str">
        <f>_xlfn.IFNA(INDEX('OSA | 3GB'!A:C,MATCH(DATA!D657,'OSA | 3GB'!A:A,0),2),0)</f>
        <v xml:space="preserve"> -   </v>
      </c>
      <c r="I657" s="33">
        <f>_xlfn.IFNA(INDEX('OSA | 3GB'!A:C,MATCH(DATA!D657,'OSA | 3GB'!A:A,0),3),0)</f>
        <v>100000</v>
      </c>
      <c r="J657" s="33">
        <f>INDEX('BIO WAHYU'!B:G,MATCH(DATA!D657,'BIO WAHYU'!B:B,0),5)</f>
        <v>1</v>
      </c>
      <c r="K657" s="34">
        <f>INDEX('BIO WAHYU'!B:G,MATCH(DATA!D657,'BIO WAHYU'!B:B,0),6)</f>
        <v>0</v>
      </c>
      <c r="L657" s="35">
        <f>INDEX('BIO WAHYU'!B:H,MATCH(DATA!D657,'BIO WAHYU'!B:B,0),7)</f>
        <v>0</v>
      </c>
      <c r="M657" s="34">
        <f>INDEX('BIO WAHYU'!B:H,MATCH(DATA!D657,'BIO WAHYU'!B:B,0),4)</f>
        <v>0</v>
      </c>
    </row>
    <row r="658" spans="1:13">
      <c r="A658" s="43" t="s">
        <v>1675</v>
      </c>
      <c r="B658" s="43" t="s">
        <v>137</v>
      </c>
      <c r="C658" s="43" t="s">
        <v>432</v>
      </c>
      <c r="D658" s="10">
        <v>12296271</v>
      </c>
      <c r="E658" s="43" t="s">
        <v>15</v>
      </c>
      <c r="F658" s="8">
        <f>_xlfn.IFNA(INDEX('OSA | 3GB'!J:L,MATCH(DATA!D658,'OSA | 3GB'!J:J,0),2),0)</f>
        <v>0</v>
      </c>
      <c r="G658" s="8">
        <f>_xlfn.IFNA(INDEX('OSA | 3GB'!J:L,MATCH(DATA!D658,'OSA | 3GB'!J:J,0),3),0)</f>
        <v>400000</v>
      </c>
      <c r="H658" s="32" t="str">
        <f>_xlfn.IFNA(INDEX('OSA | 3GB'!A:C,MATCH(DATA!D658,'OSA | 3GB'!A:A,0),2),0)</f>
        <v xml:space="preserve"> -   </v>
      </c>
      <c r="I658" s="33">
        <f>_xlfn.IFNA(INDEX('OSA | 3GB'!A:C,MATCH(DATA!D658,'OSA | 3GB'!A:A,0),3),0)</f>
        <v>450000</v>
      </c>
      <c r="J658" s="33">
        <f>INDEX('BIO WAHYU'!B:G,MATCH(DATA!D658,'BIO WAHYU'!B:B,0),5)</f>
        <v>1</v>
      </c>
      <c r="K658" s="34">
        <f>INDEX('BIO WAHYU'!B:G,MATCH(DATA!D658,'BIO WAHYU'!B:B,0),6)</f>
        <v>0</v>
      </c>
      <c r="L658" s="35">
        <f>INDEX('BIO WAHYU'!B:H,MATCH(DATA!D658,'BIO WAHYU'!B:B,0),7)</f>
        <v>0</v>
      </c>
      <c r="M658" s="34">
        <f>INDEX('BIO WAHYU'!B:H,MATCH(DATA!D658,'BIO WAHYU'!B:B,0),4)</f>
        <v>0</v>
      </c>
    </row>
    <row r="659" spans="1:13">
      <c r="A659" s="43" t="s">
        <v>1672</v>
      </c>
      <c r="B659" s="43" t="s">
        <v>155</v>
      </c>
      <c r="C659" s="43" t="s">
        <v>946</v>
      </c>
      <c r="D659" s="10">
        <v>511538</v>
      </c>
      <c r="E659" s="43" t="s">
        <v>10</v>
      </c>
      <c r="F659" s="8">
        <f>_xlfn.IFNA(INDEX('OSA | 3GB'!J:L,MATCH(DATA!D659,'OSA | 3GB'!J:J,0),2),0)</f>
        <v>1</v>
      </c>
      <c r="G659" s="8">
        <f>_xlfn.IFNA(INDEX('OSA | 3GB'!J:L,MATCH(DATA!D659,'OSA | 3GB'!J:J,0),3),0)</f>
        <v>1050000</v>
      </c>
      <c r="H659" s="32">
        <f>_xlfn.IFNA(INDEX('OSA | 3GB'!A:C,MATCH(DATA!D659,'OSA | 3GB'!A:A,0),2),0)</f>
        <v>3</v>
      </c>
      <c r="I659" s="33">
        <f>_xlfn.IFNA(INDEX('OSA | 3GB'!A:C,MATCH(DATA!D659,'OSA | 3GB'!A:A,0),3),0)</f>
        <v>600000</v>
      </c>
      <c r="J659" s="33">
        <f>INDEX('BIO WAHYU'!B:G,MATCH(DATA!D659,'BIO WAHYU'!B:B,0),5)</f>
        <v>1</v>
      </c>
      <c r="K659" s="34">
        <f>INDEX('BIO WAHYU'!B:G,MATCH(DATA!D659,'BIO WAHYU'!B:B,0),6)</f>
        <v>3</v>
      </c>
      <c r="L659" s="35">
        <f>INDEX('BIO WAHYU'!B:H,MATCH(DATA!D659,'BIO WAHYU'!B:B,0),7)</f>
        <v>2</v>
      </c>
      <c r="M659" s="34">
        <f>INDEX('BIO WAHYU'!B:H,MATCH(DATA!D659,'BIO WAHYU'!B:B,0),4)</f>
        <v>0</v>
      </c>
    </row>
    <row r="660" spans="1:13">
      <c r="A660" s="43" t="s">
        <v>1672</v>
      </c>
      <c r="B660" s="43" t="s">
        <v>157</v>
      </c>
      <c r="C660" s="43" t="s">
        <v>1343</v>
      </c>
      <c r="D660" s="10">
        <v>551521</v>
      </c>
      <c r="E660" s="43" t="s">
        <v>10</v>
      </c>
      <c r="F660" s="8">
        <f>_xlfn.IFNA(INDEX('OSA | 3GB'!J:L,MATCH(DATA!D660,'OSA | 3GB'!J:J,0),2),0)</f>
        <v>1</v>
      </c>
      <c r="G660" s="8">
        <f>_xlfn.IFNA(INDEX('OSA | 3GB'!J:L,MATCH(DATA!D660,'OSA | 3GB'!J:J,0),3),0)</f>
        <v>400000</v>
      </c>
      <c r="H660" s="32">
        <f>_xlfn.IFNA(INDEX('OSA | 3GB'!A:C,MATCH(DATA!D660,'OSA | 3GB'!A:A,0),2),0)</f>
        <v>3</v>
      </c>
      <c r="I660" s="33">
        <f>_xlfn.IFNA(INDEX('OSA | 3GB'!A:C,MATCH(DATA!D660,'OSA | 3GB'!A:A,0),3),0)</f>
        <v>87000</v>
      </c>
      <c r="J660" s="33">
        <f>INDEX('BIO WAHYU'!B:G,MATCH(DATA!D660,'BIO WAHYU'!B:B,0),5)</f>
        <v>3</v>
      </c>
      <c r="K660" s="34">
        <f>INDEX('BIO WAHYU'!B:G,MATCH(DATA!D660,'BIO WAHYU'!B:B,0),6)</f>
        <v>1</v>
      </c>
      <c r="L660" s="35">
        <f>INDEX('BIO WAHYU'!B:H,MATCH(DATA!D660,'BIO WAHYU'!B:B,0),7)</f>
        <v>0</v>
      </c>
      <c r="M660" s="34">
        <f>INDEX('BIO WAHYU'!B:H,MATCH(DATA!D660,'BIO WAHYU'!B:B,0),4)</f>
        <v>0</v>
      </c>
    </row>
    <row r="661" spans="1:13">
      <c r="A661" s="43" t="s">
        <v>1672</v>
      </c>
      <c r="B661" s="43" t="s">
        <v>155</v>
      </c>
      <c r="C661" s="43" t="s">
        <v>940</v>
      </c>
      <c r="D661" s="10">
        <v>369922</v>
      </c>
      <c r="E661" s="43" t="s">
        <v>10</v>
      </c>
      <c r="F661" s="8">
        <f>_xlfn.IFNA(INDEX('OSA | 3GB'!J:L,MATCH(DATA!D661,'OSA | 3GB'!J:J,0),2),0)</f>
        <v>1</v>
      </c>
      <c r="G661" s="8">
        <f>_xlfn.IFNA(INDEX('OSA | 3GB'!J:L,MATCH(DATA!D661,'OSA | 3GB'!J:J,0),3),0)</f>
        <v>29000</v>
      </c>
      <c r="H661" s="32" t="str">
        <f>_xlfn.IFNA(INDEX('OSA | 3GB'!A:C,MATCH(DATA!D661,'OSA | 3GB'!A:A,0),2),0)</f>
        <v xml:space="preserve"> -   </v>
      </c>
      <c r="I661" s="33">
        <f>_xlfn.IFNA(INDEX('OSA | 3GB'!A:C,MATCH(DATA!D661,'OSA | 3GB'!A:A,0),3),0)</f>
        <v>100000</v>
      </c>
      <c r="J661" s="33">
        <f>INDEX('BIO WAHYU'!B:G,MATCH(DATA!D661,'BIO WAHYU'!B:B,0),5)</f>
        <v>3</v>
      </c>
      <c r="K661" s="34">
        <f>INDEX('BIO WAHYU'!B:G,MATCH(DATA!D661,'BIO WAHYU'!B:B,0),6)</f>
        <v>0</v>
      </c>
      <c r="L661" s="35">
        <f>INDEX('BIO WAHYU'!B:H,MATCH(DATA!D661,'BIO WAHYU'!B:B,0),7)</f>
        <v>0</v>
      </c>
      <c r="M661" s="34">
        <f>INDEX('BIO WAHYU'!B:H,MATCH(DATA!D661,'BIO WAHYU'!B:B,0),4)</f>
        <v>0</v>
      </c>
    </row>
    <row r="662" spans="1:13">
      <c r="A662" s="43" t="s">
        <v>1</v>
      </c>
      <c r="B662" s="43" t="s">
        <v>4</v>
      </c>
      <c r="C662" s="43" t="s">
        <v>1095</v>
      </c>
      <c r="D662" s="10">
        <v>529090</v>
      </c>
      <c r="E662" s="43" t="s">
        <v>15</v>
      </c>
      <c r="F662" s="8">
        <f>_xlfn.IFNA(INDEX('OSA | 3GB'!J:L,MATCH(DATA!D662,'OSA | 3GB'!J:J,0),2),0)</f>
        <v>5</v>
      </c>
      <c r="G662" s="8">
        <f>_xlfn.IFNA(INDEX('OSA | 3GB'!J:L,MATCH(DATA!D662,'OSA | 3GB'!J:J,0),3),0)</f>
        <v>100000</v>
      </c>
      <c r="H662" s="32">
        <f>_xlfn.IFNA(INDEX('OSA | 3GB'!A:C,MATCH(DATA!D662,'OSA | 3GB'!A:A,0),2),0)</f>
        <v>4</v>
      </c>
      <c r="I662" s="33" t="str">
        <f>_xlfn.IFNA(INDEX('OSA | 3GB'!A:C,MATCH(DATA!D662,'OSA | 3GB'!A:A,0),3),0)</f>
        <v xml:space="preserve"> -   </v>
      </c>
      <c r="J662" s="33">
        <f>INDEX('BIO WAHYU'!B:G,MATCH(DATA!D662,'BIO WAHYU'!B:B,0),5)</f>
        <v>6</v>
      </c>
      <c r="K662" s="34">
        <f>INDEX('BIO WAHYU'!B:G,MATCH(DATA!D662,'BIO WAHYU'!B:B,0),6)</f>
        <v>0</v>
      </c>
      <c r="L662" s="35">
        <f>INDEX('BIO WAHYU'!B:H,MATCH(DATA!D662,'BIO WAHYU'!B:B,0),7)</f>
        <v>0</v>
      </c>
      <c r="M662" s="34">
        <f>INDEX('BIO WAHYU'!B:H,MATCH(DATA!D662,'BIO WAHYU'!B:B,0),4)</f>
        <v>0</v>
      </c>
    </row>
    <row r="663" spans="1:13">
      <c r="A663" s="43" t="s">
        <v>1672</v>
      </c>
      <c r="B663" s="43" t="s">
        <v>155</v>
      </c>
      <c r="C663" s="43" t="s">
        <v>953</v>
      </c>
      <c r="D663" s="10">
        <v>545395</v>
      </c>
      <c r="E663" s="43" t="s">
        <v>10</v>
      </c>
      <c r="F663" s="8">
        <f>_xlfn.IFNA(INDEX('OSA | 3GB'!J:L,MATCH(DATA!D663,'OSA | 3GB'!J:J,0),2),0)</f>
        <v>1</v>
      </c>
      <c r="G663" s="8">
        <f>_xlfn.IFNA(INDEX('OSA | 3GB'!J:L,MATCH(DATA!D663,'OSA | 3GB'!J:J,0),3),0)</f>
        <v>0</v>
      </c>
      <c r="H663" s="32" t="str">
        <f>_xlfn.IFNA(INDEX('OSA | 3GB'!A:C,MATCH(DATA!D663,'OSA | 3GB'!A:A,0),2),0)</f>
        <v xml:space="preserve"> -   </v>
      </c>
      <c r="I663" s="33" t="str">
        <f>_xlfn.IFNA(INDEX('OSA | 3GB'!A:C,MATCH(DATA!D663,'OSA | 3GB'!A:A,0),3),0)</f>
        <v xml:space="preserve"> -   </v>
      </c>
      <c r="J663" s="33">
        <f>INDEX('BIO WAHYU'!B:G,MATCH(DATA!D663,'BIO WAHYU'!B:B,0),5)</f>
        <v>1</v>
      </c>
      <c r="K663" s="34">
        <f>INDEX('BIO WAHYU'!B:G,MATCH(DATA!D663,'BIO WAHYU'!B:B,0),6)</f>
        <v>0</v>
      </c>
      <c r="L663" s="35">
        <f>INDEX('BIO WAHYU'!B:H,MATCH(DATA!D663,'BIO WAHYU'!B:B,0),7)</f>
        <v>0</v>
      </c>
      <c r="M663" s="34">
        <f>INDEX('BIO WAHYU'!B:H,MATCH(DATA!D663,'BIO WAHYU'!B:B,0),4)</f>
        <v>0</v>
      </c>
    </row>
    <row r="664" spans="1:13">
      <c r="A664" s="43" t="s">
        <v>1671</v>
      </c>
      <c r="B664" s="43">
        <v>2613050885</v>
      </c>
      <c r="C664" s="43" t="s">
        <v>310</v>
      </c>
      <c r="D664" s="10">
        <v>545433</v>
      </c>
      <c r="E664" s="43" t="s">
        <v>10</v>
      </c>
      <c r="F664" s="8">
        <f>_xlfn.IFNA(INDEX('OSA | 3GB'!J:L,MATCH(DATA!D664,'OSA | 3GB'!J:J,0),2),0)</f>
        <v>0</v>
      </c>
      <c r="G664" s="8">
        <f>_xlfn.IFNA(INDEX('OSA | 3GB'!J:L,MATCH(DATA!D664,'OSA | 3GB'!J:J,0),3),0)</f>
        <v>300000</v>
      </c>
      <c r="H664" s="32" t="str">
        <f>_xlfn.IFNA(INDEX('OSA | 3GB'!A:C,MATCH(DATA!D664,'OSA | 3GB'!A:A,0),2),0)</f>
        <v xml:space="preserve"> -   </v>
      </c>
      <c r="I664" s="33" t="str">
        <f>_xlfn.IFNA(INDEX('OSA | 3GB'!A:C,MATCH(DATA!D664,'OSA | 3GB'!A:A,0),3),0)</f>
        <v xml:space="preserve"> -   </v>
      </c>
      <c r="J664" s="33">
        <f>INDEX('BIO WAHYU'!B:G,MATCH(DATA!D664,'BIO WAHYU'!B:B,0),5)</f>
        <v>1</v>
      </c>
      <c r="K664" s="34">
        <f>INDEX('BIO WAHYU'!B:G,MATCH(DATA!D664,'BIO WAHYU'!B:B,0),6)</f>
        <v>0</v>
      </c>
      <c r="L664" s="35">
        <f>INDEX('BIO WAHYU'!B:H,MATCH(DATA!D664,'BIO WAHYU'!B:B,0),7)</f>
        <v>0</v>
      </c>
      <c r="M664" s="34">
        <f>INDEX('BIO WAHYU'!B:H,MATCH(DATA!D664,'BIO WAHYU'!B:B,0),4)</f>
        <v>0</v>
      </c>
    </row>
    <row r="665" spans="1:13">
      <c r="A665" s="43" t="s">
        <v>1672</v>
      </c>
      <c r="B665" s="43">
        <v>2613051475</v>
      </c>
      <c r="C665" s="43" t="s">
        <v>914</v>
      </c>
      <c r="D665" s="10">
        <v>538067</v>
      </c>
      <c r="E665" s="43" t="s">
        <v>10</v>
      </c>
      <c r="F665" s="8">
        <f>_xlfn.IFNA(INDEX('OSA | 3GB'!J:L,MATCH(DATA!D665,'OSA | 3GB'!J:J,0),2),0)</f>
        <v>3</v>
      </c>
      <c r="G665" s="8">
        <f>_xlfn.IFNA(INDEX('OSA | 3GB'!J:L,MATCH(DATA!D665,'OSA | 3GB'!J:J,0),3),0)</f>
        <v>1150000</v>
      </c>
      <c r="H665" s="32" t="str">
        <f>_xlfn.IFNA(INDEX('OSA | 3GB'!A:C,MATCH(DATA!D665,'OSA | 3GB'!A:A,0),2),0)</f>
        <v xml:space="preserve"> -   </v>
      </c>
      <c r="I665" s="33">
        <f>_xlfn.IFNA(INDEX('OSA | 3GB'!A:C,MATCH(DATA!D665,'OSA | 3GB'!A:A,0),3),0)</f>
        <v>250000</v>
      </c>
      <c r="J665" s="33">
        <f>INDEX('BIO WAHYU'!B:G,MATCH(DATA!D665,'BIO WAHYU'!B:B,0),5)</f>
        <v>3</v>
      </c>
      <c r="K665" s="34">
        <f>INDEX('BIO WAHYU'!B:G,MATCH(DATA!D665,'BIO WAHYU'!B:B,0),6)</f>
        <v>0</v>
      </c>
      <c r="L665" s="35">
        <f>INDEX('BIO WAHYU'!B:H,MATCH(DATA!D665,'BIO WAHYU'!B:B,0),7)</f>
        <v>0</v>
      </c>
      <c r="M665" s="34">
        <f>INDEX('BIO WAHYU'!B:H,MATCH(DATA!D665,'BIO WAHYU'!B:B,0),4)</f>
        <v>0</v>
      </c>
    </row>
    <row r="666" spans="1:13">
      <c r="A666" s="43" t="s">
        <v>1673</v>
      </c>
      <c r="B666" s="43" t="s">
        <v>141</v>
      </c>
      <c r="C666" s="43" t="s">
        <v>198</v>
      </c>
      <c r="D666" s="10">
        <v>410675</v>
      </c>
      <c r="E666" s="43" t="s">
        <v>10</v>
      </c>
      <c r="F666" s="8">
        <f>_xlfn.IFNA(INDEX('OSA | 3GB'!J:L,MATCH(DATA!D666,'OSA | 3GB'!J:J,0),2),0)</f>
        <v>29</v>
      </c>
      <c r="G666" s="8">
        <f>_xlfn.IFNA(INDEX('OSA | 3GB'!J:L,MATCH(DATA!D666,'OSA | 3GB'!J:J,0),3),0)</f>
        <v>850000</v>
      </c>
      <c r="H666" s="32" t="str">
        <f>_xlfn.IFNA(INDEX('OSA | 3GB'!A:C,MATCH(DATA!D666,'OSA | 3GB'!A:A,0),2),0)</f>
        <v xml:space="preserve"> -   </v>
      </c>
      <c r="I666" s="33">
        <f>_xlfn.IFNA(INDEX('OSA | 3GB'!A:C,MATCH(DATA!D666,'OSA | 3GB'!A:A,0),3),0)</f>
        <v>300000</v>
      </c>
      <c r="J666" s="33">
        <f>INDEX('BIO WAHYU'!B:G,MATCH(DATA!D666,'BIO WAHYU'!B:B,0),5)</f>
        <v>3</v>
      </c>
      <c r="K666" s="34">
        <f>INDEX('BIO WAHYU'!B:G,MATCH(DATA!D666,'BIO WAHYU'!B:B,0),6)</f>
        <v>1</v>
      </c>
      <c r="L666" s="35">
        <f>INDEX('BIO WAHYU'!B:H,MATCH(DATA!D666,'BIO WAHYU'!B:B,0),7)</f>
        <v>0</v>
      </c>
      <c r="M666" s="34">
        <f>INDEX('BIO WAHYU'!B:H,MATCH(DATA!D666,'BIO WAHYU'!B:B,0),4)</f>
        <v>0</v>
      </c>
    </row>
    <row r="667" spans="1:13">
      <c r="A667" s="43" t="s">
        <v>1674</v>
      </c>
      <c r="B667" s="43">
        <v>2613052222</v>
      </c>
      <c r="C667" s="43" t="s">
        <v>691</v>
      </c>
      <c r="D667" s="10">
        <v>242675</v>
      </c>
      <c r="E667" s="43" t="s">
        <v>10</v>
      </c>
      <c r="F667" s="8">
        <f>_xlfn.IFNA(INDEX('OSA | 3GB'!J:L,MATCH(DATA!D667,'OSA | 3GB'!J:J,0),2),0)</f>
        <v>17</v>
      </c>
      <c r="G667" s="8">
        <f>_xlfn.IFNA(INDEX('OSA | 3GB'!J:L,MATCH(DATA!D667,'OSA | 3GB'!J:J,0),3),0)</f>
        <v>3800000</v>
      </c>
      <c r="H667" s="32" t="str">
        <f>_xlfn.IFNA(INDEX('OSA | 3GB'!A:C,MATCH(DATA!D667,'OSA | 3GB'!A:A,0),2),0)</f>
        <v xml:space="preserve"> -   </v>
      </c>
      <c r="I667" s="33">
        <f>_xlfn.IFNA(INDEX('OSA | 3GB'!A:C,MATCH(DATA!D667,'OSA | 3GB'!A:A,0),3),0)</f>
        <v>1000000</v>
      </c>
      <c r="J667" s="33">
        <f>INDEX('BIO WAHYU'!B:G,MATCH(DATA!D667,'BIO WAHYU'!B:B,0),5)</f>
        <v>10</v>
      </c>
      <c r="K667" s="34">
        <f>INDEX('BIO WAHYU'!B:G,MATCH(DATA!D667,'BIO WAHYU'!B:B,0),6)</f>
        <v>5</v>
      </c>
      <c r="L667" s="35">
        <f>INDEX('BIO WAHYU'!B:H,MATCH(DATA!D667,'BIO WAHYU'!B:B,0),7)</f>
        <v>0</v>
      </c>
      <c r="M667" s="34">
        <f>INDEX('BIO WAHYU'!B:H,MATCH(DATA!D667,'BIO WAHYU'!B:B,0),4)</f>
        <v>0</v>
      </c>
    </row>
    <row r="668" spans="1:13">
      <c r="A668" s="43" t="s">
        <v>1674</v>
      </c>
      <c r="B668" s="43" t="s">
        <v>152</v>
      </c>
      <c r="C668" s="43" t="s">
        <v>674</v>
      </c>
      <c r="D668" s="10">
        <v>489452</v>
      </c>
      <c r="E668" s="43" t="s">
        <v>10</v>
      </c>
      <c r="F668" s="8">
        <f>_xlfn.IFNA(INDEX('OSA | 3GB'!J:L,MATCH(DATA!D668,'OSA | 3GB'!J:J,0),2),0)</f>
        <v>1</v>
      </c>
      <c r="G668" s="8">
        <f>_xlfn.IFNA(INDEX('OSA | 3GB'!J:L,MATCH(DATA!D668,'OSA | 3GB'!J:J,0),3),0)</f>
        <v>0</v>
      </c>
      <c r="H668" s="32" t="str">
        <f>_xlfn.IFNA(INDEX('OSA | 3GB'!A:C,MATCH(DATA!D668,'OSA | 3GB'!A:A,0),2),0)</f>
        <v xml:space="preserve"> -   </v>
      </c>
      <c r="I668" s="33">
        <f>_xlfn.IFNA(INDEX('OSA | 3GB'!A:C,MATCH(DATA!D668,'OSA | 3GB'!A:A,0),3),0)</f>
        <v>50000</v>
      </c>
      <c r="J668" s="33">
        <f>INDEX('BIO WAHYU'!B:G,MATCH(DATA!D668,'BIO WAHYU'!B:B,0),5)</f>
        <v>0</v>
      </c>
      <c r="K668" s="34">
        <f>INDEX('BIO WAHYU'!B:G,MATCH(DATA!D668,'BIO WAHYU'!B:B,0),6)</f>
        <v>0</v>
      </c>
      <c r="L668" s="35">
        <f>INDEX('BIO WAHYU'!B:H,MATCH(DATA!D668,'BIO WAHYU'!B:B,0),7)</f>
        <v>0</v>
      </c>
      <c r="M668" s="34">
        <f>INDEX('BIO WAHYU'!B:H,MATCH(DATA!D668,'BIO WAHYU'!B:B,0),4)</f>
        <v>0</v>
      </c>
    </row>
    <row r="669" spans="1:13">
      <c r="A669" s="43" t="s">
        <v>1674</v>
      </c>
      <c r="B669" s="43" t="s">
        <v>147</v>
      </c>
      <c r="C669" s="43" t="s">
        <v>621</v>
      </c>
      <c r="D669" s="10">
        <v>62382</v>
      </c>
      <c r="E669" s="43" t="s">
        <v>10</v>
      </c>
      <c r="F669" s="8">
        <f>_xlfn.IFNA(INDEX('OSA | 3GB'!J:L,MATCH(DATA!D669,'OSA | 3GB'!J:J,0),2),0)</f>
        <v>4</v>
      </c>
      <c r="G669" s="8">
        <f>_xlfn.IFNA(INDEX('OSA | 3GB'!J:L,MATCH(DATA!D669,'OSA | 3GB'!J:J,0),3),0)</f>
        <v>300000</v>
      </c>
      <c r="H669" s="32" t="str">
        <f>_xlfn.IFNA(INDEX('OSA | 3GB'!A:C,MATCH(DATA!D669,'OSA | 3GB'!A:A,0),2),0)</f>
        <v xml:space="preserve"> -   </v>
      </c>
      <c r="I669" s="33">
        <f>_xlfn.IFNA(INDEX('OSA | 3GB'!A:C,MATCH(DATA!D669,'OSA | 3GB'!A:A,0),3),0)</f>
        <v>100000</v>
      </c>
      <c r="J669" s="33">
        <f>INDEX('BIO WAHYU'!B:G,MATCH(DATA!D669,'BIO WAHYU'!B:B,0),5)</f>
        <v>2</v>
      </c>
      <c r="K669" s="34">
        <f>INDEX('BIO WAHYU'!B:G,MATCH(DATA!D669,'BIO WAHYU'!B:B,0),6)</f>
        <v>0</v>
      </c>
      <c r="L669" s="35">
        <f>INDEX('BIO WAHYU'!B:H,MATCH(DATA!D669,'BIO WAHYU'!B:B,0),7)</f>
        <v>0</v>
      </c>
      <c r="M669" s="34">
        <f>INDEX('BIO WAHYU'!B:H,MATCH(DATA!D669,'BIO WAHYU'!B:B,0),4)</f>
        <v>0</v>
      </c>
    </row>
    <row r="670" spans="1:13">
      <c r="A670" s="43" t="s">
        <v>1674</v>
      </c>
      <c r="B670" s="43">
        <v>2613052222</v>
      </c>
      <c r="C670" s="43" t="s">
        <v>1344</v>
      </c>
      <c r="D670" s="10">
        <v>239978</v>
      </c>
      <c r="E670" s="43" t="s">
        <v>10</v>
      </c>
      <c r="F670" s="8">
        <f>_xlfn.IFNA(INDEX('OSA | 3GB'!J:L,MATCH(DATA!D670,'OSA | 3GB'!J:J,0),2),0)</f>
        <v>36</v>
      </c>
      <c r="G670" s="8">
        <f>_xlfn.IFNA(INDEX('OSA | 3GB'!J:L,MATCH(DATA!D670,'OSA | 3GB'!J:J,0),3),0)</f>
        <v>3500000</v>
      </c>
      <c r="H670" s="32" t="str">
        <f>_xlfn.IFNA(INDEX('OSA | 3GB'!A:C,MATCH(DATA!D670,'OSA | 3GB'!A:A,0),2),0)</f>
        <v xml:space="preserve"> -   </v>
      </c>
      <c r="I670" s="33">
        <f>_xlfn.IFNA(INDEX('OSA | 3GB'!A:C,MATCH(DATA!D670,'OSA | 3GB'!A:A,0),3),0)</f>
        <v>6770000</v>
      </c>
      <c r="J670" s="33">
        <f>INDEX('BIO WAHYU'!B:G,MATCH(DATA!D670,'BIO WAHYU'!B:B,0),5)</f>
        <v>13</v>
      </c>
      <c r="K670" s="34">
        <f>INDEX('BIO WAHYU'!B:G,MATCH(DATA!D670,'BIO WAHYU'!B:B,0),6)</f>
        <v>7</v>
      </c>
      <c r="L670" s="35">
        <f>INDEX('BIO WAHYU'!B:H,MATCH(DATA!D670,'BIO WAHYU'!B:B,0),7)</f>
        <v>0</v>
      </c>
      <c r="M670" s="34">
        <f>INDEX('BIO WAHYU'!B:H,MATCH(DATA!D670,'BIO WAHYU'!B:B,0),4)</f>
        <v>0</v>
      </c>
    </row>
    <row r="671" spans="1:13">
      <c r="A671" s="43" t="s">
        <v>1674</v>
      </c>
      <c r="B671" s="43" t="s">
        <v>154</v>
      </c>
      <c r="C671" s="43" t="s">
        <v>1345</v>
      </c>
      <c r="D671" s="10">
        <v>409595</v>
      </c>
      <c r="E671" s="43" t="s">
        <v>10</v>
      </c>
      <c r="F671" s="8">
        <f>_xlfn.IFNA(INDEX('OSA | 3GB'!J:L,MATCH(DATA!D671,'OSA | 3GB'!J:J,0),2),0)</f>
        <v>3</v>
      </c>
      <c r="G671" s="8">
        <f>_xlfn.IFNA(INDEX('OSA | 3GB'!J:L,MATCH(DATA!D671,'OSA | 3GB'!J:J,0),3),0)</f>
        <v>50000</v>
      </c>
      <c r="H671" s="32" t="str">
        <f>_xlfn.IFNA(INDEX('OSA | 3GB'!A:C,MATCH(DATA!D671,'OSA | 3GB'!A:A,0),2),0)</f>
        <v xml:space="preserve"> -   </v>
      </c>
      <c r="I671" s="33" t="str">
        <f>_xlfn.IFNA(INDEX('OSA | 3GB'!A:C,MATCH(DATA!D671,'OSA | 3GB'!A:A,0),3),0)</f>
        <v xml:space="preserve"> -   </v>
      </c>
      <c r="J671" s="33">
        <f>INDEX('BIO WAHYU'!B:G,MATCH(DATA!D671,'BIO WAHYU'!B:B,0),5)</f>
        <v>3</v>
      </c>
      <c r="K671" s="34">
        <f>INDEX('BIO WAHYU'!B:G,MATCH(DATA!D671,'BIO WAHYU'!B:B,0),6)</f>
        <v>0</v>
      </c>
      <c r="L671" s="35">
        <f>INDEX('BIO WAHYU'!B:H,MATCH(DATA!D671,'BIO WAHYU'!B:B,0),7)</f>
        <v>0</v>
      </c>
      <c r="M671" s="34">
        <f>INDEX('BIO WAHYU'!B:H,MATCH(DATA!D671,'BIO WAHYU'!B:B,0),4)</f>
        <v>0</v>
      </c>
    </row>
    <row r="672" spans="1:13">
      <c r="A672" s="43" t="s">
        <v>1670</v>
      </c>
      <c r="B672" s="43" t="s">
        <v>140</v>
      </c>
      <c r="C672" s="43" t="s">
        <v>461</v>
      </c>
      <c r="D672" s="10">
        <v>13657</v>
      </c>
      <c r="E672" s="43" t="s">
        <v>10</v>
      </c>
      <c r="F672" s="8">
        <f>_xlfn.IFNA(INDEX('OSA | 3GB'!J:L,MATCH(DATA!D672,'OSA | 3GB'!J:J,0),2),0)</f>
        <v>6</v>
      </c>
      <c r="G672" s="8">
        <f>_xlfn.IFNA(INDEX('OSA | 3GB'!J:L,MATCH(DATA!D672,'OSA | 3GB'!J:J,0),3),0)</f>
        <v>800000</v>
      </c>
      <c r="H672" s="32" t="str">
        <f>_xlfn.IFNA(INDEX('OSA | 3GB'!A:C,MATCH(DATA!D672,'OSA | 3GB'!A:A,0),2),0)</f>
        <v xml:space="preserve"> -   </v>
      </c>
      <c r="I672" s="33">
        <f>_xlfn.IFNA(INDEX('OSA | 3GB'!A:C,MATCH(DATA!D672,'OSA | 3GB'!A:A,0),3),0)</f>
        <v>300000</v>
      </c>
      <c r="J672" s="33">
        <f>INDEX('BIO WAHYU'!B:G,MATCH(DATA!D672,'BIO WAHYU'!B:B,0),5)</f>
        <v>4</v>
      </c>
      <c r="K672" s="34">
        <f>INDEX('BIO WAHYU'!B:G,MATCH(DATA!D672,'BIO WAHYU'!B:B,0),6)</f>
        <v>0</v>
      </c>
      <c r="L672" s="35">
        <f>INDEX('BIO WAHYU'!B:H,MATCH(DATA!D672,'BIO WAHYU'!B:B,0),7)</f>
        <v>0</v>
      </c>
      <c r="M672" s="34">
        <f>INDEX('BIO WAHYU'!B:H,MATCH(DATA!D672,'BIO WAHYU'!B:B,0),4)</f>
        <v>0</v>
      </c>
    </row>
    <row r="673" spans="1:13">
      <c r="A673" s="43" t="s">
        <v>1670</v>
      </c>
      <c r="B673" s="43">
        <v>2613051412</v>
      </c>
      <c r="C673" s="43" t="s">
        <v>558</v>
      </c>
      <c r="D673" s="10">
        <v>344259</v>
      </c>
      <c r="E673" s="43" t="s">
        <v>10</v>
      </c>
      <c r="F673" s="8">
        <f>_xlfn.IFNA(INDEX('OSA | 3GB'!J:L,MATCH(DATA!D673,'OSA | 3GB'!J:J,0),2),0)</f>
        <v>6</v>
      </c>
      <c r="G673" s="8">
        <f>_xlfn.IFNA(INDEX('OSA | 3GB'!J:L,MATCH(DATA!D673,'OSA | 3GB'!J:J,0),3),0)</f>
        <v>1200000</v>
      </c>
      <c r="H673" s="32">
        <f>_xlfn.IFNA(INDEX('OSA | 3GB'!A:C,MATCH(DATA!D673,'OSA | 3GB'!A:A,0),2),0)</f>
        <v>3</v>
      </c>
      <c r="I673" s="33">
        <f>_xlfn.IFNA(INDEX('OSA | 3GB'!A:C,MATCH(DATA!D673,'OSA | 3GB'!A:A,0),3),0)</f>
        <v>300000</v>
      </c>
      <c r="J673" s="33">
        <f>INDEX('BIO WAHYU'!B:G,MATCH(DATA!D673,'BIO WAHYU'!B:B,0),5)</f>
        <v>1</v>
      </c>
      <c r="K673" s="34">
        <f>INDEX('BIO WAHYU'!B:G,MATCH(DATA!D673,'BIO WAHYU'!B:B,0),6)</f>
        <v>0</v>
      </c>
      <c r="L673" s="35">
        <f>INDEX('BIO WAHYU'!B:H,MATCH(DATA!D673,'BIO WAHYU'!B:B,0),7)</f>
        <v>0</v>
      </c>
      <c r="M673" s="34">
        <f>INDEX('BIO WAHYU'!B:H,MATCH(DATA!D673,'BIO WAHYU'!B:B,0),4)</f>
        <v>0</v>
      </c>
    </row>
    <row r="674" spans="1:13">
      <c r="A674" s="43" t="s">
        <v>1671</v>
      </c>
      <c r="B674" s="43">
        <v>2613050885</v>
      </c>
      <c r="C674" s="43" t="s">
        <v>305</v>
      </c>
      <c r="D674" s="10">
        <v>531622</v>
      </c>
      <c r="E674" s="43" t="s">
        <v>10</v>
      </c>
      <c r="F674" s="8">
        <f>_xlfn.IFNA(INDEX('OSA | 3GB'!J:L,MATCH(DATA!D674,'OSA | 3GB'!J:J,0),2),0)</f>
        <v>0</v>
      </c>
      <c r="G674" s="8">
        <f>_xlfn.IFNA(INDEX('OSA | 3GB'!J:L,MATCH(DATA!D674,'OSA | 3GB'!J:J,0),3),0)</f>
        <v>400000</v>
      </c>
      <c r="H674" s="32" t="str">
        <f>_xlfn.IFNA(INDEX('OSA | 3GB'!A:C,MATCH(DATA!D674,'OSA | 3GB'!A:A,0),2),0)</f>
        <v xml:space="preserve"> -   </v>
      </c>
      <c r="I674" s="33">
        <f>_xlfn.IFNA(INDEX('OSA | 3GB'!A:C,MATCH(DATA!D674,'OSA | 3GB'!A:A,0),3),0)</f>
        <v>350000</v>
      </c>
      <c r="J674" s="33">
        <f>INDEX('BIO WAHYU'!B:G,MATCH(DATA!D674,'BIO WAHYU'!B:B,0),5)</f>
        <v>0</v>
      </c>
      <c r="K674" s="34">
        <f>INDEX('BIO WAHYU'!B:G,MATCH(DATA!D674,'BIO WAHYU'!B:B,0),6)</f>
        <v>0</v>
      </c>
      <c r="L674" s="35">
        <f>INDEX('BIO WAHYU'!B:H,MATCH(DATA!D674,'BIO WAHYU'!B:B,0),7)</f>
        <v>0</v>
      </c>
      <c r="M674" s="34">
        <f>INDEX('BIO WAHYU'!B:H,MATCH(DATA!D674,'BIO WAHYU'!B:B,0),4)</f>
        <v>0</v>
      </c>
    </row>
    <row r="675" spans="1:13">
      <c r="A675" s="43" t="s">
        <v>1673</v>
      </c>
      <c r="B675" s="43" t="s">
        <v>158</v>
      </c>
      <c r="C675" s="43" t="s">
        <v>1346</v>
      </c>
      <c r="D675" s="10">
        <v>398997</v>
      </c>
      <c r="E675" s="43" t="s">
        <v>10</v>
      </c>
      <c r="F675" s="8">
        <f>_xlfn.IFNA(INDEX('OSA | 3GB'!J:L,MATCH(DATA!D675,'OSA | 3GB'!J:J,0),2),0)</f>
        <v>0</v>
      </c>
      <c r="G675" s="8">
        <f>_xlfn.IFNA(INDEX('OSA | 3GB'!J:L,MATCH(DATA!D675,'OSA | 3GB'!J:J,0),3),0)</f>
        <v>0</v>
      </c>
      <c r="H675" s="32" t="str">
        <f>_xlfn.IFNA(INDEX('OSA | 3GB'!A:C,MATCH(DATA!D675,'OSA | 3GB'!A:A,0),2),0)</f>
        <v xml:space="preserve"> -   </v>
      </c>
      <c r="I675" s="33" t="str">
        <f>_xlfn.IFNA(INDEX('OSA | 3GB'!A:C,MATCH(DATA!D675,'OSA | 3GB'!A:A,0),3),0)</f>
        <v xml:space="preserve"> -   </v>
      </c>
      <c r="J675" s="33">
        <f>INDEX('BIO WAHYU'!B:G,MATCH(DATA!D675,'BIO WAHYU'!B:B,0),5)</f>
        <v>0</v>
      </c>
      <c r="K675" s="34">
        <f>INDEX('BIO WAHYU'!B:G,MATCH(DATA!D675,'BIO WAHYU'!B:B,0),6)</f>
        <v>0</v>
      </c>
      <c r="L675" s="35">
        <f>INDEX('BIO WAHYU'!B:H,MATCH(DATA!D675,'BIO WAHYU'!B:B,0),7)</f>
        <v>0</v>
      </c>
      <c r="M675" s="34">
        <f>INDEX('BIO WAHYU'!B:H,MATCH(DATA!D675,'BIO WAHYU'!B:B,0),4)</f>
        <v>0</v>
      </c>
    </row>
    <row r="676" spans="1:13">
      <c r="A676" s="43" t="s">
        <v>1672</v>
      </c>
      <c r="B676" s="43" t="s">
        <v>155</v>
      </c>
      <c r="C676" s="43" t="s">
        <v>949</v>
      </c>
      <c r="D676" s="10">
        <v>530211</v>
      </c>
      <c r="E676" s="43" t="s">
        <v>10</v>
      </c>
      <c r="F676" s="8">
        <f>_xlfn.IFNA(INDEX('OSA | 3GB'!J:L,MATCH(DATA!D676,'OSA | 3GB'!J:J,0),2),0)</f>
        <v>142</v>
      </c>
      <c r="G676" s="8">
        <f>_xlfn.IFNA(INDEX('OSA | 3GB'!J:L,MATCH(DATA!D676,'OSA | 3GB'!J:J,0),3),0)</f>
        <v>1295000</v>
      </c>
      <c r="H676" s="32">
        <f>_xlfn.IFNA(INDEX('OSA | 3GB'!A:C,MATCH(DATA!D676,'OSA | 3GB'!A:A,0),2),0)</f>
        <v>38</v>
      </c>
      <c r="I676" s="33" t="str">
        <f>_xlfn.IFNA(INDEX('OSA | 3GB'!A:C,MATCH(DATA!D676,'OSA | 3GB'!A:A,0),3),0)</f>
        <v xml:space="preserve"> -   </v>
      </c>
      <c r="J676" s="33">
        <f>INDEX('BIO WAHYU'!B:G,MATCH(DATA!D676,'BIO WAHYU'!B:B,0),5)</f>
        <v>86</v>
      </c>
      <c r="K676" s="34">
        <f>INDEX('BIO WAHYU'!B:G,MATCH(DATA!D676,'BIO WAHYU'!B:B,0),6)</f>
        <v>45</v>
      </c>
      <c r="L676" s="35">
        <f>INDEX('BIO WAHYU'!B:H,MATCH(DATA!D676,'BIO WAHYU'!B:B,0),7)</f>
        <v>0</v>
      </c>
      <c r="M676" s="34">
        <f>INDEX('BIO WAHYU'!B:H,MATCH(DATA!D676,'BIO WAHYU'!B:B,0),4)</f>
        <v>0</v>
      </c>
    </row>
    <row r="677" spans="1:13">
      <c r="A677" s="43" t="s">
        <v>1670</v>
      </c>
      <c r="B677" s="43" t="s">
        <v>145</v>
      </c>
      <c r="C677" s="43" t="s">
        <v>514</v>
      </c>
      <c r="D677" s="10">
        <v>517552</v>
      </c>
      <c r="E677" s="43" t="s">
        <v>23</v>
      </c>
      <c r="F677" s="8">
        <f>_xlfn.IFNA(INDEX('OSA | 3GB'!J:L,MATCH(DATA!D677,'OSA | 3GB'!J:J,0),2),0)</f>
        <v>6</v>
      </c>
      <c r="G677" s="8">
        <f>_xlfn.IFNA(INDEX('OSA | 3GB'!J:L,MATCH(DATA!D677,'OSA | 3GB'!J:J,0),3),0)</f>
        <v>9717400</v>
      </c>
      <c r="H677" s="32">
        <f>_xlfn.IFNA(INDEX('OSA | 3GB'!A:C,MATCH(DATA!D677,'OSA | 3GB'!A:A,0),2),0)</f>
        <v>5</v>
      </c>
      <c r="I677" s="33">
        <f>_xlfn.IFNA(INDEX('OSA | 3GB'!A:C,MATCH(DATA!D677,'OSA | 3GB'!A:A,0),3),0)</f>
        <v>500000</v>
      </c>
      <c r="J677" s="33">
        <f>INDEX('BIO WAHYU'!B:G,MATCH(DATA!D677,'BIO WAHYU'!B:B,0),5)</f>
        <v>4</v>
      </c>
      <c r="K677" s="34">
        <f>INDEX('BIO WAHYU'!B:G,MATCH(DATA!D677,'BIO WAHYU'!B:B,0),6)</f>
        <v>1</v>
      </c>
      <c r="L677" s="35">
        <f>INDEX('BIO WAHYU'!B:H,MATCH(DATA!D677,'BIO WAHYU'!B:B,0),7)</f>
        <v>0</v>
      </c>
      <c r="M677" s="34">
        <f>INDEX('BIO WAHYU'!B:H,MATCH(DATA!D677,'BIO WAHYU'!B:B,0),4)</f>
        <v>1</v>
      </c>
    </row>
    <row r="678" spans="1:13">
      <c r="A678" s="43" t="s">
        <v>1674</v>
      </c>
      <c r="B678" s="43" t="s">
        <v>153</v>
      </c>
      <c r="C678" s="43" t="s">
        <v>1347</v>
      </c>
      <c r="D678" s="10">
        <v>478964</v>
      </c>
      <c r="E678" s="43" t="s">
        <v>10</v>
      </c>
      <c r="F678" s="8">
        <f>_xlfn.IFNA(INDEX('OSA | 3GB'!J:L,MATCH(DATA!D678,'OSA | 3GB'!J:J,0),2),0)</f>
        <v>2</v>
      </c>
      <c r="G678" s="8">
        <f>_xlfn.IFNA(INDEX('OSA | 3GB'!J:L,MATCH(DATA!D678,'OSA | 3GB'!J:J,0),3),0)</f>
        <v>2750000</v>
      </c>
      <c r="H678" s="32" t="str">
        <f>_xlfn.IFNA(INDEX('OSA | 3GB'!A:C,MATCH(DATA!D678,'OSA | 3GB'!A:A,0),2),0)</f>
        <v xml:space="preserve"> -   </v>
      </c>
      <c r="I678" s="33">
        <f>_xlfn.IFNA(INDEX('OSA | 3GB'!A:C,MATCH(DATA!D678,'OSA | 3GB'!A:A,0),3),0)</f>
        <v>1360000</v>
      </c>
      <c r="J678" s="33">
        <f>INDEX('BIO WAHYU'!B:G,MATCH(DATA!D678,'BIO WAHYU'!B:B,0),5)</f>
        <v>2</v>
      </c>
      <c r="K678" s="34">
        <f>INDEX('BIO WAHYU'!B:G,MATCH(DATA!D678,'BIO WAHYU'!B:B,0),6)</f>
        <v>4</v>
      </c>
      <c r="L678" s="35">
        <f>INDEX('BIO WAHYU'!B:H,MATCH(DATA!D678,'BIO WAHYU'!B:B,0),7)</f>
        <v>2</v>
      </c>
      <c r="M678" s="34">
        <f>INDEX('BIO WAHYU'!B:H,MATCH(DATA!D678,'BIO WAHYU'!B:B,0),4)</f>
        <v>0</v>
      </c>
    </row>
    <row r="679" spans="1:13">
      <c r="A679" s="43" t="s">
        <v>1674</v>
      </c>
      <c r="B679" s="43" t="s">
        <v>147</v>
      </c>
      <c r="C679" s="43" t="s">
        <v>616</v>
      </c>
      <c r="D679" s="10">
        <v>542066</v>
      </c>
      <c r="E679" s="43" t="s">
        <v>10</v>
      </c>
      <c r="F679" s="8">
        <f>_xlfn.IFNA(INDEX('OSA | 3GB'!J:L,MATCH(DATA!D679,'OSA | 3GB'!J:J,0),2),0)</f>
        <v>1</v>
      </c>
      <c r="G679" s="8">
        <f>_xlfn.IFNA(INDEX('OSA | 3GB'!J:L,MATCH(DATA!D679,'OSA | 3GB'!J:J,0),3),0)</f>
        <v>17000000</v>
      </c>
      <c r="H679" s="32" t="str">
        <f>_xlfn.IFNA(INDEX('OSA | 3GB'!A:C,MATCH(DATA!D679,'OSA | 3GB'!A:A,0),2),0)</f>
        <v xml:space="preserve"> -   </v>
      </c>
      <c r="I679" s="33">
        <f>_xlfn.IFNA(INDEX('OSA | 3GB'!A:C,MATCH(DATA!D679,'OSA | 3GB'!A:A,0),3),0)</f>
        <v>6500000</v>
      </c>
      <c r="J679" s="33">
        <f>INDEX('BIO WAHYU'!B:G,MATCH(DATA!D679,'BIO WAHYU'!B:B,0),5)</f>
        <v>1</v>
      </c>
      <c r="K679" s="34">
        <f>INDEX('BIO WAHYU'!B:G,MATCH(DATA!D679,'BIO WAHYU'!B:B,0),6)</f>
        <v>0</v>
      </c>
      <c r="L679" s="35">
        <f>INDEX('BIO WAHYU'!B:H,MATCH(DATA!D679,'BIO WAHYU'!B:B,0),7)</f>
        <v>0</v>
      </c>
      <c r="M679" s="34">
        <f>INDEX('BIO WAHYU'!B:H,MATCH(DATA!D679,'BIO WAHYU'!B:B,0),4)</f>
        <v>0</v>
      </c>
    </row>
    <row r="680" spans="1:13">
      <c r="A680" s="43" t="s">
        <v>1673</v>
      </c>
      <c r="B680" s="43" t="s">
        <v>1140</v>
      </c>
      <c r="C680" s="43" t="s">
        <v>1348</v>
      </c>
      <c r="D680" s="10">
        <v>330557</v>
      </c>
      <c r="E680" s="43" t="s">
        <v>15</v>
      </c>
      <c r="F680" s="8">
        <f>_xlfn.IFNA(INDEX('OSA | 3GB'!J:L,MATCH(DATA!D680,'OSA | 3GB'!J:J,0),2),0)</f>
        <v>4</v>
      </c>
      <c r="G680" s="8">
        <f>_xlfn.IFNA(INDEX('OSA | 3GB'!J:L,MATCH(DATA!D680,'OSA | 3GB'!J:J,0),3),0)</f>
        <v>3300000</v>
      </c>
      <c r="H680" s="32" t="str">
        <f>_xlfn.IFNA(INDEX('OSA | 3GB'!A:C,MATCH(DATA!D680,'OSA | 3GB'!A:A,0),2),0)</f>
        <v xml:space="preserve"> -   </v>
      </c>
      <c r="I680" s="33">
        <f>_xlfn.IFNA(INDEX('OSA | 3GB'!A:C,MATCH(DATA!D680,'OSA | 3GB'!A:A,0),3),0)</f>
        <v>1700000</v>
      </c>
      <c r="J680" s="33">
        <f>INDEX('BIO WAHYU'!B:G,MATCH(DATA!D680,'BIO WAHYU'!B:B,0),5)</f>
        <v>1</v>
      </c>
      <c r="K680" s="34">
        <f>INDEX('BIO WAHYU'!B:G,MATCH(DATA!D680,'BIO WAHYU'!B:B,0),6)</f>
        <v>0</v>
      </c>
      <c r="L680" s="35">
        <f>INDEX('BIO WAHYU'!B:H,MATCH(DATA!D680,'BIO WAHYU'!B:B,0),7)</f>
        <v>0</v>
      </c>
      <c r="M680" s="34">
        <f>INDEX('BIO WAHYU'!B:H,MATCH(DATA!D680,'BIO WAHYU'!B:B,0),4)</f>
        <v>0</v>
      </c>
    </row>
    <row r="681" spans="1:13">
      <c r="A681" s="43" t="s">
        <v>1672</v>
      </c>
      <c r="B681" s="43" t="s">
        <v>156</v>
      </c>
      <c r="C681" s="43" t="s">
        <v>983</v>
      </c>
      <c r="D681" s="10">
        <v>298411</v>
      </c>
      <c r="E681" s="43" t="s">
        <v>10</v>
      </c>
      <c r="F681" s="8">
        <f>_xlfn.IFNA(INDEX('OSA | 3GB'!J:L,MATCH(DATA!D681,'OSA | 3GB'!J:J,0),2),0)</f>
        <v>0</v>
      </c>
      <c r="G681" s="8">
        <f>_xlfn.IFNA(INDEX('OSA | 3GB'!J:L,MATCH(DATA!D681,'OSA | 3GB'!J:J,0),3),0)</f>
        <v>600000</v>
      </c>
      <c r="H681" s="32" t="str">
        <f>_xlfn.IFNA(INDEX('OSA | 3GB'!A:C,MATCH(DATA!D681,'OSA | 3GB'!A:A,0),2),0)</f>
        <v xml:space="preserve"> -   </v>
      </c>
      <c r="I681" s="33">
        <f>_xlfn.IFNA(INDEX('OSA | 3GB'!A:C,MATCH(DATA!D681,'OSA | 3GB'!A:A,0),3),0)</f>
        <v>400000</v>
      </c>
      <c r="J681" s="33">
        <f>INDEX('BIO WAHYU'!B:G,MATCH(DATA!D681,'BIO WAHYU'!B:B,0),5)</f>
        <v>0</v>
      </c>
      <c r="K681" s="34">
        <f>INDEX('BIO WAHYU'!B:G,MATCH(DATA!D681,'BIO WAHYU'!B:B,0),6)</f>
        <v>0</v>
      </c>
      <c r="L681" s="35">
        <f>INDEX('BIO WAHYU'!B:H,MATCH(DATA!D681,'BIO WAHYU'!B:B,0),7)</f>
        <v>0</v>
      </c>
      <c r="M681" s="34">
        <f>INDEX('BIO WAHYU'!B:H,MATCH(DATA!D681,'BIO WAHYU'!B:B,0),4)</f>
        <v>0</v>
      </c>
    </row>
    <row r="682" spans="1:13">
      <c r="A682" s="43" t="s">
        <v>1673</v>
      </c>
      <c r="B682" s="43" t="s">
        <v>1136</v>
      </c>
      <c r="C682" s="43" t="s">
        <v>1349</v>
      </c>
      <c r="D682" s="10">
        <v>564427</v>
      </c>
      <c r="E682" s="43" t="s">
        <v>15</v>
      </c>
      <c r="F682" s="8">
        <f>_xlfn.IFNA(INDEX('OSA | 3GB'!J:L,MATCH(DATA!D682,'OSA | 3GB'!J:J,0),2),0)</f>
        <v>0</v>
      </c>
      <c r="G682" s="8">
        <f>_xlfn.IFNA(INDEX('OSA | 3GB'!J:L,MATCH(DATA!D682,'OSA | 3GB'!J:J,0),3),0)</f>
        <v>0</v>
      </c>
      <c r="H682" s="32" t="str">
        <f>_xlfn.IFNA(INDEX('OSA | 3GB'!A:C,MATCH(DATA!D682,'OSA | 3GB'!A:A,0),2),0)</f>
        <v xml:space="preserve"> -   </v>
      </c>
      <c r="I682" s="33" t="str">
        <f>_xlfn.IFNA(INDEX('OSA | 3GB'!A:C,MATCH(DATA!D682,'OSA | 3GB'!A:A,0),3),0)</f>
        <v xml:space="preserve"> -   </v>
      </c>
      <c r="J682" s="33">
        <f>INDEX('BIO WAHYU'!B:G,MATCH(DATA!D682,'BIO WAHYU'!B:B,0),5)</f>
        <v>0</v>
      </c>
      <c r="K682" s="34">
        <f>INDEX('BIO WAHYU'!B:G,MATCH(DATA!D682,'BIO WAHYU'!B:B,0),6)</f>
        <v>0</v>
      </c>
      <c r="L682" s="35">
        <f>INDEX('BIO WAHYU'!B:H,MATCH(DATA!D682,'BIO WAHYU'!B:B,0),7)</f>
        <v>0</v>
      </c>
      <c r="M682" s="34">
        <f>INDEX('BIO WAHYU'!B:H,MATCH(DATA!D682,'BIO WAHYU'!B:B,0),4)</f>
        <v>0</v>
      </c>
    </row>
    <row r="683" spans="1:13">
      <c r="A683" s="43" t="s">
        <v>1</v>
      </c>
      <c r="B683" s="43" t="s">
        <v>3</v>
      </c>
      <c r="C683" s="43" t="s">
        <v>9</v>
      </c>
      <c r="D683" s="10">
        <v>10466</v>
      </c>
      <c r="E683" s="43" t="s">
        <v>10</v>
      </c>
      <c r="F683" s="8">
        <f>_xlfn.IFNA(INDEX('OSA | 3GB'!J:L,MATCH(DATA!D683,'OSA | 3GB'!J:J,0),2),0)</f>
        <v>5</v>
      </c>
      <c r="G683" s="8">
        <f>_xlfn.IFNA(INDEX('OSA | 3GB'!J:L,MATCH(DATA!D683,'OSA | 3GB'!J:J,0),3),0)</f>
        <v>2565000</v>
      </c>
      <c r="H683" s="32">
        <f>_xlfn.IFNA(INDEX('OSA | 3GB'!A:C,MATCH(DATA!D683,'OSA | 3GB'!A:A,0),2),0)</f>
        <v>5</v>
      </c>
      <c r="I683" s="33">
        <f>_xlfn.IFNA(INDEX('OSA | 3GB'!A:C,MATCH(DATA!D683,'OSA | 3GB'!A:A,0),3),0)</f>
        <v>1000000</v>
      </c>
      <c r="J683" s="33">
        <f>INDEX('BIO WAHYU'!B:G,MATCH(DATA!D683,'BIO WAHYU'!B:B,0),5)</f>
        <v>2</v>
      </c>
      <c r="K683" s="34">
        <f>INDEX('BIO WAHYU'!B:G,MATCH(DATA!D683,'BIO WAHYU'!B:B,0),6)</f>
        <v>2</v>
      </c>
      <c r="L683" s="35">
        <f>INDEX('BIO WAHYU'!B:H,MATCH(DATA!D683,'BIO WAHYU'!B:B,0),7)</f>
        <v>0</v>
      </c>
      <c r="M683" s="34">
        <f>INDEX('BIO WAHYU'!B:H,MATCH(DATA!D683,'BIO WAHYU'!B:B,0),4)</f>
        <v>0</v>
      </c>
    </row>
    <row r="684" spans="1:13">
      <c r="A684" s="43" t="s">
        <v>1673</v>
      </c>
      <c r="B684" s="43" t="s">
        <v>158</v>
      </c>
      <c r="C684" s="43" t="s">
        <v>1350</v>
      </c>
      <c r="D684" s="10">
        <v>517257</v>
      </c>
      <c r="E684" s="43" t="s">
        <v>10</v>
      </c>
      <c r="F684" s="8">
        <f>_xlfn.IFNA(INDEX('OSA | 3GB'!J:L,MATCH(DATA!D684,'OSA | 3GB'!J:J,0),2),0)</f>
        <v>0</v>
      </c>
      <c r="G684" s="8">
        <f>_xlfn.IFNA(INDEX('OSA | 3GB'!J:L,MATCH(DATA!D684,'OSA | 3GB'!J:J,0),3),0)</f>
        <v>300000</v>
      </c>
      <c r="H684" s="32" t="str">
        <f>_xlfn.IFNA(INDEX('OSA | 3GB'!A:C,MATCH(DATA!D684,'OSA | 3GB'!A:A,0),2),0)</f>
        <v xml:space="preserve"> -   </v>
      </c>
      <c r="I684" s="33" t="str">
        <f>_xlfn.IFNA(INDEX('OSA | 3GB'!A:C,MATCH(DATA!D684,'OSA | 3GB'!A:A,0),3),0)</f>
        <v xml:space="preserve"> -   </v>
      </c>
      <c r="J684" s="33">
        <f>INDEX('BIO WAHYU'!B:G,MATCH(DATA!D684,'BIO WAHYU'!B:B,0),5)</f>
        <v>1</v>
      </c>
      <c r="K684" s="34">
        <f>INDEX('BIO WAHYU'!B:G,MATCH(DATA!D684,'BIO WAHYU'!B:B,0),6)</f>
        <v>0</v>
      </c>
      <c r="L684" s="35">
        <f>INDEX('BIO WAHYU'!B:H,MATCH(DATA!D684,'BIO WAHYU'!B:B,0),7)</f>
        <v>0</v>
      </c>
      <c r="M684" s="34">
        <f>INDEX('BIO WAHYU'!B:H,MATCH(DATA!D684,'BIO WAHYU'!B:B,0),4)</f>
        <v>0</v>
      </c>
    </row>
    <row r="685" spans="1:13">
      <c r="A685" s="43" t="s">
        <v>1674</v>
      </c>
      <c r="B685" s="43">
        <v>2613052222</v>
      </c>
      <c r="C685" s="43" t="s">
        <v>699</v>
      </c>
      <c r="D685" s="10">
        <v>509953</v>
      </c>
      <c r="E685" s="43" t="s">
        <v>10</v>
      </c>
      <c r="F685" s="8">
        <f>_xlfn.IFNA(INDEX('OSA | 3GB'!J:L,MATCH(DATA!D685,'OSA | 3GB'!J:J,0),2),0)</f>
        <v>100</v>
      </c>
      <c r="G685" s="8">
        <f>_xlfn.IFNA(INDEX('OSA | 3GB'!J:L,MATCH(DATA!D685,'OSA | 3GB'!J:J,0),3),0)</f>
        <v>1400000</v>
      </c>
      <c r="H685" s="32" t="str">
        <f>_xlfn.IFNA(INDEX('OSA | 3GB'!A:C,MATCH(DATA!D685,'OSA | 3GB'!A:A,0),2),0)</f>
        <v xml:space="preserve"> -   </v>
      </c>
      <c r="I685" s="33">
        <f>_xlfn.IFNA(INDEX('OSA | 3GB'!A:C,MATCH(DATA!D685,'OSA | 3GB'!A:A,0),3),0)</f>
        <v>625000</v>
      </c>
      <c r="J685" s="33">
        <f>INDEX('BIO WAHYU'!B:G,MATCH(DATA!D685,'BIO WAHYU'!B:B,0),5)</f>
        <v>1</v>
      </c>
      <c r="K685" s="34">
        <f>INDEX('BIO WAHYU'!B:G,MATCH(DATA!D685,'BIO WAHYU'!B:B,0),6)</f>
        <v>0</v>
      </c>
      <c r="L685" s="35">
        <f>INDEX('BIO WAHYU'!B:H,MATCH(DATA!D685,'BIO WAHYU'!B:B,0),7)</f>
        <v>0</v>
      </c>
      <c r="M685" s="34">
        <f>INDEX('BIO WAHYU'!B:H,MATCH(DATA!D685,'BIO WAHYU'!B:B,0),4)</f>
        <v>0</v>
      </c>
    </row>
    <row r="686" spans="1:13">
      <c r="A686" s="43" t="s">
        <v>1670</v>
      </c>
      <c r="B686" s="43">
        <v>2613052584</v>
      </c>
      <c r="C686" s="43" t="s">
        <v>583</v>
      </c>
      <c r="D686" s="10">
        <v>299958</v>
      </c>
      <c r="E686" s="43" t="s">
        <v>10</v>
      </c>
      <c r="F686" s="8">
        <f>_xlfn.IFNA(INDEX('OSA | 3GB'!J:L,MATCH(DATA!D686,'OSA | 3GB'!J:J,0),2),0)</f>
        <v>3</v>
      </c>
      <c r="G686" s="8">
        <f>_xlfn.IFNA(INDEX('OSA | 3GB'!J:L,MATCH(DATA!D686,'OSA | 3GB'!J:J,0),3),0)</f>
        <v>3840500</v>
      </c>
      <c r="H686" s="32" t="str">
        <f>_xlfn.IFNA(INDEX('OSA | 3GB'!A:C,MATCH(DATA!D686,'OSA | 3GB'!A:A,0),2),0)</f>
        <v xml:space="preserve"> -   </v>
      </c>
      <c r="I686" s="33">
        <f>_xlfn.IFNA(INDEX('OSA | 3GB'!A:C,MATCH(DATA!D686,'OSA | 3GB'!A:A,0),3),0)</f>
        <v>1358000</v>
      </c>
      <c r="J686" s="33">
        <f>INDEX('BIO WAHYU'!B:G,MATCH(DATA!D686,'BIO WAHYU'!B:B,0),5)</f>
        <v>1</v>
      </c>
      <c r="K686" s="34">
        <f>INDEX('BIO WAHYU'!B:G,MATCH(DATA!D686,'BIO WAHYU'!B:B,0),6)</f>
        <v>1</v>
      </c>
      <c r="L686" s="35">
        <f>INDEX('BIO WAHYU'!B:H,MATCH(DATA!D686,'BIO WAHYU'!B:B,0),7)</f>
        <v>0</v>
      </c>
      <c r="M686" s="34">
        <f>INDEX('BIO WAHYU'!B:H,MATCH(DATA!D686,'BIO WAHYU'!B:B,0),4)</f>
        <v>0</v>
      </c>
    </row>
    <row r="687" spans="1:13">
      <c r="A687" s="43" t="s">
        <v>1675</v>
      </c>
      <c r="B687" s="43" t="s">
        <v>137</v>
      </c>
      <c r="C687" s="43" t="s">
        <v>435</v>
      </c>
      <c r="D687" s="10">
        <v>12296326</v>
      </c>
      <c r="E687" s="43" t="s">
        <v>15</v>
      </c>
      <c r="F687" s="8">
        <f>_xlfn.IFNA(INDEX('OSA | 3GB'!J:L,MATCH(DATA!D687,'OSA | 3GB'!J:J,0),2),0)</f>
        <v>1</v>
      </c>
      <c r="G687" s="8">
        <f>_xlfn.IFNA(INDEX('OSA | 3GB'!J:L,MATCH(DATA!D687,'OSA | 3GB'!J:J,0),3),0)</f>
        <v>207000</v>
      </c>
      <c r="H687" s="32" t="str">
        <f>_xlfn.IFNA(INDEX('OSA | 3GB'!A:C,MATCH(DATA!D687,'OSA | 3GB'!A:A,0),2),0)</f>
        <v xml:space="preserve"> -   </v>
      </c>
      <c r="I687" s="33">
        <f>_xlfn.IFNA(INDEX('OSA | 3GB'!A:C,MATCH(DATA!D687,'OSA | 3GB'!A:A,0),3),0)</f>
        <v>50000</v>
      </c>
      <c r="J687" s="33">
        <f>INDEX('BIO WAHYU'!B:G,MATCH(DATA!D687,'BIO WAHYU'!B:B,0),5)</f>
        <v>3</v>
      </c>
      <c r="K687" s="34">
        <f>INDEX('BIO WAHYU'!B:G,MATCH(DATA!D687,'BIO WAHYU'!B:B,0),6)</f>
        <v>1</v>
      </c>
      <c r="L687" s="35">
        <f>INDEX('BIO WAHYU'!B:H,MATCH(DATA!D687,'BIO WAHYU'!B:B,0),7)</f>
        <v>0</v>
      </c>
      <c r="M687" s="34">
        <f>INDEX('BIO WAHYU'!B:H,MATCH(DATA!D687,'BIO WAHYU'!B:B,0),4)</f>
        <v>0</v>
      </c>
    </row>
    <row r="688" spans="1:13">
      <c r="A688" s="43" t="s">
        <v>1674</v>
      </c>
      <c r="B688" s="43">
        <v>2613052222</v>
      </c>
      <c r="C688" s="43" t="s">
        <v>1351</v>
      </c>
      <c r="D688" s="10">
        <v>61549</v>
      </c>
      <c r="E688" s="43" t="s">
        <v>10</v>
      </c>
      <c r="F688" s="8">
        <f>_xlfn.IFNA(INDEX('OSA | 3GB'!J:L,MATCH(DATA!D688,'OSA | 3GB'!J:J,0),2),0)</f>
        <v>1</v>
      </c>
      <c r="G688" s="8">
        <f>_xlfn.IFNA(INDEX('OSA | 3GB'!J:L,MATCH(DATA!D688,'OSA | 3GB'!J:J,0),3),0)</f>
        <v>500000</v>
      </c>
      <c r="H688" s="32" t="str">
        <f>_xlfn.IFNA(INDEX('OSA | 3GB'!A:C,MATCH(DATA!D688,'OSA | 3GB'!A:A,0),2),0)</f>
        <v xml:space="preserve"> -   </v>
      </c>
      <c r="I688" s="33">
        <f>_xlfn.IFNA(INDEX('OSA | 3GB'!A:C,MATCH(DATA!D688,'OSA | 3GB'!A:A,0),3),0)</f>
        <v>500000</v>
      </c>
      <c r="J688" s="33">
        <f>INDEX('BIO WAHYU'!B:G,MATCH(DATA!D688,'BIO WAHYU'!B:B,0),5)</f>
        <v>2</v>
      </c>
      <c r="K688" s="34">
        <f>INDEX('BIO WAHYU'!B:G,MATCH(DATA!D688,'BIO WAHYU'!B:B,0),6)</f>
        <v>0</v>
      </c>
      <c r="L688" s="35">
        <f>INDEX('BIO WAHYU'!B:H,MATCH(DATA!D688,'BIO WAHYU'!B:B,0),7)</f>
        <v>0</v>
      </c>
      <c r="M688" s="34">
        <f>INDEX('BIO WAHYU'!B:H,MATCH(DATA!D688,'BIO WAHYU'!B:B,0),4)</f>
        <v>0</v>
      </c>
    </row>
    <row r="689" spans="1:13">
      <c r="A689" s="43" t="s">
        <v>1671</v>
      </c>
      <c r="B689" s="43" t="s">
        <v>142</v>
      </c>
      <c r="C689" s="43" t="s">
        <v>361</v>
      </c>
      <c r="D689" s="10">
        <v>523503</v>
      </c>
      <c r="E689" s="43" t="s">
        <v>15</v>
      </c>
      <c r="F689" s="8">
        <f>_xlfn.IFNA(INDEX('OSA | 3GB'!J:L,MATCH(DATA!D689,'OSA | 3GB'!J:J,0),2),0)</f>
        <v>3</v>
      </c>
      <c r="G689" s="8">
        <f>_xlfn.IFNA(INDEX('OSA | 3GB'!J:L,MATCH(DATA!D689,'OSA | 3GB'!J:J,0),3),0)</f>
        <v>100000</v>
      </c>
      <c r="H689" s="32" t="str">
        <f>_xlfn.IFNA(INDEX('OSA | 3GB'!A:C,MATCH(DATA!D689,'OSA | 3GB'!A:A,0),2),0)</f>
        <v xml:space="preserve"> -   </v>
      </c>
      <c r="I689" s="33" t="str">
        <f>_xlfn.IFNA(INDEX('OSA | 3GB'!A:C,MATCH(DATA!D689,'OSA | 3GB'!A:A,0),3),0)</f>
        <v xml:space="preserve"> -   </v>
      </c>
      <c r="J689" s="33">
        <f>INDEX('BIO WAHYU'!B:G,MATCH(DATA!D689,'BIO WAHYU'!B:B,0),5)</f>
        <v>1</v>
      </c>
      <c r="K689" s="34">
        <f>INDEX('BIO WAHYU'!B:G,MATCH(DATA!D689,'BIO WAHYU'!B:B,0),6)</f>
        <v>1</v>
      </c>
      <c r="L689" s="35">
        <f>INDEX('BIO WAHYU'!B:H,MATCH(DATA!D689,'BIO WAHYU'!B:B,0),7)</f>
        <v>0</v>
      </c>
      <c r="M689" s="34">
        <f>INDEX('BIO WAHYU'!B:H,MATCH(DATA!D689,'BIO WAHYU'!B:B,0),4)</f>
        <v>0</v>
      </c>
    </row>
    <row r="690" spans="1:13">
      <c r="A690" s="43" t="s">
        <v>1674</v>
      </c>
      <c r="B690" s="43" t="s">
        <v>147</v>
      </c>
      <c r="C690" s="43" t="s">
        <v>593</v>
      </c>
      <c r="D690" s="10">
        <v>12318027</v>
      </c>
      <c r="E690" s="43" t="s">
        <v>15</v>
      </c>
      <c r="F690" s="8">
        <f>_xlfn.IFNA(INDEX('OSA | 3GB'!J:L,MATCH(DATA!D690,'OSA | 3GB'!J:J,0),2),0)</f>
        <v>32</v>
      </c>
      <c r="G690" s="8">
        <f>_xlfn.IFNA(INDEX('OSA | 3GB'!J:L,MATCH(DATA!D690,'OSA | 3GB'!J:J,0),3),0)</f>
        <v>17529000</v>
      </c>
      <c r="H690" s="32">
        <f>_xlfn.IFNA(INDEX('OSA | 3GB'!A:C,MATCH(DATA!D690,'OSA | 3GB'!A:A,0),2),0)</f>
        <v>30</v>
      </c>
      <c r="I690" s="33">
        <f>_xlfn.IFNA(INDEX('OSA | 3GB'!A:C,MATCH(DATA!D690,'OSA | 3GB'!A:A,0),3),0)</f>
        <v>4500000</v>
      </c>
      <c r="J690" s="33">
        <f>INDEX('BIO WAHYU'!B:G,MATCH(DATA!D690,'BIO WAHYU'!B:B,0),5)</f>
        <v>36</v>
      </c>
      <c r="K690" s="34">
        <f>INDEX('BIO WAHYU'!B:G,MATCH(DATA!D690,'BIO WAHYU'!B:B,0),6)</f>
        <v>32</v>
      </c>
      <c r="L690" s="35">
        <f>INDEX('BIO WAHYU'!B:H,MATCH(DATA!D690,'BIO WAHYU'!B:B,0),7)</f>
        <v>0</v>
      </c>
      <c r="M690" s="34">
        <f>INDEX('BIO WAHYU'!B:H,MATCH(DATA!D690,'BIO WAHYU'!B:B,0),4)</f>
        <v>0</v>
      </c>
    </row>
    <row r="691" spans="1:13">
      <c r="A691" s="43" t="s">
        <v>1673</v>
      </c>
      <c r="B691" s="43" t="s">
        <v>1140</v>
      </c>
      <c r="C691" s="43" t="s">
        <v>161</v>
      </c>
      <c r="D691" s="10">
        <v>286468</v>
      </c>
      <c r="E691" s="43" t="s">
        <v>10</v>
      </c>
      <c r="F691" s="8">
        <f>_xlfn.IFNA(INDEX('OSA | 3GB'!J:L,MATCH(DATA!D691,'OSA | 3GB'!J:J,0),2),0)</f>
        <v>3</v>
      </c>
      <c r="G691" s="8">
        <f>_xlfn.IFNA(INDEX('OSA | 3GB'!J:L,MATCH(DATA!D691,'OSA | 3GB'!J:J,0),3),0)</f>
        <v>3484000</v>
      </c>
      <c r="H691" s="32" t="str">
        <f>_xlfn.IFNA(INDEX('OSA | 3GB'!A:C,MATCH(DATA!D691,'OSA | 3GB'!A:A,0),2),0)</f>
        <v xml:space="preserve"> -   </v>
      </c>
      <c r="I691" s="33" t="str">
        <f>_xlfn.IFNA(INDEX('OSA | 3GB'!A:C,MATCH(DATA!D691,'OSA | 3GB'!A:A,0),3),0)</f>
        <v xml:space="preserve"> -   </v>
      </c>
      <c r="J691" s="33">
        <f>INDEX('BIO WAHYU'!B:G,MATCH(DATA!D691,'BIO WAHYU'!B:B,0),5)</f>
        <v>1</v>
      </c>
      <c r="K691" s="34">
        <f>INDEX('BIO WAHYU'!B:G,MATCH(DATA!D691,'BIO WAHYU'!B:B,0),6)</f>
        <v>0</v>
      </c>
      <c r="L691" s="35">
        <f>INDEX('BIO WAHYU'!B:H,MATCH(DATA!D691,'BIO WAHYU'!B:B,0),7)</f>
        <v>0</v>
      </c>
      <c r="M691" s="34">
        <f>INDEX('BIO WAHYU'!B:H,MATCH(DATA!D691,'BIO WAHYU'!B:B,0),4)</f>
        <v>0</v>
      </c>
    </row>
    <row r="692" spans="1:13">
      <c r="A692" s="43" t="s">
        <v>1670</v>
      </c>
      <c r="B692" s="43" t="s">
        <v>140</v>
      </c>
      <c r="C692" s="43" t="s">
        <v>1352</v>
      </c>
      <c r="D692" s="10">
        <v>414487</v>
      </c>
      <c r="E692" s="43" t="s">
        <v>10</v>
      </c>
      <c r="F692" s="8">
        <f>_xlfn.IFNA(INDEX('OSA | 3GB'!J:L,MATCH(DATA!D692,'OSA | 3GB'!J:J,0),2),0)</f>
        <v>4</v>
      </c>
      <c r="G692" s="8">
        <f>_xlfn.IFNA(INDEX('OSA | 3GB'!J:L,MATCH(DATA!D692,'OSA | 3GB'!J:J,0),3),0)</f>
        <v>2900000</v>
      </c>
      <c r="H692" s="32" t="str">
        <f>_xlfn.IFNA(INDEX('OSA | 3GB'!A:C,MATCH(DATA!D692,'OSA | 3GB'!A:A,0),2),0)</f>
        <v xml:space="preserve"> -   </v>
      </c>
      <c r="I692" s="33">
        <f>_xlfn.IFNA(INDEX('OSA | 3GB'!A:C,MATCH(DATA!D692,'OSA | 3GB'!A:A,0),3),0)</f>
        <v>1000000</v>
      </c>
      <c r="J692" s="33">
        <f>INDEX('BIO WAHYU'!B:G,MATCH(DATA!D692,'BIO WAHYU'!B:B,0),5)</f>
        <v>5</v>
      </c>
      <c r="K692" s="34">
        <f>INDEX('BIO WAHYU'!B:G,MATCH(DATA!D692,'BIO WAHYU'!B:B,0),6)</f>
        <v>1</v>
      </c>
      <c r="L692" s="35">
        <f>INDEX('BIO WAHYU'!B:H,MATCH(DATA!D692,'BIO WAHYU'!B:B,0),7)</f>
        <v>0</v>
      </c>
      <c r="M692" s="34">
        <f>INDEX('BIO WAHYU'!B:H,MATCH(DATA!D692,'BIO WAHYU'!B:B,0),4)</f>
        <v>0</v>
      </c>
    </row>
    <row r="693" spans="1:13">
      <c r="A693" s="43" t="s">
        <v>1674</v>
      </c>
      <c r="B693" s="43" t="s">
        <v>152</v>
      </c>
      <c r="C693" s="43" t="s">
        <v>670</v>
      </c>
      <c r="D693" s="10">
        <v>353735</v>
      </c>
      <c r="E693" s="43" t="s">
        <v>10</v>
      </c>
      <c r="F693" s="8">
        <f>_xlfn.IFNA(INDEX('OSA | 3GB'!J:L,MATCH(DATA!D693,'OSA | 3GB'!J:J,0),2),0)</f>
        <v>0</v>
      </c>
      <c r="G693" s="8">
        <f>_xlfn.IFNA(INDEX('OSA | 3GB'!J:L,MATCH(DATA!D693,'OSA | 3GB'!J:J,0),3),0)</f>
        <v>0</v>
      </c>
      <c r="H693" s="32" t="str">
        <f>_xlfn.IFNA(INDEX('OSA | 3GB'!A:C,MATCH(DATA!D693,'OSA | 3GB'!A:A,0),2),0)</f>
        <v xml:space="preserve"> -   </v>
      </c>
      <c r="I693" s="33" t="str">
        <f>_xlfn.IFNA(INDEX('OSA | 3GB'!A:C,MATCH(DATA!D693,'OSA | 3GB'!A:A,0),3),0)</f>
        <v xml:space="preserve"> -   </v>
      </c>
      <c r="J693" s="33">
        <f>INDEX('BIO WAHYU'!B:G,MATCH(DATA!D693,'BIO WAHYU'!B:B,0),5)</f>
        <v>0</v>
      </c>
      <c r="K693" s="34">
        <f>INDEX('BIO WAHYU'!B:G,MATCH(DATA!D693,'BIO WAHYU'!B:B,0),6)</f>
        <v>0</v>
      </c>
      <c r="L693" s="35">
        <f>INDEX('BIO WAHYU'!B:H,MATCH(DATA!D693,'BIO WAHYU'!B:B,0),7)</f>
        <v>0</v>
      </c>
      <c r="M693" s="34">
        <f>INDEX('BIO WAHYU'!B:H,MATCH(DATA!D693,'BIO WAHYU'!B:B,0),4)</f>
        <v>0</v>
      </c>
    </row>
    <row r="694" spans="1:13">
      <c r="A694" s="43" t="s">
        <v>1</v>
      </c>
      <c r="B694" s="43" t="s">
        <v>5</v>
      </c>
      <c r="C694" s="43" t="s">
        <v>1096</v>
      </c>
      <c r="D694" s="10">
        <v>511584</v>
      </c>
      <c r="E694" s="43" t="s">
        <v>10</v>
      </c>
      <c r="F694" s="8">
        <f>_xlfn.IFNA(INDEX('OSA | 3GB'!J:L,MATCH(DATA!D694,'OSA | 3GB'!J:J,0),2),0)</f>
        <v>4</v>
      </c>
      <c r="G694" s="8">
        <f>_xlfn.IFNA(INDEX('OSA | 3GB'!J:L,MATCH(DATA!D694,'OSA | 3GB'!J:J,0),3),0)</f>
        <v>116000</v>
      </c>
      <c r="H694" s="32" t="str">
        <f>_xlfn.IFNA(INDEX('OSA | 3GB'!A:C,MATCH(DATA!D694,'OSA | 3GB'!A:A,0),2),0)</f>
        <v xml:space="preserve"> -   </v>
      </c>
      <c r="I694" s="33" t="str">
        <f>_xlfn.IFNA(INDEX('OSA | 3GB'!A:C,MATCH(DATA!D694,'OSA | 3GB'!A:A,0),3),0)</f>
        <v xml:space="preserve"> -   </v>
      </c>
      <c r="J694" s="33">
        <f>INDEX('BIO WAHYU'!B:G,MATCH(DATA!D694,'BIO WAHYU'!B:B,0),5)</f>
        <v>4</v>
      </c>
      <c r="K694" s="34">
        <f>INDEX('BIO WAHYU'!B:G,MATCH(DATA!D694,'BIO WAHYU'!B:B,0),6)</f>
        <v>2</v>
      </c>
      <c r="L694" s="35">
        <f>INDEX('BIO WAHYU'!B:H,MATCH(DATA!D694,'BIO WAHYU'!B:B,0),7)</f>
        <v>0</v>
      </c>
      <c r="M694" s="34">
        <f>INDEX('BIO WAHYU'!B:H,MATCH(DATA!D694,'BIO WAHYU'!B:B,0),4)</f>
        <v>0</v>
      </c>
    </row>
    <row r="695" spans="1:13">
      <c r="A695" s="43" t="s">
        <v>1672</v>
      </c>
      <c r="B695" s="43" t="s">
        <v>151</v>
      </c>
      <c r="C695" s="43" t="s">
        <v>876</v>
      </c>
      <c r="D695" s="10">
        <v>513155</v>
      </c>
      <c r="E695" s="43" t="s">
        <v>10</v>
      </c>
      <c r="F695" s="8">
        <f>_xlfn.IFNA(INDEX('OSA | 3GB'!J:L,MATCH(DATA!D695,'OSA | 3GB'!J:J,0),2),0)</f>
        <v>100</v>
      </c>
      <c r="G695" s="8">
        <f>_xlfn.IFNA(INDEX('OSA | 3GB'!J:L,MATCH(DATA!D695,'OSA | 3GB'!J:J,0),3),0)</f>
        <v>2004000</v>
      </c>
      <c r="H695" s="32" t="str">
        <f>_xlfn.IFNA(INDEX('OSA | 3GB'!A:C,MATCH(DATA!D695,'OSA | 3GB'!A:A,0),2),0)</f>
        <v xml:space="preserve"> -   </v>
      </c>
      <c r="I695" s="33">
        <f>_xlfn.IFNA(INDEX('OSA | 3GB'!A:C,MATCH(DATA!D695,'OSA | 3GB'!A:A,0),3),0)</f>
        <v>750000</v>
      </c>
      <c r="J695" s="33">
        <f>INDEX('BIO WAHYU'!B:G,MATCH(DATA!D695,'BIO WAHYU'!B:B,0),5)</f>
        <v>4</v>
      </c>
      <c r="K695" s="34">
        <f>INDEX('BIO WAHYU'!B:G,MATCH(DATA!D695,'BIO WAHYU'!B:B,0),6)</f>
        <v>0</v>
      </c>
      <c r="L695" s="35">
        <f>INDEX('BIO WAHYU'!B:H,MATCH(DATA!D695,'BIO WAHYU'!B:B,0),7)</f>
        <v>0</v>
      </c>
      <c r="M695" s="34">
        <f>INDEX('BIO WAHYU'!B:H,MATCH(DATA!D695,'BIO WAHYU'!B:B,0),4)</f>
        <v>0</v>
      </c>
    </row>
    <row r="696" spans="1:13">
      <c r="A696" s="43" t="s">
        <v>1673</v>
      </c>
      <c r="B696" s="43" t="s">
        <v>158</v>
      </c>
      <c r="C696" s="43" t="s">
        <v>1353</v>
      </c>
      <c r="D696" s="10">
        <v>289467</v>
      </c>
      <c r="E696" s="43" t="s">
        <v>15</v>
      </c>
      <c r="F696" s="8">
        <f>_xlfn.IFNA(INDEX('OSA | 3GB'!J:L,MATCH(DATA!D696,'OSA | 3GB'!J:J,0),2),0)</f>
        <v>3</v>
      </c>
      <c r="G696" s="8">
        <f>_xlfn.IFNA(INDEX('OSA | 3GB'!J:L,MATCH(DATA!D696,'OSA | 3GB'!J:J,0),3),0)</f>
        <v>1500000</v>
      </c>
      <c r="H696" s="32" t="str">
        <f>_xlfn.IFNA(INDEX('OSA | 3GB'!A:C,MATCH(DATA!D696,'OSA | 3GB'!A:A,0),2),0)</f>
        <v xml:space="preserve"> -   </v>
      </c>
      <c r="I696" s="33">
        <f>_xlfn.IFNA(INDEX('OSA | 3GB'!A:C,MATCH(DATA!D696,'OSA | 3GB'!A:A,0),3),0)</f>
        <v>250000</v>
      </c>
      <c r="J696" s="33">
        <f>INDEX('BIO WAHYU'!B:G,MATCH(DATA!D696,'BIO WAHYU'!B:B,0),5)</f>
        <v>2</v>
      </c>
      <c r="K696" s="34">
        <f>INDEX('BIO WAHYU'!B:G,MATCH(DATA!D696,'BIO WAHYU'!B:B,0),6)</f>
        <v>0</v>
      </c>
      <c r="L696" s="35">
        <f>INDEX('BIO WAHYU'!B:H,MATCH(DATA!D696,'BIO WAHYU'!B:B,0),7)</f>
        <v>0</v>
      </c>
      <c r="M696" s="34">
        <f>INDEX('BIO WAHYU'!B:H,MATCH(DATA!D696,'BIO WAHYU'!B:B,0),4)</f>
        <v>0</v>
      </c>
    </row>
    <row r="697" spans="1:13">
      <c r="A697" s="43" t="s">
        <v>1672</v>
      </c>
      <c r="B697" s="43">
        <v>2613051475</v>
      </c>
      <c r="C697" s="43" t="s">
        <v>1354</v>
      </c>
      <c r="D697" s="10">
        <v>196535</v>
      </c>
      <c r="E697" s="43" t="s">
        <v>10</v>
      </c>
      <c r="F697" s="8">
        <f>_xlfn.IFNA(INDEX('OSA | 3GB'!J:L,MATCH(DATA!D697,'OSA | 3GB'!J:J,0),2),0)</f>
        <v>3</v>
      </c>
      <c r="G697" s="8">
        <f>_xlfn.IFNA(INDEX('OSA | 3GB'!J:L,MATCH(DATA!D697,'OSA | 3GB'!J:J,0),3),0)</f>
        <v>1050000</v>
      </c>
      <c r="H697" s="32" t="str">
        <f>_xlfn.IFNA(INDEX('OSA | 3GB'!A:C,MATCH(DATA!D697,'OSA | 3GB'!A:A,0),2),0)</f>
        <v xml:space="preserve"> -   </v>
      </c>
      <c r="I697" s="33">
        <f>_xlfn.IFNA(INDEX('OSA | 3GB'!A:C,MATCH(DATA!D697,'OSA | 3GB'!A:A,0),3),0)</f>
        <v>400000</v>
      </c>
      <c r="J697" s="33">
        <f>INDEX('BIO WAHYU'!B:G,MATCH(DATA!D697,'BIO WAHYU'!B:B,0),5)</f>
        <v>1</v>
      </c>
      <c r="K697" s="34">
        <f>INDEX('BIO WAHYU'!B:G,MATCH(DATA!D697,'BIO WAHYU'!B:B,0),6)</f>
        <v>0</v>
      </c>
      <c r="L697" s="35">
        <f>INDEX('BIO WAHYU'!B:H,MATCH(DATA!D697,'BIO WAHYU'!B:B,0),7)</f>
        <v>0</v>
      </c>
      <c r="M697" s="34">
        <f>INDEX('BIO WAHYU'!B:H,MATCH(DATA!D697,'BIO WAHYU'!B:B,0),4)</f>
        <v>0</v>
      </c>
    </row>
    <row r="698" spans="1:13">
      <c r="A698" s="43" t="s">
        <v>1673</v>
      </c>
      <c r="B698" s="43" t="s">
        <v>1136</v>
      </c>
      <c r="C698" s="43" t="s">
        <v>1355</v>
      </c>
      <c r="D698" s="10">
        <v>260931</v>
      </c>
      <c r="E698" s="43" t="s">
        <v>10</v>
      </c>
      <c r="F698" s="8">
        <f>_xlfn.IFNA(INDEX('OSA | 3GB'!J:L,MATCH(DATA!D698,'OSA | 3GB'!J:J,0),2),0)</f>
        <v>3</v>
      </c>
      <c r="G698" s="8">
        <f>_xlfn.IFNA(INDEX('OSA | 3GB'!J:L,MATCH(DATA!D698,'OSA | 3GB'!J:J,0),3),0)</f>
        <v>20029000</v>
      </c>
      <c r="H698" s="32" t="str">
        <f>_xlfn.IFNA(INDEX('OSA | 3GB'!A:C,MATCH(DATA!D698,'OSA | 3GB'!A:A,0),2),0)</f>
        <v xml:space="preserve"> -   </v>
      </c>
      <c r="I698" s="33">
        <f>_xlfn.IFNA(INDEX('OSA | 3GB'!A:C,MATCH(DATA!D698,'OSA | 3GB'!A:A,0),3),0)</f>
        <v>8000000</v>
      </c>
      <c r="J698" s="33">
        <f>INDEX('BIO WAHYU'!B:G,MATCH(DATA!D698,'BIO WAHYU'!B:B,0),5)</f>
        <v>6</v>
      </c>
      <c r="K698" s="34">
        <f>INDEX('BIO WAHYU'!B:G,MATCH(DATA!D698,'BIO WAHYU'!B:B,0),6)</f>
        <v>4</v>
      </c>
      <c r="L698" s="35">
        <f>INDEX('BIO WAHYU'!B:H,MATCH(DATA!D698,'BIO WAHYU'!B:B,0),7)</f>
        <v>0</v>
      </c>
      <c r="M698" s="34">
        <f>INDEX('BIO WAHYU'!B:H,MATCH(DATA!D698,'BIO WAHYU'!B:B,0),4)</f>
        <v>0</v>
      </c>
    </row>
    <row r="699" spans="1:13">
      <c r="A699" s="43" t="s">
        <v>1674</v>
      </c>
      <c r="B699" s="43">
        <v>2613052222</v>
      </c>
      <c r="C699" s="43" t="s">
        <v>1356</v>
      </c>
      <c r="D699" s="10">
        <v>199069</v>
      </c>
      <c r="E699" s="43" t="s">
        <v>10</v>
      </c>
      <c r="F699" s="8">
        <f>_xlfn.IFNA(INDEX('OSA | 3GB'!J:L,MATCH(DATA!D699,'OSA | 3GB'!J:J,0),2),0)</f>
        <v>3</v>
      </c>
      <c r="G699" s="8">
        <f>_xlfn.IFNA(INDEX('OSA | 3GB'!J:L,MATCH(DATA!D699,'OSA | 3GB'!J:J,0),3),0)</f>
        <v>87000</v>
      </c>
      <c r="H699" s="32" t="str">
        <f>_xlfn.IFNA(INDEX('OSA | 3GB'!A:C,MATCH(DATA!D699,'OSA | 3GB'!A:A,0),2),0)</f>
        <v xml:space="preserve"> -   </v>
      </c>
      <c r="I699" s="33" t="str">
        <f>_xlfn.IFNA(INDEX('OSA | 3GB'!A:C,MATCH(DATA!D699,'OSA | 3GB'!A:A,0),3),0)</f>
        <v xml:space="preserve"> -   </v>
      </c>
      <c r="J699" s="33">
        <f>INDEX('BIO WAHYU'!B:G,MATCH(DATA!D699,'BIO WAHYU'!B:B,0),5)</f>
        <v>0</v>
      </c>
      <c r="K699" s="34">
        <f>INDEX('BIO WAHYU'!B:G,MATCH(DATA!D699,'BIO WAHYU'!B:B,0),6)</f>
        <v>0</v>
      </c>
      <c r="L699" s="35">
        <f>INDEX('BIO WAHYU'!B:H,MATCH(DATA!D699,'BIO WAHYU'!B:B,0),7)</f>
        <v>0</v>
      </c>
      <c r="M699" s="34">
        <f>INDEX('BIO WAHYU'!B:H,MATCH(DATA!D699,'BIO WAHYU'!B:B,0),4)</f>
        <v>0</v>
      </c>
    </row>
    <row r="700" spans="1:13">
      <c r="A700" s="43" t="s">
        <v>1672</v>
      </c>
      <c r="B700" s="43" t="s">
        <v>149</v>
      </c>
      <c r="C700" s="43" t="s">
        <v>799</v>
      </c>
      <c r="D700" s="10">
        <v>563090</v>
      </c>
      <c r="E700" s="43" t="s">
        <v>10</v>
      </c>
      <c r="F700" s="8">
        <f>_xlfn.IFNA(INDEX('OSA | 3GB'!J:L,MATCH(DATA!D700,'OSA | 3GB'!J:J,0),2),0)</f>
        <v>0</v>
      </c>
      <c r="G700" s="8">
        <f>_xlfn.IFNA(INDEX('OSA | 3GB'!J:L,MATCH(DATA!D700,'OSA | 3GB'!J:J,0),3),0)</f>
        <v>0</v>
      </c>
      <c r="H700" s="32" t="str">
        <f>_xlfn.IFNA(INDEX('OSA | 3GB'!A:C,MATCH(DATA!D700,'OSA | 3GB'!A:A,0),2),0)</f>
        <v xml:space="preserve"> -   </v>
      </c>
      <c r="I700" s="33" t="str">
        <f>_xlfn.IFNA(INDEX('OSA | 3GB'!A:C,MATCH(DATA!D700,'OSA | 3GB'!A:A,0),3),0)</f>
        <v xml:space="preserve"> -   </v>
      </c>
      <c r="J700" s="33">
        <f>INDEX('BIO WAHYU'!B:G,MATCH(DATA!D700,'BIO WAHYU'!B:B,0),5)</f>
        <v>0</v>
      </c>
      <c r="K700" s="34">
        <f>INDEX('BIO WAHYU'!B:G,MATCH(DATA!D700,'BIO WAHYU'!B:B,0),6)</f>
        <v>0</v>
      </c>
      <c r="L700" s="35">
        <f>INDEX('BIO WAHYU'!B:H,MATCH(DATA!D700,'BIO WAHYU'!B:B,0),7)</f>
        <v>0</v>
      </c>
      <c r="M700" s="34">
        <f>INDEX('BIO WAHYU'!B:H,MATCH(DATA!D700,'BIO WAHYU'!B:B,0),4)</f>
        <v>0</v>
      </c>
    </row>
    <row r="701" spans="1:13">
      <c r="A701" s="43" t="s">
        <v>1674</v>
      </c>
      <c r="B701" s="43" t="s">
        <v>147</v>
      </c>
      <c r="C701" s="43" t="s">
        <v>1357</v>
      </c>
      <c r="D701" s="10">
        <v>12296194</v>
      </c>
      <c r="E701" s="43" t="s">
        <v>10</v>
      </c>
      <c r="F701" s="8">
        <f>_xlfn.IFNA(INDEX('OSA | 3GB'!J:L,MATCH(DATA!D701,'OSA | 3GB'!J:J,0),2),0)</f>
        <v>2</v>
      </c>
      <c r="G701" s="8">
        <f>_xlfn.IFNA(INDEX('OSA | 3GB'!J:L,MATCH(DATA!D701,'OSA | 3GB'!J:J,0),3),0)</f>
        <v>2500000</v>
      </c>
      <c r="H701" s="32" t="str">
        <f>_xlfn.IFNA(INDEX('OSA | 3GB'!A:C,MATCH(DATA!D701,'OSA | 3GB'!A:A,0),2),0)</f>
        <v xml:space="preserve"> -   </v>
      </c>
      <c r="I701" s="33">
        <f>_xlfn.IFNA(INDEX('OSA | 3GB'!A:C,MATCH(DATA!D701,'OSA | 3GB'!A:A,0),3),0)</f>
        <v>1000000</v>
      </c>
      <c r="J701" s="33">
        <f>INDEX('BIO WAHYU'!B:G,MATCH(DATA!D701,'BIO WAHYU'!B:B,0),5)</f>
        <v>2</v>
      </c>
      <c r="K701" s="34">
        <f>INDEX('BIO WAHYU'!B:G,MATCH(DATA!D701,'BIO WAHYU'!B:B,0),6)</f>
        <v>1</v>
      </c>
      <c r="L701" s="35">
        <f>INDEX('BIO WAHYU'!B:H,MATCH(DATA!D701,'BIO WAHYU'!B:B,0),7)</f>
        <v>0</v>
      </c>
      <c r="M701" s="34">
        <f>INDEX('BIO WAHYU'!B:H,MATCH(DATA!D701,'BIO WAHYU'!B:B,0),4)</f>
        <v>0</v>
      </c>
    </row>
    <row r="702" spans="1:13">
      <c r="A702" s="43" t="s">
        <v>1673</v>
      </c>
      <c r="B702" s="43" t="s">
        <v>1140</v>
      </c>
      <c r="C702" s="43" t="s">
        <v>1358</v>
      </c>
      <c r="D702" s="10">
        <v>61528</v>
      </c>
      <c r="E702" s="43" t="s">
        <v>10</v>
      </c>
      <c r="F702" s="8">
        <f>_xlfn.IFNA(INDEX('OSA | 3GB'!J:L,MATCH(DATA!D702,'OSA | 3GB'!J:J,0),2),0)</f>
        <v>3</v>
      </c>
      <c r="G702" s="8">
        <f>_xlfn.IFNA(INDEX('OSA | 3GB'!J:L,MATCH(DATA!D702,'OSA | 3GB'!J:J,0),3),0)</f>
        <v>1700000</v>
      </c>
      <c r="H702" s="32" t="str">
        <f>_xlfn.IFNA(INDEX('OSA | 3GB'!A:C,MATCH(DATA!D702,'OSA | 3GB'!A:A,0),2),0)</f>
        <v xml:space="preserve"> -   </v>
      </c>
      <c r="I702" s="33">
        <f>_xlfn.IFNA(INDEX('OSA | 3GB'!A:C,MATCH(DATA!D702,'OSA | 3GB'!A:A,0),3),0)</f>
        <v>750000</v>
      </c>
      <c r="J702" s="33">
        <f>INDEX('BIO WAHYU'!B:G,MATCH(DATA!D702,'BIO WAHYU'!B:B,0),5)</f>
        <v>1</v>
      </c>
      <c r="K702" s="34">
        <f>INDEX('BIO WAHYU'!B:G,MATCH(DATA!D702,'BIO WAHYU'!B:B,0),6)</f>
        <v>5</v>
      </c>
      <c r="L702" s="35">
        <f>INDEX('BIO WAHYU'!B:H,MATCH(DATA!D702,'BIO WAHYU'!B:B,0),7)</f>
        <v>4</v>
      </c>
      <c r="M702" s="34">
        <f>INDEX('BIO WAHYU'!B:H,MATCH(DATA!D702,'BIO WAHYU'!B:B,0),4)</f>
        <v>0</v>
      </c>
    </row>
    <row r="703" spans="1:13">
      <c r="A703" s="43" t="s">
        <v>1670</v>
      </c>
      <c r="B703" s="43" t="s">
        <v>145</v>
      </c>
      <c r="C703" s="43" t="s">
        <v>244</v>
      </c>
      <c r="D703" s="10">
        <v>199293</v>
      </c>
      <c r="E703" s="43" t="s">
        <v>15</v>
      </c>
      <c r="F703" s="8">
        <f>_xlfn.IFNA(INDEX('OSA | 3GB'!J:L,MATCH(DATA!D703,'OSA | 3GB'!J:J,0),2),0)</f>
        <v>5</v>
      </c>
      <c r="G703" s="8">
        <f>_xlfn.IFNA(INDEX('OSA | 3GB'!J:L,MATCH(DATA!D703,'OSA | 3GB'!J:J,0),3),0)</f>
        <v>300000</v>
      </c>
      <c r="H703" s="32">
        <f>_xlfn.IFNA(INDEX('OSA | 3GB'!A:C,MATCH(DATA!D703,'OSA | 3GB'!A:A,0),2),0)</f>
        <v>3</v>
      </c>
      <c r="I703" s="33">
        <f>_xlfn.IFNA(INDEX('OSA | 3GB'!A:C,MATCH(DATA!D703,'OSA | 3GB'!A:A,0),3),0)</f>
        <v>300000</v>
      </c>
      <c r="J703" s="33">
        <f>INDEX('BIO WAHYU'!B:G,MATCH(DATA!D703,'BIO WAHYU'!B:B,0),5)</f>
        <v>2</v>
      </c>
      <c r="K703" s="34">
        <f>INDEX('BIO WAHYU'!B:G,MATCH(DATA!D703,'BIO WAHYU'!B:B,0),6)</f>
        <v>0</v>
      </c>
      <c r="L703" s="35">
        <f>INDEX('BIO WAHYU'!B:H,MATCH(DATA!D703,'BIO WAHYU'!B:B,0),7)</f>
        <v>0</v>
      </c>
      <c r="M703" s="34">
        <f>INDEX('BIO WAHYU'!B:H,MATCH(DATA!D703,'BIO WAHYU'!B:B,0),4)</f>
        <v>0</v>
      </c>
    </row>
    <row r="704" spans="1:13">
      <c r="A704" s="43" t="s">
        <v>1672</v>
      </c>
      <c r="B704" s="43" t="s">
        <v>156</v>
      </c>
      <c r="C704" s="43" t="s">
        <v>994</v>
      </c>
      <c r="D704" s="10">
        <v>473615</v>
      </c>
      <c r="E704" s="43" t="s">
        <v>10</v>
      </c>
      <c r="F704" s="8">
        <f>_xlfn.IFNA(INDEX('OSA | 3GB'!J:L,MATCH(DATA!D704,'OSA | 3GB'!J:J,0),2),0)</f>
        <v>1</v>
      </c>
      <c r="G704" s="8">
        <f>_xlfn.IFNA(INDEX('OSA | 3GB'!J:L,MATCH(DATA!D704,'OSA | 3GB'!J:J,0),3),0)</f>
        <v>3950000</v>
      </c>
      <c r="H704" s="32" t="str">
        <f>_xlfn.IFNA(INDEX('OSA | 3GB'!A:C,MATCH(DATA!D704,'OSA | 3GB'!A:A,0),2),0)</f>
        <v xml:space="preserve"> -   </v>
      </c>
      <c r="I704" s="33">
        <f>_xlfn.IFNA(INDEX('OSA | 3GB'!A:C,MATCH(DATA!D704,'OSA | 3GB'!A:A,0),3),0)</f>
        <v>1900000</v>
      </c>
      <c r="J704" s="33">
        <f>INDEX('BIO WAHYU'!B:G,MATCH(DATA!D704,'BIO WAHYU'!B:B,0),5)</f>
        <v>3</v>
      </c>
      <c r="K704" s="34">
        <f>INDEX('BIO WAHYU'!B:G,MATCH(DATA!D704,'BIO WAHYU'!B:B,0),6)</f>
        <v>0</v>
      </c>
      <c r="L704" s="35">
        <f>INDEX('BIO WAHYU'!B:H,MATCH(DATA!D704,'BIO WAHYU'!B:B,0),7)</f>
        <v>0</v>
      </c>
      <c r="M704" s="34">
        <f>INDEX('BIO WAHYU'!B:H,MATCH(DATA!D704,'BIO WAHYU'!B:B,0),4)</f>
        <v>0</v>
      </c>
    </row>
    <row r="705" spans="1:13">
      <c r="A705" s="43" t="s">
        <v>1672</v>
      </c>
      <c r="B705" s="43" t="s">
        <v>149</v>
      </c>
      <c r="C705" s="43" t="s">
        <v>803</v>
      </c>
      <c r="D705" s="10">
        <v>9191</v>
      </c>
      <c r="E705" s="43" t="s">
        <v>10</v>
      </c>
      <c r="F705" s="8">
        <f>_xlfn.IFNA(INDEX('OSA | 3GB'!J:L,MATCH(DATA!D705,'OSA | 3GB'!J:J,0),2),0)</f>
        <v>6</v>
      </c>
      <c r="G705" s="8">
        <f>_xlfn.IFNA(INDEX('OSA | 3GB'!J:L,MATCH(DATA!D705,'OSA | 3GB'!J:J,0),3),0)</f>
        <v>2816000</v>
      </c>
      <c r="H705" s="32">
        <f>_xlfn.IFNA(INDEX('OSA | 3GB'!A:C,MATCH(DATA!D705,'OSA | 3GB'!A:A,0),2),0)</f>
        <v>4</v>
      </c>
      <c r="I705" s="33">
        <f>_xlfn.IFNA(INDEX('OSA | 3GB'!A:C,MATCH(DATA!D705,'OSA | 3GB'!A:A,0),3),0)</f>
        <v>716000</v>
      </c>
      <c r="J705" s="33">
        <f>INDEX('BIO WAHYU'!B:G,MATCH(DATA!D705,'BIO WAHYU'!B:B,0),5)</f>
        <v>1</v>
      </c>
      <c r="K705" s="34">
        <f>INDEX('BIO WAHYU'!B:G,MATCH(DATA!D705,'BIO WAHYU'!B:B,0),6)</f>
        <v>0</v>
      </c>
      <c r="L705" s="35">
        <f>INDEX('BIO WAHYU'!B:H,MATCH(DATA!D705,'BIO WAHYU'!B:B,0),7)</f>
        <v>0</v>
      </c>
      <c r="M705" s="34">
        <f>INDEX('BIO WAHYU'!B:H,MATCH(DATA!D705,'BIO WAHYU'!B:B,0),4)</f>
        <v>0</v>
      </c>
    </row>
    <row r="706" spans="1:13">
      <c r="A706" s="43" t="s">
        <v>1670</v>
      </c>
      <c r="B706" s="43" t="s">
        <v>146</v>
      </c>
      <c r="C706" s="43" t="s">
        <v>1359</v>
      </c>
      <c r="D706" s="10">
        <v>572995</v>
      </c>
      <c r="E706" s="43" t="s">
        <v>15</v>
      </c>
      <c r="F706" s="8">
        <f>_xlfn.IFNA(INDEX('OSA | 3GB'!J:L,MATCH(DATA!D706,'OSA | 3GB'!J:J,0),2),0)</f>
        <v>1</v>
      </c>
      <c r="G706" s="8">
        <f>_xlfn.IFNA(INDEX('OSA | 3GB'!J:L,MATCH(DATA!D706,'OSA | 3GB'!J:J,0),3),0)</f>
        <v>0</v>
      </c>
      <c r="H706" s="32" t="str">
        <f>_xlfn.IFNA(INDEX('OSA | 3GB'!A:C,MATCH(DATA!D706,'OSA | 3GB'!A:A,0),2),0)</f>
        <v xml:space="preserve"> -   </v>
      </c>
      <c r="I706" s="33" t="str">
        <f>_xlfn.IFNA(INDEX('OSA | 3GB'!A:C,MATCH(DATA!D706,'OSA | 3GB'!A:A,0),3),0)</f>
        <v xml:space="preserve"> -   </v>
      </c>
      <c r="J706" s="33">
        <f>INDEX('BIO WAHYU'!B:G,MATCH(DATA!D706,'BIO WAHYU'!B:B,0),5)</f>
        <v>1</v>
      </c>
      <c r="K706" s="34">
        <f>INDEX('BIO WAHYU'!B:G,MATCH(DATA!D706,'BIO WAHYU'!B:B,0),6)</f>
        <v>0</v>
      </c>
      <c r="L706" s="35">
        <f>INDEX('BIO WAHYU'!B:H,MATCH(DATA!D706,'BIO WAHYU'!B:B,0),7)</f>
        <v>0</v>
      </c>
      <c r="M706" s="34">
        <f>INDEX('BIO WAHYU'!B:H,MATCH(DATA!D706,'BIO WAHYU'!B:B,0),4)</f>
        <v>0</v>
      </c>
    </row>
    <row r="707" spans="1:13">
      <c r="A707" s="43" t="s">
        <v>1673</v>
      </c>
      <c r="B707" s="43" t="s">
        <v>144</v>
      </c>
      <c r="C707" s="43" t="s">
        <v>241</v>
      </c>
      <c r="D707" s="10">
        <v>518491</v>
      </c>
      <c r="E707" s="43" t="s">
        <v>15</v>
      </c>
      <c r="F707" s="8">
        <f>_xlfn.IFNA(INDEX('OSA | 3GB'!J:L,MATCH(DATA!D707,'OSA | 3GB'!J:J,0),2),0)</f>
        <v>5</v>
      </c>
      <c r="G707" s="8">
        <f>_xlfn.IFNA(INDEX('OSA | 3GB'!J:L,MATCH(DATA!D707,'OSA | 3GB'!J:J,0),3),0)</f>
        <v>0</v>
      </c>
      <c r="H707" s="32" t="str">
        <f>_xlfn.IFNA(INDEX('OSA | 3GB'!A:C,MATCH(DATA!D707,'OSA | 3GB'!A:A,0),2),0)</f>
        <v xml:space="preserve"> -   </v>
      </c>
      <c r="I707" s="33">
        <f>_xlfn.IFNA(INDEX('OSA | 3GB'!A:C,MATCH(DATA!D707,'OSA | 3GB'!A:A,0),3),0)</f>
        <v>50000</v>
      </c>
      <c r="J707" s="33">
        <f>INDEX('BIO WAHYU'!B:G,MATCH(DATA!D707,'BIO WAHYU'!B:B,0),5)</f>
        <v>0</v>
      </c>
      <c r="K707" s="34">
        <f>INDEX('BIO WAHYU'!B:G,MATCH(DATA!D707,'BIO WAHYU'!B:B,0),6)</f>
        <v>0</v>
      </c>
      <c r="L707" s="35">
        <f>INDEX('BIO WAHYU'!B:H,MATCH(DATA!D707,'BIO WAHYU'!B:B,0),7)</f>
        <v>0</v>
      </c>
      <c r="M707" s="34">
        <f>INDEX('BIO WAHYU'!B:H,MATCH(DATA!D707,'BIO WAHYU'!B:B,0),4)</f>
        <v>0</v>
      </c>
    </row>
    <row r="708" spans="1:13">
      <c r="A708" s="43" t="s">
        <v>1</v>
      </c>
      <c r="B708" s="43" t="s">
        <v>3</v>
      </c>
      <c r="C708" s="43" t="s">
        <v>1097</v>
      </c>
      <c r="D708" s="10">
        <v>12323218</v>
      </c>
      <c r="E708" s="43" t="s">
        <v>15</v>
      </c>
      <c r="F708" s="8">
        <f>_xlfn.IFNA(INDEX('OSA | 3GB'!J:L,MATCH(DATA!D708,'OSA | 3GB'!J:J,0),2),0)</f>
        <v>14</v>
      </c>
      <c r="G708" s="8">
        <f>_xlfn.IFNA(INDEX('OSA | 3GB'!J:L,MATCH(DATA!D708,'OSA | 3GB'!J:J,0),3),0)</f>
        <v>2049000</v>
      </c>
      <c r="H708" s="32">
        <f>_xlfn.IFNA(INDEX('OSA | 3GB'!A:C,MATCH(DATA!D708,'OSA | 3GB'!A:A,0),2),0)</f>
        <v>10</v>
      </c>
      <c r="I708" s="33">
        <f>_xlfn.IFNA(INDEX('OSA | 3GB'!A:C,MATCH(DATA!D708,'OSA | 3GB'!A:A,0),3),0)</f>
        <v>100000</v>
      </c>
      <c r="J708" s="33">
        <f>INDEX('BIO WAHYU'!B:G,MATCH(DATA!D708,'BIO WAHYU'!B:B,0),5)</f>
        <v>18</v>
      </c>
      <c r="K708" s="34">
        <f>INDEX('BIO WAHYU'!B:G,MATCH(DATA!D708,'BIO WAHYU'!B:B,0),6)</f>
        <v>30</v>
      </c>
      <c r="L708" s="35">
        <f>INDEX('BIO WAHYU'!B:H,MATCH(DATA!D708,'BIO WAHYU'!B:B,0),7)</f>
        <v>12</v>
      </c>
      <c r="M708" s="34">
        <f>INDEX('BIO WAHYU'!B:H,MATCH(DATA!D708,'BIO WAHYU'!B:B,0),4)</f>
        <v>0</v>
      </c>
    </row>
    <row r="709" spans="1:13">
      <c r="A709" s="43" t="s">
        <v>1672</v>
      </c>
      <c r="B709" s="43" t="s">
        <v>155</v>
      </c>
      <c r="C709" s="43" t="s">
        <v>935</v>
      </c>
      <c r="D709" s="10">
        <v>281833</v>
      </c>
      <c r="E709" s="43" t="s">
        <v>10</v>
      </c>
      <c r="F709" s="8">
        <f>_xlfn.IFNA(INDEX('OSA | 3GB'!J:L,MATCH(DATA!D709,'OSA | 3GB'!J:J,0),2),0)</f>
        <v>0</v>
      </c>
      <c r="G709" s="8">
        <f>_xlfn.IFNA(INDEX('OSA | 3GB'!J:L,MATCH(DATA!D709,'OSA | 3GB'!J:J,0),3),0)</f>
        <v>0</v>
      </c>
      <c r="H709" s="32" t="str">
        <f>_xlfn.IFNA(INDEX('OSA | 3GB'!A:C,MATCH(DATA!D709,'OSA | 3GB'!A:A,0),2),0)</f>
        <v xml:space="preserve"> -   </v>
      </c>
      <c r="I709" s="33" t="str">
        <f>_xlfn.IFNA(INDEX('OSA | 3GB'!A:C,MATCH(DATA!D709,'OSA | 3GB'!A:A,0),3),0)</f>
        <v xml:space="preserve"> -   </v>
      </c>
      <c r="J709" s="33">
        <f>INDEX('BIO WAHYU'!B:G,MATCH(DATA!D709,'BIO WAHYU'!B:B,0),5)</f>
        <v>0</v>
      </c>
      <c r="K709" s="34">
        <f>INDEX('BIO WAHYU'!B:G,MATCH(DATA!D709,'BIO WAHYU'!B:B,0),6)</f>
        <v>1</v>
      </c>
      <c r="L709" s="35">
        <f>INDEX('BIO WAHYU'!B:H,MATCH(DATA!D709,'BIO WAHYU'!B:B,0),7)</f>
        <v>1</v>
      </c>
      <c r="M709" s="34">
        <f>INDEX('BIO WAHYU'!B:H,MATCH(DATA!D709,'BIO WAHYU'!B:B,0),4)</f>
        <v>0</v>
      </c>
    </row>
    <row r="710" spans="1:13">
      <c r="A710" s="43" t="s">
        <v>1672</v>
      </c>
      <c r="B710" s="43">
        <v>2613051475</v>
      </c>
      <c r="C710" s="43" t="s">
        <v>889</v>
      </c>
      <c r="D710" s="10">
        <v>201641</v>
      </c>
      <c r="E710" s="43" t="s">
        <v>10</v>
      </c>
      <c r="F710" s="8">
        <f>_xlfn.IFNA(INDEX('OSA | 3GB'!J:L,MATCH(DATA!D710,'OSA | 3GB'!J:J,0),2),0)</f>
        <v>3</v>
      </c>
      <c r="G710" s="8">
        <f>_xlfn.IFNA(INDEX('OSA | 3GB'!J:L,MATCH(DATA!D710,'OSA | 3GB'!J:J,0),3),0)</f>
        <v>1629000</v>
      </c>
      <c r="H710" s="32" t="str">
        <f>_xlfn.IFNA(INDEX('OSA | 3GB'!A:C,MATCH(DATA!D710,'OSA | 3GB'!A:A,0),2),0)</f>
        <v xml:space="preserve"> -   </v>
      </c>
      <c r="I710" s="33">
        <f>_xlfn.IFNA(INDEX('OSA | 3GB'!A:C,MATCH(DATA!D710,'OSA | 3GB'!A:A,0),3),0)</f>
        <v>650000</v>
      </c>
      <c r="J710" s="33">
        <f>INDEX('BIO WAHYU'!B:G,MATCH(DATA!D710,'BIO WAHYU'!B:B,0),5)</f>
        <v>3</v>
      </c>
      <c r="K710" s="34">
        <f>INDEX('BIO WAHYU'!B:G,MATCH(DATA!D710,'BIO WAHYU'!B:B,0),6)</f>
        <v>2</v>
      </c>
      <c r="L710" s="35">
        <f>INDEX('BIO WAHYU'!B:H,MATCH(DATA!D710,'BIO WAHYU'!B:B,0),7)</f>
        <v>0</v>
      </c>
      <c r="M710" s="34">
        <f>INDEX('BIO WAHYU'!B:H,MATCH(DATA!D710,'BIO WAHYU'!B:B,0),4)</f>
        <v>0</v>
      </c>
    </row>
    <row r="711" spans="1:13">
      <c r="A711" s="43" t="s">
        <v>1673</v>
      </c>
      <c r="B711" s="43" t="s">
        <v>144</v>
      </c>
      <c r="C711" s="43" t="s">
        <v>1360</v>
      </c>
      <c r="D711" s="10">
        <v>534088</v>
      </c>
      <c r="E711" s="43" t="s">
        <v>10</v>
      </c>
      <c r="F711" s="8">
        <f>_xlfn.IFNA(INDEX('OSA | 3GB'!J:L,MATCH(DATA!D711,'OSA | 3GB'!J:J,0),2),0)</f>
        <v>0</v>
      </c>
      <c r="G711" s="8">
        <f>_xlfn.IFNA(INDEX('OSA | 3GB'!J:L,MATCH(DATA!D711,'OSA | 3GB'!J:J,0),3),0)</f>
        <v>0</v>
      </c>
      <c r="H711" s="32" t="str">
        <f>_xlfn.IFNA(INDEX('OSA | 3GB'!A:C,MATCH(DATA!D711,'OSA | 3GB'!A:A,0),2),0)</f>
        <v xml:space="preserve"> -   </v>
      </c>
      <c r="I711" s="33" t="str">
        <f>_xlfn.IFNA(INDEX('OSA | 3GB'!A:C,MATCH(DATA!D711,'OSA | 3GB'!A:A,0),3),0)</f>
        <v xml:space="preserve"> -   </v>
      </c>
      <c r="J711" s="33">
        <f>INDEX('BIO WAHYU'!B:G,MATCH(DATA!D711,'BIO WAHYU'!B:B,0),5)</f>
        <v>0</v>
      </c>
      <c r="K711" s="34">
        <f>INDEX('BIO WAHYU'!B:G,MATCH(DATA!D711,'BIO WAHYU'!B:B,0),6)</f>
        <v>0</v>
      </c>
      <c r="L711" s="35">
        <f>INDEX('BIO WAHYU'!B:H,MATCH(DATA!D711,'BIO WAHYU'!B:B,0),7)</f>
        <v>0</v>
      </c>
      <c r="M711" s="34">
        <f>INDEX('BIO WAHYU'!B:H,MATCH(DATA!D711,'BIO WAHYU'!B:B,0),4)</f>
        <v>0</v>
      </c>
    </row>
    <row r="712" spans="1:13">
      <c r="A712" s="43" t="s">
        <v>1671</v>
      </c>
      <c r="B712" s="43">
        <v>2613050885</v>
      </c>
      <c r="C712" s="43" t="s">
        <v>300</v>
      </c>
      <c r="D712" s="10">
        <v>523875</v>
      </c>
      <c r="E712" s="43" t="s">
        <v>15</v>
      </c>
      <c r="F712" s="8">
        <f>_xlfn.IFNA(INDEX('OSA | 3GB'!J:L,MATCH(DATA!D712,'OSA | 3GB'!J:J,0),2),0)</f>
        <v>6</v>
      </c>
      <c r="G712" s="8">
        <f>_xlfn.IFNA(INDEX('OSA | 3GB'!J:L,MATCH(DATA!D712,'OSA | 3GB'!J:J,0),3),0)</f>
        <v>16130000</v>
      </c>
      <c r="H712" s="32" t="str">
        <f>_xlfn.IFNA(INDEX('OSA | 3GB'!A:C,MATCH(DATA!D712,'OSA | 3GB'!A:A,0),2),0)</f>
        <v xml:space="preserve"> -   </v>
      </c>
      <c r="I712" s="33" t="str">
        <f>_xlfn.IFNA(INDEX('OSA | 3GB'!A:C,MATCH(DATA!D712,'OSA | 3GB'!A:A,0),3),0)</f>
        <v xml:space="preserve"> -   </v>
      </c>
      <c r="J712" s="33">
        <f>INDEX('BIO WAHYU'!B:G,MATCH(DATA!D712,'BIO WAHYU'!B:B,0),5)</f>
        <v>7</v>
      </c>
      <c r="K712" s="34">
        <f>INDEX('BIO WAHYU'!B:G,MATCH(DATA!D712,'BIO WAHYU'!B:B,0),6)</f>
        <v>0</v>
      </c>
      <c r="L712" s="35">
        <f>INDEX('BIO WAHYU'!B:H,MATCH(DATA!D712,'BIO WAHYU'!B:B,0),7)</f>
        <v>0</v>
      </c>
      <c r="M712" s="34">
        <f>INDEX('BIO WAHYU'!B:H,MATCH(DATA!D712,'BIO WAHYU'!B:B,0),4)</f>
        <v>0</v>
      </c>
    </row>
    <row r="713" spans="1:13">
      <c r="A713" s="43" t="s">
        <v>1671</v>
      </c>
      <c r="B713" s="43">
        <v>2613050886</v>
      </c>
      <c r="C713" s="43" t="s">
        <v>1361</v>
      </c>
      <c r="D713" s="10">
        <v>437019</v>
      </c>
      <c r="E713" s="43" t="s">
        <v>15</v>
      </c>
      <c r="F713" s="8">
        <f>_xlfn.IFNA(INDEX('OSA | 3GB'!J:L,MATCH(DATA!D713,'OSA | 3GB'!J:J,0),2),0)</f>
        <v>4</v>
      </c>
      <c r="G713" s="8">
        <f>_xlfn.IFNA(INDEX('OSA | 3GB'!J:L,MATCH(DATA!D713,'OSA | 3GB'!J:J,0),3),0)</f>
        <v>3529000</v>
      </c>
      <c r="H713" s="32" t="str">
        <f>_xlfn.IFNA(INDEX('OSA | 3GB'!A:C,MATCH(DATA!D713,'OSA | 3GB'!A:A,0),2),0)</f>
        <v xml:space="preserve"> -   </v>
      </c>
      <c r="I713" s="33">
        <f>_xlfn.IFNA(INDEX('OSA | 3GB'!A:C,MATCH(DATA!D713,'OSA | 3GB'!A:A,0),3),0)</f>
        <v>600000</v>
      </c>
      <c r="J713" s="33">
        <f>INDEX('BIO WAHYU'!B:G,MATCH(DATA!D713,'BIO WAHYU'!B:B,0),5)</f>
        <v>3</v>
      </c>
      <c r="K713" s="34">
        <f>INDEX('BIO WAHYU'!B:G,MATCH(DATA!D713,'BIO WAHYU'!B:B,0),6)</f>
        <v>0</v>
      </c>
      <c r="L713" s="35">
        <f>INDEX('BIO WAHYU'!B:H,MATCH(DATA!D713,'BIO WAHYU'!B:B,0),7)</f>
        <v>0</v>
      </c>
      <c r="M713" s="34">
        <f>INDEX('BIO WAHYU'!B:H,MATCH(DATA!D713,'BIO WAHYU'!B:B,0),4)</f>
        <v>0</v>
      </c>
    </row>
    <row r="714" spans="1:13">
      <c r="A714" s="43" t="s">
        <v>1</v>
      </c>
      <c r="B714" s="43" t="s">
        <v>5</v>
      </c>
      <c r="C714" s="43" t="s">
        <v>81</v>
      </c>
      <c r="D714" s="10">
        <v>12322430</v>
      </c>
      <c r="E714" s="43" t="s">
        <v>15</v>
      </c>
      <c r="F714" s="8">
        <f>_xlfn.IFNA(INDEX('OSA | 3GB'!J:L,MATCH(DATA!D714,'OSA | 3GB'!J:J,0),2),0)</f>
        <v>0</v>
      </c>
      <c r="G714" s="8">
        <f>_xlfn.IFNA(INDEX('OSA | 3GB'!J:L,MATCH(DATA!D714,'OSA | 3GB'!J:J,0),3),0)</f>
        <v>450000</v>
      </c>
      <c r="H714" s="32" t="str">
        <f>_xlfn.IFNA(INDEX('OSA | 3GB'!A:C,MATCH(DATA!D714,'OSA | 3GB'!A:A,0),2),0)</f>
        <v xml:space="preserve"> -   </v>
      </c>
      <c r="I714" s="33" t="str">
        <f>_xlfn.IFNA(INDEX('OSA | 3GB'!A:C,MATCH(DATA!D714,'OSA | 3GB'!A:A,0),3),0)</f>
        <v xml:space="preserve"> -   </v>
      </c>
      <c r="J714" s="33">
        <f>INDEX('BIO WAHYU'!B:G,MATCH(DATA!D714,'BIO WAHYU'!B:B,0),5)</f>
        <v>3</v>
      </c>
      <c r="K714" s="34">
        <f>INDEX('BIO WAHYU'!B:G,MATCH(DATA!D714,'BIO WAHYU'!B:B,0),6)</f>
        <v>0</v>
      </c>
      <c r="L714" s="35">
        <f>INDEX('BIO WAHYU'!B:H,MATCH(DATA!D714,'BIO WAHYU'!B:B,0),7)</f>
        <v>0</v>
      </c>
      <c r="M714" s="34">
        <f>INDEX('BIO WAHYU'!B:H,MATCH(DATA!D714,'BIO WAHYU'!B:B,0),4)</f>
        <v>0</v>
      </c>
    </row>
    <row r="715" spans="1:13">
      <c r="A715" s="43" t="s">
        <v>1670</v>
      </c>
      <c r="B715" s="43" t="s">
        <v>140</v>
      </c>
      <c r="C715" s="43" t="s">
        <v>1362</v>
      </c>
      <c r="D715" s="10">
        <v>61904</v>
      </c>
      <c r="E715" s="43" t="s">
        <v>10</v>
      </c>
      <c r="F715" s="8">
        <f>_xlfn.IFNA(INDEX('OSA | 3GB'!J:L,MATCH(DATA!D715,'OSA | 3GB'!J:J,0),2),0)</f>
        <v>6</v>
      </c>
      <c r="G715" s="8">
        <f>_xlfn.IFNA(INDEX('OSA | 3GB'!J:L,MATCH(DATA!D715,'OSA | 3GB'!J:J,0),3),0)</f>
        <v>9000000</v>
      </c>
      <c r="H715" s="32" t="str">
        <f>_xlfn.IFNA(INDEX('OSA | 3GB'!A:C,MATCH(DATA!D715,'OSA | 3GB'!A:A,0),2),0)</f>
        <v xml:space="preserve"> -   </v>
      </c>
      <c r="I715" s="33">
        <f>_xlfn.IFNA(INDEX('OSA | 3GB'!A:C,MATCH(DATA!D715,'OSA | 3GB'!A:A,0),3),0)</f>
        <v>4500000</v>
      </c>
      <c r="J715" s="33">
        <f>INDEX('BIO WAHYU'!B:G,MATCH(DATA!D715,'BIO WAHYU'!B:B,0),5)</f>
        <v>3</v>
      </c>
      <c r="K715" s="34">
        <f>INDEX('BIO WAHYU'!B:G,MATCH(DATA!D715,'BIO WAHYU'!B:B,0),6)</f>
        <v>3</v>
      </c>
      <c r="L715" s="35">
        <f>INDEX('BIO WAHYU'!B:H,MATCH(DATA!D715,'BIO WAHYU'!B:B,0),7)</f>
        <v>0</v>
      </c>
      <c r="M715" s="34">
        <f>INDEX('BIO WAHYU'!B:H,MATCH(DATA!D715,'BIO WAHYU'!B:B,0),4)</f>
        <v>0</v>
      </c>
    </row>
    <row r="716" spans="1:13">
      <c r="A716" s="43" t="s">
        <v>1671</v>
      </c>
      <c r="B716" s="43" t="s">
        <v>142</v>
      </c>
      <c r="C716" s="43" t="s">
        <v>1363</v>
      </c>
      <c r="D716" s="10">
        <v>199097</v>
      </c>
      <c r="E716" s="43" t="s">
        <v>10</v>
      </c>
      <c r="F716" s="8">
        <f>_xlfn.IFNA(INDEX('OSA | 3GB'!J:L,MATCH(DATA!D716,'OSA | 3GB'!J:J,0),2),0)</f>
        <v>1</v>
      </c>
      <c r="G716" s="8">
        <f>_xlfn.IFNA(INDEX('OSA | 3GB'!J:L,MATCH(DATA!D716,'OSA | 3GB'!J:J,0),3),0)</f>
        <v>5000000</v>
      </c>
      <c r="H716" s="32" t="str">
        <f>_xlfn.IFNA(INDEX('OSA | 3GB'!A:C,MATCH(DATA!D716,'OSA | 3GB'!A:A,0),2),0)</f>
        <v xml:space="preserve"> -   </v>
      </c>
      <c r="I716" s="33">
        <f>_xlfn.IFNA(INDEX('OSA | 3GB'!A:C,MATCH(DATA!D716,'OSA | 3GB'!A:A,0),3),0)</f>
        <v>1750000</v>
      </c>
      <c r="J716" s="33">
        <f>INDEX('BIO WAHYU'!B:G,MATCH(DATA!D716,'BIO WAHYU'!B:B,0),5)</f>
        <v>3</v>
      </c>
      <c r="K716" s="34">
        <f>INDEX('BIO WAHYU'!B:G,MATCH(DATA!D716,'BIO WAHYU'!B:B,0),6)</f>
        <v>1</v>
      </c>
      <c r="L716" s="35">
        <f>INDEX('BIO WAHYU'!B:H,MATCH(DATA!D716,'BIO WAHYU'!B:B,0),7)</f>
        <v>0</v>
      </c>
      <c r="M716" s="34">
        <f>INDEX('BIO WAHYU'!B:H,MATCH(DATA!D716,'BIO WAHYU'!B:B,0),4)</f>
        <v>0</v>
      </c>
    </row>
    <row r="717" spans="1:13">
      <c r="A717" s="43" t="s">
        <v>1673</v>
      </c>
      <c r="B717" s="43" t="s">
        <v>1136</v>
      </c>
      <c r="C717" s="43" t="s">
        <v>1364</v>
      </c>
      <c r="D717" s="10">
        <v>199330</v>
      </c>
      <c r="E717" s="43" t="s">
        <v>10</v>
      </c>
      <c r="F717" s="8">
        <f>_xlfn.IFNA(INDEX('OSA | 3GB'!J:L,MATCH(DATA!D717,'OSA | 3GB'!J:J,0),2),0)</f>
        <v>2</v>
      </c>
      <c r="G717" s="8">
        <f>_xlfn.IFNA(INDEX('OSA | 3GB'!J:L,MATCH(DATA!D717,'OSA | 3GB'!J:J,0),3),0)</f>
        <v>2400000</v>
      </c>
      <c r="H717" s="32" t="str">
        <f>_xlfn.IFNA(INDEX('OSA | 3GB'!A:C,MATCH(DATA!D717,'OSA | 3GB'!A:A,0),2),0)</f>
        <v xml:space="preserve"> -   </v>
      </c>
      <c r="I717" s="33">
        <f>_xlfn.IFNA(INDEX('OSA | 3GB'!A:C,MATCH(DATA!D717,'OSA | 3GB'!A:A,0),3),0)</f>
        <v>800000</v>
      </c>
      <c r="J717" s="33">
        <f>INDEX('BIO WAHYU'!B:G,MATCH(DATA!D717,'BIO WAHYU'!B:B,0),5)</f>
        <v>2</v>
      </c>
      <c r="K717" s="34">
        <f>INDEX('BIO WAHYU'!B:G,MATCH(DATA!D717,'BIO WAHYU'!B:B,0),6)</f>
        <v>1</v>
      </c>
      <c r="L717" s="35">
        <f>INDEX('BIO WAHYU'!B:H,MATCH(DATA!D717,'BIO WAHYU'!B:B,0),7)</f>
        <v>0</v>
      </c>
      <c r="M717" s="34">
        <f>INDEX('BIO WAHYU'!B:H,MATCH(DATA!D717,'BIO WAHYU'!B:B,0),4)</f>
        <v>0</v>
      </c>
    </row>
    <row r="718" spans="1:13">
      <c r="A718" s="43" t="s">
        <v>1672</v>
      </c>
      <c r="B718" s="43" t="s">
        <v>151</v>
      </c>
      <c r="C718" s="43" t="s">
        <v>1263</v>
      </c>
      <c r="D718" s="10">
        <v>277789</v>
      </c>
      <c r="E718" s="43" t="s">
        <v>10</v>
      </c>
      <c r="F718" s="8">
        <f>_xlfn.IFNA(INDEX('OSA | 3GB'!J:L,MATCH(DATA!D718,'OSA | 3GB'!J:J,0),2),0)</f>
        <v>0</v>
      </c>
      <c r="G718" s="8">
        <f>_xlfn.IFNA(INDEX('OSA | 3GB'!J:L,MATCH(DATA!D718,'OSA | 3GB'!J:J,0),3),0)</f>
        <v>500000</v>
      </c>
      <c r="H718" s="32" t="str">
        <f>_xlfn.IFNA(INDEX('OSA | 3GB'!A:C,MATCH(DATA!D718,'OSA | 3GB'!A:A,0),2),0)</f>
        <v xml:space="preserve"> -   </v>
      </c>
      <c r="I718" s="33" t="str">
        <f>_xlfn.IFNA(INDEX('OSA | 3GB'!A:C,MATCH(DATA!D718,'OSA | 3GB'!A:A,0),3),0)</f>
        <v xml:space="preserve"> -   </v>
      </c>
      <c r="J718" s="33">
        <f>INDEX('BIO WAHYU'!B:G,MATCH(DATA!D718,'BIO WAHYU'!B:B,0),5)</f>
        <v>0</v>
      </c>
      <c r="K718" s="34">
        <f>INDEX('BIO WAHYU'!B:G,MATCH(DATA!D718,'BIO WAHYU'!B:B,0),6)</f>
        <v>0</v>
      </c>
      <c r="L718" s="35">
        <f>INDEX('BIO WAHYU'!B:H,MATCH(DATA!D718,'BIO WAHYU'!B:B,0),7)</f>
        <v>0</v>
      </c>
      <c r="M718" s="34">
        <f>INDEX('BIO WAHYU'!B:H,MATCH(DATA!D718,'BIO WAHYU'!B:B,0),4)</f>
        <v>0</v>
      </c>
    </row>
    <row r="719" spans="1:13">
      <c r="A719" s="43" t="s">
        <v>1</v>
      </c>
      <c r="B719" s="43" t="s">
        <v>5</v>
      </c>
      <c r="C719" s="43" t="s">
        <v>1098</v>
      </c>
      <c r="D719" s="10">
        <v>127198</v>
      </c>
      <c r="E719" s="43" t="s">
        <v>10</v>
      </c>
      <c r="F719" s="8">
        <f>_xlfn.IFNA(INDEX('OSA | 3GB'!J:L,MATCH(DATA!D719,'OSA | 3GB'!J:J,0),2),0)</f>
        <v>4</v>
      </c>
      <c r="G719" s="8">
        <f>_xlfn.IFNA(INDEX('OSA | 3GB'!J:L,MATCH(DATA!D719,'OSA | 3GB'!J:J,0),3),0)</f>
        <v>13406000</v>
      </c>
      <c r="H719" s="32">
        <f>_xlfn.IFNA(INDEX('OSA | 3GB'!A:C,MATCH(DATA!D719,'OSA | 3GB'!A:A,0),2),0)</f>
        <v>5</v>
      </c>
      <c r="I719" s="33">
        <f>_xlfn.IFNA(INDEX('OSA | 3GB'!A:C,MATCH(DATA!D719,'OSA | 3GB'!A:A,0),3),0)</f>
        <v>58000</v>
      </c>
      <c r="J719" s="33">
        <f>INDEX('BIO WAHYU'!B:G,MATCH(DATA!D719,'BIO WAHYU'!B:B,0),5)</f>
        <v>15</v>
      </c>
      <c r="K719" s="34">
        <f>INDEX('BIO WAHYU'!B:G,MATCH(DATA!D719,'BIO WAHYU'!B:B,0),6)</f>
        <v>1</v>
      </c>
      <c r="L719" s="35">
        <f>INDEX('BIO WAHYU'!B:H,MATCH(DATA!D719,'BIO WAHYU'!B:B,0),7)</f>
        <v>0</v>
      </c>
      <c r="M719" s="34">
        <f>INDEX('BIO WAHYU'!B:H,MATCH(DATA!D719,'BIO WAHYU'!B:B,0),4)</f>
        <v>0</v>
      </c>
    </row>
    <row r="720" spans="1:13">
      <c r="A720" s="43" t="s">
        <v>1672</v>
      </c>
      <c r="B720" s="43" t="s">
        <v>155</v>
      </c>
      <c r="C720" s="43" t="s">
        <v>932</v>
      </c>
      <c r="D720" s="10">
        <v>243377</v>
      </c>
      <c r="E720" s="43" t="s">
        <v>10</v>
      </c>
      <c r="F720" s="8">
        <f>_xlfn.IFNA(INDEX('OSA | 3GB'!J:L,MATCH(DATA!D720,'OSA | 3GB'!J:J,0),2),0)</f>
        <v>1</v>
      </c>
      <c r="G720" s="8">
        <f>_xlfn.IFNA(INDEX('OSA | 3GB'!J:L,MATCH(DATA!D720,'OSA | 3GB'!J:J,0),3),0)</f>
        <v>0</v>
      </c>
      <c r="H720" s="32" t="str">
        <f>_xlfn.IFNA(INDEX('OSA | 3GB'!A:C,MATCH(DATA!D720,'OSA | 3GB'!A:A,0),2),0)</f>
        <v xml:space="preserve"> -   </v>
      </c>
      <c r="I720" s="33" t="str">
        <f>_xlfn.IFNA(INDEX('OSA | 3GB'!A:C,MATCH(DATA!D720,'OSA | 3GB'!A:A,0),3),0)</f>
        <v xml:space="preserve"> -   </v>
      </c>
      <c r="J720" s="33">
        <f>INDEX('BIO WAHYU'!B:G,MATCH(DATA!D720,'BIO WAHYU'!B:B,0),5)</f>
        <v>1</v>
      </c>
      <c r="K720" s="34">
        <f>INDEX('BIO WAHYU'!B:G,MATCH(DATA!D720,'BIO WAHYU'!B:B,0),6)</f>
        <v>0</v>
      </c>
      <c r="L720" s="35">
        <f>INDEX('BIO WAHYU'!B:H,MATCH(DATA!D720,'BIO WAHYU'!B:B,0),7)</f>
        <v>0</v>
      </c>
      <c r="M720" s="34">
        <f>INDEX('BIO WAHYU'!B:H,MATCH(DATA!D720,'BIO WAHYU'!B:B,0),4)</f>
        <v>0</v>
      </c>
    </row>
    <row r="721" spans="1:13">
      <c r="A721" s="43" t="s">
        <v>1673</v>
      </c>
      <c r="B721" s="43" t="s">
        <v>144</v>
      </c>
      <c r="C721" s="43" t="s">
        <v>229</v>
      </c>
      <c r="D721" s="10">
        <v>423729</v>
      </c>
      <c r="E721" s="43" t="s">
        <v>10</v>
      </c>
      <c r="F721" s="8">
        <f>_xlfn.IFNA(INDEX('OSA | 3GB'!J:L,MATCH(DATA!D721,'OSA | 3GB'!J:J,0),2),0)</f>
        <v>0</v>
      </c>
      <c r="G721" s="8">
        <f>_xlfn.IFNA(INDEX('OSA | 3GB'!J:L,MATCH(DATA!D721,'OSA | 3GB'!J:J,0),3),0)</f>
        <v>0</v>
      </c>
      <c r="H721" s="32" t="str">
        <f>_xlfn.IFNA(INDEX('OSA | 3GB'!A:C,MATCH(DATA!D721,'OSA | 3GB'!A:A,0),2),0)</f>
        <v xml:space="preserve"> -   </v>
      </c>
      <c r="I721" s="33" t="str">
        <f>_xlfn.IFNA(INDEX('OSA | 3GB'!A:C,MATCH(DATA!D721,'OSA | 3GB'!A:A,0),3),0)</f>
        <v xml:space="preserve"> -   </v>
      </c>
      <c r="J721" s="33">
        <f>INDEX('BIO WAHYU'!B:G,MATCH(DATA!D721,'BIO WAHYU'!B:B,0),5)</f>
        <v>0</v>
      </c>
      <c r="K721" s="34">
        <f>INDEX('BIO WAHYU'!B:G,MATCH(DATA!D721,'BIO WAHYU'!B:B,0),6)</f>
        <v>0</v>
      </c>
      <c r="L721" s="35">
        <f>INDEX('BIO WAHYU'!B:H,MATCH(DATA!D721,'BIO WAHYU'!B:B,0),7)</f>
        <v>0</v>
      </c>
      <c r="M721" s="34">
        <f>INDEX('BIO WAHYU'!B:H,MATCH(DATA!D721,'BIO WAHYU'!B:B,0),4)</f>
        <v>0</v>
      </c>
    </row>
    <row r="722" spans="1:13">
      <c r="A722" s="43" t="s">
        <v>1673</v>
      </c>
      <c r="B722" s="43" t="s">
        <v>143</v>
      </c>
      <c r="C722" s="43" t="s">
        <v>256</v>
      </c>
      <c r="D722" s="10">
        <v>399790</v>
      </c>
      <c r="E722" s="43" t="s">
        <v>10</v>
      </c>
      <c r="F722" s="8">
        <f>_xlfn.IFNA(INDEX('OSA | 3GB'!J:L,MATCH(DATA!D722,'OSA | 3GB'!J:J,0),2),0)</f>
        <v>3</v>
      </c>
      <c r="G722" s="8">
        <f>_xlfn.IFNA(INDEX('OSA | 3GB'!J:L,MATCH(DATA!D722,'OSA | 3GB'!J:J,0),3),0)</f>
        <v>13158000</v>
      </c>
      <c r="H722" s="32">
        <f>_xlfn.IFNA(INDEX('OSA | 3GB'!A:C,MATCH(DATA!D722,'OSA | 3GB'!A:A,0),2),0)</f>
        <v>2</v>
      </c>
      <c r="I722" s="33">
        <f>_xlfn.IFNA(INDEX('OSA | 3GB'!A:C,MATCH(DATA!D722,'OSA | 3GB'!A:A,0),3),0)</f>
        <v>1500000</v>
      </c>
      <c r="J722" s="33">
        <f>INDEX('BIO WAHYU'!B:G,MATCH(DATA!D722,'BIO WAHYU'!B:B,0),5)</f>
        <v>3</v>
      </c>
      <c r="K722" s="34">
        <f>INDEX('BIO WAHYU'!B:G,MATCH(DATA!D722,'BIO WAHYU'!B:B,0),6)</f>
        <v>1</v>
      </c>
      <c r="L722" s="35">
        <f>INDEX('BIO WAHYU'!B:H,MATCH(DATA!D722,'BIO WAHYU'!B:B,0),7)</f>
        <v>0</v>
      </c>
      <c r="M722" s="34">
        <f>INDEX('BIO WAHYU'!B:H,MATCH(DATA!D722,'BIO WAHYU'!B:B,0),4)</f>
        <v>0</v>
      </c>
    </row>
    <row r="723" spans="1:13">
      <c r="A723" s="43" t="s">
        <v>1672</v>
      </c>
      <c r="B723" s="43">
        <v>2613051475</v>
      </c>
      <c r="C723" s="43" t="s">
        <v>896</v>
      </c>
      <c r="D723" s="10">
        <v>2790</v>
      </c>
      <c r="E723" s="43" t="s">
        <v>10</v>
      </c>
      <c r="F723" s="8">
        <f>_xlfn.IFNA(INDEX('OSA | 3GB'!J:L,MATCH(DATA!D723,'OSA | 3GB'!J:J,0),2),0)</f>
        <v>0</v>
      </c>
      <c r="G723" s="8">
        <f>_xlfn.IFNA(INDEX('OSA | 3GB'!J:L,MATCH(DATA!D723,'OSA | 3GB'!J:J,0),3),0)</f>
        <v>0</v>
      </c>
      <c r="H723" s="32" t="str">
        <f>_xlfn.IFNA(INDEX('OSA | 3GB'!A:C,MATCH(DATA!D723,'OSA | 3GB'!A:A,0),2),0)</f>
        <v xml:space="preserve"> -   </v>
      </c>
      <c r="I723" s="33" t="str">
        <f>_xlfn.IFNA(INDEX('OSA | 3GB'!A:C,MATCH(DATA!D723,'OSA | 3GB'!A:A,0),3),0)</f>
        <v xml:space="preserve"> -   </v>
      </c>
      <c r="J723" s="33">
        <f>INDEX('BIO WAHYU'!B:G,MATCH(DATA!D723,'BIO WAHYU'!B:B,0),5)</f>
        <v>0</v>
      </c>
      <c r="K723" s="34">
        <f>INDEX('BIO WAHYU'!B:G,MATCH(DATA!D723,'BIO WAHYU'!B:B,0),6)</f>
        <v>0</v>
      </c>
      <c r="L723" s="35">
        <f>INDEX('BIO WAHYU'!B:H,MATCH(DATA!D723,'BIO WAHYU'!B:B,0),7)</f>
        <v>0</v>
      </c>
      <c r="M723" s="34">
        <f>INDEX('BIO WAHYU'!B:H,MATCH(DATA!D723,'BIO WAHYU'!B:B,0),4)</f>
        <v>0</v>
      </c>
    </row>
    <row r="724" spans="1:13">
      <c r="A724" s="43" t="s">
        <v>1671</v>
      </c>
      <c r="B724" s="43" t="s">
        <v>142</v>
      </c>
      <c r="C724" s="43" t="s">
        <v>360</v>
      </c>
      <c r="D724" s="10">
        <v>523417</v>
      </c>
      <c r="E724" s="43" t="s">
        <v>10</v>
      </c>
      <c r="F724" s="8">
        <f>_xlfn.IFNA(INDEX('OSA | 3GB'!J:L,MATCH(DATA!D724,'OSA | 3GB'!J:J,0),2),0)</f>
        <v>1</v>
      </c>
      <c r="G724" s="8">
        <f>_xlfn.IFNA(INDEX('OSA | 3GB'!J:L,MATCH(DATA!D724,'OSA | 3GB'!J:J,0),3),0)</f>
        <v>1400000</v>
      </c>
      <c r="H724" s="32" t="str">
        <f>_xlfn.IFNA(INDEX('OSA | 3GB'!A:C,MATCH(DATA!D724,'OSA | 3GB'!A:A,0),2),0)</f>
        <v xml:space="preserve"> -   </v>
      </c>
      <c r="I724" s="33">
        <f>_xlfn.IFNA(INDEX('OSA | 3GB'!A:C,MATCH(DATA!D724,'OSA | 3GB'!A:A,0),3),0)</f>
        <v>450000</v>
      </c>
      <c r="J724" s="33">
        <f>INDEX('BIO WAHYU'!B:G,MATCH(DATA!D724,'BIO WAHYU'!B:B,0),5)</f>
        <v>0</v>
      </c>
      <c r="K724" s="34">
        <f>INDEX('BIO WAHYU'!B:G,MATCH(DATA!D724,'BIO WAHYU'!B:B,0),6)</f>
        <v>0</v>
      </c>
      <c r="L724" s="35">
        <f>INDEX('BIO WAHYU'!B:H,MATCH(DATA!D724,'BIO WAHYU'!B:B,0),7)</f>
        <v>0</v>
      </c>
      <c r="M724" s="34">
        <f>INDEX('BIO WAHYU'!B:H,MATCH(DATA!D724,'BIO WAHYU'!B:B,0),4)</f>
        <v>0</v>
      </c>
    </row>
    <row r="725" spans="1:13">
      <c r="A725" s="43" t="s">
        <v>1672</v>
      </c>
      <c r="B725" s="43" t="s">
        <v>149</v>
      </c>
      <c r="C725" s="43" t="s">
        <v>794</v>
      </c>
      <c r="D725" s="10">
        <v>475159</v>
      </c>
      <c r="E725" s="43" t="s">
        <v>10</v>
      </c>
      <c r="F725" s="8">
        <f>_xlfn.IFNA(INDEX('OSA | 3GB'!J:L,MATCH(DATA!D725,'OSA | 3GB'!J:J,0),2),0)</f>
        <v>3</v>
      </c>
      <c r="G725" s="8">
        <f>_xlfn.IFNA(INDEX('OSA | 3GB'!J:L,MATCH(DATA!D725,'OSA | 3GB'!J:J,0),3),0)</f>
        <v>7568000</v>
      </c>
      <c r="H725" s="32" t="str">
        <f>_xlfn.IFNA(INDEX('OSA | 3GB'!A:C,MATCH(DATA!D725,'OSA | 3GB'!A:A,0),2),0)</f>
        <v xml:space="preserve"> -   </v>
      </c>
      <c r="I725" s="33">
        <f>_xlfn.IFNA(INDEX('OSA | 3GB'!A:C,MATCH(DATA!D725,'OSA | 3GB'!A:A,0),3),0)</f>
        <v>2700000</v>
      </c>
      <c r="J725" s="33">
        <f>INDEX('BIO WAHYU'!B:G,MATCH(DATA!D725,'BIO WAHYU'!B:B,0),5)</f>
        <v>3</v>
      </c>
      <c r="K725" s="34">
        <f>INDEX('BIO WAHYU'!B:G,MATCH(DATA!D725,'BIO WAHYU'!B:B,0),6)</f>
        <v>0</v>
      </c>
      <c r="L725" s="35">
        <f>INDEX('BIO WAHYU'!B:H,MATCH(DATA!D725,'BIO WAHYU'!B:B,0),7)</f>
        <v>0</v>
      </c>
      <c r="M725" s="34">
        <f>INDEX('BIO WAHYU'!B:H,MATCH(DATA!D725,'BIO WAHYU'!B:B,0),4)</f>
        <v>0</v>
      </c>
    </row>
    <row r="726" spans="1:13">
      <c r="A726" s="43" t="s">
        <v>1673</v>
      </c>
      <c r="B726" s="43" t="s">
        <v>143</v>
      </c>
      <c r="C726" s="43" t="s">
        <v>254</v>
      </c>
      <c r="D726" s="10">
        <v>241230</v>
      </c>
      <c r="E726" s="43" t="s">
        <v>10</v>
      </c>
      <c r="F726" s="8">
        <f>_xlfn.IFNA(INDEX('OSA | 3GB'!J:L,MATCH(DATA!D726,'OSA | 3GB'!J:J,0),2),0)</f>
        <v>6</v>
      </c>
      <c r="G726" s="8">
        <f>_xlfn.IFNA(INDEX('OSA | 3GB'!J:L,MATCH(DATA!D726,'OSA | 3GB'!J:J,0),3),0)</f>
        <v>4500290</v>
      </c>
      <c r="H726" s="32">
        <f>_xlfn.IFNA(INDEX('OSA | 3GB'!A:C,MATCH(DATA!D726,'OSA | 3GB'!A:A,0),2),0)</f>
        <v>1</v>
      </c>
      <c r="I726" s="33">
        <f>_xlfn.IFNA(INDEX('OSA | 3GB'!A:C,MATCH(DATA!D726,'OSA | 3GB'!A:A,0),3),0)</f>
        <v>2570000</v>
      </c>
      <c r="J726" s="33">
        <f>INDEX('BIO WAHYU'!B:G,MATCH(DATA!D726,'BIO WAHYU'!B:B,0),5)</f>
        <v>3</v>
      </c>
      <c r="K726" s="34">
        <f>INDEX('BIO WAHYU'!B:G,MATCH(DATA!D726,'BIO WAHYU'!B:B,0),6)</f>
        <v>3</v>
      </c>
      <c r="L726" s="35">
        <f>INDEX('BIO WAHYU'!B:H,MATCH(DATA!D726,'BIO WAHYU'!B:B,0),7)</f>
        <v>0</v>
      </c>
      <c r="M726" s="34">
        <f>INDEX('BIO WAHYU'!B:H,MATCH(DATA!D726,'BIO WAHYU'!B:B,0),4)</f>
        <v>0</v>
      </c>
    </row>
    <row r="727" spans="1:13">
      <c r="A727" s="43" t="s">
        <v>1675</v>
      </c>
      <c r="B727" s="43" t="s">
        <v>137</v>
      </c>
      <c r="C727" s="43" t="s">
        <v>425</v>
      </c>
      <c r="D727" s="10">
        <v>12296049</v>
      </c>
      <c r="E727" s="43" t="s">
        <v>15</v>
      </c>
      <c r="F727" s="8">
        <f>_xlfn.IFNA(INDEX('OSA | 3GB'!J:L,MATCH(DATA!D727,'OSA | 3GB'!J:J,0),2),0)</f>
        <v>42</v>
      </c>
      <c r="G727" s="8">
        <f>_xlfn.IFNA(INDEX('OSA | 3GB'!J:L,MATCH(DATA!D727,'OSA | 3GB'!J:J,0),3),0)</f>
        <v>743000</v>
      </c>
      <c r="H727" s="32">
        <f>_xlfn.IFNA(INDEX('OSA | 3GB'!A:C,MATCH(DATA!D727,'OSA | 3GB'!A:A,0),2),0)</f>
        <v>11</v>
      </c>
      <c r="I727" s="33" t="str">
        <f>_xlfn.IFNA(INDEX('OSA | 3GB'!A:C,MATCH(DATA!D727,'OSA | 3GB'!A:A,0),3),0)</f>
        <v xml:space="preserve"> -   </v>
      </c>
      <c r="J727" s="33">
        <f>INDEX('BIO WAHYU'!B:G,MATCH(DATA!D727,'BIO WAHYU'!B:B,0),5)</f>
        <v>10</v>
      </c>
      <c r="K727" s="34">
        <f>INDEX('BIO WAHYU'!B:G,MATCH(DATA!D727,'BIO WAHYU'!B:B,0),6)</f>
        <v>11</v>
      </c>
      <c r="L727" s="35">
        <f>INDEX('BIO WAHYU'!B:H,MATCH(DATA!D727,'BIO WAHYU'!B:B,0),7)</f>
        <v>1</v>
      </c>
      <c r="M727" s="34">
        <f>INDEX('BIO WAHYU'!B:H,MATCH(DATA!D727,'BIO WAHYU'!B:B,0),4)</f>
        <v>0</v>
      </c>
    </row>
    <row r="728" spans="1:13">
      <c r="A728" s="43" t="s">
        <v>1674</v>
      </c>
      <c r="B728" s="43" t="s">
        <v>147</v>
      </c>
      <c r="C728" s="43" t="s">
        <v>609</v>
      </c>
      <c r="D728" s="10">
        <v>325380</v>
      </c>
      <c r="E728" s="43" t="s">
        <v>10</v>
      </c>
      <c r="F728" s="8">
        <f>_xlfn.IFNA(INDEX('OSA | 3GB'!J:L,MATCH(DATA!D728,'OSA | 3GB'!J:J,0),2),0)</f>
        <v>6</v>
      </c>
      <c r="G728" s="8">
        <f>_xlfn.IFNA(INDEX('OSA | 3GB'!J:L,MATCH(DATA!D728,'OSA | 3GB'!J:J,0),3),0)</f>
        <v>5500000</v>
      </c>
      <c r="H728" s="32" t="str">
        <f>_xlfn.IFNA(INDEX('OSA | 3GB'!A:C,MATCH(DATA!D728,'OSA | 3GB'!A:A,0),2),0)</f>
        <v xml:space="preserve"> -   </v>
      </c>
      <c r="I728" s="33">
        <f>_xlfn.IFNA(INDEX('OSA | 3GB'!A:C,MATCH(DATA!D728,'OSA | 3GB'!A:A,0),3),0)</f>
        <v>850000</v>
      </c>
      <c r="J728" s="33">
        <f>INDEX('BIO WAHYU'!B:G,MATCH(DATA!D728,'BIO WAHYU'!B:B,0),5)</f>
        <v>2</v>
      </c>
      <c r="K728" s="34">
        <f>INDEX('BIO WAHYU'!B:G,MATCH(DATA!D728,'BIO WAHYU'!B:B,0),6)</f>
        <v>2</v>
      </c>
      <c r="L728" s="35">
        <f>INDEX('BIO WAHYU'!B:H,MATCH(DATA!D728,'BIO WAHYU'!B:B,0),7)</f>
        <v>0</v>
      </c>
      <c r="M728" s="34">
        <f>INDEX('BIO WAHYU'!B:H,MATCH(DATA!D728,'BIO WAHYU'!B:B,0),4)</f>
        <v>0</v>
      </c>
    </row>
    <row r="729" spans="1:13">
      <c r="A729" s="43" t="s">
        <v>1674</v>
      </c>
      <c r="B729" s="43" t="s">
        <v>148</v>
      </c>
      <c r="C729" s="43" t="s">
        <v>1365</v>
      </c>
      <c r="D729" s="10">
        <v>12299980</v>
      </c>
      <c r="E729" s="43" t="s">
        <v>10</v>
      </c>
      <c r="F729" s="8">
        <f>_xlfn.IFNA(INDEX('OSA | 3GB'!J:L,MATCH(DATA!D729,'OSA | 3GB'!J:J,0),2),0)</f>
        <v>99</v>
      </c>
      <c r="G729" s="8">
        <f>_xlfn.IFNA(INDEX('OSA | 3GB'!J:L,MATCH(DATA!D729,'OSA | 3GB'!J:J,0),3),0)</f>
        <v>0</v>
      </c>
      <c r="H729" s="32" t="str">
        <f>_xlfn.IFNA(INDEX('OSA | 3GB'!A:C,MATCH(DATA!D729,'OSA | 3GB'!A:A,0),2),0)</f>
        <v xml:space="preserve"> -   </v>
      </c>
      <c r="I729" s="33" t="str">
        <f>_xlfn.IFNA(INDEX('OSA | 3GB'!A:C,MATCH(DATA!D729,'OSA | 3GB'!A:A,0),3),0)</f>
        <v xml:space="preserve"> -   </v>
      </c>
      <c r="J729" s="33">
        <f>INDEX('BIO WAHYU'!B:G,MATCH(DATA!D729,'BIO WAHYU'!B:B,0),5)</f>
        <v>89</v>
      </c>
      <c r="K729" s="34">
        <f>INDEX('BIO WAHYU'!B:G,MATCH(DATA!D729,'BIO WAHYU'!B:B,0),6)</f>
        <v>53</v>
      </c>
      <c r="L729" s="35">
        <f>INDEX('BIO WAHYU'!B:H,MATCH(DATA!D729,'BIO WAHYU'!B:B,0),7)</f>
        <v>0</v>
      </c>
      <c r="M729" s="34">
        <f>INDEX('BIO WAHYU'!B:H,MATCH(DATA!D729,'BIO WAHYU'!B:B,0),4)</f>
        <v>0</v>
      </c>
    </row>
    <row r="730" spans="1:13">
      <c r="A730" s="43" t="s">
        <v>1674</v>
      </c>
      <c r="B730" s="43" t="s">
        <v>153</v>
      </c>
      <c r="C730" s="43" t="s">
        <v>725</v>
      </c>
      <c r="D730" s="10">
        <v>347832</v>
      </c>
      <c r="E730" s="43" t="s">
        <v>10</v>
      </c>
      <c r="F730" s="8">
        <f>_xlfn.IFNA(INDEX('OSA | 3GB'!J:L,MATCH(DATA!D730,'OSA | 3GB'!J:J,0),2),0)</f>
        <v>3</v>
      </c>
      <c r="G730" s="8">
        <f>_xlfn.IFNA(INDEX('OSA | 3GB'!J:L,MATCH(DATA!D730,'OSA | 3GB'!J:J,0),3),0)</f>
        <v>387000</v>
      </c>
      <c r="H730" s="32" t="str">
        <f>_xlfn.IFNA(INDEX('OSA | 3GB'!A:C,MATCH(DATA!D730,'OSA | 3GB'!A:A,0),2),0)</f>
        <v xml:space="preserve"> -   </v>
      </c>
      <c r="I730" s="33">
        <f>_xlfn.IFNA(INDEX('OSA | 3GB'!A:C,MATCH(DATA!D730,'OSA | 3GB'!A:A,0),3),0)</f>
        <v>300000</v>
      </c>
      <c r="J730" s="33">
        <f>INDEX('BIO WAHYU'!B:G,MATCH(DATA!D730,'BIO WAHYU'!B:B,0),5)</f>
        <v>1</v>
      </c>
      <c r="K730" s="34">
        <f>INDEX('BIO WAHYU'!B:G,MATCH(DATA!D730,'BIO WAHYU'!B:B,0),6)</f>
        <v>1</v>
      </c>
      <c r="L730" s="35">
        <f>INDEX('BIO WAHYU'!B:H,MATCH(DATA!D730,'BIO WAHYU'!B:B,0),7)</f>
        <v>0</v>
      </c>
      <c r="M730" s="34">
        <f>INDEX('BIO WAHYU'!B:H,MATCH(DATA!D730,'BIO WAHYU'!B:B,0),4)</f>
        <v>0</v>
      </c>
    </row>
    <row r="731" spans="1:13">
      <c r="A731" s="43" t="s">
        <v>1670</v>
      </c>
      <c r="B731" s="43" t="s">
        <v>140</v>
      </c>
      <c r="C731" s="43" t="s">
        <v>1366</v>
      </c>
      <c r="D731" s="10">
        <v>211655</v>
      </c>
      <c r="E731" s="43" t="s">
        <v>15</v>
      </c>
      <c r="F731" s="8">
        <f>_xlfn.IFNA(INDEX('OSA | 3GB'!J:L,MATCH(DATA!D731,'OSA | 3GB'!J:J,0),2),0)</f>
        <v>0</v>
      </c>
      <c r="G731" s="8">
        <f>_xlfn.IFNA(INDEX('OSA | 3GB'!J:L,MATCH(DATA!D731,'OSA | 3GB'!J:J,0),3),0)</f>
        <v>200000</v>
      </c>
      <c r="H731" s="32" t="str">
        <f>_xlfn.IFNA(INDEX('OSA | 3GB'!A:C,MATCH(DATA!D731,'OSA | 3GB'!A:A,0),2),0)</f>
        <v xml:space="preserve"> -   </v>
      </c>
      <c r="I731" s="33">
        <f>_xlfn.IFNA(INDEX('OSA | 3GB'!A:C,MATCH(DATA!D731,'OSA | 3GB'!A:A,0),3),0)</f>
        <v>250000</v>
      </c>
      <c r="J731" s="33">
        <f>INDEX('BIO WAHYU'!B:G,MATCH(DATA!D731,'BIO WAHYU'!B:B,0),5)</f>
        <v>0</v>
      </c>
      <c r="K731" s="34">
        <f>INDEX('BIO WAHYU'!B:G,MATCH(DATA!D731,'BIO WAHYU'!B:B,0),6)</f>
        <v>0</v>
      </c>
      <c r="L731" s="35">
        <f>INDEX('BIO WAHYU'!B:H,MATCH(DATA!D731,'BIO WAHYU'!B:B,0),7)</f>
        <v>0</v>
      </c>
      <c r="M731" s="34">
        <f>INDEX('BIO WAHYU'!B:H,MATCH(DATA!D731,'BIO WAHYU'!B:B,0),4)</f>
        <v>0</v>
      </c>
    </row>
    <row r="732" spans="1:13">
      <c r="A732" s="43" t="s">
        <v>1674</v>
      </c>
      <c r="B732" s="43" t="s">
        <v>154</v>
      </c>
      <c r="C732" s="43" t="s">
        <v>742</v>
      </c>
      <c r="D732" s="10">
        <v>275866</v>
      </c>
      <c r="E732" s="43" t="s">
        <v>10</v>
      </c>
      <c r="F732" s="8">
        <f>_xlfn.IFNA(INDEX('OSA | 3GB'!J:L,MATCH(DATA!D732,'OSA | 3GB'!J:J,0),2),0)</f>
        <v>4</v>
      </c>
      <c r="G732" s="8">
        <f>_xlfn.IFNA(INDEX('OSA | 3GB'!J:L,MATCH(DATA!D732,'OSA | 3GB'!J:J,0),3),0)</f>
        <v>350000</v>
      </c>
      <c r="H732" s="32" t="str">
        <f>_xlfn.IFNA(INDEX('OSA | 3GB'!A:C,MATCH(DATA!D732,'OSA | 3GB'!A:A,0),2),0)</f>
        <v xml:space="preserve"> -   </v>
      </c>
      <c r="I732" s="33">
        <f>_xlfn.IFNA(INDEX('OSA | 3GB'!A:C,MATCH(DATA!D732,'OSA | 3GB'!A:A,0),3),0)</f>
        <v>200000</v>
      </c>
      <c r="J732" s="33">
        <f>INDEX('BIO WAHYU'!B:G,MATCH(DATA!D732,'BIO WAHYU'!B:B,0),5)</f>
        <v>2</v>
      </c>
      <c r="K732" s="34">
        <f>INDEX('BIO WAHYU'!B:G,MATCH(DATA!D732,'BIO WAHYU'!B:B,0),6)</f>
        <v>0</v>
      </c>
      <c r="L732" s="35">
        <f>INDEX('BIO WAHYU'!B:H,MATCH(DATA!D732,'BIO WAHYU'!B:B,0),7)</f>
        <v>0</v>
      </c>
      <c r="M732" s="34">
        <f>INDEX('BIO WAHYU'!B:H,MATCH(DATA!D732,'BIO WAHYU'!B:B,0),4)</f>
        <v>0</v>
      </c>
    </row>
    <row r="733" spans="1:13">
      <c r="A733" s="43" t="s">
        <v>1671</v>
      </c>
      <c r="B733" s="43">
        <v>2613050885</v>
      </c>
      <c r="C733" s="43" t="s">
        <v>1367</v>
      </c>
      <c r="D733" s="10">
        <v>542767</v>
      </c>
      <c r="E733" s="43" t="s">
        <v>10</v>
      </c>
      <c r="F733" s="8">
        <f>_xlfn.IFNA(INDEX('OSA | 3GB'!J:L,MATCH(DATA!D733,'OSA | 3GB'!J:J,0),2),0)</f>
        <v>6</v>
      </c>
      <c r="G733" s="8">
        <f>_xlfn.IFNA(INDEX('OSA | 3GB'!J:L,MATCH(DATA!D733,'OSA | 3GB'!J:J,0),3),0)</f>
        <v>13385000</v>
      </c>
      <c r="H733" s="32" t="str">
        <f>_xlfn.IFNA(INDEX('OSA | 3GB'!A:C,MATCH(DATA!D733,'OSA | 3GB'!A:A,0),2),0)</f>
        <v xml:space="preserve"> -   </v>
      </c>
      <c r="I733" s="33" t="str">
        <f>_xlfn.IFNA(INDEX('OSA | 3GB'!A:C,MATCH(DATA!D733,'OSA | 3GB'!A:A,0),3),0)</f>
        <v xml:space="preserve"> -   </v>
      </c>
      <c r="J733" s="33">
        <f>INDEX('BIO WAHYU'!B:G,MATCH(DATA!D733,'BIO WAHYU'!B:B,0),5)</f>
        <v>3</v>
      </c>
      <c r="K733" s="34">
        <f>INDEX('BIO WAHYU'!B:G,MATCH(DATA!D733,'BIO WAHYU'!B:B,0),6)</f>
        <v>0</v>
      </c>
      <c r="L733" s="35">
        <f>INDEX('BIO WAHYU'!B:H,MATCH(DATA!D733,'BIO WAHYU'!B:B,0),7)</f>
        <v>0</v>
      </c>
      <c r="M733" s="34">
        <f>INDEX('BIO WAHYU'!B:H,MATCH(DATA!D733,'BIO WAHYU'!B:B,0),4)</f>
        <v>0</v>
      </c>
    </row>
    <row r="734" spans="1:13">
      <c r="A734" s="43" t="s">
        <v>1675</v>
      </c>
      <c r="B734" s="43" t="s">
        <v>136</v>
      </c>
      <c r="C734" s="43" t="s">
        <v>1368</v>
      </c>
      <c r="D734" s="10">
        <v>353878</v>
      </c>
      <c r="E734" s="43" t="s">
        <v>15</v>
      </c>
      <c r="F734" s="8">
        <f>_xlfn.IFNA(INDEX('OSA | 3GB'!J:L,MATCH(DATA!D734,'OSA | 3GB'!J:J,0),2),0)</f>
        <v>3</v>
      </c>
      <c r="G734" s="8">
        <f>_xlfn.IFNA(INDEX('OSA | 3GB'!J:L,MATCH(DATA!D734,'OSA | 3GB'!J:J,0),3),0)</f>
        <v>2000000</v>
      </c>
      <c r="H734" s="32" t="str">
        <f>_xlfn.IFNA(INDEX('OSA | 3GB'!A:C,MATCH(DATA!D734,'OSA | 3GB'!A:A,0),2),0)</f>
        <v xml:space="preserve"> -   </v>
      </c>
      <c r="I734" s="33" t="str">
        <f>_xlfn.IFNA(INDEX('OSA | 3GB'!A:C,MATCH(DATA!D734,'OSA | 3GB'!A:A,0),3),0)</f>
        <v xml:space="preserve"> -   </v>
      </c>
      <c r="J734" s="33">
        <f>INDEX('BIO WAHYU'!B:G,MATCH(DATA!D734,'BIO WAHYU'!B:B,0),5)</f>
        <v>3</v>
      </c>
      <c r="K734" s="34">
        <f>INDEX('BIO WAHYU'!B:G,MATCH(DATA!D734,'BIO WAHYU'!B:B,0),6)</f>
        <v>0</v>
      </c>
      <c r="L734" s="35">
        <f>INDEX('BIO WAHYU'!B:H,MATCH(DATA!D734,'BIO WAHYU'!B:B,0),7)</f>
        <v>0</v>
      </c>
      <c r="M734" s="34">
        <f>INDEX('BIO WAHYU'!B:H,MATCH(DATA!D734,'BIO WAHYU'!B:B,0),4)</f>
        <v>0</v>
      </c>
    </row>
    <row r="735" spans="1:13">
      <c r="A735" s="43" t="s">
        <v>1672</v>
      </c>
      <c r="B735" s="43" t="s">
        <v>157</v>
      </c>
      <c r="C735" s="43" t="s">
        <v>1023</v>
      </c>
      <c r="D735" s="10">
        <v>12322833</v>
      </c>
      <c r="E735" s="43" t="s">
        <v>10</v>
      </c>
      <c r="F735" s="8">
        <f>_xlfn.IFNA(INDEX('OSA | 3GB'!J:L,MATCH(DATA!D735,'OSA | 3GB'!J:J,0),2),0)</f>
        <v>0</v>
      </c>
      <c r="G735" s="8">
        <f>_xlfn.IFNA(INDEX('OSA | 3GB'!J:L,MATCH(DATA!D735,'OSA | 3GB'!J:J,0),3),0)</f>
        <v>250000</v>
      </c>
      <c r="H735" s="32" t="str">
        <f>_xlfn.IFNA(INDEX('OSA | 3GB'!A:C,MATCH(DATA!D735,'OSA | 3GB'!A:A,0),2),0)</f>
        <v xml:space="preserve"> -   </v>
      </c>
      <c r="I735" s="33" t="str">
        <f>_xlfn.IFNA(INDEX('OSA | 3GB'!A:C,MATCH(DATA!D735,'OSA | 3GB'!A:A,0),3),0)</f>
        <v xml:space="preserve"> -   </v>
      </c>
      <c r="J735" s="33">
        <f>INDEX('BIO WAHYU'!B:G,MATCH(DATA!D735,'BIO WAHYU'!B:B,0),5)</f>
        <v>0</v>
      </c>
      <c r="K735" s="34">
        <f>INDEX('BIO WAHYU'!B:G,MATCH(DATA!D735,'BIO WAHYU'!B:B,0),6)</f>
        <v>0</v>
      </c>
      <c r="L735" s="35">
        <f>INDEX('BIO WAHYU'!B:H,MATCH(DATA!D735,'BIO WAHYU'!B:B,0),7)</f>
        <v>0</v>
      </c>
      <c r="M735" s="34">
        <f>INDEX('BIO WAHYU'!B:H,MATCH(DATA!D735,'BIO WAHYU'!B:B,0),4)</f>
        <v>0</v>
      </c>
    </row>
    <row r="736" spans="1:13">
      <c r="A736" s="43" t="s">
        <v>1670</v>
      </c>
      <c r="B736" s="43" t="s">
        <v>140</v>
      </c>
      <c r="C736" s="43" t="s">
        <v>480</v>
      </c>
      <c r="D736" s="10">
        <v>63878</v>
      </c>
      <c r="E736" s="43" t="s">
        <v>10</v>
      </c>
      <c r="F736" s="8">
        <f>_xlfn.IFNA(INDEX('OSA | 3GB'!J:L,MATCH(DATA!D736,'OSA | 3GB'!J:J,0),2),0)</f>
        <v>2</v>
      </c>
      <c r="G736" s="8">
        <f>_xlfn.IFNA(INDEX('OSA | 3GB'!J:L,MATCH(DATA!D736,'OSA | 3GB'!J:J,0),3),0)</f>
        <v>12000000</v>
      </c>
      <c r="H736" s="32" t="str">
        <f>_xlfn.IFNA(INDEX('OSA | 3GB'!A:C,MATCH(DATA!D736,'OSA | 3GB'!A:A,0),2),0)</f>
        <v xml:space="preserve"> -   </v>
      </c>
      <c r="I736" s="33">
        <f>_xlfn.IFNA(INDEX('OSA | 3GB'!A:C,MATCH(DATA!D736,'OSA | 3GB'!A:A,0),3),0)</f>
        <v>6200000</v>
      </c>
      <c r="J736" s="33">
        <f>INDEX('BIO WAHYU'!B:G,MATCH(DATA!D736,'BIO WAHYU'!B:B,0),5)</f>
        <v>2</v>
      </c>
      <c r="K736" s="34">
        <f>INDEX('BIO WAHYU'!B:G,MATCH(DATA!D736,'BIO WAHYU'!B:B,0),6)</f>
        <v>0</v>
      </c>
      <c r="L736" s="35">
        <f>INDEX('BIO WAHYU'!B:H,MATCH(DATA!D736,'BIO WAHYU'!B:B,0),7)</f>
        <v>0</v>
      </c>
      <c r="M736" s="34">
        <f>INDEX('BIO WAHYU'!B:H,MATCH(DATA!D736,'BIO WAHYU'!B:B,0),4)</f>
        <v>0</v>
      </c>
    </row>
    <row r="737" spans="1:13">
      <c r="A737" s="43" t="s">
        <v>1675</v>
      </c>
      <c r="B737" s="43">
        <v>2613051043</v>
      </c>
      <c r="C737" s="43" t="s">
        <v>451</v>
      </c>
      <c r="D737" s="10">
        <v>12300796</v>
      </c>
      <c r="E737" s="43" t="s">
        <v>10</v>
      </c>
      <c r="F737" s="8">
        <f>_xlfn.IFNA(INDEX('OSA | 3GB'!J:L,MATCH(DATA!D737,'OSA | 3GB'!J:J,0),2),0)</f>
        <v>0</v>
      </c>
      <c r="G737" s="8">
        <f>_xlfn.IFNA(INDEX('OSA | 3GB'!J:L,MATCH(DATA!D737,'OSA | 3GB'!J:J,0),3),0)</f>
        <v>94000</v>
      </c>
      <c r="H737" s="32" t="str">
        <f>_xlfn.IFNA(INDEX('OSA | 3GB'!A:C,MATCH(DATA!D737,'OSA | 3GB'!A:A,0),2),0)</f>
        <v xml:space="preserve"> -   </v>
      </c>
      <c r="I737" s="33" t="str">
        <f>_xlfn.IFNA(INDEX('OSA | 3GB'!A:C,MATCH(DATA!D737,'OSA | 3GB'!A:A,0),3),0)</f>
        <v xml:space="preserve"> -   </v>
      </c>
      <c r="J737" s="33">
        <f>INDEX('BIO WAHYU'!B:G,MATCH(DATA!D737,'BIO WAHYU'!B:B,0),5)</f>
        <v>0</v>
      </c>
      <c r="K737" s="34">
        <f>INDEX('BIO WAHYU'!B:G,MATCH(DATA!D737,'BIO WAHYU'!B:B,0),6)</f>
        <v>1</v>
      </c>
      <c r="L737" s="35">
        <f>INDEX('BIO WAHYU'!B:H,MATCH(DATA!D737,'BIO WAHYU'!B:B,0),7)</f>
        <v>1</v>
      </c>
      <c r="M737" s="34">
        <f>INDEX('BIO WAHYU'!B:H,MATCH(DATA!D737,'BIO WAHYU'!B:B,0),4)</f>
        <v>0</v>
      </c>
    </row>
    <row r="738" spans="1:13">
      <c r="A738" s="43" t="s">
        <v>1675</v>
      </c>
      <c r="B738" s="43">
        <v>2613051043</v>
      </c>
      <c r="C738" s="43" t="s">
        <v>445</v>
      </c>
      <c r="D738" s="10">
        <v>12297014</v>
      </c>
      <c r="E738" s="43" t="s">
        <v>15</v>
      </c>
      <c r="F738" s="8">
        <f>_xlfn.IFNA(INDEX('OSA | 3GB'!J:L,MATCH(DATA!D738,'OSA | 3GB'!J:J,0),2),0)</f>
        <v>0</v>
      </c>
      <c r="G738" s="8">
        <f>_xlfn.IFNA(INDEX('OSA | 3GB'!J:L,MATCH(DATA!D738,'OSA | 3GB'!J:J,0),3),0)</f>
        <v>0</v>
      </c>
      <c r="H738" s="32" t="str">
        <f>_xlfn.IFNA(INDEX('OSA | 3GB'!A:C,MATCH(DATA!D738,'OSA | 3GB'!A:A,0),2),0)</f>
        <v xml:space="preserve"> -   </v>
      </c>
      <c r="I738" s="33" t="str">
        <f>_xlfn.IFNA(INDEX('OSA | 3GB'!A:C,MATCH(DATA!D738,'OSA | 3GB'!A:A,0),3),0)</f>
        <v xml:space="preserve"> -   </v>
      </c>
      <c r="J738" s="33">
        <f>INDEX('BIO WAHYU'!B:G,MATCH(DATA!D738,'BIO WAHYU'!B:B,0),5)</f>
        <v>0</v>
      </c>
      <c r="K738" s="34">
        <f>INDEX('BIO WAHYU'!B:G,MATCH(DATA!D738,'BIO WAHYU'!B:B,0),6)</f>
        <v>0</v>
      </c>
      <c r="L738" s="35">
        <f>INDEX('BIO WAHYU'!B:H,MATCH(DATA!D738,'BIO WAHYU'!B:B,0),7)</f>
        <v>0</v>
      </c>
      <c r="M738" s="34">
        <f>INDEX('BIO WAHYU'!B:H,MATCH(DATA!D738,'BIO WAHYU'!B:B,0),4)</f>
        <v>0</v>
      </c>
    </row>
    <row r="739" spans="1:13">
      <c r="A739" s="43" t="s">
        <v>1674</v>
      </c>
      <c r="B739" s="43" t="s">
        <v>148</v>
      </c>
      <c r="C739" s="43" t="s">
        <v>642</v>
      </c>
      <c r="D739" s="10">
        <v>341652</v>
      </c>
      <c r="E739" s="43" t="s">
        <v>10</v>
      </c>
      <c r="F739" s="8">
        <f>_xlfn.IFNA(INDEX('OSA | 3GB'!J:L,MATCH(DATA!D739,'OSA | 3GB'!J:J,0),2),0)</f>
        <v>0</v>
      </c>
      <c r="G739" s="8">
        <f>_xlfn.IFNA(INDEX('OSA | 3GB'!J:L,MATCH(DATA!D739,'OSA | 3GB'!J:J,0),3),0)</f>
        <v>300000</v>
      </c>
      <c r="H739" s="32" t="str">
        <f>_xlfn.IFNA(INDEX('OSA | 3GB'!A:C,MATCH(DATA!D739,'OSA | 3GB'!A:A,0),2),0)</f>
        <v xml:space="preserve"> -   </v>
      </c>
      <c r="I739" s="33">
        <f>_xlfn.IFNA(INDEX('OSA | 3GB'!A:C,MATCH(DATA!D739,'OSA | 3GB'!A:A,0),3),0)</f>
        <v>200000</v>
      </c>
      <c r="J739" s="33">
        <f>INDEX('BIO WAHYU'!B:G,MATCH(DATA!D739,'BIO WAHYU'!B:B,0),5)</f>
        <v>1</v>
      </c>
      <c r="K739" s="34">
        <f>INDEX('BIO WAHYU'!B:G,MATCH(DATA!D739,'BIO WAHYU'!B:B,0),6)</f>
        <v>0</v>
      </c>
      <c r="L739" s="35">
        <f>INDEX('BIO WAHYU'!B:H,MATCH(DATA!D739,'BIO WAHYU'!B:B,0),7)</f>
        <v>0</v>
      </c>
      <c r="M739" s="34">
        <f>INDEX('BIO WAHYU'!B:H,MATCH(DATA!D739,'BIO WAHYU'!B:B,0),4)</f>
        <v>0</v>
      </c>
    </row>
    <row r="740" spans="1:13">
      <c r="A740" s="43" t="s">
        <v>1675</v>
      </c>
      <c r="B740" s="43" t="s">
        <v>136</v>
      </c>
      <c r="C740" s="43" t="s">
        <v>393</v>
      </c>
      <c r="D740" s="10">
        <v>12305463</v>
      </c>
      <c r="E740" s="43" t="s">
        <v>23</v>
      </c>
      <c r="F740" s="8">
        <f>_xlfn.IFNA(INDEX('OSA | 3GB'!J:L,MATCH(DATA!D740,'OSA | 3GB'!J:J,0),2),0)</f>
        <v>8</v>
      </c>
      <c r="G740" s="8">
        <f>_xlfn.IFNA(INDEX('OSA | 3GB'!J:L,MATCH(DATA!D740,'OSA | 3GB'!J:J,0),3),0)</f>
        <v>326000</v>
      </c>
      <c r="H740" s="32">
        <f>_xlfn.IFNA(INDEX('OSA | 3GB'!A:C,MATCH(DATA!D740,'OSA | 3GB'!A:A,0),2),0)</f>
        <v>12</v>
      </c>
      <c r="I740" s="33" t="str">
        <f>_xlfn.IFNA(INDEX('OSA | 3GB'!A:C,MATCH(DATA!D740,'OSA | 3GB'!A:A,0),3),0)</f>
        <v xml:space="preserve"> -   </v>
      </c>
      <c r="J740" s="33">
        <f>INDEX('BIO WAHYU'!B:G,MATCH(DATA!D740,'BIO WAHYU'!B:B,0),5)</f>
        <v>6</v>
      </c>
      <c r="K740" s="34">
        <f>INDEX('BIO WAHYU'!B:G,MATCH(DATA!D740,'BIO WAHYU'!B:B,0),6)</f>
        <v>25</v>
      </c>
      <c r="L740" s="35">
        <f>INDEX('BIO WAHYU'!B:H,MATCH(DATA!D740,'BIO WAHYU'!B:B,0),7)</f>
        <v>19</v>
      </c>
      <c r="M740" s="34">
        <f>INDEX('BIO WAHYU'!B:H,MATCH(DATA!D740,'BIO WAHYU'!B:B,0),4)</f>
        <v>0</v>
      </c>
    </row>
    <row r="741" spans="1:13">
      <c r="A741" s="43" t="s">
        <v>1673</v>
      </c>
      <c r="B741" s="43" t="s">
        <v>143</v>
      </c>
      <c r="C741" s="43" t="s">
        <v>164</v>
      </c>
      <c r="D741" s="10">
        <v>525728</v>
      </c>
      <c r="E741" s="43" t="s">
        <v>10</v>
      </c>
      <c r="F741" s="8">
        <f>_xlfn.IFNA(INDEX('OSA | 3GB'!J:L,MATCH(DATA!D741,'OSA | 3GB'!J:J,0),2),0)</f>
        <v>4</v>
      </c>
      <c r="G741" s="8">
        <f>_xlfn.IFNA(INDEX('OSA | 3GB'!J:L,MATCH(DATA!D741,'OSA | 3GB'!J:J,0),3),0)</f>
        <v>1308000</v>
      </c>
      <c r="H741" s="32">
        <f>_xlfn.IFNA(INDEX('OSA | 3GB'!A:C,MATCH(DATA!D741,'OSA | 3GB'!A:A,0),2),0)</f>
        <v>2</v>
      </c>
      <c r="I741" s="33">
        <f>_xlfn.IFNA(INDEX('OSA | 3GB'!A:C,MATCH(DATA!D741,'OSA | 3GB'!A:A,0),3),0)</f>
        <v>450000</v>
      </c>
      <c r="J741" s="33">
        <f>INDEX('BIO WAHYU'!B:G,MATCH(DATA!D741,'BIO WAHYU'!B:B,0),5)</f>
        <v>4</v>
      </c>
      <c r="K741" s="34">
        <f>INDEX('BIO WAHYU'!B:G,MATCH(DATA!D741,'BIO WAHYU'!B:B,0),6)</f>
        <v>1</v>
      </c>
      <c r="L741" s="35">
        <f>INDEX('BIO WAHYU'!B:H,MATCH(DATA!D741,'BIO WAHYU'!B:B,0),7)</f>
        <v>0</v>
      </c>
      <c r="M741" s="34">
        <f>INDEX('BIO WAHYU'!B:H,MATCH(DATA!D741,'BIO WAHYU'!B:B,0),4)</f>
        <v>0</v>
      </c>
    </row>
    <row r="742" spans="1:13">
      <c r="A742" s="43" t="s">
        <v>1672</v>
      </c>
      <c r="B742" s="43" t="s">
        <v>157</v>
      </c>
      <c r="C742" s="43" t="s">
        <v>1040</v>
      </c>
      <c r="D742" s="10">
        <v>3369</v>
      </c>
      <c r="E742" s="43" t="s">
        <v>10</v>
      </c>
      <c r="F742" s="8">
        <f>_xlfn.IFNA(INDEX('OSA | 3GB'!J:L,MATCH(DATA!D742,'OSA | 3GB'!J:J,0),2),0)</f>
        <v>33</v>
      </c>
      <c r="G742" s="8">
        <f>_xlfn.IFNA(INDEX('OSA | 3GB'!J:L,MATCH(DATA!D742,'OSA | 3GB'!J:J,0),3),0)</f>
        <v>52483927</v>
      </c>
      <c r="H742" s="32">
        <f>_xlfn.IFNA(INDEX('OSA | 3GB'!A:C,MATCH(DATA!D742,'OSA | 3GB'!A:A,0),2),0)</f>
        <v>4</v>
      </c>
      <c r="I742" s="33">
        <f>_xlfn.IFNA(INDEX('OSA | 3GB'!A:C,MATCH(DATA!D742,'OSA | 3GB'!A:A,0),3),0)</f>
        <v>17655733</v>
      </c>
      <c r="J742" s="33">
        <f>INDEX('BIO WAHYU'!B:G,MATCH(DATA!D742,'BIO WAHYU'!B:B,0),5)</f>
        <v>3</v>
      </c>
      <c r="K742" s="34">
        <f>INDEX('BIO WAHYU'!B:G,MATCH(DATA!D742,'BIO WAHYU'!B:B,0),6)</f>
        <v>5</v>
      </c>
      <c r="L742" s="35">
        <f>INDEX('BIO WAHYU'!B:H,MATCH(DATA!D742,'BIO WAHYU'!B:B,0),7)</f>
        <v>2</v>
      </c>
      <c r="M742" s="34">
        <f>INDEX('BIO WAHYU'!B:H,MATCH(DATA!D742,'BIO WAHYU'!B:B,0),4)</f>
        <v>0</v>
      </c>
    </row>
    <row r="743" spans="1:13">
      <c r="A743" s="43" t="s">
        <v>1672</v>
      </c>
      <c r="B743" s="43" t="s">
        <v>157</v>
      </c>
      <c r="C743" s="43" t="s">
        <v>1052</v>
      </c>
      <c r="D743" s="10">
        <v>531570</v>
      </c>
      <c r="E743" s="43" t="s">
        <v>15</v>
      </c>
      <c r="F743" s="8">
        <f>_xlfn.IFNA(INDEX('OSA | 3GB'!J:L,MATCH(DATA!D743,'OSA | 3GB'!J:J,0),2),0)</f>
        <v>0</v>
      </c>
      <c r="G743" s="8">
        <f>_xlfn.IFNA(INDEX('OSA | 3GB'!J:L,MATCH(DATA!D743,'OSA | 3GB'!J:J,0),3),0)</f>
        <v>0</v>
      </c>
      <c r="H743" s="32" t="str">
        <f>_xlfn.IFNA(INDEX('OSA | 3GB'!A:C,MATCH(DATA!D743,'OSA | 3GB'!A:A,0),2),0)</f>
        <v xml:space="preserve"> -   </v>
      </c>
      <c r="I743" s="33" t="str">
        <f>_xlfn.IFNA(INDEX('OSA | 3GB'!A:C,MATCH(DATA!D743,'OSA | 3GB'!A:A,0),3),0)</f>
        <v xml:space="preserve"> -   </v>
      </c>
      <c r="J743" s="33">
        <f>INDEX('BIO WAHYU'!B:G,MATCH(DATA!D743,'BIO WAHYU'!B:B,0),5)</f>
        <v>0</v>
      </c>
      <c r="K743" s="34">
        <f>INDEX('BIO WAHYU'!B:G,MATCH(DATA!D743,'BIO WAHYU'!B:B,0),6)</f>
        <v>0</v>
      </c>
      <c r="L743" s="35">
        <f>INDEX('BIO WAHYU'!B:H,MATCH(DATA!D743,'BIO WAHYU'!B:B,0),7)</f>
        <v>0</v>
      </c>
      <c r="M743" s="34">
        <f>INDEX('BIO WAHYU'!B:H,MATCH(DATA!D743,'BIO WAHYU'!B:B,0),4)</f>
        <v>0</v>
      </c>
    </row>
    <row r="744" spans="1:13">
      <c r="A744" s="43" t="s">
        <v>1673</v>
      </c>
      <c r="B744" s="43" t="s">
        <v>158</v>
      </c>
      <c r="C744" s="43" t="s">
        <v>1369</v>
      </c>
      <c r="D744" s="10">
        <v>526020</v>
      </c>
      <c r="E744" s="43" t="s">
        <v>10</v>
      </c>
      <c r="F744" s="8">
        <f>_xlfn.IFNA(INDEX('OSA | 3GB'!J:L,MATCH(DATA!D744,'OSA | 3GB'!J:J,0),2),0)</f>
        <v>3</v>
      </c>
      <c r="G744" s="8">
        <f>_xlfn.IFNA(INDEX('OSA | 3GB'!J:L,MATCH(DATA!D744,'OSA | 3GB'!J:J,0),3),0)</f>
        <v>2200000</v>
      </c>
      <c r="H744" s="32" t="str">
        <f>_xlfn.IFNA(INDEX('OSA | 3GB'!A:C,MATCH(DATA!D744,'OSA | 3GB'!A:A,0),2),0)</f>
        <v xml:space="preserve"> -   </v>
      </c>
      <c r="I744" s="33">
        <f>_xlfn.IFNA(INDEX('OSA | 3GB'!A:C,MATCH(DATA!D744,'OSA | 3GB'!A:A,0),3),0)</f>
        <v>500000</v>
      </c>
      <c r="J744" s="33">
        <f>INDEX('BIO WAHYU'!B:G,MATCH(DATA!D744,'BIO WAHYU'!B:B,0),5)</f>
        <v>3</v>
      </c>
      <c r="K744" s="34">
        <f>INDEX('BIO WAHYU'!B:G,MATCH(DATA!D744,'BIO WAHYU'!B:B,0),6)</f>
        <v>0</v>
      </c>
      <c r="L744" s="35">
        <f>INDEX('BIO WAHYU'!B:H,MATCH(DATA!D744,'BIO WAHYU'!B:B,0),7)</f>
        <v>0</v>
      </c>
      <c r="M744" s="34">
        <f>INDEX('BIO WAHYU'!B:H,MATCH(DATA!D744,'BIO WAHYU'!B:B,0),4)</f>
        <v>0</v>
      </c>
    </row>
    <row r="745" spans="1:13">
      <c r="A745" s="43" t="s">
        <v>1672</v>
      </c>
      <c r="B745" s="43" t="s">
        <v>150</v>
      </c>
      <c r="C745" s="43" t="s">
        <v>1370</v>
      </c>
      <c r="D745" s="10">
        <v>514162</v>
      </c>
      <c r="E745" s="43" t="s">
        <v>10</v>
      </c>
      <c r="F745" s="8">
        <f>_xlfn.IFNA(INDEX('OSA | 3GB'!J:L,MATCH(DATA!D745,'OSA | 3GB'!J:J,0),2),0)</f>
        <v>4</v>
      </c>
      <c r="G745" s="8">
        <f>_xlfn.IFNA(INDEX('OSA | 3GB'!J:L,MATCH(DATA!D745,'OSA | 3GB'!J:J,0),3),0)</f>
        <v>3400000</v>
      </c>
      <c r="H745" s="32">
        <f>_xlfn.IFNA(INDEX('OSA | 3GB'!A:C,MATCH(DATA!D745,'OSA | 3GB'!A:A,0),2),0)</f>
        <v>3</v>
      </c>
      <c r="I745" s="33">
        <f>_xlfn.IFNA(INDEX('OSA | 3GB'!A:C,MATCH(DATA!D745,'OSA | 3GB'!A:A,0),3),0)</f>
        <v>1750000</v>
      </c>
      <c r="J745" s="33">
        <f>INDEX('BIO WAHYU'!B:G,MATCH(DATA!D745,'BIO WAHYU'!B:B,0),5)</f>
        <v>1</v>
      </c>
      <c r="K745" s="34">
        <f>INDEX('BIO WAHYU'!B:G,MATCH(DATA!D745,'BIO WAHYU'!B:B,0),6)</f>
        <v>5</v>
      </c>
      <c r="L745" s="35">
        <f>INDEX('BIO WAHYU'!B:H,MATCH(DATA!D745,'BIO WAHYU'!B:B,0),7)</f>
        <v>4</v>
      </c>
      <c r="M745" s="34">
        <f>INDEX('BIO WAHYU'!B:H,MATCH(DATA!D745,'BIO WAHYU'!B:B,0),4)</f>
        <v>0</v>
      </c>
    </row>
    <row r="746" spans="1:13">
      <c r="A746" s="43" t="s">
        <v>1672</v>
      </c>
      <c r="B746" s="43" t="s">
        <v>156</v>
      </c>
      <c r="C746" s="43" t="s">
        <v>432</v>
      </c>
      <c r="D746" s="10">
        <v>240684</v>
      </c>
      <c r="E746" s="43" t="s">
        <v>10</v>
      </c>
      <c r="F746" s="8">
        <f>_xlfn.IFNA(INDEX('OSA | 3GB'!J:L,MATCH(DATA!D746,'OSA | 3GB'!J:J,0),2),0)</f>
        <v>0</v>
      </c>
      <c r="G746" s="8">
        <f>_xlfn.IFNA(INDEX('OSA | 3GB'!J:L,MATCH(DATA!D746,'OSA | 3GB'!J:J,0),3),0)</f>
        <v>2100000</v>
      </c>
      <c r="H746" s="32" t="str">
        <f>_xlfn.IFNA(INDEX('OSA | 3GB'!A:C,MATCH(DATA!D746,'OSA | 3GB'!A:A,0),2),0)</f>
        <v xml:space="preserve"> -   </v>
      </c>
      <c r="I746" s="33">
        <f>_xlfn.IFNA(INDEX('OSA | 3GB'!A:C,MATCH(DATA!D746,'OSA | 3GB'!A:A,0),3),0)</f>
        <v>300000</v>
      </c>
      <c r="J746" s="33">
        <f>INDEX('BIO WAHYU'!B:G,MATCH(DATA!D746,'BIO WAHYU'!B:B,0),5)</f>
        <v>2</v>
      </c>
      <c r="K746" s="34">
        <f>INDEX('BIO WAHYU'!B:G,MATCH(DATA!D746,'BIO WAHYU'!B:B,0),6)</f>
        <v>0</v>
      </c>
      <c r="L746" s="35">
        <f>INDEX('BIO WAHYU'!B:H,MATCH(DATA!D746,'BIO WAHYU'!B:B,0),7)</f>
        <v>0</v>
      </c>
      <c r="M746" s="34">
        <f>INDEX('BIO WAHYU'!B:H,MATCH(DATA!D746,'BIO WAHYU'!B:B,0),4)</f>
        <v>0</v>
      </c>
    </row>
    <row r="747" spans="1:13">
      <c r="A747" s="43" t="s">
        <v>1670</v>
      </c>
      <c r="B747" s="43" t="s">
        <v>146</v>
      </c>
      <c r="C747" s="43" t="s">
        <v>527</v>
      </c>
      <c r="D747" s="10">
        <v>12319419</v>
      </c>
      <c r="E747" s="43" t="s">
        <v>10</v>
      </c>
      <c r="F747" s="8">
        <f>_xlfn.IFNA(INDEX('OSA | 3GB'!J:L,MATCH(DATA!D747,'OSA | 3GB'!J:J,0),2),0)</f>
        <v>7</v>
      </c>
      <c r="G747" s="8">
        <f>_xlfn.IFNA(INDEX('OSA | 3GB'!J:L,MATCH(DATA!D747,'OSA | 3GB'!J:J,0),3),0)</f>
        <v>3300000</v>
      </c>
      <c r="H747" s="32">
        <f>_xlfn.IFNA(INDEX('OSA | 3GB'!A:C,MATCH(DATA!D747,'OSA | 3GB'!A:A,0),2),0)</f>
        <v>3</v>
      </c>
      <c r="I747" s="33">
        <f>_xlfn.IFNA(INDEX('OSA | 3GB'!A:C,MATCH(DATA!D747,'OSA | 3GB'!A:A,0),3),0)</f>
        <v>719000</v>
      </c>
      <c r="J747" s="33">
        <f>INDEX('BIO WAHYU'!B:G,MATCH(DATA!D747,'BIO WAHYU'!B:B,0),5)</f>
        <v>3</v>
      </c>
      <c r="K747" s="34">
        <f>INDEX('BIO WAHYU'!B:G,MATCH(DATA!D747,'BIO WAHYU'!B:B,0),6)</f>
        <v>0</v>
      </c>
      <c r="L747" s="35">
        <f>INDEX('BIO WAHYU'!B:H,MATCH(DATA!D747,'BIO WAHYU'!B:B,0),7)</f>
        <v>0</v>
      </c>
      <c r="M747" s="34">
        <f>INDEX('BIO WAHYU'!B:H,MATCH(DATA!D747,'BIO WAHYU'!B:B,0),4)</f>
        <v>0</v>
      </c>
    </row>
    <row r="748" spans="1:13">
      <c r="A748" s="43" t="s">
        <v>1670</v>
      </c>
      <c r="B748" s="43" t="s">
        <v>140</v>
      </c>
      <c r="C748" s="43" t="s">
        <v>474</v>
      </c>
      <c r="D748" s="10">
        <v>411810</v>
      </c>
      <c r="E748" s="43" t="s">
        <v>10</v>
      </c>
      <c r="F748" s="8">
        <f>_xlfn.IFNA(INDEX('OSA | 3GB'!J:L,MATCH(DATA!D748,'OSA | 3GB'!J:J,0),2),0)</f>
        <v>3</v>
      </c>
      <c r="G748" s="8">
        <f>_xlfn.IFNA(INDEX('OSA | 3GB'!J:L,MATCH(DATA!D748,'OSA | 3GB'!J:J,0),3),0)</f>
        <v>6100000</v>
      </c>
      <c r="H748" s="32" t="str">
        <f>_xlfn.IFNA(INDEX('OSA | 3GB'!A:C,MATCH(DATA!D748,'OSA | 3GB'!A:A,0),2),0)</f>
        <v xml:space="preserve"> -   </v>
      </c>
      <c r="I748" s="33">
        <f>_xlfn.IFNA(INDEX('OSA | 3GB'!A:C,MATCH(DATA!D748,'OSA | 3GB'!A:A,0),3),0)</f>
        <v>1400000</v>
      </c>
      <c r="J748" s="33">
        <f>INDEX('BIO WAHYU'!B:G,MATCH(DATA!D748,'BIO WAHYU'!B:B,0),5)</f>
        <v>3</v>
      </c>
      <c r="K748" s="34">
        <f>INDEX('BIO WAHYU'!B:G,MATCH(DATA!D748,'BIO WAHYU'!B:B,0),6)</f>
        <v>0</v>
      </c>
      <c r="L748" s="35">
        <f>INDEX('BIO WAHYU'!B:H,MATCH(DATA!D748,'BIO WAHYU'!B:B,0),7)</f>
        <v>0</v>
      </c>
      <c r="M748" s="34">
        <f>INDEX('BIO WAHYU'!B:H,MATCH(DATA!D748,'BIO WAHYU'!B:B,0),4)</f>
        <v>0</v>
      </c>
    </row>
    <row r="749" spans="1:13">
      <c r="A749" s="43" t="s">
        <v>1671</v>
      </c>
      <c r="B749" s="43">
        <v>2613050885</v>
      </c>
      <c r="C749" s="43" t="s">
        <v>287</v>
      </c>
      <c r="D749" s="10">
        <v>376433</v>
      </c>
      <c r="E749" s="43" t="s">
        <v>10</v>
      </c>
      <c r="F749" s="8">
        <f>_xlfn.IFNA(INDEX('OSA | 3GB'!J:L,MATCH(DATA!D749,'OSA | 3GB'!J:J,0),2),0)</f>
        <v>7</v>
      </c>
      <c r="G749" s="8">
        <f>_xlfn.IFNA(INDEX('OSA | 3GB'!J:L,MATCH(DATA!D749,'OSA | 3GB'!J:J,0),3),0)</f>
        <v>13187000</v>
      </c>
      <c r="H749" s="32">
        <f>_xlfn.IFNA(INDEX('OSA | 3GB'!A:C,MATCH(DATA!D749,'OSA | 3GB'!A:A,0),2),0)</f>
        <v>3</v>
      </c>
      <c r="I749" s="33" t="str">
        <f>_xlfn.IFNA(INDEX('OSA | 3GB'!A:C,MATCH(DATA!D749,'OSA | 3GB'!A:A,0),3),0)</f>
        <v xml:space="preserve"> -   </v>
      </c>
      <c r="J749" s="33">
        <f>INDEX('BIO WAHYU'!B:G,MATCH(DATA!D749,'BIO WAHYU'!B:B,0),5)</f>
        <v>3</v>
      </c>
      <c r="K749" s="34">
        <f>INDEX('BIO WAHYU'!B:G,MATCH(DATA!D749,'BIO WAHYU'!B:B,0),6)</f>
        <v>1</v>
      </c>
      <c r="L749" s="35">
        <f>INDEX('BIO WAHYU'!B:H,MATCH(DATA!D749,'BIO WAHYU'!B:B,0),7)</f>
        <v>0</v>
      </c>
      <c r="M749" s="34">
        <f>INDEX('BIO WAHYU'!B:H,MATCH(DATA!D749,'BIO WAHYU'!B:B,0),4)</f>
        <v>0</v>
      </c>
    </row>
    <row r="750" spans="1:13">
      <c r="A750" s="43" t="s">
        <v>1672</v>
      </c>
      <c r="B750" s="43" t="s">
        <v>157</v>
      </c>
      <c r="C750" s="43" t="s">
        <v>1029</v>
      </c>
      <c r="D750" s="10">
        <v>250263</v>
      </c>
      <c r="E750" s="43" t="s">
        <v>10</v>
      </c>
      <c r="F750" s="8">
        <f>_xlfn.IFNA(INDEX('OSA | 3GB'!J:L,MATCH(DATA!D750,'OSA | 3GB'!J:J,0),2),0)</f>
        <v>3</v>
      </c>
      <c r="G750" s="8">
        <f>_xlfn.IFNA(INDEX('OSA | 3GB'!J:L,MATCH(DATA!D750,'OSA | 3GB'!J:J,0),3),0)</f>
        <v>179000</v>
      </c>
      <c r="H750" s="32">
        <f>_xlfn.IFNA(INDEX('OSA | 3GB'!A:C,MATCH(DATA!D750,'OSA | 3GB'!A:A,0),2),0)</f>
        <v>1</v>
      </c>
      <c r="I750" s="33">
        <f>_xlfn.IFNA(INDEX('OSA | 3GB'!A:C,MATCH(DATA!D750,'OSA | 3GB'!A:A,0),3),0)</f>
        <v>29000</v>
      </c>
      <c r="J750" s="33">
        <f>INDEX('BIO WAHYU'!B:G,MATCH(DATA!D750,'BIO WAHYU'!B:B,0),5)</f>
        <v>3</v>
      </c>
      <c r="K750" s="34">
        <f>INDEX('BIO WAHYU'!B:G,MATCH(DATA!D750,'BIO WAHYU'!B:B,0),6)</f>
        <v>0</v>
      </c>
      <c r="L750" s="35">
        <f>INDEX('BIO WAHYU'!B:H,MATCH(DATA!D750,'BIO WAHYU'!B:B,0),7)</f>
        <v>0</v>
      </c>
      <c r="M750" s="34">
        <f>INDEX('BIO WAHYU'!B:H,MATCH(DATA!D750,'BIO WAHYU'!B:B,0),4)</f>
        <v>0</v>
      </c>
    </row>
    <row r="751" spans="1:13">
      <c r="A751" s="43" t="s">
        <v>1672</v>
      </c>
      <c r="B751" s="43" t="s">
        <v>157</v>
      </c>
      <c r="C751" s="43" t="s">
        <v>1065</v>
      </c>
      <c r="D751" s="10">
        <v>63855</v>
      </c>
      <c r="E751" s="43" t="s">
        <v>10</v>
      </c>
      <c r="F751" s="8">
        <f>_xlfn.IFNA(INDEX('OSA | 3GB'!J:L,MATCH(DATA!D751,'OSA | 3GB'!J:J,0),2),0)</f>
        <v>0</v>
      </c>
      <c r="G751" s="8">
        <f>_xlfn.IFNA(INDEX('OSA | 3GB'!J:L,MATCH(DATA!D751,'OSA | 3GB'!J:J,0),3),0)</f>
        <v>1979000</v>
      </c>
      <c r="H751" s="32">
        <f>_xlfn.IFNA(INDEX('OSA | 3GB'!A:C,MATCH(DATA!D751,'OSA | 3GB'!A:A,0),2),0)</f>
        <v>1</v>
      </c>
      <c r="I751" s="33">
        <f>_xlfn.IFNA(INDEX('OSA | 3GB'!A:C,MATCH(DATA!D751,'OSA | 3GB'!A:A,0),3),0)</f>
        <v>879000</v>
      </c>
      <c r="J751" s="33">
        <f>INDEX('BIO WAHYU'!B:G,MATCH(DATA!D751,'BIO WAHYU'!B:B,0),5)</f>
        <v>1</v>
      </c>
      <c r="K751" s="34">
        <f>INDEX('BIO WAHYU'!B:G,MATCH(DATA!D751,'BIO WAHYU'!B:B,0),6)</f>
        <v>3</v>
      </c>
      <c r="L751" s="35">
        <f>INDEX('BIO WAHYU'!B:H,MATCH(DATA!D751,'BIO WAHYU'!B:B,0),7)</f>
        <v>2</v>
      </c>
      <c r="M751" s="34">
        <f>INDEX('BIO WAHYU'!B:H,MATCH(DATA!D751,'BIO WAHYU'!B:B,0),4)</f>
        <v>0</v>
      </c>
    </row>
    <row r="752" spans="1:13">
      <c r="A752" s="43" t="s">
        <v>1671</v>
      </c>
      <c r="B752" s="43" t="s">
        <v>142</v>
      </c>
      <c r="C752" s="43" t="s">
        <v>1371</v>
      </c>
      <c r="D752" s="10">
        <v>514827</v>
      </c>
      <c r="E752" s="43" t="s">
        <v>10</v>
      </c>
      <c r="F752" s="8">
        <f>_xlfn.IFNA(INDEX('OSA | 3GB'!J:L,MATCH(DATA!D752,'OSA | 3GB'!J:J,0),2),0)</f>
        <v>18</v>
      </c>
      <c r="G752" s="8">
        <f>_xlfn.IFNA(INDEX('OSA | 3GB'!J:L,MATCH(DATA!D752,'OSA | 3GB'!J:J,0),3),0)</f>
        <v>11137000</v>
      </c>
      <c r="H752" s="32">
        <f>_xlfn.IFNA(INDEX('OSA | 3GB'!A:C,MATCH(DATA!D752,'OSA | 3GB'!A:A,0),2),0)</f>
        <v>4</v>
      </c>
      <c r="I752" s="33">
        <f>_xlfn.IFNA(INDEX('OSA | 3GB'!A:C,MATCH(DATA!D752,'OSA | 3GB'!A:A,0),3),0)</f>
        <v>2416000</v>
      </c>
      <c r="J752" s="33">
        <f>INDEX('BIO WAHYU'!B:G,MATCH(DATA!D752,'BIO WAHYU'!B:B,0),5)</f>
        <v>1</v>
      </c>
      <c r="K752" s="34">
        <f>INDEX('BIO WAHYU'!B:G,MATCH(DATA!D752,'BIO WAHYU'!B:B,0),6)</f>
        <v>5</v>
      </c>
      <c r="L752" s="35">
        <f>INDEX('BIO WAHYU'!B:H,MATCH(DATA!D752,'BIO WAHYU'!B:B,0),7)</f>
        <v>4</v>
      </c>
      <c r="M752" s="34">
        <f>INDEX('BIO WAHYU'!B:H,MATCH(DATA!D752,'BIO WAHYU'!B:B,0),4)</f>
        <v>0</v>
      </c>
    </row>
    <row r="753" spans="1:13">
      <c r="A753" s="43" t="s">
        <v>1673</v>
      </c>
      <c r="B753" s="43" t="s">
        <v>141</v>
      </c>
      <c r="C753" s="43" t="s">
        <v>191</v>
      </c>
      <c r="D753" s="10">
        <v>12322463</v>
      </c>
      <c r="E753" s="43" t="s">
        <v>10</v>
      </c>
      <c r="F753" s="8">
        <f>_xlfn.IFNA(INDEX('OSA | 3GB'!J:L,MATCH(DATA!D753,'OSA | 3GB'!J:J,0),2),0)</f>
        <v>0</v>
      </c>
      <c r="G753" s="8">
        <f>_xlfn.IFNA(INDEX('OSA | 3GB'!J:L,MATCH(DATA!D753,'OSA | 3GB'!J:J,0),3),0)</f>
        <v>24358000</v>
      </c>
      <c r="H753" s="32" t="str">
        <f>_xlfn.IFNA(INDEX('OSA | 3GB'!A:C,MATCH(DATA!D753,'OSA | 3GB'!A:A,0),2),0)</f>
        <v xml:space="preserve"> -   </v>
      </c>
      <c r="I753" s="33">
        <f>_xlfn.IFNA(INDEX('OSA | 3GB'!A:C,MATCH(DATA!D753,'OSA | 3GB'!A:A,0),3),0)</f>
        <v>7000000</v>
      </c>
      <c r="J753" s="33">
        <f>INDEX('BIO WAHYU'!B:G,MATCH(DATA!D753,'BIO WAHYU'!B:B,0),5)</f>
        <v>2</v>
      </c>
      <c r="K753" s="34">
        <f>INDEX('BIO WAHYU'!B:G,MATCH(DATA!D753,'BIO WAHYU'!B:B,0),6)</f>
        <v>1</v>
      </c>
      <c r="L753" s="35">
        <f>INDEX('BIO WAHYU'!B:H,MATCH(DATA!D753,'BIO WAHYU'!B:B,0),7)</f>
        <v>0</v>
      </c>
      <c r="M753" s="34">
        <f>INDEX('BIO WAHYU'!B:H,MATCH(DATA!D753,'BIO WAHYU'!B:B,0),4)</f>
        <v>0</v>
      </c>
    </row>
    <row r="754" spans="1:13">
      <c r="A754" s="43" t="s">
        <v>1671</v>
      </c>
      <c r="B754" s="43">
        <v>2613050886</v>
      </c>
      <c r="C754" s="43" t="s">
        <v>333</v>
      </c>
      <c r="D754" s="10">
        <v>533910</v>
      </c>
      <c r="E754" s="43" t="s">
        <v>15</v>
      </c>
      <c r="F754" s="8">
        <f>_xlfn.IFNA(INDEX('OSA | 3GB'!J:L,MATCH(DATA!D754,'OSA | 3GB'!J:J,0),2),0)</f>
        <v>101</v>
      </c>
      <c r="G754" s="8">
        <f>_xlfn.IFNA(INDEX('OSA | 3GB'!J:L,MATCH(DATA!D754,'OSA | 3GB'!J:J,0),3),0)</f>
        <v>25000</v>
      </c>
      <c r="H754" s="32" t="str">
        <f>_xlfn.IFNA(INDEX('OSA | 3GB'!A:C,MATCH(DATA!D754,'OSA | 3GB'!A:A,0),2),0)</f>
        <v xml:space="preserve"> -   </v>
      </c>
      <c r="I754" s="33" t="str">
        <f>_xlfn.IFNA(INDEX('OSA | 3GB'!A:C,MATCH(DATA!D754,'OSA | 3GB'!A:A,0),3),0)</f>
        <v xml:space="preserve"> -   </v>
      </c>
      <c r="J754" s="33">
        <f>INDEX('BIO WAHYU'!B:G,MATCH(DATA!D754,'BIO WAHYU'!B:B,0),5)</f>
        <v>4</v>
      </c>
      <c r="K754" s="34">
        <f>INDEX('BIO WAHYU'!B:G,MATCH(DATA!D754,'BIO WAHYU'!B:B,0),6)</f>
        <v>3</v>
      </c>
      <c r="L754" s="35">
        <f>INDEX('BIO WAHYU'!B:H,MATCH(DATA!D754,'BIO WAHYU'!B:B,0),7)</f>
        <v>0</v>
      </c>
      <c r="M754" s="34">
        <f>INDEX('BIO WAHYU'!B:H,MATCH(DATA!D754,'BIO WAHYU'!B:B,0),4)</f>
        <v>0</v>
      </c>
    </row>
    <row r="755" spans="1:13">
      <c r="A755" s="43" t="s">
        <v>1670</v>
      </c>
      <c r="B755" s="43">
        <v>2613051412</v>
      </c>
      <c r="C755" s="43" t="s">
        <v>560</v>
      </c>
      <c r="D755" s="10">
        <v>395702</v>
      </c>
      <c r="E755" s="43" t="s">
        <v>10</v>
      </c>
      <c r="F755" s="8">
        <f>_xlfn.IFNA(INDEX('OSA | 3GB'!J:L,MATCH(DATA!D755,'OSA | 3GB'!J:J,0),2),0)</f>
        <v>0</v>
      </c>
      <c r="G755" s="8">
        <f>_xlfn.IFNA(INDEX('OSA | 3GB'!J:L,MATCH(DATA!D755,'OSA | 3GB'!J:J,0),3),0)</f>
        <v>1000000</v>
      </c>
      <c r="H755" s="32" t="str">
        <f>_xlfn.IFNA(INDEX('OSA | 3GB'!A:C,MATCH(DATA!D755,'OSA | 3GB'!A:A,0),2),0)</f>
        <v xml:space="preserve"> -   </v>
      </c>
      <c r="I755" s="33" t="str">
        <f>_xlfn.IFNA(INDEX('OSA | 3GB'!A:C,MATCH(DATA!D755,'OSA | 3GB'!A:A,0),3),0)</f>
        <v xml:space="preserve"> -   </v>
      </c>
      <c r="J755" s="33">
        <f>INDEX('BIO WAHYU'!B:G,MATCH(DATA!D755,'BIO WAHYU'!B:B,0),5)</f>
        <v>0</v>
      </c>
      <c r="K755" s="34">
        <f>INDEX('BIO WAHYU'!B:G,MATCH(DATA!D755,'BIO WAHYU'!B:B,0),6)</f>
        <v>0</v>
      </c>
      <c r="L755" s="35">
        <f>INDEX('BIO WAHYU'!B:H,MATCH(DATA!D755,'BIO WAHYU'!B:B,0),7)</f>
        <v>0</v>
      </c>
      <c r="M755" s="34">
        <f>INDEX('BIO WAHYU'!B:H,MATCH(DATA!D755,'BIO WAHYU'!B:B,0),4)</f>
        <v>0</v>
      </c>
    </row>
    <row r="756" spans="1:13">
      <c r="A756" s="43" t="s">
        <v>1</v>
      </c>
      <c r="B756" s="43" t="s">
        <v>5</v>
      </c>
      <c r="C756" s="43" t="s">
        <v>77</v>
      </c>
      <c r="D756" s="10">
        <v>12313881</v>
      </c>
      <c r="E756" s="43" t="s">
        <v>10</v>
      </c>
      <c r="F756" s="8">
        <f>_xlfn.IFNA(INDEX('OSA | 3GB'!J:L,MATCH(DATA!D756,'OSA | 3GB'!J:J,0),2),0)</f>
        <v>21</v>
      </c>
      <c r="G756" s="8">
        <f>_xlfn.IFNA(INDEX('OSA | 3GB'!J:L,MATCH(DATA!D756,'OSA | 3GB'!J:J,0),3),0)</f>
        <v>19609000</v>
      </c>
      <c r="H756" s="32">
        <f>_xlfn.IFNA(INDEX('OSA | 3GB'!A:C,MATCH(DATA!D756,'OSA | 3GB'!A:A,0),2),0)</f>
        <v>4</v>
      </c>
      <c r="I756" s="33">
        <f>_xlfn.IFNA(INDEX('OSA | 3GB'!A:C,MATCH(DATA!D756,'OSA | 3GB'!A:A,0),3),0)</f>
        <v>8000000</v>
      </c>
      <c r="J756" s="33">
        <f>INDEX('BIO WAHYU'!B:G,MATCH(DATA!D756,'BIO WAHYU'!B:B,0),5)</f>
        <v>48</v>
      </c>
      <c r="K756" s="34">
        <f>INDEX('BIO WAHYU'!B:G,MATCH(DATA!D756,'BIO WAHYU'!B:B,0),6)</f>
        <v>42</v>
      </c>
      <c r="L756" s="35">
        <f>INDEX('BIO WAHYU'!B:H,MATCH(DATA!D756,'BIO WAHYU'!B:B,0),7)</f>
        <v>0</v>
      </c>
      <c r="M756" s="34">
        <f>INDEX('BIO WAHYU'!B:H,MATCH(DATA!D756,'BIO WAHYU'!B:B,0),4)</f>
        <v>1</v>
      </c>
    </row>
    <row r="757" spans="1:13">
      <c r="A757" s="43" t="s">
        <v>1673</v>
      </c>
      <c r="B757" s="43" t="s">
        <v>143</v>
      </c>
      <c r="C757" s="43" t="s">
        <v>1372</v>
      </c>
      <c r="D757" s="10">
        <v>559146</v>
      </c>
      <c r="E757" s="43" t="s">
        <v>10</v>
      </c>
      <c r="F757" s="8">
        <f>_xlfn.IFNA(INDEX('OSA | 3GB'!J:L,MATCH(DATA!D757,'OSA | 3GB'!J:J,0),2),0)</f>
        <v>3</v>
      </c>
      <c r="G757" s="8">
        <f>_xlfn.IFNA(INDEX('OSA | 3GB'!J:L,MATCH(DATA!D757,'OSA | 3GB'!J:J,0),3),0)</f>
        <v>1008000</v>
      </c>
      <c r="H757" s="32" t="str">
        <f>_xlfn.IFNA(INDEX('OSA | 3GB'!A:C,MATCH(DATA!D757,'OSA | 3GB'!A:A,0),2),0)</f>
        <v xml:space="preserve"> -   </v>
      </c>
      <c r="I757" s="33">
        <f>_xlfn.IFNA(INDEX('OSA | 3GB'!A:C,MATCH(DATA!D757,'OSA | 3GB'!A:A,0),3),0)</f>
        <v>500000</v>
      </c>
      <c r="J757" s="33">
        <f>INDEX('BIO WAHYU'!B:G,MATCH(DATA!D757,'BIO WAHYU'!B:B,0),5)</f>
        <v>3</v>
      </c>
      <c r="K757" s="34">
        <f>INDEX('BIO WAHYU'!B:G,MATCH(DATA!D757,'BIO WAHYU'!B:B,0),6)</f>
        <v>0</v>
      </c>
      <c r="L757" s="35">
        <f>INDEX('BIO WAHYU'!B:H,MATCH(DATA!D757,'BIO WAHYU'!B:B,0),7)</f>
        <v>0</v>
      </c>
      <c r="M757" s="34">
        <f>INDEX('BIO WAHYU'!B:H,MATCH(DATA!D757,'BIO WAHYU'!B:B,0),4)</f>
        <v>0</v>
      </c>
    </row>
    <row r="758" spans="1:13">
      <c r="A758" s="43" t="s">
        <v>1674</v>
      </c>
      <c r="B758" s="43" t="s">
        <v>153</v>
      </c>
      <c r="C758" s="43" t="s">
        <v>1373</v>
      </c>
      <c r="D758" s="10">
        <v>2083</v>
      </c>
      <c r="E758" s="43" t="s">
        <v>10</v>
      </c>
      <c r="F758" s="8">
        <f>_xlfn.IFNA(INDEX('OSA | 3GB'!J:L,MATCH(DATA!D758,'OSA | 3GB'!J:J,0),2),0)</f>
        <v>4</v>
      </c>
      <c r="G758" s="8">
        <f>_xlfn.IFNA(INDEX('OSA | 3GB'!J:L,MATCH(DATA!D758,'OSA | 3GB'!J:J,0),3),0)</f>
        <v>1837000</v>
      </c>
      <c r="H758" s="32" t="str">
        <f>_xlfn.IFNA(INDEX('OSA | 3GB'!A:C,MATCH(DATA!D758,'OSA | 3GB'!A:A,0),2),0)</f>
        <v xml:space="preserve"> -   </v>
      </c>
      <c r="I758" s="33">
        <f>_xlfn.IFNA(INDEX('OSA | 3GB'!A:C,MATCH(DATA!D758,'OSA | 3GB'!A:A,0),3),0)</f>
        <v>750000</v>
      </c>
      <c r="J758" s="33">
        <f>INDEX('BIO WAHYU'!B:G,MATCH(DATA!D758,'BIO WAHYU'!B:B,0),5)</f>
        <v>3</v>
      </c>
      <c r="K758" s="34">
        <f>INDEX('BIO WAHYU'!B:G,MATCH(DATA!D758,'BIO WAHYU'!B:B,0),6)</f>
        <v>0</v>
      </c>
      <c r="L758" s="35">
        <f>INDEX('BIO WAHYU'!B:H,MATCH(DATA!D758,'BIO WAHYU'!B:B,0),7)</f>
        <v>0</v>
      </c>
      <c r="M758" s="34">
        <f>INDEX('BIO WAHYU'!B:H,MATCH(DATA!D758,'BIO WAHYU'!B:B,0),4)</f>
        <v>0</v>
      </c>
    </row>
    <row r="759" spans="1:13">
      <c r="A759" s="43" t="s">
        <v>1673</v>
      </c>
      <c r="B759" s="43" t="s">
        <v>144</v>
      </c>
      <c r="C759" s="43" t="s">
        <v>212</v>
      </c>
      <c r="D759" s="10">
        <v>12300143</v>
      </c>
      <c r="E759" s="43" t="s">
        <v>10</v>
      </c>
      <c r="F759" s="8">
        <f>_xlfn.IFNA(INDEX('OSA | 3GB'!J:L,MATCH(DATA!D759,'OSA | 3GB'!J:J,0),2),0)</f>
        <v>30</v>
      </c>
      <c r="G759" s="8">
        <f>_xlfn.IFNA(INDEX('OSA | 3GB'!J:L,MATCH(DATA!D759,'OSA | 3GB'!J:J,0),3),0)</f>
        <v>8387000</v>
      </c>
      <c r="H759" s="32" t="str">
        <f>_xlfn.IFNA(INDEX('OSA | 3GB'!A:C,MATCH(DATA!D759,'OSA | 3GB'!A:A,0),2),0)</f>
        <v xml:space="preserve"> -   </v>
      </c>
      <c r="I759" s="33">
        <f>_xlfn.IFNA(INDEX('OSA | 3GB'!A:C,MATCH(DATA!D759,'OSA | 3GB'!A:A,0),3),0)</f>
        <v>2600000</v>
      </c>
      <c r="J759" s="33">
        <f>INDEX('BIO WAHYU'!B:G,MATCH(DATA!D759,'BIO WAHYU'!B:B,0),5)</f>
        <v>3</v>
      </c>
      <c r="K759" s="34">
        <f>INDEX('BIO WAHYU'!B:G,MATCH(DATA!D759,'BIO WAHYU'!B:B,0),6)</f>
        <v>3</v>
      </c>
      <c r="L759" s="35">
        <f>INDEX('BIO WAHYU'!B:H,MATCH(DATA!D759,'BIO WAHYU'!B:B,0),7)</f>
        <v>0</v>
      </c>
      <c r="M759" s="34">
        <f>INDEX('BIO WAHYU'!B:H,MATCH(DATA!D759,'BIO WAHYU'!B:B,0),4)</f>
        <v>0</v>
      </c>
    </row>
    <row r="760" spans="1:13">
      <c r="A760" s="43" t="s">
        <v>1671</v>
      </c>
      <c r="B760" s="43" t="s">
        <v>142</v>
      </c>
      <c r="C760" s="43" t="s">
        <v>1374</v>
      </c>
      <c r="D760" s="10">
        <v>545547</v>
      </c>
      <c r="E760" s="43" t="s">
        <v>10</v>
      </c>
      <c r="F760" s="8">
        <f>_xlfn.IFNA(INDEX('OSA | 3GB'!J:L,MATCH(DATA!D760,'OSA | 3GB'!J:J,0),2),0)</f>
        <v>1</v>
      </c>
      <c r="G760" s="8">
        <f>_xlfn.IFNA(INDEX('OSA | 3GB'!J:L,MATCH(DATA!D760,'OSA | 3GB'!J:J,0),3),0)</f>
        <v>2400000</v>
      </c>
      <c r="H760" s="32" t="str">
        <f>_xlfn.IFNA(INDEX('OSA | 3GB'!A:C,MATCH(DATA!D760,'OSA | 3GB'!A:A,0),2),0)</f>
        <v xml:space="preserve"> -   </v>
      </c>
      <c r="I760" s="33">
        <f>_xlfn.IFNA(INDEX('OSA | 3GB'!A:C,MATCH(DATA!D760,'OSA | 3GB'!A:A,0),3),0)</f>
        <v>700000</v>
      </c>
      <c r="J760" s="33">
        <f>INDEX('BIO WAHYU'!B:G,MATCH(DATA!D760,'BIO WAHYU'!B:B,0),5)</f>
        <v>1</v>
      </c>
      <c r="K760" s="34">
        <f>INDEX('BIO WAHYU'!B:G,MATCH(DATA!D760,'BIO WAHYU'!B:B,0),6)</f>
        <v>1</v>
      </c>
      <c r="L760" s="35">
        <f>INDEX('BIO WAHYU'!B:H,MATCH(DATA!D760,'BIO WAHYU'!B:B,0),7)</f>
        <v>0</v>
      </c>
      <c r="M760" s="34">
        <f>INDEX('BIO WAHYU'!B:H,MATCH(DATA!D760,'BIO WAHYU'!B:B,0),4)</f>
        <v>0</v>
      </c>
    </row>
    <row r="761" spans="1:13">
      <c r="A761" s="43" t="s">
        <v>1670</v>
      </c>
      <c r="B761" s="43">
        <v>2613052584</v>
      </c>
      <c r="C761" s="43" t="s">
        <v>584</v>
      </c>
      <c r="D761" s="10">
        <v>306756</v>
      </c>
      <c r="E761" s="43" t="s">
        <v>10</v>
      </c>
      <c r="F761" s="8">
        <f>_xlfn.IFNA(INDEX('OSA | 3GB'!J:L,MATCH(DATA!D761,'OSA | 3GB'!J:J,0),2),0)</f>
        <v>0</v>
      </c>
      <c r="G761" s="8">
        <f>_xlfn.IFNA(INDEX('OSA | 3GB'!J:L,MATCH(DATA!D761,'OSA | 3GB'!J:J,0),3),0)</f>
        <v>2000000</v>
      </c>
      <c r="H761" s="32" t="str">
        <f>_xlfn.IFNA(INDEX('OSA | 3GB'!A:C,MATCH(DATA!D761,'OSA | 3GB'!A:A,0),2),0)</f>
        <v xml:space="preserve"> -   </v>
      </c>
      <c r="I761" s="33">
        <f>_xlfn.IFNA(INDEX('OSA | 3GB'!A:C,MATCH(DATA!D761,'OSA | 3GB'!A:A,0),3),0)</f>
        <v>500000</v>
      </c>
      <c r="J761" s="33">
        <f>INDEX('BIO WAHYU'!B:G,MATCH(DATA!D761,'BIO WAHYU'!B:B,0),5)</f>
        <v>0</v>
      </c>
      <c r="K761" s="34">
        <f>INDEX('BIO WAHYU'!B:G,MATCH(DATA!D761,'BIO WAHYU'!B:B,0),6)</f>
        <v>0</v>
      </c>
      <c r="L761" s="35">
        <f>INDEX('BIO WAHYU'!B:H,MATCH(DATA!D761,'BIO WAHYU'!B:B,0),7)</f>
        <v>0</v>
      </c>
      <c r="M761" s="34">
        <f>INDEX('BIO WAHYU'!B:H,MATCH(DATA!D761,'BIO WAHYU'!B:B,0),4)</f>
        <v>0</v>
      </c>
    </row>
    <row r="762" spans="1:13">
      <c r="A762" s="43" t="s">
        <v>1674</v>
      </c>
      <c r="B762" s="43" t="s">
        <v>152</v>
      </c>
      <c r="C762" s="43" t="s">
        <v>679</v>
      </c>
      <c r="D762" s="10">
        <v>62369</v>
      </c>
      <c r="E762" s="43" t="s">
        <v>10</v>
      </c>
      <c r="F762" s="8">
        <f>_xlfn.IFNA(INDEX('OSA | 3GB'!J:L,MATCH(DATA!D762,'OSA | 3GB'!J:J,0),2),0)</f>
        <v>1</v>
      </c>
      <c r="G762" s="8">
        <f>_xlfn.IFNA(INDEX('OSA | 3GB'!J:L,MATCH(DATA!D762,'OSA | 3GB'!J:J,0),3),0)</f>
        <v>4500000</v>
      </c>
      <c r="H762" s="32" t="str">
        <f>_xlfn.IFNA(INDEX('OSA | 3GB'!A:C,MATCH(DATA!D762,'OSA | 3GB'!A:A,0),2),0)</f>
        <v xml:space="preserve"> -   </v>
      </c>
      <c r="I762" s="33">
        <f>_xlfn.IFNA(INDEX('OSA | 3GB'!A:C,MATCH(DATA!D762,'OSA | 3GB'!A:A,0),3),0)</f>
        <v>1050000</v>
      </c>
      <c r="J762" s="33">
        <f>INDEX('BIO WAHYU'!B:G,MATCH(DATA!D762,'BIO WAHYU'!B:B,0),5)</f>
        <v>2</v>
      </c>
      <c r="K762" s="34">
        <f>INDEX('BIO WAHYU'!B:G,MATCH(DATA!D762,'BIO WAHYU'!B:B,0),6)</f>
        <v>1</v>
      </c>
      <c r="L762" s="35">
        <f>INDEX('BIO WAHYU'!B:H,MATCH(DATA!D762,'BIO WAHYU'!B:B,0),7)</f>
        <v>0</v>
      </c>
      <c r="M762" s="34">
        <f>INDEX('BIO WAHYU'!B:H,MATCH(DATA!D762,'BIO WAHYU'!B:B,0),4)</f>
        <v>0</v>
      </c>
    </row>
    <row r="763" spans="1:13">
      <c r="A763" s="43" t="s">
        <v>1673</v>
      </c>
      <c r="B763" s="43" t="s">
        <v>1140</v>
      </c>
      <c r="C763" s="43" t="s">
        <v>1375</v>
      </c>
      <c r="D763" s="10">
        <v>287843</v>
      </c>
      <c r="E763" s="43" t="s">
        <v>15</v>
      </c>
      <c r="F763" s="8">
        <f>_xlfn.IFNA(INDEX('OSA | 3GB'!J:L,MATCH(DATA!D763,'OSA | 3GB'!J:J,0),2),0)</f>
        <v>3</v>
      </c>
      <c r="G763" s="8">
        <f>_xlfn.IFNA(INDEX('OSA | 3GB'!J:L,MATCH(DATA!D763,'OSA | 3GB'!J:J,0),3),0)</f>
        <v>2500000</v>
      </c>
      <c r="H763" s="32" t="str">
        <f>_xlfn.IFNA(INDEX('OSA | 3GB'!A:C,MATCH(DATA!D763,'OSA | 3GB'!A:A,0),2),0)</f>
        <v xml:space="preserve"> -   </v>
      </c>
      <c r="I763" s="33">
        <f>_xlfn.IFNA(INDEX('OSA | 3GB'!A:C,MATCH(DATA!D763,'OSA | 3GB'!A:A,0),3),0)</f>
        <v>300000</v>
      </c>
      <c r="J763" s="33">
        <f>INDEX('BIO WAHYU'!B:G,MATCH(DATA!D763,'BIO WAHYU'!B:B,0),5)</f>
        <v>1</v>
      </c>
      <c r="K763" s="34">
        <f>INDEX('BIO WAHYU'!B:G,MATCH(DATA!D763,'BIO WAHYU'!B:B,0),6)</f>
        <v>1</v>
      </c>
      <c r="L763" s="35">
        <f>INDEX('BIO WAHYU'!B:H,MATCH(DATA!D763,'BIO WAHYU'!B:B,0),7)</f>
        <v>0</v>
      </c>
      <c r="M763" s="34">
        <f>INDEX('BIO WAHYU'!B:H,MATCH(DATA!D763,'BIO WAHYU'!B:B,0),4)</f>
        <v>0</v>
      </c>
    </row>
    <row r="764" spans="1:13">
      <c r="A764" s="43" t="s">
        <v>1673</v>
      </c>
      <c r="B764" s="43" t="s">
        <v>143</v>
      </c>
      <c r="C764" s="43" t="s">
        <v>268</v>
      </c>
      <c r="D764" s="10">
        <v>517137</v>
      </c>
      <c r="E764" s="43" t="s">
        <v>10</v>
      </c>
      <c r="F764" s="8">
        <f>_xlfn.IFNA(INDEX('OSA | 3GB'!J:L,MATCH(DATA!D764,'OSA | 3GB'!J:J,0),2),0)</f>
        <v>3</v>
      </c>
      <c r="G764" s="8">
        <f>_xlfn.IFNA(INDEX('OSA | 3GB'!J:L,MATCH(DATA!D764,'OSA | 3GB'!J:J,0),3),0)</f>
        <v>900000</v>
      </c>
      <c r="H764" s="32" t="str">
        <f>_xlfn.IFNA(INDEX('OSA | 3GB'!A:C,MATCH(DATA!D764,'OSA | 3GB'!A:A,0),2),0)</f>
        <v xml:space="preserve"> -   </v>
      </c>
      <c r="I764" s="33">
        <f>_xlfn.IFNA(INDEX('OSA | 3GB'!A:C,MATCH(DATA!D764,'OSA | 3GB'!A:A,0),3),0)</f>
        <v>300000</v>
      </c>
      <c r="J764" s="33">
        <f>INDEX('BIO WAHYU'!B:G,MATCH(DATA!D764,'BIO WAHYU'!B:B,0),5)</f>
        <v>0</v>
      </c>
      <c r="K764" s="34">
        <f>INDEX('BIO WAHYU'!B:G,MATCH(DATA!D764,'BIO WAHYU'!B:B,0),6)</f>
        <v>2</v>
      </c>
      <c r="L764" s="35">
        <f>INDEX('BIO WAHYU'!B:H,MATCH(DATA!D764,'BIO WAHYU'!B:B,0),7)</f>
        <v>2</v>
      </c>
      <c r="M764" s="34">
        <f>INDEX('BIO WAHYU'!B:H,MATCH(DATA!D764,'BIO WAHYU'!B:B,0),4)</f>
        <v>0</v>
      </c>
    </row>
    <row r="765" spans="1:13">
      <c r="A765" s="43" t="s">
        <v>1671</v>
      </c>
      <c r="B765" s="43" t="s">
        <v>142</v>
      </c>
      <c r="C765" s="43" t="s">
        <v>357</v>
      </c>
      <c r="D765" s="10">
        <v>513384</v>
      </c>
      <c r="E765" s="43" t="s">
        <v>10</v>
      </c>
      <c r="F765" s="8">
        <f>_xlfn.IFNA(INDEX('OSA | 3GB'!J:L,MATCH(DATA!D765,'OSA | 3GB'!J:J,0),2),0)</f>
        <v>5</v>
      </c>
      <c r="G765" s="8">
        <f>_xlfn.IFNA(INDEX('OSA | 3GB'!J:L,MATCH(DATA!D765,'OSA | 3GB'!J:J,0),3),0)</f>
        <v>9000000</v>
      </c>
      <c r="H765" s="32" t="str">
        <f>_xlfn.IFNA(INDEX('OSA | 3GB'!A:C,MATCH(DATA!D765,'OSA | 3GB'!A:A,0),2),0)</f>
        <v xml:space="preserve"> -   </v>
      </c>
      <c r="I765" s="33">
        <f>_xlfn.IFNA(INDEX('OSA | 3GB'!A:C,MATCH(DATA!D765,'OSA | 3GB'!A:A,0),3),0)</f>
        <v>2000000</v>
      </c>
      <c r="J765" s="33">
        <f>INDEX('BIO WAHYU'!B:G,MATCH(DATA!D765,'BIO WAHYU'!B:B,0),5)</f>
        <v>3</v>
      </c>
      <c r="K765" s="34">
        <f>INDEX('BIO WAHYU'!B:G,MATCH(DATA!D765,'BIO WAHYU'!B:B,0),6)</f>
        <v>1</v>
      </c>
      <c r="L765" s="35">
        <f>INDEX('BIO WAHYU'!B:H,MATCH(DATA!D765,'BIO WAHYU'!B:B,0),7)</f>
        <v>0</v>
      </c>
      <c r="M765" s="34">
        <f>INDEX('BIO WAHYU'!B:H,MATCH(DATA!D765,'BIO WAHYU'!B:B,0),4)</f>
        <v>0</v>
      </c>
    </row>
    <row r="766" spans="1:13">
      <c r="A766" s="43" t="s">
        <v>1675</v>
      </c>
      <c r="B766" s="43" t="s">
        <v>137</v>
      </c>
      <c r="C766" s="43" t="s">
        <v>426</v>
      </c>
      <c r="D766" s="10">
        <v>12296067</v>
      </c>
      <c r="E766" s="43" t="s">
        <v>10</v>
      </c>
      <c r="F766" s="8">
        <f>_xlfn.IFNA(INDEX('OSA | 3GB'!J:L,MATCH(DATA!D766,'OSA | 3GB'!J:J,0),2),0)</f>
        <v>3</v>
      </c>
      <c r="G766" s="8">
        <f>_xlfn.IFNA(INDEX('OSA | 3GB'!J:L,MATCH(DATA!D766,'OSA | 3GB'!J:J,0),3),0)</f>
        <v>1200000</v>
      </c>
      <c r="H766" s="32">
        <f>_xlfn.IFNA(INDEX('OSA | 3GB'!A:C,MATCH(DATA!D766,'OSA | 3GB'!A:A,0),2),0)</f>
        <v>1</v>
      </c>
      <c r="I766" s="33">
        <f>_xlfn.IFNA(INDEX('OSA | 3GB'!A:C,MATCH(DATA!D766,'OSA | 3GB'!A:A,0),3),0)</f>
        <v>700000</v>
      </c>
      <c r="J766" s="33">
        <f>INDEX('BIO WAHYU'!B:G,MATCH(DATA!D766,'BIO WAHYU'!B:B,0),5)</f>
        <v>1</v>
      </c>
      <c r="K766" s="34">
        <f>INDEX('BIO WAHYU'!B:G,MATCH(DATA!D766,'BIO WAHYU'!B:B,0),6)</f>
        <v>1</v>
      </c>
      <c r="L766" s="35">
        <f>INDEX('BIO WAHYU'!B:H,MATCH(DATA!D766,'BIO WAHYU'!B:B,0),7)</f>
        <v>0</v>
      </c>
      <c r="M766" s="34">
        <f>INDEX('BIO WAHYU'!B:H,MATCH(DATA!D766,'BIO WAHYU'!B:B,0),4)</f>
        <v>0</v>
      </c>
    </row>
    <row r="767" spans="1:13">
      <c r="A767" s="43" t="s">
        <v>1674</v>
      </c>
      <c r="B767" s="43" t="s">
        <v>154</v>
      </c>
      <c r="C767" s="43" t="s">
        <v>1376</v>
      </c>
      <c r="D767" s="10">
        <v>557423</v>
      </c>
      <c r="E767" s="43" t="s">
        <v>10</v>
      </c>
      <c r="F767" s="8">
        <f>_xlfn.IFNA(INDEX('OSA | 3GB'!J:L,MATCH(DATA!D767,'OSA | 3GB'!J:J,0),2),0)</f>
        <v>3</v>
      </c>
      <c r="G767" s="8">
        <f>_xlfn.IFNA(INDEX('OSA | 3GB'!J:L,MATCH(DATA!D767,'OSA | 3GB'!J:J,0),3),0)</f>
        <v>1750000</v>
      </c>
      <c r="H767" s="32" t="str">
        <f>_xlfn.IFNA(INDEX('OSA | 3GB'!A:C,MATCH(DATA!D767,'OSA | 3GB'!A:A,0),2),0)</f>
        <v xml:space="preserve"> -   </v>
      </c>
      <c r="I767" s="33" t="str">
        <f>_xlfn.IFNA(INDEX('OSA | 3GB'!A:C,MATCH(DATA!D767,'OSA | 3GB'!A:A,0),3),0)</f>
        <v xml:space="preserve"> -   </v>
      </c>
      <c r="J767" s="33">
        <f>INDEX('BIO WAHYU'!B:G,MATCH(DATA!D767,'BIO WAHYU'!B:B,0),5)</f>
        <v>3</v>
      </c>
      <c r="K767" s="34">
        <f>INDEX('BIO WAHYU'!B:G,MATCH(DATA!D767,'BIO WAHYU'!B:B,0),6)</f>
        <v>0</v>
      </c>
      <c r="L767" s="35">
        <f>INDEX('BIO WAHYU'!B:H,MATCH(DATA!D767,'BIO WAHYU'!B:B,0),7)</f>
        <v>0</v>
      </c>
      <c r="M767" s="34">
        <f>INDEX('BIO WAHYU'!B:H,MATCH(DATA!D767,'BIO WAHYU'!B:B,0),4)</f>
        <v>0</v>
      </c>
    </row>
    <row r="768" spans="1:13">
      <c r="A768" s="43" t="s">
        <v>1672</v>
      </c>
      <c r="B768" s="43" t="s">
        <v>156</v>
      </c>
      <c r="C768" s="43" t="s">
        <v>1377</v>
      </c>
      <c r="D768" s="10">
        <v>126597</v>
      </c>
      <c r="E768" s="43" t="s">
        <v>10</v>
      </c>
      <c r="F768" s="8">
        <f>_xlfn.IFNA(INDEX('OSA | 3GB'!J:L,MATCH(DATA!D768,'OSA | 3GB'!J:J,0),2),0)</f>
        <v>0</v>
      </c>
      <c r="G768" s="8">
        <f>_xlfn.IFNA(INDEX('OSA | 3GB'!J:L,MATCH(DATA!D768,'OSA | 3GB'!J:J,0),3),0)</f>
        <v>0</v>
      </c>
      <c r="H768" s="32" t="str">
        <f>_xlfn.IFNA(INDEX('OSA | 3GB'!A:C,MATCH(DATA!D768,'OSA | 3GB'!A:A,0),2),0)</f>
        <v xml:space="preserve"> -   </v>
      </c>
      <c r="I768" s="33">
        <f>_xlfn.IFNA(INDEX('OSA | 3GB'!A:C,MATCH(DATA!D768,'OSA | 3GB'!A:A,0),3),0)</f>
        <v>1000000</v>
      </c>
      <c r="J768" s="33">
        <f>INDEX('BIO WAHYU'!B:G,MATCH(DATA!D768,'BIO WAHYU'!B:B,0),5)</f>
        <v>0</v>
      </c>
      <c r="K768" s="34">
        <f>INDEX('BIO WAHYU'!B:G,MATCH(DATA!D768,'BIO WAHYU'!B:B,0),6)</f>
        <v>0</v>
      </c>
      <c r="L768" s="35">
        <f>INDEX('BIO WAHYU'!B:H,MATCH(DATA!D768,'BIO WAHYU'!B:B,0),7)</f>
        <v>0</v>
      </c>
      <c r="M768" s="34">
        <f>INDEX('BIO WAHYU'!B:H,MATCH(DATA!D768,'BIO WAHYU'!B:B,0),4)</f>
        <v>0</v>
      </c>
    </row>
    <row r="769" spans="1:13">
      <c r="A769" s="43" t="s">
        <v>1</v>
      </c>
      <c r="B769" s="43" t="s">
        <v>5</v>
      </c>
      <c r="C769" s="43" t="s">
        <v>100</v>
      </c>
      <c r="D769" s="10">
        <v>510295</v>
      </c>
      <c r="E769" s="43" t="s">
        <v>10</v>
      </c>
      <c r="F769" s="8">
        <f>_xlfn.IFNA(INDEX('OSA | 3GB'!J:L,MATCH(DATA!D769,'OSA | 3GB'!J:J,0),2),0)</f>
        <v>4</v>
      </c>
      <c r="G769" s="8">
        <f>_xlfn.IFNA(INDEX('OSA | 3GB'!J:L,MATCH(DATA!D769,'OSA | 3GB'!J:J,0),3),0)</f>
        <v>466000</v>
      </c>
      <c r="H769" s="32">
        <f>_xlfn.IFNA(INDEX('OSA | 3GB'!A:C,MATCH(DATA!D769,'OSA | 3GB'!A:A,0),2),0)</f>
        <v>4</v>
      </c>
      <c r="I769" s="33">
        <f>_xlfn.IFNA(INDEX('OSA | 3GB'!A:C,MATCH(DATA!D769,'OSA | 3GB'!A:A,0),3),0)</f>
        <v>100000</v>
      </c>
      <c r="J769" s="33">
        <f>INDEX('BIO WAHYU'!B:G,MATCH(DATA!D769,'BIO WAHYU'!B:B,0),5)</f>
        <v>3</v>
      </c>
      <c r="K769" s="34">
        <f>INDEX('BIO WAHYU'!B:G,MATCH(DATA!D769,'BIO WAHYU'!B:B,0),6)</f>
        <v>4</v>
      </c>
      <c r="L769" s="35">
        <f>INDEX('BIO WAHYU'!B:H,MATCH(DATA!D769,'BIO WAHYU'!B:B,0),7)</f>
        <v>1</v>
      </c>
      <c r="M769" s="34">
        <f>INDEX('BIO WAHYU'!B:H,MATCH(DATA!D769,'BIO WAHYU'!B:B,0),4)</f>
        <v>0</v>
      </c>
    </row>
    <row r="770" spans="1:13">
      <c r="A770" s="43" t="s">
        <v>1671</v>
      </c>
      <c r="B770" s="43">
        <v>2613050885</v>
      </c>
      <c r="C770" s="43" t="s">
        <v>282</v>
      </c>
      <c r="D770" s="10">
        <v>160207</v>
      </c>
      <c r="E770" s="43" t="s">
        <v>10</v>
      </c>
      <c r="F770" s="8">
        <f>_xlfn.IFNA(INDEX('OSA | 3GB'!J:L,MATCH(DATA!D770,'OSA | 3GB'!J:J,0),2),0)</f>
        <v>1</v>
      </c>
      <c r="G770" s="8">
        <f>_xlfn.IFNA(INDEX('OSA | 3GB'!J:L,MATCH(DATA!D770,'OSA | 3GB'!J:J,0),3),0)</f>
        <v>1950000</v>
      </c>
      <c r="H770" s="32" t="str">
        <f>_xlfn.IFNA(INDEX('OSA | 3GB'!A:C,MATCH(DATA!D770,'OSA | 3GB'!A:A,0),2),0)</f>
        <v xml:space="preserve"> -   </v>
      </c>
      <c r="I770" s="33">
        <f>_xlfn.IFNA(INDEX('OSA | 3GB'!A:C,MATCH(DATA!D770,'OSA | 3GB'!A:A,0),3),0)</f>
        <v>250000</v>
      </c>
      <c r="J770" s="33">
        <f>INDEX('BIO WAHYU'!B:G,MATCH(DATA!D770,'BIO WAHYU'!B:B,0),5)</f>
        <v>2</v>
      </c>
      <c r="K770" s="34">
        <f>INDEX('BIO WAHYU'!B:G,MATCH(DATA!D770,'BIO WAHYU'!B:B,0),6)</f>
        <v>0</v>
      </c>
      <c r="L770" s="35">
        <f>INDEX('BIO WAHYU'!B:H,MATCH(DATA!D770,'BIO WAHYU'!B:B,0),7)</f>
        <v>0</v>
      </c>
      <c r="M770" s="34">
        <f>INDEX('BIO WAHYU'!B:H,MATCH(DATA!D770,'BIO WAHYU'!B:B,0),4)</f>
        <v>0</v>
      </c>
    </row>
    <row r="771" spans="1:13">
      <c r="A771" s="43" t="s">
        <v>1672</v>
      </c>
      <c r="B771" s="43" t="s">
        <v>155</v>
      </c>
      <c r="C771" s="43" t="s">
        <v>951</v>
      </c>
      <c r="D771" s="10">
        <v>537838</v>
      </c>
      <c r="E771" s="43" t="s">
        <v>10</v>
      </c>
      <c r="F771" s="8">
        <f>_xlfn.IFNA(INDEX('OSA | 3GB'!J:L,MATCH(DATA!D771,'OSA | 3GB'!J:J,0),2),0)</f>
        <v>3</v>
      </c>
      <c r="G771" s="8">
        <f>_xlfn.IFNA(INDEX('OSA | 3GB'!J:L,MATCH(DATA!D771,'OSA | 3GB'!J:J,0),3),0)</f>
        <v>3929000</v>
      </c>
      <c r="H771" s="32" t="str">
        <f>_xlfn.IFNA(INDEX('OSA | 3GB'!A:C,MATCH(DATA!D771,'OSA | 3GB'!A:A,0),2),0)</f>
        <v xml:space="preserve"> -   </v>
      </c>
      <c r="I771" s="33">
        <f>_xlfn.IFNA(INDEX('OSA | 3GB'!A:C,MATCH(DATA!D771,'OSA | 3GB'!A:A,0),3),0)</f>
        <v>1000000</v>
      </c>
      <c r="J771" s="33">
        <f>INDEX('BIO WAHYU'!B:G,MATCH(DATA!D771,'BIO WAHYU'!B:B,0),5)</f>
        <v>5</v>
      </c>
      <c r="K771" s="34">
        <f>INDEX('BIO WAHYU'!B:G,MATCH(DATA!D771,'BIO WAHYU'!B:B,0),6)</f>
        <v>0</v>
      </c>
      <c r="L771" s="35">
        <f>INDEX('BIO WAHYU'!B:H,MATCH(DATA!D771,'BIO WAHYU'!B:B,0),7)</f>
        <v>0</v>
      </c>
      <c r="M771" s="34">
        <f>INDEX('BIO WAHYU'!B:H,MATCH(DATA!D771,'BIO WAHYU'!B:B,0),4)</f>
        <v>0</v>
      </c>
    </row>
    <row r="772" spans="1:13">
      <c r="A772" s="43" t="s">
        <v>1673</v>
      </c>
      <c r="B772" s="43" t="s">
        <v>144</v>
      </c>
      <c r="C772" s="43" t="s">
        <v>243</v>
      </c>
      <c r="D772" s="10">
        <v>580284</v>
      </c>
      <c r="E772" s="43" t="s">
        <v>15</v>
      </c>
      <c r="F772" s="8">
        <f>_xlfn.IFNA(INDEX('OSA | 3GB'!J:L,MATCH(DATA!D772,'OSA | 3GB'!J:J,0),2),0)</f>
        <v>20</v>
      </c>
      <c r="G772" s="8">
        <f>_xlfn.IFNA(INDEX('OSA | 3GB'!J:L,MATCH(DATA!D772,'OSA | 3GB'!J:J,0),3),0)</f>
        <v>100000</v>
      </c>
      <c r="H772" s="32" t="str">
        <f>_xlfn.IFNA(INDEX('OSA | 3GB'!A:C,MATCH(DATA!D772,'OSA | 3GB'!A:A,0),2),0)</f>
        <v xml:space="preserve"> -   </v>
      </c>
      <c r="I772" s="33" t="str">
        <f>_xlfn.IFNA(INDEX('OSA | 3GB'!A:C,MATCH(DATA!D772,'OSA | 3GB'!A:A,0),3),0)</f>
        <v xml:space="preserve"> -   </v>
      </c>
      <c r="J772" s="33">
        <f>INDEX('BIO WAHYU'!B:G,MATCH(DATA!D772,'BIO WAHYU'!B:B,0),5)</f>
        <v>0</v>
      </c>
      <c r="K772" s="34">
        <f>INDEX('BIO WAHYU'!B:G,MATCH(DATA!D772,'BIO WAHYU'!B:B,0),6)</f>
        <v>0</v>
      </c>
      <c r="L772" s="35">
        <f>INDEX('BIO WAHYU'!B:H,MATCH(DATA!D772,'BIO WAHYU'!B:B,0),7)</f>
        <v>0</v>
      </c>
      <c r="M772" s="34">
        <f>INDEX('BIO WAHYU'!B:H,MATCH(DATA!D772,'BIO WAHYU'!B:B,0),4)</f>
        <v>0</v>
      </c>
    </row>
    <row r="773" spans="1:13">
      <c r="A773" s="43" t="s">
        <v>1673</v>
      </c>
      <c r="B773" s="43" t="s">
        <v>1140</v>
      </c>
      <c r="C773" s="43" t="s">
        <v>1378</v>
      </c>
      <c r="D773" s="10">
        <v>369884</v>
      </c>
      <c r="E773" s="43" t="s">
        <v>10</v>
      </c>
      <c r="F773" s="8">
        <f>_xlfn.IFNA(INDEX('OSA | 3GB'!J:L,MATCH(DATA!D773,'OSA | 3GB'!J:J,0),2),0)</f>
        <v>0</v>
      </c>
      <c r="G773" s="8">
        <f>_xlfn.IFNA(INDEX('OSA | 3GB'!J:L,MATCH(DATA!D773,'OSA | 3GB'!J:J,0),3),0)</f>
        <v>8500000</v>
      </c>
      <c r="H773" s="32" t="str">
        <f>_xlfn.IFNA(INDEX('OSA | 3GB'!A:C,MATCH(DATA!D773,'OSA | 3GB'!A:A,0),2),0)</f>
        <v xml:space="preserve"> -   </v>
      </c>
      <c r="I773" s="33">
        <f>_xlfn.IFNA(INDEX('OSA | 3GB'!A:C,MATCH(DATA!D773,'OSA | 3GB'!A:A,0),3),0)</f>
        <v>3800000</v>
      </c>
      <c r="J773" s="33">
        <f>INDEX('BIO WAHYU'!B:G,MATCH(DATA!D773,'BIO WAHYU'!B:B,0),5)</f>
        <v>7</v>
      </c>
      <c r="K773" s="34">
        <f>INDEX('BIO WAHYU'!B:G,MATCH(DATA!D773,'BIO WAHYU'!B:B,0),6)</f>
        <v>2</v>
      </c>
      <c r="L773" s="35">
        <f>INDEX('BIO WAHYU'!B:H,MATCH(DATA!D773,'BIO WAHYU'!B:B,0),7)</f>
        <v>0</v>
      </c>
      <c r="M773" s="34">
        <f>INDEX('BIO WAHYU'!B:H,MATCH(DATA!D773,'BIO WAHYU'!B:B,0),4)</f>
        <v>0</v>
      </c>
    </row>
    <row r="774" spans="1:13">
      <c r="A774" s="43" t="s">
        <v>1673</v>
      </c>
      <c r="B774" s="43" t="s">
        <v>1136</v>
      </c>
      <c r="C774" s="43" t="s">
        <v>18</v>
      </c>
      <c r="D774" s="10">
        <v>12320323</v>
      </c>
      <c r="E774" s="43" t="s">
        <v>10</v>
      </c>
      <c r="F774" s="8">
        <f>_xlfn.IFNA(INDEX('OSA | 3GB'!J:L,MATCH(DATA!D774,'OSA | 3GB'!J:J,0),2),0)</f>
        <v>0</v>
      </c>
      <c r="G774" s="8">
        <f>_xlfn.IFNA(INDEX('OSA | 3GB'!J:L,MATCH(DATA!D774,'OSA | 3GB'!J:J,0),3),0)</f>
        <v>0</v>
      </c>
      <c r="H774" s="32" t="str">
        <f>_xlfn.IFNA(INDEX('OSA | 3GB'!A:C,MATCH(DATA!D774,'OSA | 3GB'!A:A,0),2),0)</f>
        <v xml:space="preserve"> -   </v>
      </c>
      <c r="I774" s="33" t="str">
        <f>_xlfn.IFNA(INDEX('OSA | 3GB'!A:C,MATCH(DATA!D774,'OSA | 3GB'!A:A,0),3),0)</f>
        <v xml:space="preserve"> -   </v>
      </c>
      <c r="J774" s="33">
        <f>INDEX('BIO WAHYU'!B:G,MATCH(DATA!D774,'BIO WAHYU'!B:B,0),5)</f>
        <v>0</v>
      </c>
      <c r="K774" s="34">
        <f>INDEX('BIO WAHYU'!B:G,MATCH(DATA!D774,'BIO WAHYU'!B:B,0),6)</f>
        <v>0</v>
      </c>
      <c r="L774" s="35">
        <f>INDEX('BIO WAHYU'!B:H,MATCH(DATA!D774,'BIO WAHYU'!B:B,0),7)</f>
        <v>0</v>
      </c>
      <c r="M774" s="34">
        <f>INDEX('BIO WAHYU'!B:H,MATCH(DATA!D774,'BIO WAHYU'!B:B,0),4)</f>
        <v>0</v>
      </c>
    </row>
    <row r="775" spans="1:13">
      <c r="A775" s="43" t="s">
        <v>1672</v>
      </c>
      <c r="B775" s="43" t="s">
        <v>151</v>
      </c>
      <c r="C775" s="43" t="s">
        <v>1204</v>
      </c>
      <c r="D775" s="10">
        <v>61883</v>
      </c>
      <c r="E775" s="43" t="s">
        <v>10</v>
      </c>
      <c r="F775" s="8">
        <f>_xlfn.IFNA(INDEX('OSA | 3GB'!J:L,MATCH(DATA!D775,'OSA | 3GB'!J:J,0),2),0)</f>
        <v>17</v>
      </c>
      <c r="G775" s="8">
        <f>_xlfn.IFNA(INDEX('OSA | 3GB'!J:L,MATCH(DATA!D775,'OSA | 3GB'!J:J,0),3),0)</f>
        <v>33645000</v>
      </c>
      <c r="H775" s="32">
        <f>_xlfn.IFNA(INDEX('OSA | 3GB'!A:C,MATCH(DATA!D775,'OSA | 3GB'!A:A,0),2),0)</f>
        <v>2</v>
      </c>
      <c r="I775" s="33">
        <f>_xlfn.IFNA(INDEX('OSA | 3GB'!A:C,MATCH(DATA!D775,'OSA | 3GB'!A:A,0),3),0)</f>
        <v>6128803</v>
      </c>
      <c r="J775" s="33">
        <f>INDEX('BIO WAHYU'!B:G,MATCH(DATA!D775,'BIO WAHYU'!B:B,0),5)</f>
        <v>13</v>
      </c>
      <c r="K775" s="34">
        <f>INDEX('BIO WAHYU'!B:G,MATCH(DATA!D775,'BIO WAHYU'!B:B,0),6)</f>
        <v>7</v>
      </c>
      <c r="L775" s="35">
        <f>INDEX('BIO WAHYU'!B:H,MATCH(DATA!D775,'BIO WAHYU'!B:B,0),7)</f>
        <v>0</v>
      </c>
      <c r="M775" s="34">
        <f>INDEX('BIO WAHYU'!B:H,MATCH(DATA!D775,'BIO WAHYU'!B:B,0),4)</f>
        <v>0</v>
      </c>
    </row>
    <row r="776" spans="1:13">
      <c r="A776" s="43" t="s">
        <v>1675</v>
      </c>
      <c r="B776" s="43">
        <v>2613051043</v>
      </c>
      <c r="C776" s="43" t="s">
        <v>1379</v>
      </c>
      <c r="D776" s="10">
        <v>12327274</v>
      </c>
      <c r="E776" s="43" t="s">
        <v>10</v>
      </c>
      <c r="F776" s="8">
        <f>_xlfn.IFNA(INDEX('OSA | 3GB'!J:L,MATCH(DATA!D776,'OSA | 3GB'!J:J,0),2),0)</f>
        <v>0</v>
      </c>
      <c r="G776" s="8">
        <f>_xlfn.IFNA(INDEX('OSA | 3GB'!J:L,MATCH(DATA!D776,'OSA | 3GB'!J:J,0),3),0)</f>
        <v>0</v>
      </c>
      <c r="H776" s="32" t="str">
        <f>_xlfn.IFNA(INDEX('OSA | 3GB'!A:C,MATCH(DATA!D776,'OSA | 3GB'!A:A,0),2),0)</f>
        <v xml:space="preserve"> -   </v>
      </c>
      <c r="I776" s="33" t="str">
        <f>_xlfn.IFNA(INDEX('OSA | 3GB'!A:C,MATCH(DATA!D776,'OSA | 3GB'!A:A,0),3),0)</f>
        <v xml:space="preserve"> -   </v>
      </c>
      <c r="J776" s="33">
        <f>INDEX('BIO WAHYU'!B:G,MATCH(DATA!D776,'BIO WAHYU'!B:B,0),5)</f>
        <v>0</v>
      </c>
      <c r="K776" s="34">
        <f>INDEX('BIO WAHYU'!B:G,MATCH(DATA!D776,'BIO WAHYU'!B:B,0),6)</f>
        <v>0</v>
      </c>
      <c r="L776" s="35">
        <f>INDEX('BIO WAHYU'!B:H,MATCH(DATA!D776,'BIO WAHYU'!B:B,0),7)</f>
        <v>0</v>
      </c>
      <c r="M776" s="34">
        <f>INDEX('BIO WAHYU'!B:H,MATCH(DATA!D776,'BIO WAHYU'!B:B,0),4)</f>
        <v>0</v>
      </c>
    </row>
    <row r="777" spans="1:13">
      <c r="A777" s="43" t="s">
        <v>1675</v>
      </c>
      <c r="B777" s="43" t="s">
        <v>137</v>
      </c>
      <c r="C777" s="43" t="s">
        <v>1380</v>
      </c>
      <c r="D777" s="10">
        <v>12296076</v>
      </c>
      <c r="E777" s="43" t="s">
        <v>10</v>
      </c>
      <c r="F777" s="8">
        <f>_xlfn.IFNA(INDEX('OSA | 3GB'!J:L,MATCH(DATA!D777,'OSA | 3GB'!J:J,0),2),0)</f>
        <v>5</v>
      </c>
      <c r="G777" s="8">
        <f>_xlfn.IFNA(INDEX('OSA | 3GB'!J:L,MATCH(DATA!D777,'OSA | 3GB'!J:J,0),3),0)</f>
        <v>1100000</v>
      </c>
      <c r="H777" s="32" t="str">
        <f>_xlfn.IFNA(INDEX('OSA | 3GB'!A:C,MATCH(DATA!D777,'OSA | 3GB'!A:A,0),2),0)</f>
        <v xml:space="preserve"> -   </v>
      </c>
      <c r="I777" s="33">
        <f>_xlfn.IFNA(INDEX('OSA | 3GB'!A:C,MATCH(DATA!D777,'OSA | 3GB'!A:A,0),3),0)</f>
        <v>350000</v>
      </c>
      <c r="J777" s="33">
        <f>INDEX('BIO WAHYU'!B:G,MATCH(DATA!D777,'BIO WAHYU'!B:B,0),5)</f>
        <v>3</v>
      </c>
      <c r="K777" s="34">
        <f>INDEX('BIO WAHYU'!B:G,MATCH(DATA!D777,'BIO WAHYU'!B:B,0),6)</f>
        <v>0</v>
      </c>
      <c r="L777" s="35">
        <f>INDEX('BIO WAHYU'!B:H,MATCH(DATA!D777,'BIO WAHYU'!B:B,0),7)</f>
        <v>0</v>
      </c>
      <c r="M777" s="34">
        <f>INDEX('BIO WAHYU'!B:H,MATCH(DATA!D777,'BIO WAHYU'!B:B,0),4)</f>
        <v>0</v>
      </c>
    </row>
    <row r="778" spans="1:13">
      <c r="A778" s="43" t="s">
        <v>1670</v>
      </c>
      <c r="B778" s="43" t="s">
        <v>146</v>
      </c>
      <c r="C778" s="43" t="s">
        <v>542</v>
      </c>
      <c r="D778" s="10">
        <v>366738</v>
      </c>
      <c r="E778" s="43" t="s">
        <v>15</v>
      </c>
      <c r="F778" s="8">
        <f>_xlfn.IFNA(INDEX('OSA | 3GB'!J:L,MATCH(DATA!D778,'OSA | 3GB'!J:J,0),2),0)</f>
        <v>8</v>
      </c>
      <c r="G778" s="8">
        <f>_xlfn.IFNA(INDEX('OSA | 3GB'!J:L,MATCH(DATA!D778,'OSA | 3GB'!J:J,0),3),0)</f>
        <v>4000000</v>
      </c>
      <c r="H778" s="32">
        <f>_xlfn.IFNA(INDEX('OSA | 3GB'!A:C,MATCH(DATA!D778,'OSA | 3GB'!A:A,0),2),0)</f>
        <v>3</v>
      </c>
      <c r="I778" s="33" t="str">
        <f>_xlfn.IFNA(INDEX('OSA | 3GB'!A:C,MATCH(DATA!D778,'OSA | 3GB'!A:A,0),3),0)</f>
        <v xml:space="preserve"> -   </v>
      </c>
      <c r="J778" s="33">
        <f>INDEX('BIO WAHYU'!B:G,MATCH(DATA!D778,'BIO WAHYU'!B:B,0),5)</f>
        <v>4</v>
      </c>
      <c r="K778" s="34">
        <f>INDEX('BIO WAHYU'!B:G,MATCH(DATA!D778,'BIO WAHYU'!B:B,0),6)</f>
        <v>0</v>
      </c>
      <c r="L778" s="35">
        <f>INDEX('BIO WAHYU'!B:H,MATCH(DATA!D778,'BIO WAHYU'!B:B,0),7)</f>
        <v>0</v>
      </c>
      <c r="M778" s="34">
        <f>INDEX('BIO WAHYU'!B:H,MATCH(DATA!D778,'BIO WAHYU'!B:B,0),4)</f>
        <v>0</v>
      </c>
    </row>
    <row r="779" spans="1:13">
      <c r="A779" s="43" t="s">
        <v>1673</v>
      </c>
      <c r="B779" s="43" t="s">
        <v>1136</v>
      </c>
      <c r="C779" s="43" t="s">
        <v>1381</v>
      </c>
      <c r="D779" s="10">
        <v>553964</v>
      </c>
      <c r="E779" s="43" t="s">
        <v>10</v>
      </c>
      <c r="F779" s="8">
        <f>_xlfn.IFNA(INDEX('OSA | 3GB'!J:L,MATCH(DATA!D779,'OSA | 3GB'!J:J,0),2),0)</f>
        <v>0</v>
      </c>
      <c r="G779" s="8">
        <f>_xlfn.IFNA(INDEX('OSA | 3GB'!J:L,MATCH(DATA!D779,'OSA | 3GB'!J:J,0),3),0)</f>
        <v>4458000</v>
      </c>
      <c r="H779" s="32">
        <f>_xlfn.IFNA(INDEX('OSA | 3GB'!A:C,MATCH(DATA!D779,'OSA | 3GB'!A:A,0),2),0)</f>
        <v>4</v>
      </c>
      <c r="I779" s="33">
        <f>_xlfn.IFNA(INDEX('OSA | 3GB'!A:C,MATCH(DATA!D779,'OSA | 3GB'!A:A,0),3),0)</f>
        <v>1608000</v>
      </c>
      <c r="J779" s="33">
        <f>INDEX('BIO WAHYU'!B:G,MATCH(DATA!D779,'BIO WAHYU'!B:B,0),5)</f>
        <v>8</v>
      </c>
      <c r="K779" s="34">
        <f>INDEX('BIO WAHYU'!B:G,MATCH(DATA!D779,'BIO WAHYU'!B:B,0),6)</f>
        <v>4</v>
      </c>
      <c r="L779" s="35">
        <f>INDEX('BIO WAHYU'!B:H,MATCH(DATA!D779,'BIO WAHYU'!B:B,0),7)</f>
        <v>0</v>
      </c>
      <c r="M779" s="34">
        <f>INDEX('BIO WAHYU'!B:H,MATCH(DATA!D779,'BIO WAHYU'!B:B,0),4)</f>
        <v>0</v>
      </c>
    </row>
    <row r="780" spans="1:13">
      <c r="A780" s="43" t="s">
        <v>1675</v>
      </c>
      <c r="B780" s="43">
        <v>2613051043</v>
      </c>
      <c r="C780" s="43" t="s">
        <v>1382</v>
      </c>
      <c r="D780" s="10">
        <v>12300507</v>
      </c>
      <c r="E780" s="43" t="s">
        <v>10</v>
      </c>
      <c r="F780" s="8">
        <f>_xlfn.IFNA(INDEX('OSA | 3GB'!J:L,MATCH(DATA!D780,'OSA | 3GB'!J:J,0),2),0)</f>
        <v>0</v>
      </c>
      <c r="G780" s="8">
        <f>_xlfn.IFNA(INDEX('OSA | 3GB'!J:L,MATCH(DATA!D780,'OSA | 3GB'!J:J,0),3),0)</f>
        <v>500000</v>
      </c>
      <c r="H780" s="32" t="str">
        <f>_xlfn.IFNA(INDEX('OSA | 3GB'!A:C,MATCH(DATA!D780,'OSA | 3GB'!A:A,0),2),0)</f>
        <v xml:space="preserve"> -   </v>
      </c>
      <c r="I780" s="33" t="str">
        <f>_xlfn.IFNA(INDEX('OSA | 3GB'!A:C,MATCH(DATA!D780,'OSA | 3GB'!A:A,0),3),0)</f>
        <v xml:space="preserve"> -   </v>
      </c>
      <c r="J780" s="33">
        <f>INDEX('BIO WAHYU'!B:G,MATCH(DATA!D780,'BIO WAHYU'!B:B,0),5)</f>
        <v>1</v>
      </c>
      <c r="K780" s="34">
        <f>INDEX('BIO WAHYU'!B:G,MATCH(DATA!D780,'BIO WAHYU'!B:B,0),6)</f>
        <v>0</v>
      </c>
      <c r="L780" s="35">
        <f>INDEX('BIO WAHYU'!B:H,MATCH(DATA!D780,'BIO WAHYU'!B:B,0),7)</f>
        <v>0</v>
      </c>
      <c r="M780" s="34">
        <f>INDEX('BIO WAHYU'!B:H,MATCH(DATA!D780,'BIO WAHYU'!B:B,0),4)</f>
        <v>0</v>
      </c>
    </row>
    <row r="781" spans="1:13">
      <c r="A781" s="43" t="s">
        <v>1673</v>
      </c>
      <c r="B781" s="43" t="s">
        <v>141</v>
      </c>
      <c r="C781" s="43" t="s">
        <v>185</v>
      </c>
      <c r="D781" s="10">
        <v>12296086</v>
      </c>
      <c r="E781" s="43" t="s">
        <v>10</v>
      </c>
      <c r="F781" s="8">
        <f>_xlfn.IFNA(INDEX('OSA | 3GB'!J:L,MATCH(DATA!D781,'OSA | 3GB'!J:J,0),2),0)</f>
        <v>5</v>
      </c>
      <c r="G781" s="8">
        <f>_xlfn.IFNA(INDEX('OSA | 3GB'!J:L,MATCH(DATA!D781,'OSA | 3GB'!J:J,0),3),0)</f>
        <v>1500000</v>
      </c>
      <c r="H781" s="32" t="str">
        <f>_xlfn.IFNA(INDEX('OSA | 3GB'!A:C,MATCH(DATA!D781,'OSA | 3GB'!A:A,0),2),0)</f>
        <v xml:space="preserve"> -   </v>
      </c>
      <c r="I781" s="33">
        <f>_xlfn.IFNA(INDEX('OSA | 3GB'!A:C,MATCH(DATA!D781,'OSA | 3GB'!A:A,0),3),0)</f>
        <v>1000000</v>
      </c>
      <c r="J781" s="33">
        <f>INDEX('BIO WAHYU'!B:G,MATCH(DATA!D781,'BIO WAHYU'!B:B,0),5)</f>
        <v>1</v>
      </c>
      <c r="K781" s="34">
        <f>INDEX('BIO WAHYU'!B:G,MATCH(DATA!D781,'BIO WAHYU'!B:B,0),6)</f>
        <v>0</v>
      </c>
      <c r="L781" s="35">
        <f>INDEX('BIO WAHYU'!B:H,MATCH(DATA!D781,'BIO WAHYU'!B:B,0),7)</f>
        <v>0</v>
      </c>
      <c r="M781" s="34">
        <f>INDEX('BIO WAHYU'!B:H,MATCH(DATA!D781,'BIO WAHYU'!B:B,0),4)</f>
        <v>0</v>
      </c>
    </row>
    <row r="782" spans="1:13">
      <c r="A782" s="43" t="s">
        <v>1670</v>
      </c>
      <c r="B782" s="43" t="s">
        <v>146</v>
      </c>
      <c r="C782" s="43" t="s">
        <v>526</v>
      </c>
      <c r="D782" s="10">
        <v>12317312</v>
      </c>
      <c r="E782" s="43" t="s">
        <v>10</v>
      </c>
      <c r="F782" s="8">
        <f>_xlfn.IFNA(INDEX('OSA | 3GB'!J:L,MATCH(DATA!D782,'OSA | 3GB'!J:J,0),2),0)</f>
        <v>4</v>
      </c>
      <c r="G782" s="8">
        <f>_xlfn.IFNA(INDEX('OSA | 3GB'!J:L,MATCH(DATA!D782,'OSA | 3GB'!J:J,0),3),0)</f>
        <v>700000</v>
      </c>
      <c r="H782" s="32" t="str">
        <f>_xlfn.IFNA(INDEX('OSA | 3GB'!A:C,MATCH(DATA!D782,'OSA | 3GB'!A:A,0),2),0)</f>
        <v xml:space="preserve"> -   </v>
      </c>
      <c r="I782" s="33">
        <f>_xlfn.IFNA(INDEX('OSA | 3GB'!A:C,MATCH(DATA!D782,'OSA | 3GB'!A:A,0),3),0)</f>
        <v>400000</v>
      </c>
      <c r="J782" s="33">
        <f>INDEX('BIO WAHYU'!B:G,MATCH(DATA!D782,'BIO WAHYU'!B:B,0),5)</f>
        <v>1</v>
      </c>
      <c r="K782" s="34">
        <f>INDEX('BIO WAHYU'!B:G,MATCH(DATA!D782,'BIO WAHYU'!B:B,0),6)</f>
        <v>0</v>
      </c>
      <c r="L782" s="35">
        <f>INDEX('BIO WAHYU'!B:H,MATCH(DATA!D782,'BIO WAHYU'!B:B,0),7)</f>
        <v>0</v>
      </c>
      <c r="M782" s="34">
        <f>INDEX('BIO WAHYU'!B:H,MATCH(DATA!D782,'BIO WAHYU'!B:B,0),4)</f>
        <v>0</v>
      </c>
    </row>
    <row r="783" spans="1:13">
      <c r="A783" s="43" t="s">
        <v>1670</v>
      </c>
      <c r="B783" s="43" t="s">
        <v>140</v>
      </c>
      <c r="C783" s="43" t="s">
        <v>1383</v>
      </c>
      <c r="D783" s="10">
        <v>62339</v>
      </c>
      <c r="E783" s="43" t="s">
        <v>10</v>
      </c>
      <c r="F783" s="8">
        <f>_xlfn.IFNA(INDEX('OSA | 3GB'!J:L,MATCH(DATA!D783,'OSA | 3GB'!J:J,0),2),0)</f>
        <v>4</v>
      </c>
      <c r="G783" s="8">
        <f>_xlfn.IFNA(INDEX('OSA | 3GB'!J:L,MATCH(DATA!D783,'OSA | 3GB'!J:J,0),3),0)</f>
        <v>7200000</v>
      </c>
      <c r="H783" s="32" t="str">
        <f>_xlfn.IFNA(INDEX('OSA | 3GB'!A:C,MATCH(DATA!D783,'OSA | 3GB'!A:A,0),2),0)</f>
        <v xml:space="preserve"> -   </v>
      </c>
      <c r="I783" s="33">
        <f>_xlfn.IFNA(INDEX('OSA | 3GB'!A:C,MATCH(DATA!D783,'OSA | 3GB'!A:A,0),3),0)</f>
        <v>2800000</v>
      </c>
      <c r="J783" s="33">
        <f>INDEX('BIO WAHYU'!B:G,MATCH(DATA!D783,'BIO WAHYU'!B:B,0),5)</f>
        <v>2</v>
      </c>
      <c r="K783" s="34">
        <f>INDEX('BIO WAHYU'!B:G,MATCH(DATA!D783,'BIO WAHYU'!B:B,0),6)</f>
        <v>1</v>
      </c>
      <c r="L783" s="35">
        <f>INDEX('BIO WAHYU'!B:H,MATCH(DATA!D783,'BIO WAHYU'!B:B,0),7)</f>
        <v>0</v>
      </c>
      <c r="M783" s="34">
        <f>INDEX('BIO WAHYU'!B:H,MATCH(DATA!D783,'BIO WAHYU'!B:B,0),4)</f>
        <v>1</v>
      </c>
    </row>
    <row r="784" spans="1:13">
      <c r="A784" s="43" t="s">
        <v>1670</v>
      </c>
      <c r="B784" s="43">
        <v>2613052584</v>
      </c>
      <c r="C784" s="43" t="s">
        <v>1384</v>
      </c>
      <c r="D784" s="10">
        <v>12327540</v>
      </c>
      <c r="E784" s="43" t="s">
        <v>10</v>
      </c>
      <c r="F784" s="8">
        <f>_xlfn.IFNA(INDEX('OSA | 3GB'!J:L,MATCH(DATA!D784,'OSA | 3GB'!J:J,0),2),0)</f>
        <v>41</v>
      </c>
      <c r="G784" s="8">
        <f>_xlfn.IFNA(INDEX('OSA | 3GB'!J:L,MATCH(DATA!D784,'OSA | 3GB'!J:J,0),3),0)</f>
        <v>1027000</v>
      </c>
      <c r="H784" s="32">
        <f>_xlfn.IFNA(INDEX('OSA | 3GB'!A:C,MATCH(DATA!D784,'OSA | 3GB'!A:A,0),2),0)</f>
        <v>100</v>
      </c>
      <c r="I784" s="33">
        <f>_xlfn.IFNA(INDEX('OSA | 3GB'!A:C,MATCH(DATA!D784,'OSA | 3GB'!A:A,0),3),0)</f>
        <v>550000</v>
      </c>
      <c r="J784" s="33">
        <f>INDEX('BIO WAHYU'!B:G,MATCH(DATA!D784,'BIO WAHYU'!B:B,0),5)</f>
        <v>42</v>
      </c>
      <c r="K784" s="34">
        <f>INDEX('BIO WAHYU'!B:G,MATCH(DATA!D784,'BIO WAHYU'!B:B,0),6)</f>
        <v>4</v>
      </c>
      <c r="L784" s="35">
        <f>INDEX('BIO WAHYU'!B:H,MATCH(DATA!D784,'BIO WAHYU'!B:B,0),7)</f>
        <v>0</v>
      </c>
      <c r="M784" s="34">
        <f>INDEX('BIO WAHYU'!B:H,MATCH(DATA!D784,'BIO WAHYU'!B:B,0),4)</f>
        <v>0</v>
      </c>
    </row>
    <row r="785" spans="1:13">
      <c r="A785" s="43" t="s">
        <v>1675</v>
      </c>
      <c r="B785" s="43">
        <v>2613051451</v>
      </c>
      <c r="C785" s="43" t="s">
        <v>386</v>
      </c>
      <c r="D785" s="10">
        <v>344776</v>
      </c>
      <c r="E785" s="43" t="s">
        <v>10</v>
      </c>
      <c r="F785" s="8">
        <f>_xlfn.IFNA(INDEX('OSA | 3GB'!J:L,MATCH(DATA!D785,'OSA | 3GB'!J:J,0),2),0)</f>
        <v>3</v>
      </c>
      <c r="G785" s="8">
        <f>_xlfn.IFNA(INDEX('OSA | 3GB'!J:L,MATCH(DATA!D785,'OSA | 3GB'!J:J,0),3),0)</f>
        <v>558000</v>
      </c>
      <c r="H785" s="32">
        <f>_xlfn.IFNA(INDEX('OSA | 3GB'!A:C,MATCH(DATA!D785,'OSA | 3GB'!A:A,0),2),0)</f>
        <v>1</v>
      </c>
      <c r="I785" s="33">
        <f>_xlfn.IFNA(INDEX('OSA | 3GB'!A:C,MATCH(DATA!D785,'OSA | 3GB'!A:A,0),3),0)</f>
        <v>329000</v>
      </c>
      <c r="J785" s="33">
        <f>INDEX('BIO WAHYU'!B:G,MATCH(DATA!D785,'BIO WAHYU'!B:B,0),5)</f>
        <v>0</v>
      </c>
      <c r="K785" s="34">
        <f>INDEX('BIO WAHYU'!B:G,MATCH(DATA!D785,'BIO WAHYU'!B:B,0),6)</f>
        <v>0</v>
      </c>
      <c r="L785" s="35">
        <f>INDEX('BIO WAHYU'!B:H,MATCH(DATA!D785,'BIO WAHYU'!B:B,0),7)</f>
        <v>0</v>
      </c>
      <c r="M785" s="34">
        <f>INDEX('BIO WAHYU'!B:H,MATCH(DATA!D785,'BIO WAHYU'!B:B,0),4)</f>
        <v>0</v>
      </c>
    </row>
    <row r="786" spans="1:13">
      <c r="A786" s="43" t="s">
        <v>1674</v>
      </c>
      <c r="B786" s="43" t="s">
        <v>148</v>
      </c>
      <c r="C786" s="43" t="s">
        <v>1385</v>
      </c>
      <c r="D786" s="10">
        <v>62187</v>
      </c>
      <c r="E786" s="43" t="s">
        <v>10</v>
      </c>
      <c r="F786" s="8">
        <f>_xlfn.IFNA(INDEX('OSA | 3GB'!J:L,MATCH(DATA!D786,'OSA | 3GB'!J:J,0),2),0)</f>
        <v>0</v>
      </c>
      <c r="G786" s="8">
        <f>_xlfn.IFNA(INDEX('OSA | 3GB'!J:L,MATCH(DATA!D786,'OSA | 3GB'!J:J,0),3),0)</f>
        <v>3275000</v>
      </c>
      <c r="H786" s="32" t="str">
        <f>_xlfn.IFNA(INDEX('OSA | 3GB'!A:C,MATCH(DATA!D786,'OSA | 3GB'!A:A,0),2),0)</f>
        <v xml:space="preserve"> -   </v>
      </c>
      <c r="I786" s="33">
        <f>_xlfn.IFNA(INDEX('OSA | 3GB'!A:C,MATCH(DATA!D786,'OSA | 3GB'!A:A,0),3),0)</f>
        <v>1500000</v>
      </c>
      <c r="J786" s="33">
        <f>INDEX('BIO WAHYU'!B:G,MATCH(DATA!D786,'BIO WAHYU'!B:B,0),5)</f>
        <v>0</v>
      </c>
      <c r="K786" s="34">
        <f>INDEX('BIO WAHYU'!B:G,MATCH(DATA!D786,'BIO WAHYU'!B:B,0),6)</f>
        <v>0</v>
      </c>
      <c r="L786" s="35">
        <f>INDEX('BIO WAHYU'!B:H,MATCH(DATA!D786,'BIO WAHYU'!B:B,0),7)</f>
        <v>0</v>
      </c>
      <c r="M786" s="34">
        <f>INDEX('BIO WAHYU'!B:H,MATCH(DATA!D786,'BIO WAHYU'!B:B,0),4)</f>
        <v>0</v>
      </c>
    </row>
    <row r="787" spans="1:13">
      <c r="A787" s="43" t="s">
        <v>1673</v>
      </c>
      <c r="B787" s="43" t="s">
        <v>141</v>
      </c>
      <c r="C787" s="43" t="s">
        <v>194</v>
      </c>
      <c r="D787" s="10">
        <v>126976</v>
      </c>
      <c r="E787" s="43" t="s">
        <v>15</v>
      </c>
      <c r="F787" s="8">
        <f>_xlfn.IFNA(INDEX('OSA | 3GB'!J:L,MATCH(DATA!D787,'OSA | 3GB'!J:J,0),2),0)</f>
        <v>3</v>
      </c>
      <c r="G787" s="8">
        <f>_xlfn.IFNA(INDEX('OSA | 3GB'!J:L,MATCH(DATA!D787,'OSA | 3GB'!J:J,0),3),0)</f>
        <v>5415000</v>
      </c>
      <c r="H787" s="32" t="str">
        <f>_xlfn.IFNA(INDEX('OSA | 3GB'!A:C,MATCH(DATA!D787,'OSA | 3GB'!A:A,0),2),0)</f>
        <v xml:space="preserve"> -   </v>
      </c>
      <c r="I787" s="33">
        <f>_xlfn.IFNA(INDEX('OSA | 3GB'!A:C,MATCH(DATA!D787,'OSA | 3GB'!A:A,0),3),0)</f>
        <v>300000</v>
      </c>
      <c r="J787" s="33">
        <f>INDEX('BIO WAHYU'!B:G,MATCH(DATA!D787,'BIO WAHYU'!B:B,0),5)</f>
        <v>2</v>
      </c>
      <c r="K787" s="34">
        <f>INDEX('BIO WAHYU'!B:G,MATCH(DATA!D787,'BIO WAHYU'!B:B,0),6)</f>
        <v>1</v>
      </c>
      <c r="L787" s="35">
        <f>INDEX('BIO WAHYU'!B:H,MATCH(DATA!D787,'BIO WAHYU'!B:B,0),7)</f>
        <v>0</v>
      </c>
      <c r="M787" s="34">
        <f>INDEX('BIO WAHYU'!B:H,MATCH(DATA!D787,'BIO WAHYU'!B:B,0),4)</f>
        <v>0</v>
      </c>
    </row>
    <row r="788" spans="1:13">
      <c r="A788" s="43" t="s">
        <v>1</v>
      </c>
      <c r="B788" s="43" t="s">
        <v>4</v>
      </c>
      <c r="C788" s="43" t="s">
        <v>50</v>
      </c>
      <c r="D788" s="10">
        <v>199007</v>
      </c>
      <c r="E788" s="43" t="s">
        <v>15</v>
      </c>
      <c r="F788" s="8">
        <f>_xlfn.IFNA(INDEX('OSA | 3GB'!J:L,MATCH(DATA!D788,'OSA | 3GB'!J:J,0),2),0)</f>
        <v>6</v>
      </c>
      <c r="G788" s="8">
        <f>_xlfn.IFNA(INDEX('OSA | 3GB'!J:L,MATCH(DATA!D788,'OSA | 3GB'!J:J,0),3),0)</f>
        <v>0</v>
      </c>
      <c r="H788" s="32">
        <f>_xlfn.IFNA(INDEX('OSA | 3GB'!A:C,MATCH(DATA!D788,'OSA | 3GB'!A:A,0),2),0)</f>
        <v>5</v>
      </c>
      <c r="I788" s="33">
        <f>_xlfn.IFNA(INDEX('OSA | 3GB'!A:C,MATCH(DATA!D788,'OSA | 3GB'!A:A,0),3),0)</f>
        <v>1000</v>
      </c>
      <c r="J788" s="33">
        <f>INDEX('BIO WAHYU'!B:G,MATCH(DATA!D788,'BIO WAHYU'!B:B,0),5)</f>
        <v>6</v>
      </c>
      <c r="K788" s="34">
        <f>INDEX('BIO WAHYU'!B:G,MATCH(DATA!D788,'BIO WAHYU'!B:B,0),6)</f>
        <v>5</v>
      </c>
      <c r="L788" s="35">
        <f>INDEX('BIO WAHYU'!B:H,MATCH(DATA!D788,'BIO WAHYU'!B:B,0),7)</f>
        <v>0</v>
      </c>
      <c r="M788" s="34">
        <f>INDEX('BIO WAHYU'!B:H,MATCH(DATA!D788,'BIO WAHYU'!B:B,0),4)</f>
        <v>0</v>
      </c>
    </row>
    <row r="789" spans="1:13">
      <c r="A789" s="43" t="s">
        <v>1672</v>
      </c>
      <c r="B789" s="43" t="s">
        <v>150</v>
      </c>
      <c r="C789" s="43" t="s">
        <v>829</v>
      </c>
      <c r="D789" s="10">
        <v>405373</v>
      </c>
      <c r="E789" s="43" t="s">
        <v>10</v>
      </c>
      <c r="F789" s="8">
        <f>_xlfn.IFNA(INDEX('OSA | 3GB'!J:L,MATCH(DATA!D789,'OSA | 3GB'!J:J,0),2),0)</f>
        <v>4</v>
      </c>
      <c r="G789" s="8">
        <f>_xlfn.IFNA(INDEX('OSA | 3GB'!J:L,MATCH(DATA!D789,'OSA | 3GB'!J:J,0),3),0)</f>
        <v>1158000</v>
      </c>
      <c r="H789" s="32" t="str">
        <f>_xlfn.IFNA(INDEX('OSA | 3GB'!A:C,MATCH(DATA!D789,'OSA | 3GB'!A:A,0),2),0)</f>
        <v xml:space="preserve"> -   </v>
      </c>
      <c r="I789" s="33" t="str">
        <f>_xlfn.IFNA(INDEX('OSA | 3GB'!A:C,MATCH(DATA!D789,'OSA | 3GB'!A:A,0),3),0)</f>
        <v xml:space="preserve"> -   </v>
      </c>
      <c r="J789" s="33">
        <f>INDEX('BIO WAHYU'!B:G,MATCH(DATA!D789,'BIO WAHYU'!B:B,0),5)</f>
        <v>2</v>
      </c>
      <c r="K789" s="34">
        <f>INDEX('BIO WAHYU'!B:G,MATCH(DATA!D789,'BIO WAHYU'!B:B,0),6)</f>
        <v>0</v>
      </c>
      <c r="L789" s="35">
        <f>INDEX('BIO WAHYU'!B:H,MATCH(DATA!D789,'BIO WAHYU'!B:B,0),7)</f>
        <v>0</v>
      </c>
      <c r="M789" s="34">
        <f>INDEX('BIO WAHYU'!B:H,MATCH(DATA!D789,'BIO WAHYU'!B:B,0),4)</f>
        <v>0</v>
      </c>
    </row>
    <row r="790" spans="1:13">
      <c r="A790" s="43" t="s">
        <v>1672</v>
      </c>
      <c r="B790" s="43" t="s">
        <v>157</v>
      </c>
      <c r="C790" s="43" t="s">
        <v>1067</v>
      </c>
      <c r="D790" s="10">
        <v>67032</v>
      </c>
      <c r="E790" s="43" t="s">
        <v>10</v>
      </c>
      <c r="F790" s="8">
        <f>_xlfn.IFNA(INDEX('OSA | 3GB'!J:L,MATCH(DATA!D790,'OSA | 3GB'!J:J,0),2),0)</f>
        <v>105</v>
      </c>
      <c r="G790" s="8">
        <f>_xlfn.IFNA(INDEX('OSA | 3GB'!J:L,MATCH(DATA!D790,'OSA | 3GB'!J:J,0),3),0)</f>
        <v>325000</v>
      </c>
      <c r="H790" s="32">
        <f>_xlfn.IFNA(INDEX('OSA | 3GB'!A:C,MATCH(DATA!D790,'OSA | 3GB'!A:A,0),2),0)</f>
        <v>5</v>
      </c>
      <c r="I790" s="33">
        <f>_xlfn.IFNA(INDEX('OSA | 3GB'!A:C,MATCH(DATA!D790,'OSA | 3GB'!A:A,0),3),0)</f>
        <v>445000</v>
      </c>
      <c r="J790" s="33">
        <f>INDEX('BIO WAHYU'!B:G,MATCH(DATA!D790,'BIO WAHYU'!B:B,0),5)</f>
        <v>3</v>
      </c>
      <c r="K790" s="34">
        <f>INDEX('BIO WAHYU'!B:G,MATCH(DATA!D790,'BIO WAHYU'!B:B,0),6)</f>
        <v>1</v>
      </c>
      <c r="L790" s="35">
        <f>INDEX('BIO WAHYU'!B:H,MATCH(DATA!D790,'BIO WAHYU'!B:B,0),7)</f>
        <v>0</v>
      </c>
      <c r="M790" s="34">
        <f>INDEX('BIO WAHYU'!B:H,MATCH(DATA!D790,'BIO WAHYU'!B:B,0),4)</f>
        <v>0</v>
      </c>
    </row>
    <row r="791" spans="1:13">
      <c r="A791" s="43" t="s">
        <v>1673</v>
      </c>
      <c r="B791" s="43" t="s">
        <v>1136</v>
      </c>
      <c r="C791" s="43" t="s">
        <v>1386</v>
      </c>
      <c r="D791" s="10">
        <v>12303554</v>
      </c>
      <c r="E791" s="43" t="s">
        <v>10</v>
      </c>
      <c r="F791" s="8">
        <f>_xlfn.IFNA(INDEX('OSA | 3GB'!J:L,MATCH(DATA!D791,'OSA | 3GB'!J:J,0),2),0)</f>
        <v>3</v>
      </c>
      <c r="G791" s="8">
        <f>_xlfn.IFNA(INDEX('OSA | 3GB'!J:L,MATCH(DATA!D791,'OSA | 3GB'!J:J,0),3),0)</f>
        <v>450000</v>
      </c>
      <c r="H791" s="32" t="str">
        <f>_xlfn.IFNA(INDEX('OSA | 3GB'!A:C,MATCH(DATA!D791,'OSA | 3GB'!A:A,0),2),0)</f>
        <v xml:space="preserve"> -   </v>
      </c>
      <c r="I791" s="33">
        <f>_xlfn.IFNA(INDEX('OSA | 3GB'!A:C,MATCH(DATA!D791,'OSA | 3GB'!A:A,0),3),0)</f>
        <v>200000</v>
      </c>
      <c r="J791" s="33">
        <f>INDEX('BIO WAHYU'!B:G,MATCH(DATA!D791,'BIO WAHYU'!B:B,0),5)</f>
        <v>7</v>
      </c>
      <c r="K791" s="34">
        <f>INDEX('BIO WAHYU'!B:G,MATCH(DATA!D791,'BIO WAHYU'!B:B,0),6)</f>
        <v>4</v>
      </c>
      <c r="L791" s="35">
        <f>INDEX('BIO WAHYU'!B:H,MATCH(DATA!D791,'BIO WAHYU'!B:B,0),7)</f>
        <v>0</v>
      </c>
      <c r="M791" s="34">
        <f>INDEX('BIO WAHYU'!B:H,MATCH(DATA!D791,'BIO WAHYU'!B:B,0),4)</f>
        <v>0</v>
      </c>
    </row>
    <row r="792" spans="1:13">
      <c r="A792" s="43" t="s">
        <v>1670</v>
      </c>
      <c r="B792" s="43" t="s">
        <v>145</v>
      </c>
      <c r="C792" s="43" t="s">
        <v>1387</v>
      </c>
      <c r="D792" s="10">
        <v>507346</v>
      </c>
      <c r="E792" s="43" t="s">
        <v>10</v>
      </c>
      <c r="F792" s="8">
        <f>_xlfn.IFNA(INDEX('OSA | 3GB'!J:L,MATCH(DATA!D792,'OSA | 3GB'!J:J,0),2),0)</f>
        <v>5</v>
      </c>
      <c r="G792" s="8">
        <f>_xlfn.IFNA(INDEX('OSA | 3GB'!J:L,MATCH(DATA!D792,'OSA | 3GB'!J:J,0),3),0)</f>
        <v>0</v>
      </c>
      <c r="H792" s="32">
        <f>_xlfn.IFNA(INDEX('OSA | 3GB'!A:C,MATCH(DATA!D792,'OSA | 3GB'!A:A,0),2),0)</f>
        <v>3</v>
      </c>
      <c r="I792" s="33" t="str">
        <f>_xlfn.IFNA(INDEX('OSA | 3GB'!A:C,MATCH(DATA!D792,'OSA | 3GB'!A:A,0),3),0)</f>
        <v xml:space="preserve"> -   </v>
      </c>
      <c r="J792" s="33">
        <f>INDEX('BIO WAHYU'!B:G,MATCH(DATA!D792,'BIO WAHYU'!B:B,0),5)</f>
        <v>3</v>
      </c>
      <c r="K792" s="34">
        <f>INDEX('BIO WAHYU'!B:G,MATCH(DATA!D792,'BIO WAHYU'!B:B,0),6)</f>
        <v>0</v>
      </c>
      <c r="L792" s="35">
        <f>INDEX('BIO WAHYU'!B:H,MATCH(DATA!D792,'BIO WAHYU'!B:B,0),7)</f>
        <v>0</v>
      </c>
      <c r="M792" s="34">
        <f>INDEX('BIO WAHYU'!B:H,MATCH(DATA!D792,'BIO WAHYU'!B:B,0),4)</f>
        <v>0</v>
      </c>
    </row>
    <row r="793" spans="1:13">
      <c r="A793" s="43" t="s">
        <v>1674</v>
      </c>
      <c r="B793" s="43" t="s">
        <v>152</v>
      </c>
      <c r="C793" s="43" t="s">
        <v>666</v>
      </c>
      <c r="D793" s="10">
        <v>281770</v>
      </c>
      <c r="E793" s="43" t="s">
        <v>10</v>
      </c>
      <c r="F793" s="8">
        <f>_xlfn.IFNA(INDEX('OSA | 3GB'!J:L,MATCH(DATA!D793,'OSA | 3GB'!J:J,0),2),0)</f>
        <v>3</v>
      </c>
      <c r="G793" s="8">
        <f>_xlfn.IFNA(INDEX('OSA | 3GB'!J:L,MATCH(DATA!D793,'OSA | 3GB'!J:J,0),3),0)</f>
        <v>108000</v>
      </c>
      <c r="H793" s="32" t="str">
        <f>_xlfn.IFNA(INDEX('OSA | 3GB'!A:C,MATCH(DATA!D793,'OSA | 3GB'!A:A,0),2),0)</f>
        <v xml:space="preserve"> -   </v>
      </c>
      <c r="I793" s="33" t="str">
        <f>_xlfn.IFNA(INDEX('OSA | 3GB'!A:C,MATCH(DATA!D793,'OSA | 3GB'!A:A,0),3),0)</f>
        <v xml:space="preserve"> -   </v>
      </c>
      <c r="J793" s="33">
        <f>INDEX('BIO WAHYU'!B:G,MATCH(DATA!D793,'BIO WAHYU'!B:B,0),5)</f>
        <v>1</v>
      </c>
      <c r="K793" s="34">
        <f>INDEX('BIO WAHYU'!B:G,MATCH(DATA!D793,'BIO WAHYU'!B:B,0),6)</f>
        <v>0</v>
      </c>
      <c r="L793" s="35">
        <f>INDEX('BIO WAHYU'!B:H,MATCH(DATA!D793,'BIO WAHYU'!B:B,0),7)</f>
        <v>0</v>
      </c>
      <c r="M793" s="34">
        <f>INDEX('BIO WAHYU'!B:H,MATCH(DATA!D793,'BIO WAHYU'!B:B,0),4)</f>
        <v>0</v>
      </c>
    </row>
    <row r="794" spans="1:13">
      <c r="A794" s="43" t="s">
        <v>1670</v>
      </c>
      <c r="B794" s="43">
        <v>2613051412</v>
      </c>
      <c r="C794" s="43" t="s">
        <v>1388</v>
      </c>
      <c r="D794" s="10">
        <v>280412</v>
      </c>
      <c r="E794" s="43" t="s">
        <v>10</v>
      </c>
      <c r="F794" s="8">
        <f>_xlfn.IFNA(INDEX('OSA | 3GB'!J:L,MATCH(DATA!D794,'OSA | 3GB'!J:J,0),2),0)</f>
        <v>5</v>
      </c>
      <c r="G794" s="8">
        <f>_xlfn.IFNA(INDEX('OSA | 3GB'!J:L,MATCH(DATA!D794,'OSA | 3GB'!J:J,0),3),0)</f>
        <v>1878000</v>
      </c>
      <c r="H794" s="32">
        <f>_xlfn.IFNA(INDEX('OSA | 3GB'!A:C,MATCH(DATA!D794,'OSA | 3GB'!A:A,0),2),0)</f>
        <v>3</v>
      </c>
      <c r="I794" s="33">
        <f>_xlfn.IFNA(INDEX('OSA | 3GB'!A:C,MATCH(DATA!D794,'OSA | 3GB'!A:A,0),3),0)</f>
        <v>700000</v>
      </c>
      <c r="J794" s="33">
        <f>INDEX('BIO WAHYU'!B:G,MATCH(DATA!D794,'BIO WAHYU'!B:B,0),5)</f>
        <v>4</v>
      </c>
      <c r="K794" s="34">
        <f>INDEX('BIO WAHYU'!B:G,MATCH(DATA!D794,'BIO WAHYU'!B:B,0),6)</f>
        <v>1</v>
      </c>
      <c r="L794" s="35">
        <f>INDEX('BIO WAHYU'!B:H,MATCH(DATA!D794,'BIO WAHYU'!B:B,0),7)</f>
        <v>0</v>
      </c>
      <c r="M794" s="34">
        <f>INDEX('BIO WAHYU'!B:H,MATCH(DATA!D794,'BIO WAHYU'!B:B,0),4)</f>
        <v>0</v>
      </c>
    </row>
    <row r="795" spans="1:13">
      <c r="A795" s="43" t="s">
        <v>1673</v>
      </c>
      <c r="B795" s="43" t="s">
        <v>144</v>
      </c>
      <c r="C795" s="43" t="s">
        <v>226</v>
      </c>
      <c r="D795" s="10">
        <v>387721</v>
      </c>
      <c r="E795" s="43" t="s">
        <v>10</v>
      </c>
      <c r="F795" s="8">
        <f>_xlfn.IFNA(INDEX('OSA | 3GB'!J:L,MATCH(DATA!D795,'OSA | 3GB'!J:J,0),2),0)</f>
        <v>1</v>
      </c>
      <c r="G795" s="8">
        <f>_xlfn.IFNA(INDEX('OSA | 3GB'!J:L,MATCH(DATA!D795,'OSA | 3GB'!J:J,0),3),0)</f>
        <v>437000</v>
      </c>
      <c r="H795" s="32" t="str">
        <f>_xlfn.IFNA(INDEX('OSA | 3GB'!A:C,MATCH(DATA!D795,'OSA | 3GB'!A:A,0),2),0)</f>
        <v xml:space="preserve"> -   </v>
      </c>
      <c r="I795" s="33">
        <f>_xlfn.IFNA(INDEX('OSA | 3GB'!A:C,MATCH(DATA!D795,'OSA | 3GB'!A:A,0),3),0)</f>
        <v>250000</v>
      </c>
      <c r="J795" s="33">
        <f>INDEX('BIO WAHYU'!B:G,MATCH(DATA!D795,'BIO WAHYU'!B:B,0),5)</f>
        <v>6</v>
      </c>
      <c r="K795" s="34">
        <f>INDEX('BIO WAHYU'!B:G,MATCH(DATA!D795,'BIO WAHYU'!B:B,0),6)</f>
        <v>5</v>
      </c>
      <c r="L795" s="35">
        <f>INDEX('BIO WAHYU'!B:H,MATCH(DATA!D795,'BIO WAHYU'!B:B,0),7)</f>
        <v>0</v>
      </c>
      <c r="M795" s="34">
        <f>INDEX('BIO WAHYU'!B:H,MATCH(DATA!D795,'BIO WAHYU'!B:B,0),4)</f>
        <v>0</v>
      </c>
    </row>
    <row r="796" spans="1:13">
      <c r="A796" s="43" t="s">
        <v>1671</v>
      </c>
      <c r="B796" s="43" t="s">
        <v>142</v>
      </c>
      <c r="C796" s="43" t="s">
        <v>1389</v>
      </c>
      <c r="D796" s="10">
        <v>383463</v>
      </c>
      <c r="E796" s="43" t="s">
        <v>10</v>
      </c>
      <c r="F796" s="8">
        <f>_xlfn.IFNA(INDEX('OSA | 3GB'!J:L,MATCH(DATA!D796,'OSA | 3GB'!J:J,0),2),0)</f>
        <v>1</v>
      </c>
      <c r="G796" s="8">
        <f>_xlfn.IFNA(INDEX('OSA | 3GB'!J:L,MATCH(DATA!D796,'OSA | 3GB'!J:J,0),3),0)</f>
        <v>1800000</v>
      </c>
      <c r="H796" s="32" t="str">
        <f>_xlfn.IFNA(INDEX('OSA | 3GB'!A:C,MATCH(DATA!D796,'OSA | 3GB'!A:A,0),2),0)</f>
        <v xml:space="preserve"> -   </v>
      </c>
      <c r="I796" s="33">
        <f>_xlfn.IFNA(INDEX('OSA | 3GB'!A:C,MATCH(DATA!D796,'OSA | 3GB'!A:A,0),3),0)</f>
        <v>450000</v>
      </c>
      <c r="J796" s="33">
        <f>INDEX('BIO WAHYU'!B:G,MATCH(DATA!D796,'BIO WAHYU'!B:B,0),5)</f>
        <v>1</v>
      </c>
      <c r="K796" s="34">
        <f>INDEX('BIO WAHYU'!B:G,MATCH(DATA!D796,'BIO WAHYU'!B:B,0),6)</f>
        <v>0</v>
      </c>
      <c r="L796" s="35">
        <f>INDEX('BIO WAHYU'!B:H,MATCH(DATA!D796,'BIO WAHYU'!B:B,0),7)</f>
        <v>0</v>
      </c>
      <c r="M796" s="34">
        <f>INDEX('BIO WAHYU'!B:H,MATCH(DATA!D796,'BIO WAHYU'!B:B,0),4)</f>
        <v>0</v>
      </c>
    </row>
    <row r="797" spans="1:13">
      <c r="A797" s="43" t="s">
        <v>1675</v>
      </c>
      <c r="B797" s="43" t="s">
        <v>136</v>
      </c>
      <c r="C797" s="43" t="s">
        <v>1245</v>
      </c>
      <c r="D797" s="10">
        <v>402551</v>
      </c>
      <c r="E797" s="43" t="s">
        <v>23</v>
      </c>
      <c r="F797" s="8">
        <f>_xlfn.IFNA(INDEX('OSA | 3GB'!J:L,MATCH(DATA!D797,'OSA | 3GB'!J:J,0),2),0)</f>
        <v>5</v>
      </c>
      <c r="G797" s="8">
        <f>_xlfn.IFNA(INDEX('OSA | 3GB'!J:L,MATCH(DATA!D797,'OSA | 3GB'!J:J,0),3),0)</f>
        <v>2000000</v>
      </c>
      <c r="H797" s="32" t="str">
        <f>_xlfn.IFNA(INDEX('OSA | 3GB'!A:C,MATCH(DATA!D797,'OSA | 3GB'!A:A,0),2),0)</f>
        <v xml:space="preserve"> -   </v>
      </c>
      <c r="I797" s="33" t="str">
        <f>_xlfn.IFNA(INDEX('OSA | 3GB'!A:C,MATCH(DATA!D797,'OSA | 3GB'!A:A,0),3),0)</f>
        <v xml:space="preserve"> -   </v>
      </c>
      <c r="J797" s="33">
        <f>INDEX('BIO WAHYU'!B:G,MATCH(DATA!D797,'BIO WAHYU'!B:B,0),5)</f>
        <v>2</v>
      </c>
      <c r="K797" s="34">
        <f>INDEX('BIO WAHYU'!B:G,MATCH(DATA!D797,'BIO WAHYU'!B:B,0),6)</f>
        <v>1</v>
      </c>
      <c r="L797" s="35">
        <f>INDEX('BIO WAHYU'!B:H,MATCH(DATA!D797,'BIO WAHYU'!B:B,0),7)</f>
        <v>0</v>
      </c>
      <c r="M797" s="34">
        <f>INDEX('BIO WAHYU'!B:H,MATCH(DATA!D797,'BIO WAHYU'!B:B,0),4)</f>
        <v>0</v>
      </c>
    </row>
    <row r="798" spans="1:13">
      <c r="A798" s="43" t="s">
        <v>1673</v>
      </c>
      <c r="B798" s="43" t="s">
        <v>143</v>
      </c>
      <c r="C798" s="43" t="s">
        <v>247</v>
      </c>
      <c r="D798" s="10">
        <v>11178</v>
      </c>
      <c r="E798" s="43" t="s">
        <v>10</v>
      </c>
      <c r="F798" s="8">
        <f>_xlfn.IFNA(INDEX('OSA | 3GB'!J:L,MATCH(DATA!D798,'OSA | 3GB'!J:J,0),2),0)</f>
        <v>3</v>
      </c>
      <c r="G798" s="8">
        <f>_xlfn.IFNA(INDEX('OSA | 3GB'!J:L,MATCH(DATA!D798,'OSA | 3GB'!J:J,0),3),0)</f>
        <v>4658000</v>
      </c>
      <c r="H798" s="32">
        <f>_xlfn.IFNA(INDEX('OSA | 3GB'!A:C,MATCH(DATA!D798,'OSA | 3GB'!A:A,0),2),0)</f>
        <v>1</v>
      </c>
      <c r="I798" s="33">
        <f>_xlfn.IFNA(INDEX('OSA | 3GB'!A:C,MATCH(DATA!D798,'OSA | 3GB'!A:A,0),3),0)</f>
        <v>670000</v>
      </c>
      <c r="J798" s="33">
        <f>INDEX('BIO WAHYU'!B:G,MATCH(DATA!D798,'BIO WAHYU'!B:B,0),5)</f>
        <v>3</v>
      </c>
      <c r="K798" s="34">
        <f>INDEX('BIO WAHYU'!B:G,MATCH(DATA!D798,'BIO WAHYU'!B:B,0),6)</f>
        <v>3</v>
      </c>
      <c r="L798" s="35">
        <f>INDEX('BIO WAHYU'!B:H,MATCH(DATA!D798,'BIO WAHYU'!B:B,0),7)</f>
        <v>0</v>
      </c>
      <c r="M798" s="34">
        <f>INDEX('BIO WAHYU'!B:H,MATCH(DATA!D798,'BIO WAHYU'!B:B,0),4)</f>
        <v>0</v>
      </c>
    </row>
    <row r="799" spans="1:13">
      <c r="A799" s="43" t="s">
        <v>1672</v>
      </c>
      <c r="B799" s="43" t="s">
        <v>155</v>
      </c>
      <c r="C799" s="43" t="s">
        <v>1390</v>
      </c>
      <c r="D799" s="10">
        <v>298574</v>
      </c>
      <c r="E799" s="43" t="s">
        <v>10</v>
      </c>
      <c r="F799" s="8">
        <f>_xlfn.IFNA(INDEX('OSA | 3GB'!J:L,MATCH(DATA!D799,'OSA | 3GB'!J:J,0),2),0)</f>
        <v>5</v>
      </c>
      <c r="G799" s="8">
        <f>_xlfn.IFNA(INDEX('OSA | 3GB'!J:L,MATCH(DATA!D799,'OSA | 3GB'!J:J,0),3),0)</f>
        <v>1100000</v>
      </c>
      <c r="H799" s="32">
        <f>_xlfn.IFNA(INDEX('OSA | 3GB'!A:C,MATCH(DATA!D799,'OSA | 3GB'!A:A,0),2),0)</f>
        <v>3</v>
      </c>
      <c r="I799" s="33">
        <f>_xlfn.IFNA(INDEX('OSA | 3GB'!A:C,MATCH(DATA!D799,'OSA | 3GB'!A:A,0),3),0)</f>
        <v>400000</v>
      </c>
      <c r="J799" s="33">
        <f>INDEX('BIO WAHYU'!B:G,MATCH(DATA!D799,'BIO WAHYU'!B:B,0),5)</f>
        <v>3</v>
      </c>
      <c r="K799" s="34">
        <f>INDEX('BIO WAHYU'!B:G,MATCH(DATA!D799,'BIO WAHYU'!B:B,0),6)</f>
        <v>3</v>
      </c>
      <c r="L799" s="35">
        <f>INDEX('BIO WAHYU'!B:H,MATCH(DATA!D799,'BIO WAHYU'!B:B,0),7)</f>
        <v>0</v>
      </c>
      <c r="M799" s="34">
        <f>INDEX('BIO WAHYU'!B:H,MATCH(DATA!D799,'BIO WAHYU'!B:B,0),4)</f>
        <v>0</v>
      </c>
    </row>
    <row r="800" spans="1:13">
      <c r="A800" s="43" t="s">
        <v>1670</v>
      </c>
      <c r="B800" s="43" t="s">
        <v>146</v>
      </c>
      <c r="C800" s="43" t="s">
        <v>545</v>
      </c>
      <c r="D800" s="10">
        <v>518762</v>
      </c>
      <c r="E800" s="43" t="s">
        <v>10</v>
      </c>
      <c r="F800" s="8">
        <f>_xlfn.IFNA(INDEX('OSA | 3GB'!J:L,MATCH(DATA!D800,'OSA | 3GB'!J:J,0),2),0)</f>
        <v>5</v>
      </c>
      <c r="G800" s="8">
        <f>_xlfn.IFNA(INDEX('OSA | 3GB'!J:L,MATCH(DATA!D800,'OSA | 3GB'!J:J,0),3),0)</f>
        <v>1140000</v>
      </c>
      <c r="H800" s="32">
        <f>_xlfn.IFNA(INDEX('OSA | 3GB'!A:C,MATCH(DATA!D800,'OSA | 3GB'!A:A,0),2),0)</f>
        <v>3</v>
      </c>
      <c r="I800" s="33">
        <f>_xlfn.IFNA(INDEX('OSA | 3GB'!A:C,MATCH(DATA!D800,'OSA | 3GB'!A:A,0),3),0)</f>
        <v>1000000</v>
      </c>
      <c r="J800" s="33">
        <f>INDEX('BIO WAHYU'!B:G,MATCH(DATA!D800,'BIO WAHYU'!B:B,0),5)</f>
        <v>3</v>
      </c>
      <c r="K800" s="34">
        <f>INDEX('BIO WAHYU'!B:G,MATCH(DATA!D800,'BIO WAHYU'!B:B,0),6)</f>
        <v>0</v>
      </c>
      <c r="L800" s="35">
        <f>INDEX('BIO WAHYU'!B:H,MATCH(DATA!D800,'BIO WAHYU'!B:B,0),7)</f>
        <v>0</v>
      </c>
      <c r="M800" s="34">
        <f>INDEX('BIO WAHYU'!B:H,MATCH(DATA!D800,'BIO WAHYU'!B:B,0),4)</f>
        <v>0</v>
      </c>
    </row>
    <row r="801" spans="1:13">
      <c r="A801" s="43" t="s">
        <v>1672</v>
      </c>
      <c r="B801" s="43" t="s">
        <v>156</v>
      </c>
      <c r="C801" s="43" t="s">
        <v>1001</v>
      </c>
      <c r="D801" s="10">
        <v>61576</v>
      </c>
      <c r="E801" s="43" t="s">
        <v>10</v>
      </c>
      <c r="F801" s="8">
        <f>_xlfn.IFNA(INDEX('OSA | 3GB'!J:L,MATCH(DATA!D801,'OSA | 3GB'!J:J,0),2),0)</f>
        <v>0</v>
      </c>
      <c r="G801" s="8">
        <f>_xlfn.IFNA(INDEX('OSA | 3GB'!J:L,MATCH(DATA!D801,'OSA | 3GB'!J:J,0),3),0)</f>
        <v>1000000</v>
      </c>
      <c r="H801" s="32" t="str">
        <f>_xlfn.IFNA(INDEX('OSA | 3GB'!A:C,MATCH(DATA!D801,'OSA | 3GB'!A:A,0),2),0)</f>
        <v xml:space="preserve"> -   </v>
      </c>
      <c r="I801" s="33">
        <f>_xlfn.IFNA(INDEX('OSA | 3GB'!A:C,MATCH(DATA!D801,'OSA | 3GB'!A:A,0),3),0)</f>
        <v>550000</v>
      </c>
      <c r="J801" s="33">
        <f>INDEX('BIO WAHYU'!B:G,MATCH(DATA!D801,'BIO WAHYU'!B:B,0),5)</f>
        <v>0</v>
      </c>
      <c r="K801" s="34">
        <f>INDEX('BIO WAHYU'!B:G,MATCH(DATA!D801,'BIO WAHYU'!B:B,0),6)</f>
        <v>0</v>
      </c>
      <c r="L801" s="35">
        <f>INDEX('BIO WAHYU'!B:H,MATCH(DATA!D801,'BIO WAHYU'!B:B,0),7)</f>
        <v>0</v>
      </c>
      <c r="M801" s="34">
        <f>INDEX('BIO WAHYU'!B:H,MATCH(DATA!D801,'BIO WAHYU'!B:B,0),4)</f>
        <v>0</v>
      </c>
    </row>
    <row r="802" spans="1:13">
      <c r="A802" s="43" t="s">
        <v>1673</v>
      </c>
      <c r="B802" s="43" t="s">
        <v>141</v>
      </c>
      <c r="C802" s="43" t="s">
        <v>180</v>
      </c>
      <c r="D802" s="10">
        <v>12295824</v>
      </c>
      <c r="E802" s="43" t="s">
        <v>10</v>
      </c>
      <c r="F802" s="8">
        <f>_xlfn.IFNA(INDEX('OSA | 3GB'!J:L,MATCH(DATA!D802,'OSA | 3GB'!J:J,0),2),0)</f>
        <v>6</v>
      </c>
      <c r="G802" s="8">
        <f>_xlfn.IFNA(INDEX('OSA | 3GB'!J:L,MATCH(DATA!D802,'OSA | 3GB'!J:J,0),3),0)</f>
        <v>1323000</v>
      </c>
      <c r="H802" s="32" t="str">
        <f>_xlfn.IFNA(INDEX('OSA | 3GB'!A:C,MATCH(DATA!D802,'OSA | 3GB'!A:A,0),2),0)</f>
        <v xml:space="preserve"> -   </v>
      </c>
      <c r="I802" s="33">
        <f>_xlfn.IFNA(INDEX('OSA | 3GB'!A:C,MATCH(DATA!D802,'OSA | 3GB'!A:A,0),3),0)</f>
        <v>800000</v>
      </c>
      <c r="J802" s="33">
        <f>INDEX('BIO WAHYU'!B:G,MATCH(DATA!D802,'BIO WAHYU'!B:B,0),5)</f>
        <v>3</v>
      </c>
      <c r="K802" s="34">
        <f>INDEX('BIO WAHYU'!B:G,MATCH(DATA!D802,'BIO WAHYU'!B:B,0),6)</f>
        <v>1</v>
      </c>
      <c r="L802" s="35">
        <f>INDEX('BIO WAHYU'!B:H,MATCH(DATA!D802,'BIO WAHYU'!B:B,0),7)</f>
        <v>0</v>
      </c>
      <c r="M802" s="34">
        <f>INDEX('BIO WAHYU'!B:H,MATCH(DATA!D802,'BIO WAHYU'!B:B,0),4)</f>
        <v>0</v>
      </c>
    </row>
    <row r="803" spans="1:13">
      <c r="A803" s="43" t="s">
        <v>1672</v>
      </c>
      <c r="B803" s="43" t="s">
        <v>157</v>
      </c>
      <c r="C803" s="43" t="s">
        <v>1391</v>
      </c>
      <c r="D803" s="10">
        <v>362462</v>
      </c>
      <c r="E803" s="43" t="s">
        <v>10</v>
      </c>
      <c r="F803" s="8">
        <f>_xlfn.IFNA(INDEX('OSA | 3GB'!J:L,MATCH(DATA!D803,'OSA | 3GB'!J:J,0),2),0)</f>
        <v>17</v>
      </c>
      <c r="G803" s="8">
        <f>_xlfn.IFNA(INDEX('OSA | 3GB'!J:L,MATCH(DATA!D803,'OSA | 3GB'!J:J,0),3),0)</f>
        <v>1300000</v>
      </c>
      <c r="H803" s="32">
        <f>_xlfn.IFNA(INDEX('OSA | 3GB'!A:C,MATCH(DATA!D803,'OSA | 3GB'!A:A,0),2),0)</f>
        <v>2</v>
      </c>
      <c r="I803" s="33" t="str">
        <f>_xlfn.IFNA(INDEX('OSA | 3GB'!A:C,MATCH(DATA!D803,'OSA | 3GB'!A:A,0),3),0)</f>
        <v xml:space="preserve"> -   </v>
      </c>
      <c r="J803" s="33">
        <f>INDEX('BIO WAHYU'!B:G,MATCH(DATA!D803,'BIO WAHYU'!B:B,0),5)</f>
        <v>14</v>
      </c>
      <c r="K803" s="34">
        <f>INDEX('BIO WAHYU'!B:G,MATCH(DATA!D803,'BIO WAHYU'!B:B,0),6)</f>
        <v>0</v>
      </c>
      <c r="L803" s="35">
        <f>INDEX('BIO WAHYU'!B:H,MATCH(DATA!D803,'BIO WAHYU'!B:B,0),7)</f>
        <v>0</v>
      </c>
      <c r="M803" s="34">
        <f>INDEX('BIO WAHYU'!B:H,MATCH(DATA!D803,'BIO WAHYU'!B:B,0),4)</f>
        <v>0</v>
      </c>
    </row>
    <row r="804" spans="1:13">
      <c r="A804" s="43" t="s">
        <v>1672</v>
      </c>
      <c r="B804" s="43" t="s">
        <v>150</v>
      </c>
      <c r="C804" s="43" t="s">
        <v>832</v>
      </c>
      <c r="D804" s="10">
        <v>527659</v>
      </c>
      <c r="E804" s="43" t="s">
        <v>10</v>
      </c>
      <c r="F804" s="8">
        <f>_xlfn.IFNA(INDEX('OSA | 3GB'!J:L,MATCH(DATA!D804,'OSA | 3GB'!J:J,0),2),0)</f>
        <v>6</v>
      </c>
      <c r="G804" s="8">
        <f>_xlfn.IFNA(INDEX('OSA | 3GB'!J:L,MATCH(DATA!D804,'OSA | 3GB'!J:J,0),3),0)</f>
        <v>350000</v>
      </c>
      <c r="H804" s="32" t="str">
        <f>_xlfn.IFNA(INDEX('OSA | 3GB'!A:C,MATCH(DATA!D804,'OSA | 3GB'!A:A,0),2),0)</f>
        <v xml:space="preserve"> -   </v>
      </c>
      <c r="I804" s="33">
        <f>_xlfn.IFNA(INDEX('OSA | 3GB'!A:C,MATCH(DATA!D804,'OSA | 3GB'!A:A,0),3),0)</f>
        <v>300000</v>
      </c>
      <c r="J804" s="33">
        <f>INDEX('BIO WAHYU'!B:G,MATCH(DATA!D804,'BIO WAHYU'!B:B,0),5)</f>
        <v>1</v>
      </c>
      <c r="K804" s="34">
        <f>INDEX('BIO WAHYU'!B:G,MATCH(DATA!D804,'BIO WAHYU'!B:B,0),6)</f>
        <v>0</v>
      </c>
      <c r="L804" s="35">
        <f>INDEX('BIO WAHYU'!B:H,MATCH(DATA!D804,'BIO WAHYU'!B:B,0),7)</f>
        <v>0</v>
      </c>
      <c r="M804" s="34">
        <f>INDEX('BIO WAHYU'!B:H,MATCH(DATA!D804,'BIO WAHYU'!B:B,0),4)</f>
        <v>0</v>
      </c>
    </row>
    <row r="805" spans="1:13">
      <c r="A805" s="43" t="s">
        <v>1</v>
      </c>
      <c r="B805" s="43" t="s">
        <v>5</v>
      </c>
      <c r="C805" s="43" t="s">
        <v>1099</v>
      </c>
      <c r="D805" s="10">
        <v>396176</v>
      </c>
      <c r="E805" s="43" t="s">
        <v>15</v>
      </c>
      <c r="F805" s="8">
        <f>_xlfn.IFNA(INDEX('OSA | 3GB'!J:L,MATCH(DATA!D805,'OSA | 3GB'!J:J,0),2),0)</f>
        <v>0</v>
      </c>
      <c r="G805" s="8">
        <f>_xlfn.IFNA(INDEX('OSA | 3GB'!J:L,MATCH(DATA!D805,'OSA | 3GB'!J:J,0),3),0)</f>
        <v>100000</v>
      </c>
      <c r="H805" s="32" t="str">
        <f>_xlfn.IFNA(INDEX('OSA | 3GB'!A:C,MATCH(DATA!D805,'OSA | 3GB'!A:A,0),2),0)</f>
        <v xml:space="preserve"> -   </v>
      </c>
      <c r="I805" s="33">
        <f>_xlfn.IFNA(INDEX('OSA | 3GB'!A:C,MATCH(DATA!D805,'OSA | 3GB'!A:A,0),3),0)</f>
        <v>200000</v>
      </c>
      <c r="J805" s="33">
        <f>INDEX('BIO WAHYU'!B:G,MATCH(DATA!D805,'BIO WAHYU'!B:B,0),5)</f>
        <v>1</v>
      </c>
      <c r="K805" s="34">
        <f>INDEX('BIO WAHYU'!B:G,MATCH(DATA!D805,'BIO WAHYU'!B:B,0),6)</f>
        <v>1</v>
      </c>
      <c r="L805" s="35">
        <f>INDEX('BIO WAHYU'!B:H,MATCH(DATA!D805,'BIO WAHYU'!B:B,0),7)</f>
        <v>0</v>
      </c>
      <c r="M805" s="34">
        <f>INDEX('BIO WAHYU'!B:H,MATCH(DATA!D805,'BIO WAHYU'!B:B,0),4)</f>
        <v>0</v>
      </c>
    </row>
    <row r="806" spans="1:13">
      <c r="A806" s="43" t="s">
        <v>1670</v>
      </c>
      <c r="B806" s="43" t="s">
        <v>140</v>
      </c>
      <c r="C806" s="43" t="s">
        <v>1392</v>
      </c>
      <c r="D806" s="10">
        <v>139908</v>
      </c>
      <c r="E806" s="43" t="s">
        <v>10</v>
      </c>
      <c r="F806" s="8">
        <f>_xlfn.IFNA(INDEX('OSA | 3GB'!J:L,MATCH(DATA!D806,'OSA | 3GB'!J:J,0),2),0)</f>
        <v>1</v>
      </c>
      <c r="G806" s="8">
        <f>_xlfn.IFNA(INDEX('OSA | 3GB'!J:L,MATCH(DATA!D806,'OSA | 3GB'!J:J,0),3),0)</f>
        <v>800000</v>
      </c>
      <c r="H806" s="32" t="str">
        <f>_xlfn.IFNA(INDEX('OSA | 3GB'!A:C,MATCH(DATA!D806,'OSA | 3GB'!A:A,0),2),0)</f>
        <v xml:space="preserve"> -   </v>
      </c>
      <c r="I806" s="33" t="str">
        <f>_xlfn.IFNA(INDEX('OSA | 3GB'!A:C,MATCH(DATA!D806,'OSA | 3GB'!A:A,0),3),0)</f>
        <v xml:space="preserve"> -   </v>
      </c>
      <c r="J806" s="33">
        <f>INDEX('BIO WAHYU'!B:G,MATCH(DATA!D806,'BIO WAHYU'!B:B,0),5)</f>
        <v>2</v>
      </c>
      <c r="K806" s="34">
        <f>INDEX('BIO WAHYU'!B:G,MATCH(DATA!D806,'BIO WAHYU'!B:B,0),6)</f>
        <v>0</v>
      </c>
      <c r="L806" s="35">
        <f>INDEX('BIO WAHYU'!B:H,MATCH(DATA!D806,'BIO WAHYU'!B:B,0),7)</f>
        <v>0</v>
      </c>
      <c r="M806" s="34">
        <f>INDEX('BIO WAHYU'!B:H,MATCH(DATA!D806,'BIO WAHYU'!B:B,0),4)</f>
        <v>0</v>
      </c>
    </row>
    <row r="807" spans="1:13">
      <c r="A807" s="43" t="s">
        <v>1670</v>
      </c>
      <c r="B807" s="43" t="s">
        <v>146</v>
      </c>
      <c r="C807" s="43" t="s">
        <v>1393</v>
      </c>
      <c r="D807" s="10">
        <v>199026</v>
      </c>
      <c r="E807" s="43" t="s">
        <v>10</v>
      </c>
      <c r="F807" s="8">
        <f>_xlfn.IFNA(INDEX('OSA | 3GB'!J:L,MATCH(DATA!D807,'OSA | 3GB'!J:J,0),2),0)</f>
        <v>144</v>
      </c>
      <c r="G807" s="8">
        <f>_xlfn.IFNA(INDEX('OSA | 3GB'!J:L,MATCH(DATA!D807,'OSA | 3GB'!J:J,0),3),0)</f>
        <v>11531250</v>
      </c>
      <c r="H807" s="32" t="str">
        <f>_xlfn.IFNA(INDEX('OSA | 3GB'!A:C,MATCH(DATA!D807,'OSA | 3GB'!A:A,0),2),0)</f>
        <v xml:space="preserve"> -   </v>
      </c>
      <c r="I807" s="33">
        <f>_xlfn.IFNA(INDEX('OSA | 3GB'!A:C,MATCH(DATA!D807,'OSA | 3GB'!A:A,0),3),0)</f>
        <v>4750000</v>
      </c>
      <c r="J807" s="33">
        <f>INDEX('BIO WAHYU'!B:G,MATCH(DATA!D807,'BIO WAHYU'!B:B,0),5)</f>
        <v>18</v>
      </c>
      <c r="K807" s="34">
        <f>INDEX('BIO WAHYU'!B:G,MATCH(DATA!D807,'BIO WAHYU'!B:B,0),6)</f>
        <v>35</v>
      </c>
      <c r="L807" s="35">
        <f>INDEX('BIO WAHYU'!B:H,MATCH(DATA!D807,'BIO WAHYU'!B:B,0),7)</f>
        <v>17</v>
      </c>
      <c r="M807" s="34">
        <f>INDEX('BIO WAHYU'!B:H,MATCH(DATA!D807,'BIO WAHYU'!B:B,0),4)</f>
        <v>0</v>
      </c>
    </row>
    <row r="808" spans="1:13">
      <c r="A808" s="43" t="s">
        <v>1670</v>
      </c>
      <c r="B808" s="43" t="s">
        <v>146</v>
      </c>
      <c r="C808" s="43" t="s">
        <v>1394</v>
      </c>
      <c r="D808" s="10">
        <v>534674</v>
      </c>
      <c r="E808" s="43" t="s">
        <v>10</v>
      </c>
      <c r="F808" s="8">
        <f>_xlfn.IFNA(INDEX('OSA | 3GB'!J:L,MATCH(DATA!D808,'OSA | 3GB'!J:J,0),2),0)</f>
        <v>6</v>
      </c>
      <c r="G808" s="8">
        <f>_xlfn.IFNA(INDEX('OSA | 3GB'!J:L,MATCH(DATA!D808,'OSA | 3GB'!J:J,0),3),0)</f>
        <v>2390000</v>
      </c>
      <c r="H808" s="32">
        <f>_xlfn.IFNA(INDEX('OSA | 3GB'!A:C,MATCH(DATA!D808,'OSA | 3GB'!A:A,0),2),0)</f>
        <v>2</v>
      </c>
      <c r="I808" s="33">
        <f>_xlfn.IFNA(INDEX('OSA | 3GB'!A:C,MATCH(DATA!D808,'OSA | 3GB'!A:A,0),3),0)</f>
        <v>500000</v>
      </c>
      <c r="J808" s="33">
        <f>INDEX('BIO WAHYU'!B:G,MATCH(DATA!D808,'BIO WAHYU'!B:B,0),5)</f>
        <v>4</v>
      </c>
      <c r="K808" s="34">
        <f>INDEX('BIO WAHYU'!B:G,MATCH(DATA!D808,'BIO WAHYU'!B:B,0),6)</f>
        <v>1</v>
      </c>
      <c r="L808" s="35">
        <f>INDEX('BIO WAHYU'!B:H,MATCH(DATA!D808,'BIO WAHYU'!B:B,0),7)</f>
        <v>0</v>
      </c>
      <c r="M808" s="34">
        <f>INDEX('BIO WAHYU'!B:H,MATCH(DATA!D808,'BIO WAHYU'!B:B,0),4)</f>
        <v>1</v>
      </c>
    </row>
    <row r="809" spans="1:13">
      <c r="A809" s="43" t="s">
        <v>1672</v>
      </c>
      <c r="B809" s="43" t="s">
        <v>157</v>
      </c>
      <c r="C809" s="43" t="s">
        <v>1063</v>
      </c>
      <c r="D809" s="10">
        <v>62002</v>
      </c>
      <c r="E809" s="43" t="s">
        <v>10</v>
      </c>
      <c r="F809" s="8">
        <f>_xlfn.IFNA(INDEX('OSA | 3GB'!J:L,MATCH(DATA!D809,'OSA | 3GB'!J:J,0),2),0)</f>
        <v>3</v>
      </c>
      <c r="G809" s="8">
        <f>_xlfn.IFNA(INDEX('OSA | 3GB'!J:L,MATCH(DATA!D809,'OSA | 3GB'!J:J,0),3),0)</f>
        <v>11058000</v>
      </c>
      <c r="H809" s="32">
        <f>_xlfn.IFNA(INDEX('OSA | 3GB'!A:C,MATCH(DATA!D809,'OSA | 3GB'!A:A,0),2),0)</f>
        <v>3</v>
      </c>
      <c r="I809" s="33">
        <f>_xlfn.IFNA(INDEX('OSA | 3GB'!A:C,MATCH(DATA!D809,'OSA | 3GB'!A:A,0),3),0)</f>
        <v>87000</v>
      </c>
      <c r="J809" s="33">
        <f>INDEX('BIO WAHYU'!B:G,MATCH(DATA!D809,'BIO WAHYU'!B:B,0),5)</f>
        <v>3</v>
      </c>
      <c r="K809" s="34">
        <f>INDEX('BIO WAHYU'!B:G,MATCH(DATA!D809,'BIO WAHYU'!B:B,0),6)</f>
        <v>1</v>
      </c>
      <c r="L809" s="35">
        <f>INDEX('BIO WAHYU'!B:H,MATCH(DATA!D809,'BIO WAHYU'!B:B,0),7)</f>
        <v>0</v>
      </c>
      <c r="M809" s="34">
        <f>INDEX('BIO WAHYU'!B:H,MATCH(DATA!D809,'BIO WAHYU'!B:B,0),4)</f>
        <v>0</v>
      </c>
    </row>
    <row r="810" spans="1:13">
      <c r="A810" s="43" t="s">
        <v>1672</v>
      </c>
      <c r="B810" s="43" t="s">
        <v>151</v>
      </c>
      <c r="C810" s="43" t="s">
        <v>878</v>
      </c>
      <c r="D810" s="10">
        <v>553891</v>
      </c>
      <c r="E810" s="43" t="s">
        <v>10</v>
      </c>
      <c r="F810" s="8">
        <f>_xlfn.IFNA(INDEX('OSA | 3GB'!J:L,MATCH(DATA!D810,'OSA | 3GB'!J:J,0),2),0)</f>
        <v>10</v>
      </c>
      <c r="G810" s="8">
        <f>_xlfn.IFNA(INDEX('OSA | 3GB'!J:L,MATCH(DATA!D810,'OSA | 3GB'!J:J,0),3),0)</f>
        <v>1100000</v>
      </c>
      <c r="H810" s="32">
        <f>_xlfn.IFNA(INDEX('OSA | 3GB'!A:C,MATCH(DATA!D810,'OSA | 3GB'!A:A,0),2),0)</f>
        <v>4</v>
      </c>
      <c r="I810" s="33">
        <f>_xlfn.IFNA(INDEX('OSA | 3GB'!A:C,MATCH(DATA!D810,'OSA | 3GB'!A:A,0),3),0)</f>
        <v>566000</v>
      </c>
      <c r="J810" s="33">
        <f>INDEX('BIO WAHYU'!B:G,MATCH(DATA!D810,'BIO WAHYU'!B:B,0),5)</f>
        <v>3</v>
      </c>
      <c r="K810" s="34">
        <f>INDEX('BIO WAHYU'!B:G,MATCH(DATA!D810,'BIO WAHYU'!B:B,0),6)</f>
        <v>1</v>
      </c>
      <c r="L810" s="35">
        <f>INDEX('BIO WAHYU'!B:H,MATCH(DATA!D810,'BIO WAHYU'!B:B,0),7)</f>
        <v>0</v>
      </c>
      <c r="M810" s="34">
        <f>INDEX('BIO WAHYU'!B:H,MATCH(DATA!D810,'BIO WAHYU'!B:B,0),4)</f>
        <v>0</v>
      </c>
    </row>
    <row r="811" spans="1:13">
      <c r="A811" s="43" t="s">
        <v>1671</v>
      </c>
      <c r="B811" s="43">
        <v>2613050885</v>
      </c>
      <c r="C811" s="43" t="s">
        <v>1395</v>
      </c>
      <c r="D811" s="10">
        <v>527179</v>
      </c>
      <c r="E811" s="43" t="s">
        <v>10</v>
      </c>
      <c r="F811" s="8">
        <f>_xlfn.IFNA(INDEX('OSA | 3GB'!J:L,MATCH(DATA!D811,'OSA | 3GB'!J:J,0),2),0)</f>
        <v>0</v>
      </c>
      <c r="G811" s="8">
        <f>_xlfn.IFNA(INDEX('OSA | 3GB'!J:L,MATCH(DATA!D811,'OSA | 3GB'!J:J,0),3),0)</f>
        <v>484500</v>
      </c>
      <c r="H811" s="32">
        <f>_xlfn.IFNA(INDEX('OSA | 3GB'!A:C,MATCH(DATA!D811,'OSA | 3GB'!A:A,0),2),0)</f>
        <v>6</v>
      </c>
      <c r="I811" s="33">
        <f>_xlfn.IFNA(INDEX('OSA | 3GB'!A:C,MATCH(DATA!D811,'OSA | 3GB'!A:A,0),3),0)</f>
        <v>50000</v>
      </c>
      <c r="J811" s="33">
        <f>INDEX('BIO WAHYU'!B:G,MATCH(DATA!D811,'BIO WAHYU'!B:B,0),5)</f>
        <v>1</v>
      </c>
      <c r="K811" s="34">
        <f>INDEX('BIO WAHYU'!B:G,MATCH(DATA!D811,'BIO WAHYU'!B:B,0),6)</f>
        <v>0</v>
      </c>
      <c r="L811" s="35">
        <f>INDEX('BIO WAHYU'!B:H,MATCH(DATA!D811,'BIO WAHYU'!B:B,0),7)</f>
        <v>0</v>
      </c>
      <c r="M811" s="34">
        <f>INDEX('BIO WAHYU'!B:H,MATCH(DATA!D811,'BIO WAHYU'!B:B,0),4)</f>
        <v>0</v>
      </c>
    </row>
    <row r="812" spans="1:13">
      <c r="A812" s="43" t="s">
        <v>1671</v>
      </c>
      <c r="B812" s="43">
        <v>2613050886</v>
      </c>
      <c r="C812" s="43" t="s">
        <v>322</v>
      </c>
      <c r="D812" s="10">
        <v>287452</v>
      </c>
      <c r="E812" s="43" t="s">
        <v>15</v>
      </c>
      <c r="F812" s="8">
        <f>_xlfn.IFNA(INDEX('OSA | 3GB'!J:L,MATCH(DATA!D812,'OSA | 3GB'!J:J,0),2),0)</f>
        <v>3</v>
      </c>
      <c r="G812" s="8">
        <f>_xlfn.IFNA(INDEX('OSA | 3GB'!J:L,MATCH(DATA!D812,'OSA | 3GB'!J:J,0),3),0)</f>
        <v>150000</v>
      </c>
      <c r="H812" s="32" t="str">
        <f>_xlfn.IFNA(INDEX('OSA | 3GB'!A:C,MATCH(DATA!D812,'OSA | 3GB'!A:A,0),2),0)</f>
        <v xml:space="preserve"> -   </v>
      </c>
      <c r="I812" s="33">
        <f>_xlfn.IFNA(INDEX('OSA | 3GB'!A:C,MATCH(DATA!D812,'OSA | 3GB'!A:A,0),3),0)</f>
        <v>201147</v>
      </c>
      <c r="J812" s="33">
        <f>INDEX('BIO WAHYU'!B:G,MATCH(DATA!D812,'BIO WAHYU'!B:B,0),5)</f>
        <v>3</v>
      </c>
      <c r="K812" s="34">
        <f>INDEX('BIO WAHYU'!B:G,MATCH(DATA!D812,'BIO WAHYU'!B:B,0),6)</f>
        <v>0</v>
      </c>
      <c r="L812" s="35">
        <f>INDEX('BIO WAHYU'!B:H,MATCH(DATA!D812,'BIO WAHYU'!B:B,0),7)</f>
        <v>0</v>
      </c>
      <c r="M812" s="34">
        <f>INDEX('BIO WAHYU'!B:H,MATCH(DATA!D812,'BIO WAHYU'!B:B,0),4)</f>
        <v>0</v>
      </c>
    </row>
    <row r="813" spans="1:13">
      <c r="A813" s="43" t="s">
        <v>1671</v>
      </c>
      <c r="B813" s="43">
        <v>2613050886</v>
      </c>
      <c r="C813" s="43" t="s">
        <v>313</v>
      </c>
      <c r="D813" s="10">
        <v>12295051</v>
      </c>
      <c r="E813" s="43" t="s">
        <v>15</v>
      </c>
      <c r="F813" s="8">
        <f>_xlfn.IFNA(INDEX('OSA | 3GB'!J:L,MATCH(DATA!D813,'OSA | 3GB'!J:J,0),2),0)</f>
        <v>8</v>
      </c>
      <c r="G813" s="8">
        <f>_xlfn.IFNA(INDEX('OSA | 3GB'!J:L,MATCH(DATA!D813,'OSA | 3GB'!J:J,0),3),0)</f>
        <v>1800000</v>
      </c>
      <c r="H813" s="32" t="str">
        <f>_xlfn.IFNA(INDEX('OSA | 3GB'!A:C,MATCH(DATA!D813,'OSA | 3GB'!A:A,0),2),0)</f>
        <v xml:space="preserve"> -   </v>
      </c>
      <c r="I813" s="33">
        <f>_xlfn.IFNA(INDEX('OSA | 3GB'!A:C,MATCH(DATA!D813,'OSA | 3GB'!A:A,0),3),0)</f>
        <v>600000</v>
      </c>
      <c r="J813" s="33">
        <f>INDEX('BIO WAHYU'!B:G,MATCH(DATA!D813,'BIO WAHYU'!B:B,0),5)</f>
        <v>4</v>
      </c>
      <c r="K813" s="34">
        <f>INDEX('BIO WAHYU'!B:G,MATCH(DATA!D813,'BIO WAHYU'!B:B,0),6)</f>
        <v>0</v>
      </c>
      <c r="L813" s="35">
        <f>INDEX('BIO WAHYU'!B:H,MATCH(DATA!D813,'BIO WAHYU'!B:B,0),7)</f>
        <v>0</v>
      </c>
      <c r="M813" s="34">
        <f>INDEX('BIO WAHYU'!B:H,MATCH(DATA!D813,'BIO WAHYU'!B:B,0),4)</f>
        <v>0</v>
      </c>
    </row>
    <row r="814" spans="1:13">
      <c r="A814" s="43" t="s">
        <v>1670</v>
      </c>
      <c r="B814" s="43">
        <v>2613051412</v>
      </c>
      <c r="C814" s="43" t="s">
        <v>1396</v>
      </c>
      <c r="D814" s="10">
        <v>355448</v>
      </c>
      <c r="E814" s="43" t="s">
        <v>10</v>
      </c>
      <c r="F814" s="8">
        <f>_xlfn.IFNA(INDEX('OSA | 3GB'!J:L,MATCH(DATA!D814,'OSA | 3GB'!J:J,0),2),0)</f>
        <v>3</v>
      </c>
      <c r="G814" s="8">
        <f>_xlfn.IFNA(INDEX('OSA | 3GB'!J:L,MATCH(DATA!D814,'OSA | 3GB'!J:J,0),3),0)</f>
        <v>2000000</v>
      </c>
      <c r="H814" s="32">
        <f>_xlfn.IFNA(INDEX('OSA | 3GB'!A:C,MATCH(DATA!D814,'OSA | 3GB'!A:A,0),2),0)</f>
        <v>6</v>
      </c>
      <c r="I814" s="33">
        <f>_xlfn.IFNA(INDEX('OSA | 3GB'!A:C,MATCH(DATA!D814,'OSA | 3GB'!A:A,0),3),0)</f>
        <v>2000000</v>
      </c>
      <c r="J814" s="33">
        <f>INDEX('BIO WAHYU'!B:G,MATCH(DATA!D814,'BIO WAHYU'!B:B,0),5)</f>
        <v>2</v>
      </c>
      <c r="K814" s="34">
        <f>INDEX('BIO WAHYU'!B:G,MATCH(DATA!D814,'BIO WAHYU'!B:B,0),6)</f>
        <v>0</v>
      </c>
      <c r="L814" s="35">
        <f>INDEX('BIO WAHYU'!B:H,MATCH(DATA!D814,'BIO WAHYU'!B:B,0),7)</f>
        <v>0</v>
      </c>
      <c r="M814" s="34">
        <f>INDEX('BIO WAHYU'!B:H,MATCH(DATA!D814,'BIO WAHYU'!B:B,0),4)</f>
        <v>1</v>
      </c>
    </row>
    <row r="815" spans="1:13">
      <c r="A815" s="43" t="s">
        <v>1672</v>
      </c>
      <c r="B815" s="43" t="s">
        <v>155</v>
      </c>
      <c r="C815" s="43" t="s">
        <v>960</v>
      </c>
      <c r="D815" s="10">
        <v>62246</v>
      </c>
      <c r="E815" s="43" t="s">
        <v>10</v>
      </c>
      <c r="F815" s="8">
        <f>_xlfn.IFNA(INDEX('OSA | 3GB'!J:L,MATCH(DATA!D815,'OSA | 3GB'!J:J,0),2),0)</f>
        <v>5</v>
      </c>
      <c r="G815" s="8">
        <f>_xlfn.IFNA(INDEX('OSA | 3GB'!J:L,MATCH(DATA!D815,'OSA | 3GB'!J:J,0),3),0)</f>
        <v>500000</v>
      </c>
      <c r="H815" s="32" t="str">
        <f>_xlfn.IFNA(INDEX('OSA | 3GB'!A:C,MATCH(DATA!D815,'OSA | 3GB'!A:A,0),2),0)</f>
        <v xml:space="preserve"> -   </v>
      </c>
      <c r="I815" s="33" t="str">
        <f>_xlfn.IFNA(INDEX('OSA | 3GB'!A:C,MATCH(DATA!D815,'OSA | 3GB'!A:A,0),3),0)</f>
        <v xml:space="preserve"> -   </v>
      </c>
      <c r="J815" s="33">
        <f>INDEX('BIO WAHYU'!B:G,MATCH(DATA!D815,'BIO WAHYU'!B:B,0),5)</f>
        <v>3</v>
      </c>
      <c r="K815" s="34">
        <f>INDEX('BIO WAHYU'!B:G,MATCH(DATA!D815,'BIO WAHYU'!B:B,0),6)</f>
        <v>0</v>
      </c>
      <c r="L815" s="35">
        <f>INDEX('BIO WAHYU'!B:H,MATCH(DATA!D815,'BIO WAHYU'!B:B,0),7)</f>
        <v>0</v>
      </c>
      <c r="M815" s="34">
        <f>INDEX('BIO WAHYU'!B:H,MATCH(DATA!D815,'BIO WAHYU'!B:B,0),4)</f>
        <v>0</v>
      </c>
    </row>
    <row r="816" spans="1:13">
      <c r="A816" s="43" t="s">
        <v>1675</v>
      </c>
      <c r="B816" s="43">
        <v>2613051043</v>
      </c>
      <c r="C816" s="43" t="s">
        <v>1397</v>
      </c>
      <c r="D816" s="10">
        <v>12297054</v>
      </c>
      <c r="E816" s="43" t="s">
        <v>15</v>
      </c>
      <c r="F816" s="8">
        <f>_xlfn.IFNA(INDEX('OSA | 3GB'!J:L,MATCH(DATA!D816,'OSA | 3GB'!J:J,0),2),0)</f>
        <v>4</v>
      </c>
      <c r="G816" s="8">
        <f>_xlfn.IFNA(INDEX('OSA | 3GB'!J:L,MATCH(DATA!D816,'OSA | 3GB'!J:J,0),3),0)</f>
        <v>141000</v>
      </c>
      <c r="H816" s="32" t="str">
        <f>_xlfn.IFNA(INDEX('OSA | 3GB'!A:C,MATCH(DATA!D816,'OSA | 3GB'!A:A,0),2),0)</f>
        <v xml:space="preserve"> -   </v>
      </c>
      <c r="I816" s="33" t="str">
        <f>_xlfn.IFNA(INDEX('OSA | 3GB'!A:C,MATCH(DATA!D816,'OSA | 3GB'!A:A,0),3),0)</f>
        <v xml:space="preserve"> -   </v>
      </c>
      <c r="J816" s="33">
        <f>INDEX('BIO WAHYU'!B:G,MATCH(DATA!D816,'BIO WAHYU'!B:B,0),5)</f>
        <v>1</v>
      </c>
      <c r="K816" s="34">
        <f>INDEX('BIO WAHYU'!B:G,MATCH(DATA!D816,'BIO WAHYU'!B:B,0),6)</f>
        <v>0</v>
      </c>
      <c r="L816" s="35">
        <f>INDEX('BIO WAHYU'!B:H,MATCH(DATA!D816,'BIO WAHYU'!B:B,0),7)</f>
        <v>0</v>
      </c>
      <c r="M816" s="34">
        <f>INDEX('BIO WAHYU'!B:H,MATCH(DATA!D816,'BIO WAHYU'!B:B,0),4)</f>
        <v>0</v>
      </c>
    </row>
    <row r="817" spans="1:13">
      <c r="A817" s="43" t="s">
        <v>1672</v>
      </c>
      <c r="B817" s="43" t="s">
        <v>156</v>
      </c>
      <c r="C817" s="43" t="s">
        <v>1005</v>
      </c>
      <c r="D817" s="10">
        <v>62223</v>
      </c>
      <c r="E817" s="43" t="s">
        <v>10</v>
      </c>
      <c r="F817" s="8">
        <f>_xlfn.IFNA(INDEX('OSA | 3GB'!J:L,MATCH(DATA!D817,'OSA | 3GB'!J:J,0),2),0)</f>
        <v>1</v>
      </c>
      <c r="G817" s="8">
        <f>_xlfn.IFNA(INDEX('OSA | 3GB'!J:L,MATCH(DATA!D817,'OSA | 3GB'!J:J,0),3),0)</f>
        <v>900000</v>
      </c>
      <c r="H817" s="32" t="str">
        <f>_xlfn.IFNA(INDEX('OSA | 3GB'!A:C,MATCH(DATA!D817,'OSA | 3GB'!A:A,0),2),0)</f>
        <v xml:space="preserve"> -   </v>
      </c>
      <c r="I817" s="33" t="str">
        <f>_xlfn.IFNA(INDEX('OSA | 3GB'!A:C,MATCH(DATA!D817,'OSA | 3GB'!A:A,0),3),0)</f>
        <v xml:space="preserve"> -   </v>
      </c>
      <c r="J817" s="33">
        <f>INDEX('BIO WAHYU'!B:G,MATCH(DATA!D817,'BIO WAHYU'!B:B,0),5)</f>
        <v>0</v>
      </c>
      <c r="K817" s="34">
        <f>INDEX('BIO WAHYU'!B:G,MATCH(DATA!D817,'BIO WAHYU'!B:B,0),6)</f>
        <v>0</v>
      </c>
      <c r="L817" s="35">
        <f>INDEX('BIO WAHYU'!B:H,MATCH(DATA!D817,'BIO WAHYU'!B:B,0),7)</f>
        <v>0</v>
      </c>
      <c r="M817" s="34">
        <f>INDEX('BIO WAHYU'!B:H,MATCH(DATA!D817,'BIO WAHYU'!B:B,0),4)</f>
        <v>0</v>
      </c>
    </row>
    <row r="818" spans="1:13">
      <c r="A818" s="43" t="s">
        <v>1671</v>
      </c>
      <c r="B818" s="43">
        <v>2613050886</v>
      </c>
      <c r="C818" s="43" t="s">
        <v>1104</v>
      </c>
      <c r="D818" s="10">
        <v>260597</v>
      </c>
      <c r="E818" s="43" t="s">
        <v>15</v>
      </c>
      <c r="F818" s="8">
        <f>_xlfn.IFNA(INDEX('OSA | 3GB'!J:L,MATCH(DATA!D818,'OSA | 3GB'!J:J,0),2),0)</f>
        <v>1</v>
      </c>
      <c r="G818" s="8">
        <f>_xlfn.IFNA(INDEX('OSA | 3GB'!J:L,MATCH(DATA!D818,'OSA | 3GB'!J:J,0),3),0)</f>
        <v>3000000</v>
      </c>
      <c r="H818" s="32">
        <f>_xlfn.IFNA(INDEX('OSA | 3GB'!A:C,MATCH(DATA!D818,'OSA | 3GB'!A:A,0),2),0)</f>
        <v>1</v>
      </c>
      <c r="I818" s="33">
        <f>_xlfn.IFNA(INDEX('OSA | 3GB'!A:C,MATCH(DATA!D818,'OSA | 3GB'!A:A,0),3),0)</f>
        <v>1800000</v>
      </c>
      <c r="J818" s="33">
        <f>INDEX('BIO WAHYU'!B:G,MATCH(DATA!D818,'BIO WAHYU'!B:B,0),5)</f>
        <v>4</v>
      </c>
      <c r="K818" s="34">
        <f>INDEX('BIO WAHYU'!B:G,MATCH(DATA!D818,'BIO WAHYU'!B:B,0),6)</f>
        <v>1</v>
      </c>
      <c r="L818" s="35">
        <f>INDEX('BIO WAHYU'!B:H,MATCH(DATA!D818,'BIO WAHYU'!B:B,0),7)</f>
        <v>0</v>
      </c>
      <c r="M818" s="34">
        <f>INDEX('BIO WAHYU'!B:H,MATCH(DATA!D818,'BIO WAHYU'!B:B,0),4)</f>
        <v>1</v>
      </c>
    </row>
    <row r="819" spans="1:13">
      <c r="A819" s="43" t="s">
        <v>1670</v>
      </c>
      <c r="B819" s="43" t="s">
        <v>145</v>
      </c>
      <c r="C819" s="43" t="s">
        <v>1398</v>
      </c>
      <c r="D819" s="10">
        <v>127075</v>
      </c>
      <c r="E819" s="43" t="s">
        <v>15</v>
      </c>
      <c r="F819" s="8">
        <f>_xlfn.IFNA(INDEX('OSA | 3GB'!J:L,MATCH(DATA!D819,'OSA | 3GB'!J:J,0),2),0)</f>
        <v>0</v>
      </c>
      <c r="G819" s="8">
        <f>_xlfn.IFNA(INDEX('OSA | 3GB'!J:L,MATCH(DATA!D819,'OSA | 3GB'!J:J,0),3),0)</f>
        <v>750000</v>
      </c>
      <c r="H819" s="32" t="str">
        <f>_xlfn.IFNA(INDEX('OSA | 3GB'!A:C,MATCH(DATA!D819,'OSA | 3GB'!A:A,0),2),0)</f>
        <v xml:space="preserve"> -   </v>
      </c>
      <c r="I819" s="33" t="str">
        <f>_xlfn.IFNA(INDEX('OSA | 3GB'!A:C,MATCH(DATA!D819,'OSA | 3GB'!A:A,0),3),0)</f>
        <v xml:space="preserve"> -   </v>
      </c>
      <c r="J819" s="33">
        <f>INDEX('BIO WAHYU'!B:G,MATCH(DATA!D819,'BIO WAHYU'!B:B,0),5)</f>
        <v>0</v>
      </c>
      <c r="K819" s="34">
        <f>INDEX('BIO WAHYU'!B:G,MATCH(DATA!D819,'BIO WAHYU'!B:B,0),6)</f>
        <v>0</v>
      </c>
      <c r="L819" s="35">
        <f>INDEX('BIO WAHYU'!B:H,MATCH(DATA!D819,'BIO WAHYU'!B:B,0),7)</f>
        <v>0</v>
      </c>
      <c r="M819" s="34">
        <f>INDEX('BIO WAHYU'!B:H,MATCH(DATA!D819,'BIO WAHYU'!B:B,0),4)</f>
        <v>0</v>
      </c>
    </row>
    <row r="820" spans="1:13">
      <c r="A820" s="43" t="s">
        <v>1672</v>
      </c>
      <c r="B820" s="43" t="s">
        <v>151</v>
      </c>
      <c r="C820" s="43" t="s">
        <v>1399</v>
      </c>
      <c r="D820" s="10">
        <v>12322314</v>
      </c>
      <c r="E820" s="43" t="s">
        <v>10</v>
      </c>
      <c r="F820" s="8">
        <f>_xlfn.IFNA(INDEX('OSA | 3GB'!J:L,MATCH(DATA!D820,'OSA | 3GB'!J:J,0),2),0)</f>
        <v>2</v>
      </c>
      <c r="G820" s="8">
        <f>_xlfn.IFNA(INDEX('OSA | 3GB'!J:L,MATCH(DATA!D820,'OSA | 3GB'!J:J,0),3),0)</f>
        <v>1850000</v>
      </c>
      <c r="H820" s="32">
        <f>_xlfn.IFNA(INDEX('OSA | 3GB'!A:C,MATCH(DATA!D820,'OSA | 3GB'!A:A,0),2),0)</f>
        <v>3</v>
      </c>
      <c r="I820" s="33">
        <f>_xlfn.IFNA(INDEX('OSA | 3GB'!A:C,MATCH(DATA!D820,'OSA | 3GB'!A:A,0),3),0)</f>
        <v>1050000</v>
      </c>
      <c r="J820" s="33">
        <f>INDEX('BIO WAHYU'!B:G,MATCH(DATA!D820,'BIO WAHYU'!B:B,0),5)</f>
        <v>4</v>
      </c>
      <c r="K820" s="34">
        <f>INDEX('BIO WAHYU'!B:G,MATCH(DATA!D820,'BIO WAHYU'!B:B,0),6)</f>
        <v>3</v>
      </c>
      <c r="L820" s="35">
        <f>INDEX('BIO WAHYU'!B:H,MATCH(DATA!D820,'BIO WAHYU'!B:B,0),7)</f>
        <v>0</v>
      </c>
      <c r="M820" s="34">
        <f>INDEX('BIO WAHYU'!B:H,MATCH(DATA!D820,'BIO WAHYU'!B:B,0),4)</f>
        <v>0</v>
      </c>
    </row>
    <row r="821" spans="1:13">
      <c r="A821" s="43" t="s">
        <v>1</v>
      </c>
      <c r="B821" s="43" t="s">
        <v>5</v>
      </c>
      <c r="C821" s="43" t="s">
        <v>91</v>
      </c>
      <c r="D821" s="10">
        <v>240713</v>
      </c>
      <c r="E821" s="43" t="s">
        <v>10</v>
      </c>
      <c r="F821" s="8">
        <f>_xlfn.IFNA(INDEX('OSA | 3GB'!J:L,MATCH(DATA!D821,'OSA | 3GB'!J:J,0),2),0)</f>
        <v>4</v>
      </c>
      <c r="G821" s="8">
        <f>_xlfn.IFNA(INDEX('OSA | 3GB'!J:L,MATCH(DATA!D821,'OSA | 3GB'!J:J,0),3),0)</f>
        <v>11311000</v>
      </c>
      <c r="H821" s="32">
        <f>_xlfn.IFNA(INDEX('OSA | 3GB'!A:C,MATCH(DATA!D821,'OSA | 3GB'!A:A,0),2),0)</f>
        <v>5</v>
      </c>
      <c r="I821" s="33">
        <f>_xlfn.IFNA(INDEX('OSA | 3GB'!A:C,MATCH(DATA!D821,'OSA | 3GB'!A:A,0),3),0)</f>
        <v>1829000</v>
      </c>
      <c r="J821" s="33">
        <f>INDEX('BIO WAHYU'!B:G,MATCH(DATA!D821,'BIO WAHYU'!B:B,0),5)</f>
        <v>6</v>
      </c>
      <c r="K821" s="34">
        <f>INDEX('BIO WAHYU'!B:G,MATCH(DATA!D821,'BIO WAHYU'!B:B,0),6)</f>
        <v>2</v>
      </c>
      <c r="L821" s="35">
        <f>INDEX('BIO WAHYU'!B:H,MATCH(DATA!D821,'BIO WAHYU'!B:B,0),7)</f>
        <v>0</v>
      </c>
      <c r="M821" s="34">
        <f>INDEX('BIO WAHYU'!B:H,MATCH(DATA!D821,'BIO WAHYU'!B:B,0),4)</f>
        <v>0</v>
      </c>
    </row>
    <row r="822" spans="1:13">
      <c r="A822" s="43" t="s">
        <v>1675</v>
      </c>
      <c r="B822" s="43" t="s">
        <v>136</v>
      </c>
      <c r="C822" s="43" t="s">
        <v>405</v>
      </c>
      <c r="D822" s="10">
        <v>404946</v>
      </c>
      <c r="E822" s="43" t="s">
        <v>10</v>
      </c>
      <c r="F822" s="8">
        <f>_xlfn.IFNA(INDEX('OSA | 3GB'!J:L,MATCH(DATA!D822,'OSA | 3GB'!J:J,0),2),0)</f>
        <v>5</v>
      </c>
      <c r="G822" s="8">
        <f>_xlfn.IFNA(INDEX('OSA | 3GB'!J:L,MATCH(DATA!D822,'OSA | 3GB'!J:J,0),3),0)</f>
        <v>0</v>
      </c>
      <c r="H822" s="32" t="str">
        <f>_xlfn.IFNA(INDEX('OSA | 3GB'!A:C,MATCH(DATA!D822,'OSA | 3GB'!A:A,0),2),0)</f>
        <v xml:space="preserve"> -   </v>
      </c>
      <c r="I822" s="33" t="str">
        <f>_xlfn.IFNA(INDEX('OSA | 3GB'!A:C,MATCH(DATA!D822,'OSA | 3GB'!A:A,0),3),0)</f>
        <v xml:space="preserve"> -   </v>
      </c>
      <c r="J822" s="33">
        <f>INDEX('BIO WAHYU'!B:G,MATCH(DATA!D822,'BIO WAHYU'!B:B,0),5)</f>
        <v>1</v>
      </c>
      <c r="K822" s="34">
        <f>INDEX('BIO WAHYU'!B:G,MATCH(DATA!D822,'BIO WAHYU'!B:B,0),6)</f>
        <v>0</v>
      </c>
      <c r="L822" s="35">
        <f>INDEX('BIO WAHYU'!B:H,MATCH(DATA!D822,'BIO WAHYU'!B:B,0),7)</f>
        <v>0</v>
      </c>
      <c r="M822" s="34">
        <f>INDEX('BIO WAHYU'!B:H,MATCH(DATA!D822,'BIO WAHYU'!B:B,0),4)</f>
        <v>0</v>
      </c>
    </row>
    <row r="823" spans="1:13">
      <c r="A823" s="43" t="s">
        <v>1671</v>
      </c>
      <c r="B823" s="43">
        <v>2613050886</v>
      </c>
      <c r="C823" s="43" t="s">
        <v>319</v>
      </c>
      <c r="D823" s="10">
        <v>199108</v>
      </c>
      <c r="E823" s="43" t="s">
        <v>10</v>
      </c>
      <c r="F823" s="8">
        <f>_xlfn.IFNA(INDEX('OSA | 3GB'!J:L,MATCH(DATA!D823,'OSA | 3GB'!J:J,0),2),0)</f>
        <v>1</v>
      </c>
      <c r="G823" s="8">
        <f>_xlfn.IFNA(INDEX('OSA | 3GB'!J:L,MATCH(DATA!D823,'OSA | 3GB'!J:J,0),3),0)</f>
        <v>950000</v>
      </c>
      <c r="H823" s="32" t="str">
        <f>_xlfn.IFNA(INDEX('OSA | 3GB'!A:C,MATCH(DATA!D823,'OSA | 3GB'!A:A,0),2),0)</f>
        <v xml:space="preserve"> -   </v>
      </c>
      <c r="I823" s="33">
        <f>_xlfn.IFNA(INDEX('OSA | 3GB'!A:C,MATCH(DATA!D823,'OSA | 3GB'!A:A,0),3),0)</f>
        <v>350000</v>
      </c>
      <c r="J823" s="33">
        <f>INDEX('BIO WAHYU'!B:G,MATCH(DATA!D823,'BIO WAHYU'!B:B,0),5)</f>
        <v>1</v>
      </c>
      <c r="K823" s="34">
        <f>INDEX('BIO WAHYU'!B:G,MATCH(DATA!D823,'BIO WAHYU'!B:B,0),6)</f>
        <v>0</v>
      </c>
      <c r="L823" s="35">
        <f>INDEX('BIO WAHYU'!B:H,MATCH(DATA!D823,'BIO WAHYU'!B:B,0),7)</f>
        <v>0</v>
      </c>
      <c r="M823" s="34">
        <f>INDEX('BIO WAHYU'!B:H,MATCH(DATA!D823,'BIO WAHYU'!B:B,0),4)</f>
        <v>0</v>
      </c>
    </row>
    <row r="824" spans="1:13">
      <c r="A824" s="43" t="s">
        <v>1672</v>
      </c>
      <c r="B824" s="43" t="s">
        <v>151</v>
      </c>
      <c r="C824" s="43" t="s">
        <v>877</v>
      </c>
      <c r="D824" s="10">
        <v>543746</v>
      </c>
      <c r="E824" s="43" t="s">
        <v>10</v>
      </c>
      <c r="F824" s="8">
        <f>_xlfn.IFNA(INDEX('OSA | 3GB'!J:L,MATCH(DATA!D824,'OSA | 3GB'!J:J,0),2),0)</f>
        <v>3</v>
      </c>
      <c r="G824" s="8">
        <f>_xlfn.IFNA(INDEX('OSA | 3GB'!J:L,MATCH(DATA!D824,'OSA | 3GB'!J:J,0),3),0)</f>
        <v>1179000</v>
      </c>
      <c r="H824" s="32">
        <f>_xlfn.IFNA(INDEX('OSA | 3GB'!A:C,MATCH(DATA!D824,'OSA | 3GB'!A:A,0),2),0)</f>
        <v>3</v>
      </c>
      <c r="I824" s="33">
        <f>_xlfn.IFNA(INDEX('OSA | 3GB'!A:C,MATCH(DATA!D824,'OSA | 3GB'!A:A,0),3),0)</f>
        <v>258000</v>
      </c>
      <c r="J824" s="33">
        <f>INDEX('BIO WAHYU'!B:G,MATCH(DATA!D824,'BIO WAHYU'!B:B,0),5)</f>
        <v>0</v>
      </c>
      <c r="K824" s="34">
        <f>INDEX('BIO WAHYU'!B:G,MATCH(DATA!D824,'BIO WAHYU'!B:B,0),6)</f>
        <v>24</v>
      </c>
      <c r="L824" s="35">
        <f>INDEX('BIO WAHYU'!B:H,MATCH(DATA!D824,'BIO WAHYU'!B:B,0),7)</f>
        <v>24</v>
      </c>
      <c r="M824" s="34">
        <f>INDEX('BIO WAHYU'!B:H,MATCH(DATA!D824,'BIO WAHYU'!B:B,0),4)</f>
        <v>0</v>
      </c>
    </row>
    <row r="825" spans="1:13">
      <c r="A825" s="43" t="s">
        <v>1674</v>
      </c>
      <c r="B825" s="43" t="s">
        <v>147</v>
      </c>
      <c r="C825" s="43" t="s">
        <v>598</v>
      </c>
      <c r="D825" s="10">
        <v>195812</v>
      </c>
      <c r="E825" s="43" t="s">
        <v>10</v>
      </c>
      <c r="F825" s="8">
        <f>_xlfn.IFNA(INDEX('OSA | 3GB'!J:L,MATCH(DATA!D825,'OSA | 3GB'!J:J,0),2),0)</f>
        <v>3</v>
      </c>
      <c r="G825" s="8">
        <f>_xlfn.IFNA(INDEX('OSA | 3GB'!J:L,MATCH(DATA!D825,'OSA | 3GB'!J:J,0),3),0)</f>
        <v>8429000</v>
      </c>
      <c r="H825" s="32" t="str">
        <f>_xlfn.IFNA(INDEX('OSA | 3GB'!A:C,MATCH(DATA!D825,'OSA | 3GB'!A:A,0),2),0)</f>
        <v xml:space="preserve"> -   </v>
      </c>
      <c r="I825" s="33">
        <f>_xlfn.IFNA(INDEX('OSA | 3GB'!A:C,MATCH(DATA!D825,'OSA | 3GB'!A:A,0),3),0)</f>
        <v>2300000</v>
      </c>
      <c r="J825" s="33">
        <f>INDEX('BIO WAHYU'!B:G,MATCH(DATA!D825,'BIO WAHYU'!B:B,0),5)</f>
        <v>4</v>
      </c>
      <c r="K825" s="34">
        <f>INDEX('BIO WAHYU'!B:G,MATCH(DATA!D825,'BIO WAHYU'!B:B,0),6)</f>
        <v>4</v>
      </c>
      <c r="L825" s="35">
        <f>INDEX('BIO WAHYU'!B:H,MATCH(DATA!D825,'BIO WAHYU'!B:B,0),7)</f>
        <v>0</v>
      </c>
      <c r="M825" s="34">
        <f>INDEX('BIO WAHYU'!B:H,MATCH(DATA!D825,'BIO WAHYU'!B:B,0),4)</f>
        <v>1</v>
      </c>
    </row>
    <row r="826" spans="1:13">
      <c r="A826" s="43" t="s">
        <v>1675</v>
      </c>
      <c r="B826" s="43" t="s">
        <v>137</v>
      </c>
      <c r="C826" s="43" t="s">
        <v>423</v>
      </c>
      <c r="D826" s="10">
        <v>12296041</v>
      </c>
      <c r="E826" s="43" t="s">
        <v>15</v>
      </c>
      <c r="F826" s="8">
        <f>_xlfn.IFNA(INDEX('OSA | 3GB'!J:L,MATCH(DATA!D826,'OSA | 3GB'!J:J,0),2),0)</f>
        <v>0</v>
      </c>
      <c r="G826" s="8">
        <f>_xlfn.IFNA(INDEX('OSA | 3GB'!J:L,MATCH(DATA!D826,'OSA | 3GB'!J:J,0),3),0)</f>
        <v>0</v>
      </c>
      <c r="H826" s="32" t="str">
        <f>_xlfn.IFNA(INDEX('OSA | 3GB'!A:C,MATCH(DATA!D826,'OSA | 3GB'!A:A,0),2),0)</f>
        <v xml:space="preserve"> -   </v>
      </c>
      <c r="I826" s="33" t="str">
        <f>_xlfn.IFNA(INDEX('OSA | 3GB'!A:C,MATCH(DATA!D826,'OSA | 3GB'!A:A,0),3),0)</f>
        <v xml:space="preserve"> -   </v>
      </c>
      <c r="J826" s="33">
        <f>INDEX('BIO WAHYU'!B:G,MATCH(DATA!D826,'BIO WAHYU'!B:B,0),5)</f>
        <v>0</v>
      </c>
      <c r="K826" s="34">
        <f>INDEX('BIO WAHYU'!B:G,MATCH(DATA!D826,'BIO WAHYU'!B:B,0),6)</f>
        <v>0</v>
      </c>
      <c r="L826" s="35">
        <f>INDEX('BIO WAHYU'!B:H,MATCH(DATA!D826,'BIO WAHYU'!B:B,0),7)</f>
        <v>0</v>
      </c>
      <c r="M826" s="34">
        <f>INDEX('BIO WAHYU'!B:H,MATCH(DATA!D826,'BIO WAHYU'!B:B,0),4)</f>
        <v>0</v>
      </c>
    </row>
    <row r="827" spans="1:13">
      <c r="A827" s="43" t="s">
        <v>1671</v>
      </c>
      <c r="B827" s="43">
        <v>2613050886</v>
      </c>
      <c r="C827" s="43" t="s">
        <v>337</v>
      </c>
      <c r="D827" s="10">
        <v>544108</v>
      </c>
      <c r="E827" s="43" t="s">
        <v>15</v>
      </c>
      <c r="F827" s="8">
        <f>_xlfn.IFNA(INDEX('OSA | 3GB'!J:L,MATCH(DATA!D827,'OSA | 3GB'!J:J,0),2),0)</f>
        <v>6</v>
      </c>
      <c r="G827" s="8">
        <f>_xlfn.IFNA(INDEX('OSA | 3GB'!J:L,MATCH(DATA!D827,'OSA | 3GB'!J:J,0),3),0)</f>
        <v>700000</v>
      </c>
      <c r="H827" s="32" t="str">
        <f>_xlfn.IFNA(INDEX('OSA | 3GB'!A:C,MATCH(DATA!D827,'OSA | 3GB'!A:A,0),2),0)</f>
        <v xml:space="preserve"> -   </v>
      </c>
      <c r="I827" s="33">
        <f>_xlfn.IFNA(INDEX('OSA | 3GB'!A:C,MATCH(DATA!D827,'OSA | 3GB'!A:A,0),3),0)</f>
        <v>600000</v>
      </c>
      <c r="J827" s="33">
        <f>INDEX('BIO WAHYU'!B:G,MATCH(DATA!D827,'BIO WAHYU'!B:B,0),5)</f>
        <v>6</v>
      </c>
      <c r="K827" s="34">
        <f>INDEX('BIO WAHYU'!B:G,MATCH(DATA!D827,'BIO WAHYU'!B:B,0),6)</f>
        <v>0</v>
      </c>
      <c r="L827" s="35">
        <f>INDEX('BIO WAHYU'!B:H,MATCH(DATA!D827,'BIO WAHYU'!B:B,0),7)</f>
        <v>0</v>
      </c>
      <c r="M827" s="34">
        <f>INDEX('BIO WAHYU'!B:H,MATCH(DATA!D827,'BIO WAHYU'!B:B,0),4)</f>
        <v>0</v>
      </c>
    </row>
    <row r="828" spans="1:13">
      <c r="A828" s="43" t="s">
        <v>1674</v>
      </c>
      <c r="B828" s="43" t="s">
        <v>148</v>
      </c>
      <c r="C828" s="43" t="s">
        <v>632</v>
      </c>
      <c r="D828" s="10">
        <v>1596</v>
      </c>
      <c r="E828" s="43" t="s">
        <v>10</v>
      </c>
      <c r="F828" s="8">
        <f>_xlfn.IFNA(INDEX('OSA | 3GB'!J:L,MATCH(DATA!D828,'OSA | 3GB'!J:J,0),2),0)</f>
        <v>3</v>
      </c>
      <c r="G828" s="8">
        <f>_xlfn.IFNA(INDEX('OSA | 3GB'!J:L,MATCH(DATA!D828,'OSA | 3GB'!J:J,0),3),0)</f>
        <v>1300000</v>
      </c>
      <c r="H828" s="32" t="str">
        <f>_xlfn.IFNA(INDEX('OSA | 3GB'!A:C,MATCH(DATA!D828,'OSA | 3GB'!A:A,0),2),0)</f>
        <v xml:space="preserve"> -   </v>
      </c>
      <c r="I828" s="33">
        <f>_xlfn.IFNA(INDEX('OSA | 3GB'!A:C,MATCH(DATA!D828,'OSA | 3GB'!A:A,0),3),0)</f>
        <v>900000</v>
      </c>
      <c r="J828" s="33">
        <f>INDEX('BIO WAHYU'!B:G,MATCH(DATA!D828,'BIO WAHYU'!B:B,0),5)</f>
        <v>1</v>
      </c>
      <c r="K828" s="34">
        <f>INDEX('BIO WAHYU'!B:G,MATCH(DATA!D828,'BIO WAHYU'!B:B,0),6)</f>
        <v>0</v>
      </c>
      <c r="L828" s="35">
        <f>INDEX('BIO WAHYU'!B:H,MATCH(DATA!D828,'BIO WAHYU'!B:B,0),7)</f>
        <v>0</v>
      </c>
      <c r="M828" s="34">
        <f>INDEX('BIO WAHYU'!B:H,MATCH(DATA!D828,'BIO WAHYU'!B:B,0),4)</f>
        <v>0</v>
      </c>
    </row>
    <row r="829" spans="1:13">
      <c r="A829" s="43" t="s">
        <v>1673</v>
      </c>
      <c r="B829" s="43" t="s">
        <v>158</v>
      </c>
      <c r="C829" s="43" t="s">
        <v>1400</v>
      </c>
      <c r="D829" s="10">
        <v>188236</v>
      </c>
      <c r="E829" s="43" t="s">
        <v>10</v>
      </c>
      <c r="F829" s="8">
        <f>_xlfn.IFNA(INDEX('OSA | 3GB'!J:L,MATCH(DATA!D829,'OSA | 3GB'!J:J,0),2),0)</f>
        <v>4</v>
      </c>
      <c r="G829" s="8">
        <f>_xlfn.IFNA(INDEX('OSA | 3GB'!J:L,MATCH(DATA!D829,'OSA | 3GB'!J:J,0),3),0)</f>
        <v>3129000</v>
      </c>
      <c r="H829" s="32" t="str">
        <f>_xlfn.IFNA(INDEX('OSA | 3GB'!A:C,MATCH(DATA!D829,'OSA | 3GB'!A:A,0),2),0)</f>
        <v xml:space="preserve"> -   </v>
      </c>
      <c r="I829" s="33">
        <f>_xlfn.IFNA(INDEX('OSA | 3GB'!A:C,MATCH(DATA!D829,'OSA | 3GB'!A:A,0),3),0)</f>
        <v>1700000</v>
      </c>
      <c r="J829" s="33">
        <f>INDEX('BIO WAHYU'!B:G,MATCH(DATA!D829,'BIO WAHYU'!B:B,0),5)</f>
        <v>4</v>
      </c>
      <c r="K829" s="34">
        <f>INDEX('BIO WAHYU'!B:G,MATCH(DATA!D829,'BIO WAHYU'!B:B,0),6)</f>
        <v>1</v>
      </c>
      <c r="L829" s="35">
        <f>INDEX('BIO WAHYU'!B:H,MATCH(DATA!D829,'BIO WAHYU'!B:B,0),7)</f>
        <v>0</v>
      </c>
      <c r="M829" s="34">
        <f>INDEX('BIO WAHYU'!B:H,MATCH(DATA!D829,'BIO WAHYU'!B:B,0),4)</f>
        <v>0</v>
      </c>
    </row>
    <row r="830" spans="1:13">
      <c r="A830" s="43" t="s">
        <v>1670</v>
      </c>
      <c r="B830" s="43" t="s">
        <v>145</v>
      </c>
      <c r="C830" s="43" t="s">
        <v>517</v>
      </c>
      <c r="D830" s="10">
        <v>547263</v>
      </c>
      <c r="E830" s="43" t="s">
        <v>15</v>
      </c>
      <c r="F830" s="8">
        <f>_xlfn.IFNA(INDEX('OSA | 3GB'!J:L,MATCH(DATA!D830,'OSA | 3GB'!J:J,0),2),0)</f>
        <v>6</v>
      </c>
      <c r="G830" s="8">
        <f>_xlfn.IFNA(INDEX('OSA | 3GB'!J:L,MATCH(DATA!D830,'OSA | 3GB'!J:J,0),3),0)</f>
        <v>7850000</v>
      </c>
      <c r="H830" s="32">
        <f>_xlfn.IFNA(INDEX('OSA | 3GB'!A:C,MATCH(DATA!D830,'OSA | 3GB'!A:A,0),2),0)</f>
        <v>3</v>
      </c>
      <c r="I830" s="33">
        <f>_xlfn.IFNA(INDEX('OSA | 3GB'!A:C,MATCH(DATA!D830,'OSA | 3GB'!A:A,0),3),0)</f>
        <v>125000</v>
      </c>
      <c r="J830" s="33">
        <f>INDEX('BIO WAHYU'!B:G,MATCH(DATA!D830,'BIO WAHYU'!B:B,0),5)</f>
        <v>4</v>
      </c>
      <c r="K830" s="34">
        <f>INDEX('BIO WAHYU'!B:G,MATCH(DATA!D830,'BIO WAHYU'!B:B,0),6)</f>
        <v>0</v>
      </c>
      <c r="L830" s="35">
        <f>INDEX('BIO WAHYU'!B:H,MATCH(DATA!D830,'BIO WAHYU'!B:B,0),7)</f>
        <v>0</v>
      </c>
      <c r="M830" s="34">
        <f>INDEX('BIO WAHYU'!B:H,MATCH(DATA!D830,'BIO WAHYU'!B:B,0),4)</f>
        <v>1</v>
      </c>
    </row>
    <row r="831" spans="1:13">
      <c r="A831" s="43" t="s">
        <v>1</v>
      </c>
      <c r="B831" s="43" t="s">
        <v>4</v>
      </c>
      <c r="C831" s="43" t="s">
        <v>59</v>
      </c>
      <c r="D831" s="10">
        <v>503633</v>
      </c>
      <c r="E831" s="43" t="s">
        <v>10</v>
      </c>
      <c r="F831" s="8">
        <f>_xlfn.IFNA(INDEX('OSA | 3GB'!J:L,MATCH(DATA!D831,'OSA | 3GB'!J:J,0),2),0)</f>
        <v>0</v>
      </c>
      <c r="G831" s="8">
        <f>_xlfn.IFNA(INDEX('OSA | 3GB'!J:L,MATCH(DATA!D831,'OSA | 3GB'!J:J,0),3),0)</f>
        <v>350000</v>
      </c>
      <c r="H831" s="32" t="str">
        <f>_xlfn.IFNA(INDEX('OSA | 3GB'!A:C,MATCH(DATA!D831,'OSA | 3GB'!A:A,0),2),0)</f>
        <v xml:space="preserve"> -   </v>
      </c>
      <c r="I831" s="33">
        <f>_xlfn.IFNA(INDEX('OSA | 3GB'!A:C,MATCH(DATA!D831,'OSA | 3GB'!A:A,0),3),0)</f>
        <v>200000</v>
      </c>
      <c r="J831" s="33">
        <f>INDEX('BIO WAHYU'!B:G,MATCH(DATA!D831,'BIO WAHYU'!B:B,0),5)</f>
        <v>0</v>
      </c>
      <c r="K831" s="34">
        <f>INDEX('BIO WAHYU'!B:G,MATCH(DATA!D831,'BIO WAHYU'!B:B,0),6)</f>
        <v>0</v>
      </c>
      <c r="L831" s="35">
        <f>INDEX('BIO WAHYU'!B:H,MATCH(DATA!D831,'BIO WAHYU'!B:B,0),7)</f>
        <v>0</v>
      </c>
      <c r="M831" s="34">
        <f>INDEX('BIO WAHYU'!B:H,MATCH(DATA!D831,'BIO WAHYU'!B:B,0),4)</f>
        <v>0</v>
      </c>
    </row>
    <row r="832" spans="1:13">
      <c r="A832" s="43" t="s">
        <v>1671</v>
      </c>
      <c r="B832" s="43">
        <v>2613050886</v>
      </c>
      <c r="C832" s="43" t="s">
        <v>1401</v>
      </c>
      <c r="D832" s="10">
        <v>12322409</v>
      </c>
      <c r="E832" s="43" t="s">
        <v>15</v>
      </c>
      <c r="F832" s="8">
        <f>_xlfn.IFNA(INDEX('OSA | 3GB'!J:L,MATCH(DATA!D832,'OSA | 3GB'!J:J,0),2),0)</f>
        <v>7</v>
      </c>
      <c r="G832" s="8">
        <f>_xlfn.IFNA(INDEX('OSA | 3GB'!J:L,MATCH(DATA!D832,'OSA | 3GB'!J:J,0),3),0)</f>
        <v>165000</v>
      </c>
      <c r="H832" s="32" t="str">
        <f>_xlfn.IFNA(INDEX('OSA | 3GB'!A:C,MATCH(DATA!D832,'OSA | 3GB'!A:A,0),2),0)</f>
        <v xml:space="preserve"> -   </v>
      </c>
      <c r="I832" s="33" t="str">
        <f>_xlfn.IFNA(INDEX('OSA | 3GB'!A:C,MATCH(DATA!D832,'OSA | 3GB'!A:A,0),3),0)</f>
        <v xml:space="preserve"> -   </v>
      </c>
      <c r="J832" s="33">
        <f>INDEX('BIO WAHYU'!B:G,MATCH(DATA!D832,'BIO WAHYU'!B:B,0),5)</f>
        <v>4</v>
      </c>
      <c r="K832" s="34">
        <f>INDEX('BIO WAHYU'!B:G,MATCH(DATA!D832,'BIO WAHYU'!B:B,0),6)</f>
        <v>0</v>
      </c>
      <c r="L832" s="35">
        <f>INDEX('BIO WAHYU'!B:H,MATCH(DATA!D832,'BIO WAHYU'!B:B,0),7)</f>
        <v>0</v>
      </c>
      <c r="M832" s="34">
        <f>INDEX('BIO WAHYU'!B:H,MATCH(DATA!D832,'BIO WAHYU'!B:B,0),4)</f>
        <v>1</v>
      </c>
    </row>
    <row r="833" spans="1:13">
      <c r="A833" s="43" t="s">
        <v>1672</v>
      </c>
      <c r="B833" s="43" t="s">
        <v>155</v>
      </c>
      <c r="C833" s="43" t="s">
        <v>938</v>
      </c>
      <c r="D833" s="10">
        <v>314840</v>
      </c>
      <c r="E833" s="43" t="s">
        <v>10</v>
      </c>
      <c r="F833" s="8">
        <f>_xlfn.IFNA(INDEX('OSA | 3GB'!J:L,MATCH(DATA!D833,'OSA | 3GB'!J:J,0),2),0)</f>
        <v>3</v>
      </c>
      <c r="G833" s="8">
        <f>_xlfn.IFNA(INDEX('OSA | 3GB'!J:L,MATCH(DATA!D833,'OSA | 3GB'!J:J,0),3),0)</f>
        <v>2700000</v>
      </c>
      <c r="H833" s="32">
        <f>_xlfn.IFNA(INDEX('OSA | 3GB'!A:C,MATCH(DATA!D833,'OSA | 3GB'!A:A,0),2),0)</f>
        <v>8</v>
      </c>
      <c r="I833" s="33">
        <f>_xlfn.IFNA(INDEX('OSA | 3GB'!A:C,MATCH(DATA!D833,'OSA | 3GB'!A:A,0),3),0)</f>
        <v>829000</v>
      </c>
      <c r="J833" s="33">
        <f>INDEX('BIO WAHYU'!B:G,MATCH(DATA!D833,'BIO WAHYU'!B:B,0),5)</f>
        <v>3</v>
      </c>
      <c r="K833" s="34">
        <f>INDEX('BIO WAHYU'!B:G,MATCH(DATA!D833,'BIO WAHYU'!B:B,0),6)</f>
        <v>6</v>
      </c>
      <c r="L833" s="35">
        <f>INDEX('BIO WAHYU'!B:H,MATCH(DATA!D833,'BIO WAHYU'!B:B,0),7)</f>
        <v>3</v>
      </c>
      <c r="M833" s="34">
        <f>INDEX('BIO WAHYU'!B:H,MATCH(DATA!D833,'BIO WAHYU'!B:B,0),4)</f>
        <v>1</v>
      </c>
    </row>
    <row r="834" spans="1:13">
      <c r="A834" s="43" t="s">
        <v>1672</v>
      </c>
      <c r="B834" s="43" t="s">
        <v>157</v>
      </c>
      <c r="C834" s="43" t="s">
        <v>1060</v>
      </c>
      <c r="D834" s="10">
        <v>61720</v>
      </c>
      <c r="E834" s="43" t="s">
        <v>10</v>
      </c>
      <c r="F834" s="8">
        <f>_xlfn.IFNA(INDEX('OSA | 3GB'!J:L,MATCH(DATA!D834,'OSA | 3GB'!J:J,0),2),0)</f>
        <v>4</v>
      </c>
      <c r="G834" s="8">
        <f>_xlfn.IFNA(INDEX('OSA | 3GB'!J:L,MATCH(DATA!D834,'OSA | 3GB'!J:J,0),3),0)</f>
        <v>1000000</v>
      </c>
      <c r="H834" s="32">
        <f>_xlfn.IFNA(INDEX('OSA | 3GB'!A:C,MATCH(DATA!D834,'OSA | 3GB'!A:A,0),2),0)</f>
        <v>6</v>
      </c>
      <c r="I834" s="33">
        <f>_xlfn.IFNA(INDEX('OSA | 3GB'!A:C,MATCH(DATA!D834,'OSA | 3GB'!A:A,0),3),0)</f>
        <v>374000</v>
      </c>
      <c r="J834" s="33">
        <f>INDEX('BIO WAHYU'!B:G,MATCH(DATA!D834,'BIO WAHYU'!B:B,0),5)</f>
        <v>3</v>
      </c>
      <c r="K834" s="34">
        <f>INDEX('BIO WAHYU'!B:G,MATCH(DATA!D834,'BIO WAHYU'!B:B,0),6)</f>
        <v>0</v>
      </c>
      <c r="L834" s="35">
        <f>INDEX('BIO WAHYU'!B:H,MATCH(DATA!D834,'BIO WAHYU'!B:B,0),7)</f>
        <v>0</v>
      </c>
      <c r="M834" s="34">
        <f>INDEX('BIO WAHYU'!B:H,MATCH(DATA!D834,'BIO WAHYU'!B:B,0),4)</f>
        <v>0</v>
      </c>
    </row>
    <row r="835" spans="1:13">
      <c r="A835" s="43" t="s">
        <v>1</v>
      </c>
      <c r="B835" s="43" t="s">
        <v>5</v>
      </c>
      <c r="C835" s="43" t="s">
        <v>93</v>
      </c>
      <c r="D835" s="10">
        <v>345427</v>
      </c>
      <c r="E835" s="43" t="s">
        <v>10</v>
      </c>
      <c r="F835" s="8">
        <f>_xlfn.IFNA(INDEX('OSA | 3GB'!J:L,MATCH(DATA!D835,'OSA | 3GB'!J:J,0),2),0)</f>
        <v>4</v>
      </c>
      <c r="G835" s="8">
        <f>_xlfn.IFNA(INDEX('OSA | 3GB'!J:L,MATCH(DATA!D835,'OSA | 3GB'!J:J,0),3),0)</f>
        <v>2216000</v>
      </c>
      <c r="H835" s="32" t="str">
        <f>_xlfn.IFNA(INDEX('OSA | 3GB'!A:C,MATCH(DATA!D835,'OSA | 3GB'!A:A,0),2),0)</f>
        <v xml:space="preserve"> -   </v>
      </c>
      <c r="I835" s="33">
        <f>_xlfn.IFNA(INDEX('OSA | 3GB'!A:C,MATCH(DATA!D835,'OSA | 3GB'!A:A,0),3),0)</f>
        <v>600000</v>
      </c>
      <c r="J835" s="33">
        <f>INDEX('BIO WAHYU'!B:G,MATCH(DATA!D835,'BIO WAHYU'!B:B,0),5)</f>
        <v>3</v>
      </c>
      <c r="K835" s="34">
        <f>INDEX('BIO WAHYU'!B:G,MATCH(DATA!D835,'BIO WAHYU'!B:B,0),6)</f>
        <v>0</v>
      </c>
      <c r="L835" s="35">
        <f>INDEX('BIO WAHYU'!B:H,MATCH(DATA!D835,'BIO WAHYU'!B:B,0),7)</f>
        <v>0</v>
      </c>
      <c r="M835" s="34">
        <f>INDEX('BIO WAHYU'!B:H,MATCH(DATA!D835,'BIO WAHYU'!B:B,0),4)</f>
        <v>0</v>
      </c>
    </row>
    <row r="836" spans="1:13">
      <c r="A836" s="43" t="s">
        <v>1674</v>
      </c>
      <c r="B836" s="43" t="s">
        <v>153</v>
      </c>
      <c r="C836" s="43" t="s">
        <v>718</v>
      </c>
      <c r="D836" s="10">
        <v>238719</v>
      </c>
      <c r="E836" s="43" t="s">
        <v>10</v>
      </c>
      <c r="F836" s="8">
        <f>_xlfn.IFNA(INDEX('OSA | 3GB'!J:L,MATCH(DATA!D836,'OSA | 3GB'!J:J,0),2),0)</f>
        <v>47</v>
      </c>
      <c r="G836" s="8">
        <f>_xlfn.IFNA(INDEX('OSA | 3GB'!J:L,MATCH(DATA!D836,'OSA | 3GB'!J:J,0),3),0)</f>
        <v>7461500</v>
      </c>
      <c r="H836" s="32" t="str">
        <f>_xlfn.IFNA(INDEX('OSA | 3GB'!A:C,MATCH(DATA!D836,'OSA | 3GB'!A:A,0),2),0)</f>
        <v xml:space="preserve"> -   </v>
      </c>
      <c r="I836" s="33">
        <f>_xlfn.IFNA(INDEX('OSA | 3GB'!A:C,MATCH(DATA!D836,'OSA | 3GB'!A:A,0),3),0)</f>
        <v>2500000</v>
      </c>
      <c r="J836" s="33">
        <f>INDEX('BIO WAHYU'!B:G,MATCH(DATA!D836,'BIO WAHYU'!B:B,0),5)</f>
        <v>5</v>
      </c>
      <c r="K836" s="34">
        <f>INDEX('BIO WAHYU'!B:G,MATCH(DATA!D836,'BIO WAHYU'!B:B,0),6)</f>
        <v>15</v>
      </c>
      <c r="L836" s="35">
        <f>INDEX('BIO WAHYU'!B:H,MATCH(DATA!D836,'BIO WAHYU'!B:B,0),7)</f>
        <v>10</v>
      </c>
      <c r="M836" s="34">
        <f>INDEX('BIO WAHYU'!B:H,MATCH(DATA!D836,'BIO WAHYU'!B:B,0),4)</f>
        <v>0</v>
      </c>
    </row>
    <row r="837" spans="1:13">
      <c r="A837" s="43" t="s">
        <v>1671</v>
      </c>
      <c r="B837" s="43">
        <v>2613050886</v>
      </c>
      <c r="C837" s="43" t="s">
        <v>326</v>
      </c>
      <c r="D837" s="10">
        <v>512273</v>
      </c>
      <c r="E837" s="43" t="s">
        <v>10</v>
      </c>
      <c r="F837" s="8">
        <f>_xlfn.IFNA(INDEX('OSA | 3GB'!J:L,MATCH(DATA!D837,'OSA | 3GB'!J:J,0),2),0)</f>
        <v>4</v>
      </c>
      <c r="G837" s="8">
        <f>_xlfn.IFNA(INDEX('OSA | 3GB'!J:L,MATCH(DATA!D837,'OSA | 3GB'!J:J,0),3),0)</f>
        <v>550000</v>
      </c>
      <c r="H837" s="32" t="str">
        <f>_xlfn.IFNA(INDEX('OSA | 3GB'!A:C,MATCH(DATA!D837,'OSA | 3GB'!A:A,0),2),0)</f>
        <v xml:space="preserve"> -   </v>
      </c>
      <c r="I837" s="33" t="str">
        <f>_xlfn.IFNA(INDEX('OSA | 3GB'!A:C,MATCH(DATA!D837,'OSA | 3GB'!A:A,0),3),0)</f>
        <v xml:space="preserve"> -   </v>
      </c>
      <c r="J837" s="33">
        <f>INDEX('BIO WAHYU'!B:G,MATCH(DATA!D837,'BIO WAHYU'!B:B,0),5)</f>
        <v>2</v>
      </c>
      <c r="K837" s="34">
        <f>INDEX('BIO WAHYU'!B:G,MATCH(DATA!D837,'BIO WAHYU'!B:B,0),6)</f>
        <v>0</v>
      </c>
      <c r="L837" s="35">
        <f>INDEX('BIO WAHYU'!B:H,MATCH(DATA!D837,'BIO WAHYU'!B:B,0),7)</f>
        <v>0</v>
      </c>
      <c r="M837" s="34">
        <f>INDEX('BIO WAHYU'!B:H,MATCH(DATA!D837,'BIO WAHYU'!B:B,0),4)</f>
        <v>0</v>
      </c>
    </row>
    <row r="838" spans="1:13">
      <c r="A838" s="43" t="s">
        <v>1671</v>
      </c>
      <c r="B838" s="43" t="s">
        <v>142</v>
      </c>
      <c r="C838" s="43" t="s">
        <v>359</v>
      </c>
      <c r="D838" s="10">
        <v>522823</v>
      </c>
      <c r="E838" s="43" t="s">
        <v>15</v>
      </c>
      <c r="F838" s="8">
        <f>_xlfn.IFNA(INDEX('OSA | 3GB'!J:L,MATCH(DATA!D838,'OSA | 3GB'!J:J,0),2),0)</f>
        <v>0</v>
      </c>
      <c r="G838" s="8">
        <f>_xlfn.IFNA(INDEX('OSA | 3GB'!J:L,MATCH(DATA!D838,'OSA | 3GB'!J:J,0),3),0)</f>
        <v>0</v>
      </c>
      <c r="H838" s="32" t="str">
        <f>_xlfn.IFNA(INDEX('OSA | 3GB'!A:C,MATCH(DATA!D838,'OSA | 3GB'!A:A,0),2),0)</f>
        <v xml:space="preserve"> -   </v>
      </c>
      <c r="I838" s="33" t="str">
        <f>_xlfn.IFNA(INDEX('OSA | 3GB'!A:C,MATCH(DATA!D838,'OSA | 3GB'!A:A,0),3),0)</f>
        <v xml:space="preserve"> -   </v>
      </c>
      <c r="J838" s="33">
        <f>INDEX('BIO WAHYU'!B:G,MATCH(DATA!D838,'BIO WAHYU'!B:B,0),5)</f>
        <v>0</v>
      </c>
      <c r="K838" s="34">
        <f>INDEX('BIO WAHYU'!B:G,MATCH(DATA!D838,'BIO WAHYU'!B:B,0),6)</f>
        <v>0</v>
      </c>
      <c r="L838" s="35">
        <f>INDEX('BIO WAHYU'!B:H,MATCH(DATA!D838,'BIO WAHYU'!B:B,0),7)</f>
        <v>0</v>
      </c>
      <c r="M838" s="34">
        <f>INDEX('BIO WAHYU'!B:H,MATCH(DATA!D838,'BIO WAHYU'!B:B,0),4)</f>
        <v>0</v>
      </c>
    </row>
    <row r="839" spans="1:13">
      <c r="A839" s="43" t="s">
        <v>1671</v>
      </c>
      <c r="B839" s="43" t="s">
        <v>142</v>
      </c>
      <c r="C839" s="43" t="s">
        <v>1402</v>
      </c>
      <c r="D839" s="10">
        <v>211674</v>
      </c>
      <c r="E839" s="43" t="s">
        <v>10</v>
      </c>
      <c r="F839" s="8">
        <f>_xlfn.IFNA(INDEX('OSA | 3GB'!J:L,MATCH(DATA!D839,'OSA | 3GB'!J:J,0),2),0)</f>
        <v>3</v>
      </c>
      <c r="G839" s="8">
        <f>_xlfn.IFNA(INDEX('OSA | 3GB'!J:L,MATCH(DATA!D839,'OSA | 3GB'!J:J,0),3),0)</f>
        <v>1550000</v>
      </c>
      <c r="H839" s="32" t="str">
        <f>_xlfn.IFNA(INDEX('OSA | 3GB'!A:C,MATCH(DATA!D839,'OSA | 3GB'!A:A,0),2),0)</f>
        <v xml:space="preserve"> -   </v>
      </c>
      <c r="I839" s="33">
        <f>_xlfn.IFNA(INDEX('OSA | 3GB'!A:C,MATCH(DATA!D839,'OSA | 3GB'!A:A,0),3),0)</f>
        <v>700000</v>
      </c>
      <c r="J839" s="33">
        <f>INDEX('BIO WAHYU'!B:G,MATCH(DATA!D839,'BIO WAHYU'!B:B,0),5)</f>
        <v>1</v>
      </c>
      <c r="K839" s="34">
        <f>INDEX('BIO WAHYU'!B:G,MATCH(DATA!D839,'BIO WAHYU'!B:B,0),6)</f>
        <v>1</v>
      </c>
      <c r="L839" s="35">
        <f>INDEX('BIO WAHYU'!B:H,MATCH(DATA!D839,'BIO WAHYU'!B:B,0),7)</f>
        <v>0</v>
      </c>
      <c r="M839" s="34">
        <f>INDEX('BIO WAHYU'!B:H,MATCH(DATA!D839,'BIO WAHYU'!B:B,0),4)</f>
        <v>0</v>
      </c>
    </row>
    <row r="840" spans="1:13">
      <c r="A840" s="43" t="s">
        <v>1673</v>
      </c>
      <c r="B840" s="43" t="s">
        <v>144</v>
      </c>
      <c r="C840" s="43" t="s">
        <v>1403</v>
      </c>
      <c r="D840" s="10">
        <v>537701</v>
      </c>
      <c r="E840" s="43" t="s">
        <v>15</v>
      </c>
      <c r="F840" s="8">
        <f>_xlfn.IFNA(INDEX('OSA | 3GB'!J:L,MATCH(DATA!D840,'OSA | 3GB'!J:J,0),2),0)</f>
        <v>0</v>
      </c>
      <c r="G840" s="8">
        <f>_xlfn.IFNA(INDEX('OSA | 3GB'!J:L,MATCH(DATA!D840,'OSA | 3GB'!J:J,0),3),0)</f>
        <v>0</v>
      </c>
      <c r="H840" s="32" t="str">
        <f>_xlfn.IFNA(INDEX('OSA | 3GB'!A:C,MATCH(DATA!D840,'OSA | 3GB'!A:A,0),2),0)</f>
        <v xml:space="preserve"> -   </v>
      </c>
      <c r="I840" s="33" t="str">
        <f>_xlfn.IFNA(INDEX('OSA | 3GB'!A:C,MATCH(DATA!D840,'OSA | 3GB'!A:A,0),3),0)</f>
        <v xml:space="preserve"> -   </v>
      </c>
      <c r="J840" s="33">
        <f>INDEX('BIO WAHYU'!B:G,MATCH(DATA!D840,'BIO WAHYU'!B:B,0),5)</f>
        <v>0</v>
      </c>
      <c r="K840" s="34">
        <f>INDEX('BIO WAHYU'!B:G,MATCH(DATA!D840,'BIO WAHYU'!B:B,0),6)</f>
        <v>0</v>
      </c>
      <c r="L840" s="35">
        <f>INDEX('BIO WAHYU'!B:H,MATCH(DATA!D840,'BIO WAHYU'!B:B,0),7)</f>
        <v>0</v>
      </c>
      <c r="M840" s="34">
        <f>INDEX('BIO WAHYU'!B:H,MATCH(DATA!D840,'BIO WAHYU'!B:B,0),4)</f>
        <v>0</v>
      </c>
    </row>
    <row r="841" spans="1:13">
      <c r="A841" s="43" t="s">
        <v>1674</v>
      </c>
      <c r="B841" s="43" t="s">
        <v>148</v>
      </c>
      <c r="C841" s="43" t="s">
        <v>635</v>
      </c>
      <c r="D841" s="10">
        <v>222335</v>
      </c>
      <c r="E841" s="43" t="s">
        <v>10</v>
      </c>
      <c r="F841" s="8">
        <f>_xlfn.IFNA(INDEX('OSA | 3GB'!J:L,MATCH(DATA!D841,'OSA | 3GB'!J:J,0),2),0)</f>
        <v>3</v>
      </c>
      <c r="G841" s="8">
        <f>_xlfn.IFNA(INDEX('OSA | 3GB'!J:L,MATCH(DATA!D841,'OSA | 3GB'!J:J,0),3),0)</f>
        <v>4000000</v>
      </c>
      <c r="H841" s="32" t="str">
        <f>_xlfn.IFNA(INDEX('OSA | 3GB'!A:C,MATCH(DATA!D841,'OSA | 3GB'!A:A,0),2),0)</f>
        <v xml:space="preserve"> -   </v>
      </c>
      <c r="I841" s="33">
        <f>_xlfn.IFNA(INDEX('OSA | 3GB'!A:C,MATCH(DATA!D841,'OSA | 3GB'!A:A,0),3),0)</f>
        <v>3000000</v>
      </c>
      <c r="J841" s="33">
        <f>INDEX('BIO WAHYU'!B:G,MATCH(DATA!D841,'BIO WAHYU'!B:B,0),5)</f>
        <v>1</v>
      </c>
      <c r="K841" s="34">
        <f>INDEX('BIO WAHYU'!B:G,MATCH(DATA!D841,'BIO WAHYU'!B:B,0),6)</f>
        <v>1</v>
      </c>
      <c r="L841" s="35">
        <f>INDEX('BIO WAHYU'!B:H,MATCH(DATA!D841,'BIO WAHYU'!B:B,0),7)</f>
        <v>0</v>
      </c>
      <c r="M841" s="34">
        <f>INDEX('BIO WAHYU'!B:H,MATCH(DATA!D841,'BIO WAHYU'!B:B,0),4)</f>
        <v>0</v>
      </c>
    </row>
    <row r="842" spans="1:13">
      <c r="A842" s="43" t="s">
        <v>1</v>
      </c>
      <c r="B842" s="43" t="s">
        <v>5</v>
      </c>
      <c r="C842" s="43" t="s">
        <v>1100</v>
      </c>
      <c r="D842" s="10">
        <v>12317091</v>
      </c>
      <c r="E842" s="43" t="s">
        <v>10</v>
      </c>
      <c r="F842" s="8">
        <f>_xlfn.IFNA(INDEX('OSA | 3GB'!J:L,MATCH(DATA!D842,'OSA | 3GB'!J:J,0),2),0)</f>
        <v>7</v>
      </c>
      <c r="G842" s="8">
        <f>_xlfn.IFNA(INDEX('OSA | 3GB'!J:L,MATCH(DATA!D842,'OSA | 3GB'!J:J,0),3),0)</f>
        <v>0</v>
      </c>
      <c r="H842" s="32">
        <f>_xlfn.IFNA(INDEX('OSA | 3GB'!A:C,MATCH(DATA!D842,'OSA | 3GB'!A:A,0),2),0)</f>
        <v>4</v>
      </c>
      <c r="I842" s="33" t="str">
        <f>_xlfn.IFNA(INDEX('OSA | 3GB'!A:C,MATCH(DATA!D842,'OSA | 3GB'!A:A,0),3),0)</f>
        <v xml:space="preserve"> -   </v>
      </c>
      <c r="J842" s="33">
        <f>INDEX('BIO WAHYU'!B:G,MATCH(DATA!D842,'BIO WAHYU'!B:B,0),5)</f>
        <v>3</v>
      </c>
      <c r="K842" s="34">
        <f>INDEX('BIO WAHYU'!B:G,MATCH(DATA!D842,'BIO WAHYU'!B:B,0),6)</f>
        <v>4</v>
      </c>
      <c r="L842" s="35">
        <f>INDEX('BIO WAHYU'!B:H,MATCH(DATA!D842,'BIO WAHYU'!B:B,0),7)</f>
        <v>1</v>
      </c>
      <c r="M842" s="34">
        <f>INDEX('BIO WAHYU'!B:H,MATCH(DATA!D842,'BIO WAHYU'!B:B,0),4)</f>
        <v>0</v>
      </c>
    </row>
    <row r="843" spans="1:13">
      <c r="A843" s="43" t="s">
        <v>1674</v>
      </c>
      <c r="B843" s="43">
        <v>2613052222</v>
      </c>
      <c r="C843" s="43" t="s">
        <v>1404</v>
      </c>
      <c r="D843" s="10">
        <v>363655</v>
      </c>
      <c r="E843" s="43" t="s">
        <v>10</v>
      </c>
      <c r="F843" s="8">
        <f>_xlfn.IFNA(INDEX('OSA | 3GB'!J:L,MATCH(DATA!D843,'OSA | 3GB'!J:J,0),2),0)</f>
        <v>2</v>
      </c>
      <c r="G843" s="8">
        <f>_xlfn.IFNA(INDEX('OSA | 3GB'!J:L,MATCH(DATA!D843,'OSA | 3GB'!J:J,0),3),0)</f>
        <v>750000</v>
      </c>
      <c r="H843" s="32" t="str">
        <f>_xlfn.IFNA(INDEX('OSA | 3GB'!A:C,MATCH(DATA!D843,'OSA | 3GB'!A:A,0),2),0)</f>
        <v xml:space="preserve"> -   </v>
      </c>
      <c r="I843" s="33">
        <f>_xlfn.IFNA(INDEX('OSA | 3GB'!A:C,MATCH(DATA!D843,'OSA | 3GB'!A:A,0),3),0)</f>
        <v>100000</v>
      </c>
      <c r="J843" s="33">
        <f>INDEX('BIO WAHYU'!B:G,MATCH(DATA!D843,'BIO WAHYU'!B:B,0),5)</f>
        <v>2</v>
      </c>
      <c r="K843" s="34">
        <f>INDEX('BIO WAHYU'!B:G,MATCH(DATA!D843,'BIO WAHYU'!B:B,0),6)</f>
        <v>3</v>
      </c>
      <c r="L843" s="35">
        <f>INDEX('BIO WAHYU'!B:H,MATCH(DATA!D843,'BIO WAHYU'!B:B,0),7)</f>
        <v>1</v>
      </c>
      <c r="M843" s="34">
        <f>INDEX('BIO WAHYU'!B:H,MATCH(DATA!D843,'BIO WAHYU'!B:B,0),4)</f>
        <v>0</v>
      </c>
    </row>
    <row r="844" spans="1:13">
      <c r="A844" s="43" t="s">
        <v>1672</v>
      </c>
      <c r="B844" s="43" t="s">
        <v>157</v>
      </c>
      <c r="C844" s="43" t="s">
        <v>1027</v>
      </c>
      <c r="D844" s="10">
        <v>237391</v>
      </c>
      <c r="E844" s="43" t="s">
        <v>10</v>
      </c>
      <c r="F844" s="8">
        <f>_xlfn.IFNA(INDEX('OSA | 3GB'!J:L,MATCH(DATA!D844,'OSA | 3GB'!J:J,0),2),0)</f>
        <v>21</v>
      </c>
      <c r="G844" s="8">
        <f>_xlfn.IFNA(INDEX('OSA | 3GB'!J:L,MATCH(DATA!D844,'OSA | 3GB'!J:J,0),3),0)</f>
        <v>11620210</v>
      </c>
      <c r="H844" s="32">
        <f>_xlfn.IFNA(INDEX('OSA | 3GB'!A:C,MATCH(DATA!D844,'OSA | 3GB'!A:A,0),2),0)</f>
        <v>1</v>
      </c>
      <c r="I844" s="33">
        <f>_xlfn.IFNA(INDEX('OSA | 3GB'!A:C,MATCH(DATA!D844,'OSA | 3GB'!A:A,0),3),0)</f>
        <v>1000000</v>
      </c>
      <c r="J844" s="33">
        <f>INDEX('BIO WAHYU'!B:G,MATCH(DATA!D844,'BIO WAHYU'!B:B,0),5)</f>
        <v>9</v>
      </c>
      <c r="K844" s="34">
        <f>INDEX('BIO WAHYU'!B:G,MATCH(DATA!D844,'BIO WAHYU'!B:B,0),6)</f>
        <v>6</v>
      </c>
      <c r="L844" s="35">
        <f>INDEX('BIO WAHYU'!B:H,MATCH(DATA!D844,'BIO WAHYU'!B:B,0),7)</f>
        <v>0</v>
      </c>
      <c r="M844" s="34">
        <f>INDEX('BIO WAHYU'!B:H,MATCH(DATA!D844,'BIO WAHYU'!B:B,0),4)</f>
        <v>0</v>
      </c>
    </row>
    <row r="845" spans="1:13">
      <c r="A845" s="43" t="s">
        <v>1675</v>
      </c>
      <c r="B845" s="43" t="s">
        <v>136</v>
      </c>
      <c r="C845" s="43" t="s">
        <v>401</v>
      </c>
      <c r="D845" s="10">
        <v>211639</v>
      </c>
      <c r="E845" s="43" t="s">
        <v>10</v>
      </c>
      <c r="F845" s="8">
        <f>_xlfn.IFNA(INDEX('OSA | 3GB'!J:L,MATCH(DATA!D845,'OSA | 3GB'!J:J,0),2),0)</f>
        <v>5</v>
      </c>
      <c r="G845" s="8">
        <f>_xlfn.IFNA(INDEX('OSA | 3GB'!J:L,MATCH(DATA!D845,'OSA | 3GB'!J:J,0),3),0)</f>
        <v>3632000</v>
      </c>
      <c r="H845" s="32" t="str">
        <f>_xlfn.IFNA(INDEX('OSA | 3GB'!A:C,MATCH(DATA!D845,'OSA | 3GB'!A:A,0),2),0)</f>
        <v xml:space="preserve"> -   </v>
      </c>
      <c r="I845" s="33">
        <f>_xlfn.IFNA(INDEX('OSA | 3GB'!A:C,MATCH(DATA!D845,'OSA | 3GB'!A:A,0),3),0)</f>
        <v>1800000</v>
      </c>
      <c r="J845" s="33">
        <f>INDEX('BIO WAHYU'!B:G,MATCH(DATA!D845,'BIO WAHYU'!B:B,0),5)</f>
        <v>5</v>
      </c>
      <c r="K845" s="34">
        <f>INDEX('BIO WAHYU'!B:G,MATCH(DATA!D845,'BIO WAHYU'!B:B,0),6)</f>
        <v>1</v>
      </c>
      <c r="L845" s="35">
        <f>INDEX('BIO WAHYU'!B:H,MATCH(DATA!D845,'BIO WAHYU'!B:B,0),7)</f>
        <v>0</v>
      </c>
      <c r="M845" s="34">
        <f>INDEX('BIO WAHYU'!B:H,MATCH(DATA!D845,'BIO WAHYU'!B:B,0),4)</f>
        <v>1</v>
      </c>
    </row>
    <row r="846" spans="1:13">
      <c r="A846" s="43" t="s">
        <v>1672</v>
      </c>
      <c r="B846" s="43" t="s">
        <v>156</v>
      </c>
      <c r="C846" s="43" t="s">
        <v>1004</v>
      </c>
      <c r="D846" s="10">
        <v>62200</v>
      </c>
      <c r="E846" s="43" t="s">
        <v>10</v>
      </c>
      <c r="F846" s="8">
        <f>_xlfn.IFNA(INDEX('OSA | 3GB'!J:L,MATCH(DATA!D846,'OSA | 3GB'!J:J,0),2),0)</f>
        <v>0</v>
      </c>
      <c r="G846" s="8">
        <f>_xlfn.IFNA(INDEX('OSA | 3GB'!J:L,MATCH(DATA!D846,'OSA | 3GB'!J:J,0),3),0)</f>
        <v>0</v>
      </c>
      <c r="H846" s="32" t="str">
        <f>_xlfn.IFNA(INDEX('OSA | 3GB'!A:C,MATCH(DATA!D846,'OSA | 3GB'!A:A,0),2),0)</f>
        <v xml:space="preserve"> -   </v>
      </c>
      <c r="I846" s="33" t="str">
        <f>_xlfn.IFNA(INDEX('OSA | 3GB'!A:C,MATCH(DATA!D846,'OSA | 3GB'!A:A,0),3),0)</f>
        <v xml:space="preserve"> -   </v>
      </c>
      <c r="J846" s="33">
        <f>INDEX('BIO WAHYU'!B:G,MATCH(DATA!D846,'BIO WAHYU'!B:B,0),5)</f>
        <v>2</v>
      </c>
      <c r="K846" s="34">
        <f>INDEX('BIO WAHYU'!B:G,MATCH(DATA!D846,'BIO WAHYU'!B:B,0),6)</f>
        <v>0</v>
      </c>
      <c r="L846" s="35">
        <f>INDEX('BIO WAHYU'!B:H,MATCH(DATA!D846,'BIO WAHYU'!B:B,0),7)</f>
        <v>0</v>
      </c>
      <c r="M846" s="34">
        <f>INDEX('BIO WAHYU'!B:H,MATCH(DATA!D846,'BIO WAHYU'!B:B,0),4)</f>
        <v>0</v>
      </c>
    </row>
    <row r="847" spans="1:13">
      <c r="A847" s="43" t="s">
        <v>1673</v>
      </c>
      <c r="B847" s="43" t="s">
        <v>144</v>
      </c>
      <c r="C847" s="43" t="s">
        <v>230</v>
      </c>
      <c r="D847" s="10">
        <v>455508</v>
      </c>
      <c r="E847" s="43" t="s">
        <v>10</v>
      </c>
      <c r="F847" s="8">
        <f>_xlfn.IFNA(INDEX('OSA | 3GB'!J:L,MATCH(DATA!D847,'OSA | 3GB'!J:J,0),2),0)</f>
        <v>0</v>
      </c>
      <c r="G847" s="8">
        <f>_xlfn.IFNA(INDEX('OSA | 3GB'!J:L,MATCH(DATA!D847,'OSA | 3GB'!J:J,0),3),0)</f>
        <v>1094000</v>
      </c>
      <c r="H847" s="32" t="str">
        <f>_xlfn.IFNA(INDEX('OSA | 3GB'!A:C,MATCH(DATA!D847,'OSA | 3GB'!A:A,0),2),0)</f>
        <v xml:space="preserve"> -   </v>
      </c>
      <c r="I847" s="33">
        <f>_xlfn.IFNA(INDEX('OSA | 3GB'!A:C,MATCH(DATA!D847,'OSA | 3GB'!A:A,0),3),0)</f>
        <v>300000</v>
      </c>
      <c r="J847" s="33">
        <f>INDEX('BIO WAHYU'!B:G,MATCH(DATA!D847,'BIO WAHYU'!B:B,0),5)</f>
        <v>1</v>
      </c>
      <c r="K847" s="34">
        <f>INDEX('BIO WAHYU'!B:G,MATCH(DATA!D847,'BIO WAHYU'!B:B,0),6)</f>
        <v>0</v>
      </c>
      <c r="L847" s="35">
        <f>INDEX('BIO WAHYU'!B:H,MATCH(DATA!D847,'BIO WAHYU'!B:B,0),7)</f>
        <v>0</v>
      </c>
      <c r="M847" s="34">
        <f>INDEX('BIO WAHYU'!B:H,MATCH(DATA!D847,'BIO WAHYU'!B:B,0),4)</f>
        <v>0</v>
      </c>
    </row>
    <row r="848" spans="1:13">
      <c r="A848" s="43" t="s">
        <v>1674</v>
      </c>
      <c r="B848" s="43" t="s">
        <v>152</v>
      </c>
      <c r="C848" s="43" t="s">
        <v>664</v>
      </c>
      <c r="D848" s="10">
        <v>268747</v>
      </c>
      <c r="E848" s="43" t="s">
        <v>10</v>
      </c>
      <c r="F848" s="8">
        <f>_xlfn.IFNA(INDEX('OSA | 3GB'!J:L,MATCH(DATA!D848,'OSA | 3GB'!J:J,0),2),0)</f>
        <v>26</v>
      </c>
      <c r="G848" s="8">
        <f>_xlfn.IFNA(INDEX('OSA | 3GB'!J:L,MATCH(DATA!D848,'OSA | 3GB'!J:J,0),3),0)</f>
        <v>950000</v>
      </c>
      <c r="H848" s="32" t="str">
        <f>_xlfn.IFNA(INDEX('OSA | 3GB'!A:C,MATCH(DATA!D848,'OSA | 3GB'!A:A,0),2),0)</f>
        <v xml:space="preserve"> -   </v>
      </c>
      <c r="I848" s="33">
        <f>_xlfn.IFNA(INDEX('OSA | 3GB'!A:C,MATCH(DATA!D848,'OSA | 3GB'!A:A,0),3),0)</f>
        <v>1100000</v>
      </c>
      <c r="J848" s="33">
        <f>INDEX('BIO WAHYU'!B:G,MATCH(DATA!D848,'BIO WAHYU'!B:B,0),5)</f>
        <v>4</v>
      </c>
      <c r="K848" s="34">
        <f>INDEX('BIO WAHYU'!B:G,MATCH(DATA!D848,'BIO WAHYU'!B:B,0),6)</f>
        <v>1</v>
      </c>
      <c r="L848" s="35">
        <f>INDEX('BIO WAHYU'!B:H,MATCH(DATA!D848,'BIO WAHYU'!B:B,0),7)</f>
        <v>0</v>
      </c>
      <c r="M848" s="34">
        <f>INDEX('BIO WAHYU'!B:H,MATCH(DATA!D848,'BIO WAHYU'!B:B,0),4)</f>
        <v>0</v>
      </c>
    </row>
    <row r="849" spans="1:13">
      <c r="A849" s="43" t="s">
        <v>1</v>
      </c>
      <c r="B849" s="43" t="s">
        <v>5</v>
      </c>
      <c r="C849" s="43" t="s">
        <v>1101</v>
      </c>
      <c r="D849" s="10">
        <v>471389</v>
      </c>
      <c r="E849" s="43" t="s">
        <v>10</v>
      </c>
      <c r="F849" s="8">
        <f>_xlfn.IFNA(INDEX('OSA | 3GB'!J:L,MATCH(DATA!D849,'OSA | 3GB'!J:J,0),2),0)</f>
        <v>4</v>
      </c>
      <c r="G849" s="8">
        <f>_xlfn.IFNA(INDEX('OSA | 3GB'!J:L,MATCH(DATA!D849,'OSA | 3GB'!J:J,0),3),0)</f>
        <v>500000</v>
      </c>
      <c r="H849" s="32" t="str">
        <f>_xlfn.IFNA(INDEX('OSA | 3GB'!A:C,MATCH(DATA!D849,'OSA | 3GB'!A:A,0),2),0)</f>
        <v xml:space="preserve"> -   </v>
      </c>
      <c r="I849" s="33" t="str">
        <f>_xlfn.IFNA(INDEX('OSA | 3GB'!A:C,MATCH(DATA!D849,'OSA | 3GB'!A:A,0),3),0)</f>
        <v xml:space="preserve"> -   </v>
      </c>
      <c r="J849" s="33">
        <f>INDEX('BIO WAHYU'!B:G,MATCH(DATA!D849,'BIO WAHYU'!B:B,0),5)</f>
        <v>3</v>
      </c>
      <c r="K849" s="34">
        <f>INDEX('BIO WAHYU'!B:G,MATCH(DATA!D849,'BIO WAHYU'!B:B,0),6)</f>
        <v>0</v>
      </c>
      <c r="L849" s="35">
        <f>INDEX('BIO WAHYU'!B:H,MATCH(DATA!D849,'BIO WAHYU'!B:B,0),7)</f>
        <v>0</v>
      </c>
      <c r="M849" s="34">
        <f>INDEX('BIO WAHYU'!B:H,MATCH(DATA!D849,'BIO WAHYU'!B:B,0),4)</f>
        <v>0</v>
      </c>
    </row>
    <row r="850" spans="1:13">
      <c r="A850" s="43" t="s">
        <v>1675</v>
      </c>
      <c r="B850" s="43" t="s">
        <v>136</v>
      </c>
      <c r="C850" s="43" t="s">
        <v>1405</v>
      </c>
      <c r="D850" s="10">
        <v>353860</v>
      </c>
      <c r="E850" s="43" t="s">
        <v>23</v>
      </c>
      <c r="F850" s="8">
        <f>_xlfn.IFNA(INDEX('OSA | 3GB'!J:L,MATCH(DATA!D850,'OSA | 3GB'!J:J,0),2),0)</f>
        <v>0</v>
      </c>
      <c r="G850" s="8">
        <f>_xlfn.IFNA(INDEX('OSA | 3GB'!J:L,MATCH(DATA!D850,'OSA | 3GB'!J:J,0),3),0)</f>
        <v>0</v>
      </c>
      <c r="H850" s="32">
        <f>_xlfn.IFNA(INDEX('OSA | 3GB'!A:C,MATCH(DATA!D850,'OSA | 3GB'!A:A,0),2),0)</f>
        <v>10</v>
      </c>
      <c r="I850" s="33" t="str">
        <f>_xlfn.IFNA(INDEX('OSA | 3GB'!A:C,MATCH(DATA!D850,'OSA | 3GB'!A:A,0),3),0)</f>
        <v xml:space="preserve"> -   </v>
      </c>
      <c r="J850" s="33">
        <f>INDEX('BIO WAHYU'!B:G,MATCH(DATA!D850,'BIO WAHYU'!B:B,0),5)</f>
        <v>0</v>
      </c>
      <c r="K850" s="34">
        <f>INDEX('BIO WAHYU'!B:G,MATCH(DATA!D850,'BIO WAHYU'!B:B,0),6)</f>
        <v>8</v>
      </c>
      <c r="L850" s="35">
        <f>INDEX('BIO WAHYU'!B:H,MATCH(DATA!D850,'BIO WAHYU'!B:B,0),7)</f>
        <v>8</v>
      </c>
      <c r="M850" s="34">
        <f>INDEX('BIO WAHYU'!B:H,MATCH(DATA!D850,'BIO WAHYU'!B:B,0),4)</f>
        <v>0</v>
      </c>
    </row>
    <row r="851" spans="1:13">
      <c r="A851" s="43" t="s">
        <v>1672</v>
      </c>
      <c r="B851" s="43" t="s">
        <v>156</v>
      </c>
      <c r="C851" s="43" t="s">
        <v>464</v>
      </c>
      <c r="D851" s="10">
        <v>368908</v>
      </c>
      <c r="E851" s="43" t="s">
        <v>10</v>
      </c>
      <c r="F851" s="8">
        <f>_xlfn.IFNA(INDEX('OSA | 3GB'!J:L,MATCH(DATA!D851,'OSA | 3GB'!J:J,0),2),0)</f>
        <v>0</v>
      </c>
      <c r="G851" s="8">
        <f>_xlfn.IFNA(INDEX('OSA | 3GB'!J:L,MATCH(DATA!D851,'OSA | 3GB'!J:J,0),3),0)</f>
        <v>1800000</v>
      </c>
      <c r="H851" s="32">
        <f>_xlfn.IFNA(INDEX('OSA | 3GB'!A:C,MATCH(DATA!D851,'OSA | 3GB'!A:A,0),2),0)</f>
        <v>10</v>
      </c>
      <c r="I851" s="33">
        <f>_xlfn.IFNA(INDEX('OSA | 3GB'!A:C,MATCH(DATA!D851,'OSA | 3GB'!A:A,0),3),0)</f>
        <v>700000</v>
      </c>
      <c r="J851" s="33">
        <f>INDEX('BIO WAHYU'!B:G,MATCH(DATA!D851,'BIO WAHYU'!B:B,0),5)</f>
        <v>3</v>
      </c>
      <c r="K851" s="34">
        <f>INDEX('BIO WAHYU'!B:G,MATCH(DATA!D851,'BIO WAHYU'!B:B,0),6)</f>
        <v>3</v>
      </c>
      <c r="L851" s="35">
        <f>INDEX('BIO WAHYU'!B:H,MATCH(DATA!D851,'BIO WAHYU'!B:B,0),7)</f>
        <v>0</v>
      </c>
      <c r="M851" s="34">
        <f>INDEX('BIO WAHYU'!B:H,MATCH(DATA!D851,'BIO WAHYU'!B:B,0),4)</f>
        <v>0</v>
      </c>
    </row>
    <row r="852" spans="1:13">
      <c r="A852" s="43" t="s">
        <v>1671</v>
      </c>
      <c r="B852" s="43" t="s">
        <v>142</v>
      </c>
      <c r="C852" s="43" t="s">
        <v>367</v>
      </c>
      <c r="D852" s="10">
        <v>544721</v>
      </c>
      <c r="E852" s="43" t="s">
        <v>10</v>
      </c>
      <c r="F852" s="8">
        <f>_xlfn.IFNA(INDEX('OSA | 3GB'!J:L,MATCH(DATA!D852,'OSA | 3GB'!J:J,0),2),0)</f>
        <v>0</v>
      </c>
      <c r="G852" s="8">
        <f>_xlfn.IFNA(INDEX('OSA | 3GB'!J:L,MATCH(DATA!D852,'OSA | 3GB'!J:J,0),3),0)</f>
        <v>9550000</v>
      </c>
      <c r="H852" s="32" t="str">
        <f>_xlfn.IFNA(INDEX('OSA | 3GB'!A:C,MATCH(DATA!D852,'OSA | 3GB'!A:A,0),2),0)</f>
        <v xml:space="preserve"> -   </v>
      </c>
      <c r="I852" s="33">
        <f>_xlfn.IFNA(INDEX('OSA | 3GB'!A:C,MATCH(DATA!D852,'OSA | 3GB'!A:A,0),3),0)</f>
        <v>3500000</v>
      </c>
      <c r="J852" s="33">
        <f>INDEX('BIO WAHYU'!B:G,MATCH(DATA!D852,'BIO WAHYU'!B:B,0),5)</f>
        <v>1</v>
      </c>
      <c r="K852" s="34">
        <f>INDEX('BIO WAHYU'!B:G,MATCH(DATA!D852,'BIO WAHYU'!B:B,0),6)</f>
        <v>1</v>
      </c>
      <c r="L852" s="35">
        <f>INDEX('BIO WAHYU'!B:H,MATCH(DATA!D852,'BIO WAHYU'!B:B,0),7)</f>
        <v>0</v>
      </c>
      <c r="M852" s="34">
        <f>INDEX('BIO WAHYU'!B:H,MATCH(DATA!D852,'BIO WAHYU'!B:B,0),4)</f>
        <v>0</v>
      </c>
    </row>
    <row r="853" spans="1:13">
      <c r="A853" s="43" t="s">
        <v>1675</v>
      </c>
      <c r="B853" s="43">
        <v>2613051451</v>
      </c>
      <c r="C853" s="43" t="s">
        <v>1406</v>
      </c>
      <c r="D853" s="10">
        <v>356428</v>
      </c>
      <c r="E853" s="43" t="s">
        <v>10</v>
      </c>
      <c r="F853" s="8">
        <f>_xlfn.IFNA(INDEX('OSA | 3GB'!J:L,MATCH(DATA!D853,'OSA | 3GB'!J:J,0),2),0)</f>
        <v>0</v>
      </c>
      <c r="G853" s="8">
        <f>_xlfn.IFNA(INDEX('OSA | 3GB'!J:L,MATCH(DATA!D853,'OSA | 3GB'!J:J,0),3),0)</f>
        <v>2550000</v>
      </c>
      <c r="H853" s="32" t="str">
        <f>_xlfn.IFNA(INDEX('OSA | 3GB'!A:C,MATCH(DATA!D853,'OSA | 3GB'!A:A,0),2),0)</f>
        <v xml:space="preserve"> -   </v>
      </c>
      <c r="I853" s="33">
        <f>_xlfn.IFNA(INDEX('OSA | 3GB'!A:C,MATCH(DATA!D853,'OSA | 3GB'!A:A,0),3),0)</f>
        <v>1400000</v>
      </c>
      <c r="J853" s="33">
        <f>INDEX('BIO WAHYU'!B:G,MATCH(DATA!D853,'BIO WAHYU'!B:B,0),5)</f>
        <v>0</v>
      </c>
      <c r="K853" s="34">
        <f>INDEX('BIO WAHYU'!B:G,MATCH(DATA!D853,'BIO WAHYU'!B:B,0),6)</f>
        <v>0</v>
      </c>
      <c r="L853" s="35">
        <f>INDEX('BIO WAHYU'!B:H,MATCH(DATA!D853,'BIO WAHYU'!B:B,0),7)</f>
        <v>0</v>
      </c>
      <c r="M853" s="34">
        <f>INDEX('BIO WAHYU'!B:H,MATCH(DATA!D853,'BIO WAHYU'!B:B,0),4)</f>
        <v>0</v>
      </c>
    </row>
    <row r="854" spans="1:13">
      <c r="A854" s="43" t="s">
        <v>1672</v>
      </c>
      <c r="B854" s="43" t="s">
        <v>149</v>
      </c>
      <c r="C854" s="43" t="s">
        <v>796</v>
      </c>
      <c r="D854" s="10">
        <v>525138</v>
      </c>
      <c r="E854" s="43" t="s">
        <v>10</v>
      </c>
      <c r="F854" s="8">
        <f>_xlfn.IFNA(INDEX('OSA | 3GB'!J:L,MATCH(DATA!D854,'OSA | 3GB'!J:J,0),2),0)</f>
        <v>1</v>
      </c>
      <c r="G854" s="8">
        <f>_xlfn.IFNA(INDEX('OSA | 3GB'!J:L,MATCH(DATA!D854,'OSA | 3GB'!J:J,0),3),0)</f>
        <v>716000</v>
      </c>
      <c r="H854" s="32">
        <f>_xlfn.IFNA(INDEX('OSA | 3GB'!A:C,MATCH(DATA!D854,'OSA | 3GB'!A:A,0),2),0)</f>
        <v>2</v>
      </c>
      <c r="I854" s="33">
        <f>_xlfn.IFNA(INDEX('OSA | 3GB'!A:C,MATCH(DATA!D854,'OSA | 3GB'!A:A,0),3),0)</f>
        <v>158000</v>
      </c>
      <c r="J854" s="33">
        <f>INDEX('BIO WAHYU'!B:G,MATCH(DATA!D854,'BIO WAHYU'!B:B,0),5)</f>
        <v>0</v>
      </c>
      <c r="K854" s="34">
        <f>INDEX('BIO WAHYU'!B:G,MATCH(DATA!D854,'BIO WAHYU'!B:B,0),6)</f>
        <v>0</v>
      </c>
      <c r="L854" s="35">
        <f>INDEX('BIO WAHYU'!B:H,MATCH(DATA!D854,'BIO WAHYU'!B:B,0),7)</f>
        <v>0</v>
      </c>
      <c r="M854" s="34">
        <f>INDEX('BIO WAHYU'!B:H,MATCH(DATA!D854,'BIO WAHYU'!B:B,0),4)</f>
        <v>0</v>
      </c>
    </row>
    <row r="855" spans="1:13">
      <c r="A855" s="43" t="s">
        <v>1672</v>
      </c>
      <c r="B855" s="43" t="s">
        <v>157</v>
      </c>
      <c r="C855" s="43" t="s">
        <v>188</v>
      </c>
      <c r="D855" s="10">
        <v>221676</v>
      </c>
      <c r="E855" s="43" t="s">
        <v>15</v>
      </c>
      <c r="F855" s="8">
        <f>_xlfn.IFNA(INDEX('OSA | 3GB'!J:L,MATCH(DATA!D855,'OSA | 3GB'!J:J,0),2),0)</f>
        <v>5</v>
      </c>
      <c r="G855" s="8">
        <f>_xlfn.IFNA(INDEX('OSA | 3GB'!J:L,MATCH(DATA!D855,'OSA | 3GB'!J:J,0),3),0)</f>
        <v>550000</v>
      </c>
      <c r="H855" s="32">
        <f>_xlfn.IFNA(INDEX('OSA | 3GB'!A:C,MATCH(DATA!D855,'OSA | 3GB'!A:A,0),2),0)</f>
        <v>6</v>
      </c>
      <c r="I855" s="33">
        <f>_xlfn.IFNA(INDEX('OSA | 3GB'!A:C,MATCH(DATA!D855,'OSA | 3GB'!A:A,0),3),0)</f>
        <v>374000</v>
      </c>
      <c r="J855" s="33">
        <f>INDEX('BIO WAHYU'!B:G,MATCH(DATA!D855,'BIO WAHYU'!B:B,0),5)</f>
        <v>2</v>
      </c>
      <c r="K855" s="34">
        <f>INDEX('BIO WAHYU'!B:G,MATCH(DATA!D855,'BIO WAHYU'!B:B,0),6)</f>
        <v>0</v>
      </c>
      <c r="L855" s="35">
        <f>INDEX('BIO WAHYU'!B:H,MATCH(DATA!D855,'BIO WAHYU'!B:B,0),7)</f>
        <v>0</v>
      </c>
      <c r="M855" s="34">
        <f>INDEX('BIO WAHYU'!B:H,MATCH(DATA!D855,'BIO WAHYU'!B:B,0),4)</f>
        <v>0</v>
      </c>
    </row>
    <row r="856" spans="1:13">
      <c r="A856" s="43" t="s">
        <v>1672</v>
      </c>
      <c r="B856" s="43" t="s">
        <v>157</v>
      </c>
      <c r="C856" s="43" t="s">
        <v>1407</v>
      </c>
      <c r="D856" s="10">
        <v>252647</v>
      </c>
      <c r="E856" s="43" t="s">
        <v>10</v>
      </c>
      <c r="F856" s="8">
        <f>_xlfn.IFNA(INDEX('OSA | 3GB'!J:L,MATCH(DATA!D856,'OSA | 3GB'!J:J,0),2),0)</f>
        <v>6</v>
      </c>
      <c r="G856" s="8">
        <f>_xlfn.IFNA(INDEX('OSA | 3GB'!J:L,MATCH(DATA!D856,'OSA | 3GB'!J:J,0),3),0)</f>
        <v>1300000</v>
      </c>
      <c r="H856" s="32">
        <f>_xlfn.IFNA(INDEX('OSA | 3GB'!A:C,MATCH(DATA!D856,'OSA | 3GB'!A:A,0),2),0)</f>
        <v>1</v>
      </c>
      <c r="I856" s="33">
        <f>_xlfn.IFNA(INDEX('OSA | 3GB'!A:C,MATCH(DATA!D856,'OSA | 3GB'!A:A,0),3),0)</f>
        <v>429000</v>
      </c>
      <c r="J856" s="33">
        <f>INDEX('BIO WAHYU'!B:G,MATCH(DATA!D856,'BIO WAHYU'!B:B,0),5)</f>
        <v>3</v>
      </c>
      <c r="K856" s="34">
        <f>INDEX('BIO WAHYU'!B:G,MATCH(DATA!D856,'BIO WAHYU'!B:B,0),6)</f>
        <v>0</v>
      </c>
      <c r="L856" s="35">
        <f>INDEX('BIO WAHYU'!B:H,MATCH(DATA!D856,'BIO WAHYU'!B:B,0),7)</f>
        <v>0</v>
      </c>
      <c r="M856" s="34">
        <f>INDEX('BIO WAHYU'!B:H,MATCH(DATA!D856,'BIO WAHYU'!B:B,0),4)</f>
        <v>0</v>
      </c>
    </row>
    <row r="857" spans="1:13">
      <c r="A857" s="43" t="s">
        <v>1670</v>
      </c>
      <c r="B857" s="43">
        <v>2613051412</v>
      </c>
      <c r="C857" s="43" t="s">
        <v>1177</v>
      </c>
      <c r="D857" s="10">
        <v>12318885</v>
      </c>
      <c r="E857" s="43" t="s">
        <v>10</v>
      </c>
      <c r="F857" s="8">
        <f>_xlfn.IFNA(INDEX('OSA | 3GB'!J:L,MATCH(DATA!D857,'OSA | 3GB'!J:J,0),2),0)</f>
        <v>1</v>
      </c>
      <c r="G857" s="8">
        <f>_xlfn.IFNA(INDEX('OSA | 3GB'!J:L,MATCH(DATA!D857,'OSA | 3GB'!J:J,0),3),0)</f>
        <v>900000</v>
      </c>
      <c r="H857" s="32" t="str">
        <f>_xlfn.IFNA(INDEX('OSA | 3GB'!A:C,MATCH(DATA!D857,'OSA | 3GB'!A:A,0),2),0)</f>
        <v xml:space="preserve"> -   </v>
      </c>
      <c r="I857" s="33">
        <f>_xlfn.IFNA(INDEX('OSA | 3GB'!A:C,MATCH(DATA!D857,'OSA | 3GB'!A:A,0),3),0)</f>
        <v>800000</v>
      </c>
      <c r="J857" s="33">
        <f>INDEX('BIO WAHYU'!B:G,MATCH(DATA!D857,'BIO WAHYU'!B:B,0),5)</f>
        <v>1</v>
      </c>
      <c r="K857" s="34">
        <f>INDEX('BIO WAHYU'!B:G,MATCH(DATA!D857,'BIO WAHYU'!B:B,0),6)</f>
        <v>0</v>
      </c>
      <c r="L857" s="35">
        <f>INDEX('BIO WAHYU'!B:H,MATCH(DATA!D857,'BIO WAHYU'!B:B,0),7)</f>
        <v>0</v>
      </c>
      <c r="M857" s="34">
        <f>INDEX('BIO WAHYU'!B:H,MATCH(DATA!D857,'BIO WAHYU'!B:B,0),4)</f>
        <v>0</v>
      </c>
    </row>
    <row r="858" spans="1:13">
      <c r="A858" s="43" t="s">
        <v>1675</v>
      </c>
      <c r="B858" s="43">
        <v>2613051451</v>
      </c>
      <c r="C858" s="43" t="s">
        <v>1408</v>
      </c>
      <c r="D858" s="10">
        <v>523840</v>
      </c>
      <c r="E858" s="43" t="s">
        <v>10</v>
      </c>
      <c r="F858" s="8">
        <f>_xlfn.IFNA(INDEX('OSA | 3GB'!J:L,MATCH(DATA!D858,'OSA | 3GB'!J:J,0),2),0)</f>
        <v>0</v>
      </c>
      <c r="G858" s="8">
        <f>_xlfn.IFNA(INDEX('OSA | 3GB'!J:L,MATCH(DATA!D858,'OSA | 3GB'!J:J,0),3),0)</f>
        <v>0</v>
      </c>
      <c r="H858" s="32" t="str">
        <f>_xlfn.IFNA(INDEX('OSA | 3GB'!A:C,MATCH(DATA!D858,'OSA | 3GB'!A:A,0),2),0)</f>
        <v xml:space="preserve"> -   </v>
      </c>
      <c r="I858" s="33" t="str">
        <f>_xlfn.IFNA(INDEX('OSA | 3GB'!A:C,MATCH(DATA!D858,'OSA | 3GB'!A:A,0),3),0)</f>
        <v xml:space="preserve"> -   </v>
      </c>
      <c r="J858" s="33">
        <f>INDEX('BIO WAHYU'!B:G,MATCH(DATA!D858,'BIO WAHYU'!B:B,0),5)</f>
        <v>0</v>
      </c>
      <c r="K858" s="34">
        <f>INDEX('BIO WAHYU'!B:G,MATCH(DATA!D858,'BIO WAHYU'!B:B,0),6)</f>
        <v>0</v>
      </c>
      <c r="L858" s="35">
        <f>INDEX('BIO WAHYU'!B:H,MATCH(DATA!D858,'BIO WAHYU'!B:B,0),7)</f>
        <v>0</v>
      </c>
      <c r="M858" s="34">
        <f>INDEX('BIO WAHYU'!B:H,MATCH(DATA!D858,'BIO WAHYU'!B:B,0),4)</f>
        <v>0</v>
      </c>
    </row>
    <row r="859" spans="1:13">
      <c r="A859" s="43" t="s">
        <v>1673</v>
      </c>
      <c r="B859" s="43" t="s">
        <v>143</v>
      </c>
      <c r="C859" s="43" t="s">
        <v>1365</v>
      </c>
      <c r="D859" s="10">
        <v>62419</v>
      </c>
      <c r="E859" s="43" t="s">
        <v>15</v>
      </c>
      <c r="F859" s="8">
        <f>_xlfn.IFNA(INDEX('OSA | 3GB'!J:L,MATCH(DATA!D859,'OSA | 3GB'!J:J,0),2),0)</f>
        <v>3</v>
      </c>
      <c r="G859" s="8">
        <f>_xlfn.IFNA(INDEX('OSA | 3GB'!J:L,MATCH(DATA!D859,'OSA | 3GB'!J:J,0),3),0)</f>
        <v>858000</v>
      </c>
      <c r="H859" s="32" t="str">
        <f>_xlfn.IFNA(INDEX('OSA | 3GB'!A:C,MATCH(DATA!D859,'OSA | 3GB'!A:A,0),2),0)</f>
        <v xml:space="preserve"> -   </v>
      </c>
      <c r="I859" s="33">
        <f>_xlfn.IFNA(INDEX('OSA | 3GB'!A:C,MATCH(DATA!D859,'OSA | 3GB'!A:A,0),3),0)</f>
        <v>400000</v>
      </c>
      <c r="J859" s="33">
        <f>INDEX('BIO WAHYU'!B:G,MATCH(DATA!D859,'BIO WAHYU'!B:B,0),5)</f>
        <v>3</v>
      </c>
      <c r="K859" s="34">
        <f>INDEX('BIO WAHYU'!B:G,MATCH(DATA!D859,'BIO WAHYU'!B:B,0),6)</f>
        <v>0</v>
      </c>
      <c r="L859" s="35">
        <f>INDEX('BIO WAHYU'!B:H,MATCH(DATA!D859,'BIO WAHYU'!B:B,0),7)</f>
        <v>0</v>
      </c>
      <c r="M859" s="34">
        <f>INDEX('BIO WAHYU'!B:H,MATCH(DATA!D859,'BIO WAHYU'!B:B,0),4)</f>
        <v>0</v>
      </c>
    </row>
    <row r="860" spans="1:13">
      <c r="A860" s="43" t="s">
        <v>1672</v>
      </c>
      <c r="B860" s="43" t="s">
        <v>149</v>
      </c>
      <c r="C860" s="43" t="s">
        <v>766</v>
      </c>
      <c r="D860" s="10">
        <v>12300329</v>
      </c>
      <c r="E860" s="43" t="s">
        <v>10</v>
      </c>
      <c r="F860" s="8">
        <f>_xlfn.IFNA(INDEX('OSA | 3GB'!J:L,MATCH(DATA!D860,'OSA | 3GB'!J:J,0),2),0)</f>
        <v>4</v>
      </c>
      <c r="G860" s="8">
        <f>_xlfn.IFNA(INDEX('OSA | 3GB'!J:L,MATCH(DATA!D860,'OSA | 3GB'!J:J,0),3),0)</f>
        <v>987000</v>
      </c>
      <c r="H860" s="32">
        <f>_xlfn.IFNA(INDEX('OSA | 3GB'!A:C,MATCH(DATA!D860,'OSA | 3GB'!A:A,0),2),0)</f>
        <v>4</v>
      </c>
      <c r="I860" s="33">
        <f>_xlfn.IFNA(INDEX('OSA | 3GB'!A:C,MATCH(DATA!D860,'OSA | 3GB'!A:A,0),3),0)</f>
        <v>566000</v>
      </c>
      <c r="J860" s="33">
        <f>INDEX('BIO WAHYU'!B:G,MATCH(DATA!D860,'BIO WAHYU'!B:B,0),5)</f>
        <v>0</v>
      </c>
      <c r="K860" s="34">
        <f>INDEX('BIO WAHYU'!B:G,MATCH(DATA!D860,'BIO WAHYU'!B:B,0),6)</f>
        <v>1</v>
      </c>
      <c r="L860" s="35">
        <f>INDEX('BIO WAHYU'!B:H,MATCH(DATA!D860,'BIO WAHYU'!B:B,0),7)</f>
        <v>1</v>
      </c>
      <c r="M860" s="34">
        <f>INDEX('BIO WAHYU'!B:H,MATCH(DATA!D860,'BIO WAHYU'!B:B,0),4)</f>
        <v>0</v>
      </c>
    </row>
    <row r="861" spans="1:13">
      <c r="A861" s="43" t="s">
        <v>1673</v>
      </c>
      <c r="B861" s="43" t="s">
        <v>158</v>
      </c>
      <c r="C861" s="43" t="s">
        <v>1409</v>
      </c>
      <c r="D861" s="10">
        <v>358978</v>
      </c>
      <c r="E861" s="43" t="s">
        <v>10</v>
      </c>
      <c r="F861" s="8">
        <f>_xlfn.IFNA(INDEX('OSA | 3GB'!J:L,MATCH(DATA!D861,'OSA | 3GB'!J:J,0),2),0)</f>
        <v>4</v>
      </c>
      <c r="G861" s="8">
        <f>_xlfn.IFNA(INDEX('OSA | 3GB'!J:L,MATCH(DATA!D861,'OSA | 3GB'!J:J,0),3),0)</f>
        <v>2329000</v>
      </c>
      <c r="H861" s="32" t="str">
        <f>_xlfn.IFNA(INDEX('OSA | 3GB'!A:C,MATCH(DATA!D861,'OSA | 3GB'!A:A,0),2),0)</f>
        <v xml:space="preserve"> -   </v>
      </c>
      <c r="I861" s="33">
        <f>_xlfn.IFNA(INDEX('OSA | 3GB'!A:C,MATCH(DATA!D861,'OSA | 3GB'!A:A,0),3),0)</f>
        <v>1000000</v>
      </c>
      <c r="J861" s="33">
        <f>INDEX('BIO WAHYU'!B:G,MATCH(DATA!D861,'BIO WAHYU'!B:B,0),5)</f>
        <v>4</v>
      </c>
      <c r="K861" s="34">
        <f>INDEX('BIO WAHYU'!B:G,MATCH(DATA!D861,'BIO WAHYU'!B:B,0),6)</f>
        <v>1</v>
      </c>
      <c r="L861" s="35">
        <f>INDEX('BIO WAHYU'!B:H,MATCH(DATA!D861,'BIO WAHYU'!B:B,0),7)</f>
        <v>0</v>
      </c>
      <c r="M861" s="34">
        <f>INDEX('BIO WAHYU'!B:H,MATCH(DATA!D861,'BIO WAHYU'!B:B,0),4)</f>
        <v>0</v>
      </c>
    </row>
    <row r="862" spans="1:13">
      <c r="A862" s="43" t="s">
        <v>1674</v>
      </c>
      <c r="B862" s="43" t="s">
        <v>148</v>
      </c>
      <c r="C862" s="43" t="s">
        <v>641</v>
      </c>
      <c r="D862" s="10">
        <v>264192</v>
      </c>
      <c r="E862" s="43" t="s">
        <v>10</v>
      </c>
      <c r="F862" s="8">
        <f>_xlfn.IFNA(INDEX('OSA | 3GB'!J:L,MATCH(DATA!D862,'OSA | 3GB'!J:J,0),2),0)</f>
        <v>4</v>
      </c>
      <c r="G862" s="8">
        <f>_xlfn.IFNA(INDEX('OSA | 3GB'!J:L,MATCH(DATA!D862,'OSA | 3GB'!J:J,0),3),0)</f>
        <v>7087000</v>
      </c>
      <c r="H862" s="32" t="str">
        <f>_xlfn.IFNA(INDEX('OSA | 3GB'!A:C,MATCH(DATA!D862,'OSA | 3GB'!A:A,0),2),0)</f>
        <v xml:space="preserve"> -   </v>
      </c>
      <c r="I862" s="33">
        <f>_xlfn.IFNA(INDEX('OSA | 3GB'!A:C,MATCH(DATA!D862,'OSA | 3GB'!A:A,0),3),0)</f>
        <v>2000000</v>
      </c>
      <c r="J862" s="33">
        <f>INDEX('BIO WAHYU'!B:G,MATCH(DATA!D862,'BIO WAHYU'!B:B,0),5)</f>
        <v>3</v>
      </c>
      <c r="K862" s="34">
        <f>INDEX('BIO WAHYU'!B:G,MATCH(DATA!D862,'BIO WAHYU'!B:B,0),6)</f>
        <v>0</v>
      </c>
      <c r="L862" s="35">
        <f>INDEX('BIO WAHYU'!B:H,MATCH(DATA!D862,'BIO WAHYU'!B:B,0),7)</f>
        <v>0</v>
      </c>
      <c r="M862" s="34">
        <f>INDEX('BIO WAHYU'!B:H,MATCH(DATA!D862,'BIO WAHYU'!B:B,0),4)</f>
        <v>0</v>
      </c>
    </row>
    <row r="863" spans="1:13">
      <c r="A863" s="43" t="s">
        <v>1672</v>
      </c>
      <c r="B863" s="43" t="s">
        <v>155</v>
      </c>
      <c r="C863" s="43" t="s">
        <v>956</v>
      </c>
      <c r="D863" s="10">
        <v>61859</v>
      </c>
      <c r="E863" s="43" t="s">
        <v>10</v>
      </c>
      <c r="F863" s="8">
        <f>_xlfn.IFNA(INDEX('OSA | 3GB'!J:L,MATCH(DATA!D863,'OSA | 3GB'!J:J,0),2),0)</f>
        <v>4</v>
      </c>
      <c r="G863" s="8">
        <f>_xlfn.IFNA(INDEX('OSA | 3GB'!J:L,MATCH(DATA!D863,'OSA | 3GB'!J:J,0),3),0)</f>
        <v>100000</v>
      </c>
      <c r="H863" s="32" t="str">
        <f>_xlfn.IFNA(INDEX('OSA | 3GB'!A:C,MATCH(DATA!D863,'OSA | 3GB'!A:A,0),2),0)</f>
        <v xml:space="preserve"> -   </v>
      </c>
      <c r="I863" s="33">
        <f>_xlfn.IFNA(INDEX('OSA | 3GB'!A:C,MATCH(DATA!D863,'OSA | 3GB'!A:A,0),3),0)</f>
        <v>50000</v>
      </c>
      <c r="J863" s="33">
        <f>INDEX('BIO WAHYU'!B:G,MATCH(DATA!D863,'BIO WAHYU'!B:B,0),5)</f>
        <v>0</v>
      </c>
      <c r="K863" s="34">
        <f>INDEX('BIO WAHYU'!B:G,MATCH(DATA!D863,'BIO WAHYU'!B:B,0),6)</f>
        <v>0</v>
      </c>
      <c r="L863" s="35">
        <f>INDEX('BIO WAHYU'!B:H,MATCH(DATA!D863,'BIO WAHYU'!B:B,0),7)</f>
        <v>0</v>
      </c>
      <c r="M863" s="34">
        <f>INDEX('BIO WAHYU'!B:H,MATCH(DATA!D863,'BIO WAHYU'!B:B,0),4)</f>
        <v>0</v>
      </c>
    </row>
    <row r="864" spans="1:13">
      <c r="A864" s="43" t="s">
        <v>1670</v>
      </c>
      <c r="B864" s="43" t="s">
        <v>140</v>
      </c>
      <c r="C864" s="43" t="s">
        <v>1410</v>
      </c>
      <c r="D864" s="10">
        <v>546598</v>
      </c>
      <c r="E864" s="43" t="s">
        <v>10</v>
      </c>
      <c r="F864" s="8">
        <f>_xlfn.IFNA(INDEX('OSA | 3GB'!J:L,MATCH(DATA!D864,'OSA | 3GB'!J:J,0),2),0)</f>
        <v>10</v>
      </c>
      <c r="G864" s="8">
        <f>_xlfn.IFNA(INDEX('OSA | 3GB'!J:L,MATCH(DATA!D864,'OSA | 3GB'!J:J,0),3),0)</f>
        <v>450000</v>
      </c>
      <c r="H864" s="32" t="str">
        <f>_xlfn.IFNA(INDEX('OSA | 3GB'!A:C,MATCH(DATA!D864,'OSA | 3GB'!A:A,0),2),0)</f>
        <v xml:space="preserve"> -   </v>
      </c>
      <c r="I864" s="33">
        <f>_xlfn.IFNA(INDEX('OSA | 3GB'!A:C,MATCH(DATA!D864,'OSA | 3GB'!A:A,0),3),0)</f>
        <v>200000</v>
      </c>
      <c r="J864" s="33">
        <f>INDEX('BIO WAHYU'!B:G,MATCH(DATA!D864,'BIO WAHYU'!B:B,0),5)</f>
        <v>3</v>
      </c>
      <c r="K864" s="34">
        <f>INDEX('BIO WAHYU'!B:G,MATCH(DATA!D864,'BIO WAHYU'!B:B,0),6)</f>
        <v>0</v>
      </c>
      <c r="L864" s="35">
        <f>INDEX('BIO WAHYU'!B:H,MATCH(DATA!D864,'BIO WAHYU'!B:B,0),7)</f>
        <v>0</v>
      </c>
      <c r="M864" s="34">
        <f>INDEX('BIO WAHYU'!B:H,MATCH(DATA!D864,'BIO WAHYU'!B:B,0),4)</f>
        <v>0</v>
      </c>
    </row>
    <row r="865" spans="1:13">
      <c r="A865" s="43" t="s">
        <v>1</v>
      </c>
      <c r="B865" s="43" t="s">
        <v>3</v>
      </c>
      <c r="C865" s="43" t="s">
        <v>38</v>
      </c>
      <c r="D865" s="10">
        <v>62086</v>
      </c>
      <c r="E865" s="43" t="s">
        <v>10</v>
      </c>
      <c r="F865" s="8">
        <f>_xlfn.IFNA(INDEX('OSA | 3GB'!J:L,MATCH(DATA!D865,'OSA | 3GB'!J:J,0),2),0)</f>
        <v>3</v>
      </c>
      <c r="G865" s="8">
        <f>_xlfn.IFNA(INDEX('OSA | 3GB'!J:L,MATCH(DATA!D865,'OSA | 3GB'!J:J,0),3),0)</f>
        <v>100000</v>
      </c>
      <c r="H865" s="32" t="str">
        <f>_xlfn.IFNA(INDEX('OSA | 3GB'!A:C,MATCH(DATA!D865,'OSA | 3GB'!A:A,0),2),0)</f>
        <v xml:space="preserve"> -   </v>
      </c>
      <c r="I865" s="33" t="str">
        <f>_xlfn.IFNA(INDEX('OSA | 3GB'!A:C,MATCH(DATA!D865,'OSA | 3GB'!A:A,0),3),0)</f>
        <v xml:space="preserve"> -   </v>
      </c>
      <c r="J865" s="33">
        <f>INDEX('BIO WAHYU'!B:G,MATCH(DATA!D865,'BIO WAHYU'!B:B,0),5)</f>
        <v>2</v>
      </c>
      <c r="K865" s="34">
        <f>INDEX('BIO WAHYU'!B:G,MATCH(DATA!D865,'BIO WAHYU'!B:B,0),6)</f>
        <v>0</v>
      </c>
      <c r="L865" s="35">
        <f>INDEX('BIO WAHYU'!B:H,MATCH(DATA!D865,'BIO WAHYU'!B:B,0),7)</f>
        <v>0</v>
      </c>
      <c r="M865" s="34">
        <f>INDEX('BIO WAHYU'!B:H,MATCH(DATA!D865,'BIO WAHYU'!B:B,0),4)</f>
        <v>0</v>
      </c>
    </row>
    <row r="866" spans="1:13">
      <c r="A866" s="43" t="s">
        <v>1670</v>
      </c>
      <c r="B866" s="43" t="s">
        <v>146</v>
      </c>
      <c r="C866" s="43" t="s">
        <v>544</v>
      </c>
      <c r="D866" s="10">
        <v>500500</v>
      </c>
      <c r="E866" s="43" t="s">
        <v>10</v>
      </c>
      <c r="F866" s="8">
        <f>_xlfn.IFNA(INDEX('OSA | 3GB'!J:L,MATCH(DATA!D866,'OSA | 3GB'!J:J,0),2),0)</f>
        <v>6</v>
      </c>
      <c r="G866" s="8">
        <f>_xlfn.IFNA(INDEX('OSA | 3GB'!J:L,MATCH(DATA!D866,'OSA | 3GB'!J:J,0),3),0)</f>
        <v>1116000</v>
      </c>
      <c r="H866" s="32">
        <f>_xlfn.IFNA(INDEX('OSA | 3GB'!A:C,MATCH(DATA!D866,'OSA | 3GB'!A:A,0),2),0)</f>
        <v>3</v>
      </c>
      <c r="I866" s="33">
        <f>_xlfn.IFNA(INDEX('OSA | 3GB'!A:C,MATCH(DATA!D866,'OSA | 3GB'!A:A,0),3),0)</f>
        <v>2000000</v>
      </c>
      <c r="J866" s="33">
        <f>INDEX('BIO WAHYU'!B:G,MATCH(DATA!D866,'BIO WAHYU'!B:B,0),5)</f>
        <v>5</v>
      </c>
      <c r="K866" s="34">
        <f>INDEX('BIO WAHYU'!B:G,MATCH(DATA!D866,'BIO WAHYU'!B:B,0),6)</f>
        <v>0</v>
      </c>
      <c r="L866" s="35">
        <f>INDEX('BIO WAHYU'!B:H,MATCH(DATA!D866,'BIO WAHYU'!B:B,0),7)</f>
        <v>0</v>
      </c>
      <c r="M866" s="34">
        <f>INDEX('BIO WAHYU'!B:H,MATCH(DATA!D866,'BIO WAHYU'!B:B,0),4)</f>
        <v>0</v>
      </c>
    </row>
    <row r="867" spans="1:13">
      <c r="A867" s="43" t="s">
        <v>1673</v>
      </c>
      <c r="B867" s="43" t="s">
        <v>1140</v>
      </c>
      <c r="C867" s="43" t="s">
        <v>1411</v>
      </c>
      <c r="D867" s="10">
        <v>523362</v>
      </c>
      <c r="E867" s="43" t="s">
        <v>10</v>
      </c>
      <c r="F867" s="8">
        <f>_xlfn.IFNA(INDEX('OSA | 3GB'!J:L,MATCH(DATA!D867,'OSA | 3GB'!J:J,0),2),0)</f>
        <v>6</v>
      </c>
      <c r="G867" s="8">
        <f>_xlfn.IFNA(INDEX('OSA | 3GB'!J:L,MATCH(DATA!D867,'OSA | 3GB'!J:J,0),3),0)</f>
        <v>6050000</v>
      </c>
      <c r="H867" s="32" t="str">
        <f>_xlfn.IFNA(INDEX('OSA | 3GB'!A:C,MATCH(DATA!D867,'OSA | 3GB'!A:A,0),2),0)</f>
        <v xml:space="preserve"> -   </v>
      </c>
      <c r="I867" s="33">
        <f>_xlfn.IFNA(INDEX('OSA | 3GB'!A:C,MATCH(DATA!D867,'OSA | 3GB'!A:A,0),3),0)</f>
        <v>1500000</v>
      </c>
      <c r="J867" s="33">
        <f>INDEX('BIO WAHYU'!B:G,MATCH(DATA!D867,'BIO WAHYU'!B:B,0),5)</f>
        <v>2</v>
      </c>
      <c r="K867" s="34">
        <f>INDEX('BIO WAHYU'!B:G,MATCH(DATA!D867,'BIO WAHYU'!B:B,0),6)</f>
        <v>4</v>
      </c>
      <c r="L867" s="35">
        <f>INDEX('BIO WAHYU'!B:H,MATCH(DATA!D867,'BIO WAHYU'!B:B,0),7)</f>
        <v>2</v>
      </c>
      <c r="M867" s="34">
        <f>INDEX('BIO WAHYU'!B:H,MATCH(DATA!D867,'BIO WAHYU'!B:B,0),4)</f>
        <v>0</v>
      </c>
    </row>
    <row r="868" spans="1:13">
      <c r="A868" s="43" t="s">
        <v>1672</v>
      </c>
      <c r="B868" s="43">
        <v>2613051475</v>
      </c>
      <c r="C868" s="43" t="s">
        <v>920</v>
      </c>
      <c r="D868" s="10">
        <v>61897</v>
      </c>
      <c r="E868" s="43" t="s">
        <v>10</v>
      </c>
      <c r="F868" s="8">
        <f>_xlfn.IFNA(INDEX('OSA | 3GB'!J:L,MATCH(DATA!D868,'OSA | 3GB'!J:J,0),2),0)</f>
        <v>0</v>
      </c>
      <c r="G868" s="8">
        <f>_xlfn.IFNA(INDEX('OSA | 3GB'!J:L,MATCH(DATA!D868,'OSA | 3GB'!J:J,0),3),0)</f>
        <v>2000000</v>
      </c>
      <c r="H868" s="32" t="str">
        <f>_xlfn.IFNA(INDEX('OSA | 3GB'!A:C,MATCH(DATA!D868,'OSA | 3GB'!A:A,0),2),0)</f>
        <v xml:space="preserve"> -   </v>
      </c>
      <c r="I868" s="33">
        <f>_xlfn.IFNA(INDEX('OSA | 3GB'!A:C,MATCH(DATA!D868,'OSA | 3GB'!A:A,0),3),0)</f>
        <v>1500000</v>
      </c>
      <c r="J868" s="33">
        <f>INDEX('BIO WAHYU'!B:G,MATCH(DATA!D868,'BIO WAHYU'!B:B,0),5)</f>
        <v>0</v>
      </c>
      <c r="K868" s="34">
        <f>INDEX('BIO WAHYU'!B:G,MATCH(DATA!D868,'BIO WAHYU'!B:B,0),6)</f>
        <v>0</v>
      </c>
      <c r="L868" s="35">
        <f>INDEX('BIO WAHYU'!B:H,MATCH(DATA!D868,'BIO WAHYU'!B:B,0),7)</f>
        <v>0</v>
      </c>
      <c r="M868" s="34">
        <f>INDEX('BIO WAHYU'!B:H,MATCH(DATA!D868,'BIO WAHYU'!B:B,0),4)</f>
        <v>0</v>
      </c>
    </row>
    <row r="869" spans="1:13">
      <c r="A869" s="43" t="s">
        <v>1670</v>
      </c>
      <c r="B869" s="43" t="s">
        <v>140</v>
      </c>
      <c r="C869" s="43" t="s">
        <v>1412</v>
      </c>
      <c r="D869" s="10">
        <v>199121</v>
      </c>
      <c r="E869" s="43" t="s">
        <v>10</v>
      </c>
      <c r="F869" s="8">
        <f>_xlfn.IFNA(INDEX('OSA | 3GB'!J:L,MATCH(DATA!D869,'OSA | 3GB'!J:J,0),2),0)</f>
        <v>2</v>
      </c>
      <c r="G869" s="8">
        <f>_xlfn.IFNA(INDEX('OSA | 3GB'!J:L,MATCH(DATA!D869,'OSA | 3GB'!J:J,0),3),0)</f>
        <v>650000</v>
      </c>
      <c r="H869" s="32" t="str">
        <f>_xlfn.IFNA(INDEX('OSA | 3GB'!A:C,MATCH(DATA!D869,'OSA | 3GB'!A:A,0),2),0)</f>
        <v xml:space="preserve"> -   </v>
      </c>
      <c r="I869" s="33">
        <f>_xlfn.IFNA(INDEX('OSA | 3GB'!A:C,MATCH(DATA!D869,'OSA | 3GB'!A:A,0),3),0)</f>
        <v>300000</v>
      </c>
      <c r="J869" s="33">
        <f>INDEX('BIO WAHYU'!B:G,MATCH(DATA!D869,'BIO WAHYU'!B:B,0),5)</f>
        <v>3</v>
      </c>
      <c r="K869" s="34">
        <f>INDEX('BIO WAHYU'!B:G,MATCH(DATA!D869,'BIO WAHYU'!B:B,0),6)</f>
        <v>1</v>
      </c>
      <c r="L869" s="35">
        <f>INDEX('BIO WAHYU'!B:H,MATCH(DATA!D869,'BIO WAHYU'!B:B,0),7)</f>
        <v>0</v>
      </c>
      <c r="M869" s="34">
        <f>INDEX('BIO WAHYU'!B:H,MATCH(DATA!D869,'BIO WAHYU'!B:B,0),4)</f>
        <v>0</v>
      </c>
    </row>
    <row r="870" spans="1:13">
      <c r="A870" s="43" t="s">
        <v>1673</v>
      </c>
      <c r="B870" s="43" t="s">
        <v>144</v>
      </c>
      <c r="C870" s="43" t="s">
        <v>228</v>
      </c>
      <c r="D870" s="10">
        <v>399230</v>
      </c>
      <c r="E870" s="43" t="s">
        <v>10</v>
      </c>
      <c r="F870" s="8">
        <f>_xlfn.IFNA(INDEX('OSA | 3GB'!J:L,MATCH(DATA!D870,'OSA | 3GB'!J:J,0),2),0)</f>
        <v>0</v>
      </c>
      <c r="G870" s="8">
        <f>_xlfn.IFNA(INDEX('OSA | 3GB'!J:L,MATCH(DATA!D870,'OSA | 3GB'!J:J,0),3),0)</f>
        <v>0</v>
      </c>
      <c r="H870" s="32" t="str">
        <f>_xlfn.IFNA(INDEX('OSA | 3GB'!A:C,MATCH(DATA!D870,'OSA | 3GB'!A:A,0),2),0)</f>
        <v xml:space="preserve"> -   </v>
      </c>
      <c r="I870" s="33" t="str">
        <f>_xlfn.IFNA(INDEX('OSA | 3GB'!A:C,MATCH(DATA!D870,'OSA | 3GB'!A:A,0),3),0)</f>
        <v xml:space="preserve"> -   </v>
      </c>
      <c r="J870" s="33">
        <f>INDEX('BIO WAHYU'!B:G,MATCH(DATA!D870,'BIO WAHYU'!B:B,0),5)</f>
        <v>0</v>
      </c>
      <c r="K870" s="34">
        <f>INDEX('BIO WAHYU'!B:G,MATCH(DATA!D870,'BIO WAHYU'!B:B,0),6)</f>
        <v>0</v>
      </c>
      <c r="L870" s="35">
        <f>INDEX('BIO WAHYU'!B:H,MATCH(DATA!D870,'BIO WAHYU'!B:B,0),7)</f>
        <v>0</v>
      </c>
      <c r="M870" s="34">
        <f>INDEX('BIO WAHYU'!B:H,MATCH(DATA!D870,'BIO WAHYU'!B:B,0),4)</f>
        <v>0</v>
      </c>
    </row>
    <row r="871" spans="1:13">
      <c r="A871" s="43" t="s">
        <v>1673</v>
      </c>
      <c r="B871" s="43" t="s">
        <v>1140</v>
      </c>
      <c r="C871" s="43" t="s">
        <v>1413</v>
      </c>
      <c r="D871" s="10">
        <v>532249</v>
      </c>
      <c r="E871" s="43" t="s">
        <v>15</v>
      </c>
      <c r="F871" s="8">
        <f>_xlfn.IFNA(INDEX('OSA | 3GB'!J:L,MATCH(DATA!D871,'OSA | 3GB'!J:J,0),2),0)</f>
        <v>6</v>
      </c>
      <c r="G871" s="8">
        <f>_xlfn.IFNA(INDEX('OSA | 3GB'!J:L,MATCH(DATA!D871,'OSA | 3GB'!J:J,0),3),0)</f>
        <v>1129000</v>
      </c>
      <c r="H871" s="32" t="str">
        <f>_xlfn.IFNA(INDEX('OSA | 3GB'!A:C,MATCH(DATA!D871,'OSA | 3GB'!A:A,0),2),0)</f>
        <v xml:space="preserve"> -   </v>
      </c>
      <c r="I871" s="33">
        <f>_xlfn.IFNA(INDEX('OSA | 3GB'!A:C,MATCH(DATA!D871,'OSA | 3GB'!A:A,0),3),0)</f>
        <v>300000</v>
      </c>
      <c r="J871" s="33">
        <f>INDEX('BIO WAHYU'!B:G,MATCH(DATA!D871,'BIO WAHYU'!B:B,0),5)</f>
        <v>2</v>
      </c>
      <c r="K871" s="34">
        <f>INDEX('BIO WAHYU'!B:G,MATCH(DATA!D871,'BIO WAHYU'!B:B,0),6)</f>
        <v>3</v>
      </c>
      <c r="L871" s="35">
        <f>INDEX('BIO WAHYU'!B:H,MATCH(DATA!D871,'BIO WAHYU'!B:B,0),7)</f>
        <v>1</v>
      </c>
      <c r="M871" s="34">
        <f>INDEX('BIO WAHYU'!B:H,MATCH(DATA!D871,'BIO WAHYU'!B:B,0),4)</f>
        <v>0</v>
      </c>
    </row>
    <row r="872" spans="1:13">
      <c r="A872" s="43" t="s">
        <v>1675</v>
      </c>
      <c r="B872" s="43" t="s">
        <v>136</v>
      </c>
      <c r="C872" s="43" t="s">
        <v>395</v>
      </c>
      <c r="D872" s="10">
        <v>12305472</v>
      </c>
      <c r="E872" s="43" t="s">
        <v>10</v>
      </c>
      <c r="F872" s="8">
        <f>_xlfn.IFNA(INDEX('OSA | 3GB'!J:L,MATCH(DATA!D872,'OSA | 3GB'!J:J,0),2),0)</f>
        <v>5</v>
      </c>
      <c r="G872" s="8">
        <f>_xlfn.IFNA(INDEX('OSA | 3GB'!J:L,MATCH(DATA!D872,'OSA | 3GB'!J:J,0),3),0)</f>
        <v>0</v>
      </c>
      <c r="H872" s="32" t="str">
        <f>_xlfn.IFNA(INDEX('OSA | 3GB'!A:C,MATCH(DATA!D872,'OSA | 3GB'!A:A,0),2),0)</f>
        <v xml:space="preserve"> -   </v>
      </c>
      <c r="I872" s="33" t="str">
        <f>_xlfn.IFNA(INDEX('OSA | 3GB'!A:C,MATCH(DATA!D872,'OSA | 3GB'!A:A,0),3),0)</f>
        <v xml:space="preserve"> -   </v>
      </c>
      <c r="J872" s="33">
        <f>INDEX('BIO WAHYU'!B:G,MATCH(DATA!D872,'BIO WAHYU'!B:B,0),5)</f>
        <v>2</v>
      </c>
      <c r="K872" s="34">
        <f>INDEX('BIO WAHYU'!B:G,MATCH(DATA!D872,'BIO WAHYU'!B:B,0),6)</f>
        <v>0</v>
      </c>
      <c r="L872" s="35">
        <f>INDEX('BIO WAHYU'!B:H,MATCH(DATA!D872,'BIO WAHYU'!B:B,0),7)</f>
        <v>0</v>
      </c>
      <c r="M872" s="34">
        <f>INDEX('BIO WAHYU'!B:H,MATCH(DATA!D872,'BIO WAHYU'!B:B,0),4)</f>
        <v>0</v>
      </c>
    </row>
    <row r="873" spans="1:13">
      <c r="A873" s="43" t="s">
        <v>1</v>
      </c>
      <c r="B873" s="43" t="s">
        <v>3</v>
      </c>
      <c r="C873" s="43" t="s">
        <v>1102</v>
      </c>
      <c r="D873" s="10">
        <v>408290</v>
      </c>
      <c r="E873" s="43" t="s">
        <v>10</v>
      </c>
      <c r="F873" s="8">
        <f>_xlfn.IFNA(INDEX('OSA | 3GB'!J:L,MATCH(DATA!D873,'OSA | 3GB'!J:J,0),2),0)</f>
        <v>3</v>
      </c>
      <c r="G873" s="8">
        <f>_xlfn.IFNA(INDEX('OSA | 3GB'!J:L,MATCH(DATA!D873,'OSA | 3GB'!J:J,0),3),0)</f>
        <v>8500000</v>
      </c>
      <c r="H873" s="32">
        <f>_xlfn.IFNA(INDEX('OSA | 3GB'!A:C,MATCH(DATA!D873,'OSA | 3GB'!A:A,0),2),0)</f>
        <v>3</v>
      </c>
      <c r="I873" s="33">
        <f>_xlfn.IFNA(INDEX('OSA | 3GB'!A:C,MATCH(DATA!D873,'OSA | 3GB'!A:A,0),3),0)</f>
        <v>3500000</v>
      </c>
      <c r="J873" s="33">
        <f>INDEX('BIO WAHYU'!B:G,MATCH(DATA!D873,'BIO WAHYU'!B:B,0),5)</f>
        <v>4</v>
      </c>
      <c r="K873" s="34">
        <f>INDEX('BIO WAHYU'!B:G,MATCH(DATA!D873,'BIO WAHYU'!B:B,0),6)</f>
        <v>3</v>
      </c>
      <c r="L873" s="35">
        <f>INDEX('BIO WAHYU'!B:H,MATCH(DATA!D873,'BIO WAHYU'!B:B,0),7)</f>
        <v>0</v>
      </c>
      <c r="M873" s="34">
        <f>INDEX('BIO WAHYU'!B:H,MATCH(DATA!D873,'BIO WAHYU'!B:B,0),4)</f>
        <v>0</v>
      </c>
    </row>
    <row r="874" spans="1:13">
      <c r="A874" s="43" t="s">
        <v>1671</v>
      </c>
      <c r="B874" s="43">
        <v>2613050885</v>
      </c>
      <c r="C874" s="43" t="s">
        <v>1414</v>
      </c>
      <c r="D874" s="10">
        <v>403576</v>
      </c>
      <c r="E874" s="43" t="s">
        <v>15</v>
      </c>
      <c r="F874" s="8">
        <f>_xlfn.IFNA(INDEX('OSA | 3GB'!J:L,MATCH(DATA!D874,'OSA | 3GB'!J:J,0),2),0)</f>
        <v>6</v>
      </c>
      <c r="G874" s="8">
        <f>_xlfn.IFNA(INDEX('OSA | 3GB'!J:L,MATCH(DATA!D874,'OSA | 3GB'!J:J,0),3),0)</f>
        <v>3914000</v>
      </c>
      <c r="H874" s="32">
        <f>_xlfn.IFNA(INDEX('OSA | 3GB'!A:C,MATCH(DATA!D874,'OSA | 3GB'!A:A,0),2),0)</f>
        <v>3</v>
      </c>
      <c r="I874" s="33" t="str">
        <f>_xlfn.IFNA(INDEX('OSA | 3GB'!A:C,MATCH(DATA!D874,'OSA | 3GB'!A:A,0),3),0)</f>
        <v xml:space="preserve"> -   </v>
      </c>
      <c r="J874" s="33">
        <f>INDEX('BIO WAHYU'!B:G,MATCH(DATA!D874,'BIO WAHYU'!B:B,0),5)</f>
        <v>5</v>
      </c>
      <c r="K874" s="34">
        <f>INDEX('BIO WAHYU'!B:G,MATCH(DATA!D874,'BIO WAHYU'!B:B,0),6)</f>
        <v>3</v>
      </c>
      <c r="L874" s="35">
        <f>INDEX('BIO WAHYU'!B:H,MATCH(DATA!D874,'BIO WAHYU'!B:B,0),7)</f>
        <v>0</v>
      </c>
      <c r="M874" s="34">
        <f>INDEX('BIO WAHYU'!B:H,MATCH(DATA!D874,'BIO WAHYU'!B:B,0),4)</f>
        <v>0</v>
      </c>
    </row>
    <row r="875" spans="1:13">
      <c r="A875" s="43" t="s">
        <v>1671</v>
      </c>
      <c r="B875" s="43">
        <v>2613050885</v>
      </c>
      <c r="C875" s="43" t="s">
        <v>303</v>
      </c>
      <c r="D875" s="10">
        <v>527422</v>
      </c>
      <c r="E875" s="43" t="s">
        <v>15</v>
      </c>
      <c r="F875" s="8">
        <f>_xlfn.IFNA(INDEX('OSA | 3GB'!J:L,MATCH(DATA!D875,'OSA | 3GB'!J:J,0),2),0)</f>
        <v>0</v>
      </c>
      <c r="G875" s="8">
        <f>_xlfn.IFNA(INDEX('OSA | 3GB'!J:L,MATCH(DATA!D875,'OSA | 3GB'!J:J,0),3),0)</f>
        <v>0</v>
      </c>
      <c r="H875" s="32" t="str">
        <f>_xlfn.IFNA(INDEX('OSA | 3GB'!A:C,MATCH(DATA!D875,'OSA | 3GB'!A:A,0),2),0)</f>
        <v xml:space="preserve"> -   </v>
      </c>
      <c r="I875" s="33" t="str">
        <f>_xlfn.IFNA(INDEX('OSA | 3GB'!A:C,MATCH(DATA!D875,'OSA | 3GB'!A:A,0),3),0)</f>
        <v xml:space="preserve"> -   </v>
      </c>
      <c r="J875" s="33">
        <f>INDEX('BIO WAHYU'!B:G,MATCH(DATA!D875,'BIO WAHYU'!B:B,0),5)</f>
        <v>0</v>
      </c>
      <c r="K875" s="34">
        <f>INDEX('BIO WAHYU'!B:G,MATCH(DATA!D875,'BIO WAHYU'!B:B,0),6)</f>
        <v>0</v>
      </c>
      <c r="L875" s="35">
        <f>INDEX('BIO WAHYU'!B:H,MATCH(DATA!D875,'BIO WAHYU'!B:B,0),7)</f>
        <v>0</v>
      </c>
      <c r="M875" s="34">
        <f>INDEX('BIO WAHYU'!B:H,MATCH(DATA!D875,'BIO WAHYU'!B:B,0),4)</f>
        <v>0</v>
      </c>
    </row>
    <row r="876" spans="1:13">
      <c r="A876" s="43" t="s">
        <v>1675</v>
      </c>
      <c r="B876" s="43" t="s">
        <v>136</v>
      </c>
      <c r="C876" s="43" t="s">
        <v>397</v>
      </c>
      <c r="D876" s="10">
        <v>12329399</v>
      </c>
      <c r="E876" s="43" t="s">
        <v>10</v>
      </c>
      <c r="F876" s="8">
        <f>_xlfn.IFNA(INDEX('OSA | 3GB'!J:L,MATCH(DATA!D876,'OSA | 3GB'!J:J,0),2),0)</f>
        <v>3</v>
      </c>
      <c r="G876" s="8">
        <f>_xlfn.IFNA(INDEX('OSA | 3GB'!J:L,MATCH(DATA!D876,'OSA | 3GB'!J:J,0),3),0)</f>
        <v>0</v>
      </c>
      <c r="H876" s="32" t="str">
        <f>_xlfn.IFNA(INDEX('OSA | 3GB'!A:C,MATCH(DATA!D876,'OSA | 3GB'!A:A,0),2),0)</f>
        <v xml:space="preserve"> -   </v>
      </c>
      <c r="I876" s="33" t="str">
        <f>_xlfn.IFNA(INDEX('OSA | 3GB'!A:C,MATCH(DATA!D876,'OSA | 3GB'!A:A,0),3),0)</f>
        <v xml:space="preserve"> -   </v>
      </c>
      <c r="J876" s="33">
        <f>INDEX('BIO WAHYU'!B:G,MATCH(DATA!D876,'BIO WAHYU'!B:B,0),5)</f>
        <v>3</v>
      </c>
      <c r="K876" s="34">
        <f>INDEX('BIO WAHYU'!B:G,MATCH(DATA!D876,'BIO WAHYU'!B:B,0),6)</f>
        <v>0</v>
      </c>
      <c r="L876" s="35">
        <f>INDEX('BIO WAHYU'!B:H,MATCH(DATA!D876,'BIO WAHYU'!B:B,0),7)</f>
        <v>0</v>
      </c>
      <c r="M876" s="34">
        <f>INDEX('BIO WAHYU'!B:H,MATCH(DATA!D876,'BIO WAHYU'!B:B,0),4)</f>
        <v>0</v>
      </c>
    </row>
    <row r="877" spans="1:13">
      <c r="A877" s="43" t="s">
        <v>1672</v>
      </c>
      <c r="B877" s="43" t="s">
        <v>156</v>
      </c>
      <c r="C877" s="43" t="s">
        <v>1415</v>
      </c>
      <c r="D877" s="10">
        <v>540125</v>
      </c>
      <c r="E877" s="43" t="s">
        <v>10</v>
      </c>
      <c r="F877" s="8">
        <f>_xlfn.IFNA(INDEX('OSA | 3GB'!J:L,MATCH(DATA!D877,'OSA | 3GB'!J:J,0),2),0)</f>
        <v>1</v>
      </c>
      <c r="G877" s="8">
        <f>_xlfn.IFNA(INDEX('OSA | 3GB'!J:L,MATCH(DATA!D877,'OSA | 3GB'!J:J,0),3),0)</f>
        <v>1150000</v>
      </c>
      <c r="H877" s="32">
        <f>_xlfn.IFNA(INDEX('OSA | 3GB'!A:C,MATCH(DATA!D877,'OSA | 3GB'!A:A,0),2),0)</f>
        <v>1</v>
      </c>
      <c r="I877" s="33">
        <f>_xlfn.IFNA(INDEX('OSA | 3GB'!A:C,MATCH(DATA!D877,'OSA | 3GB'!A:A,0),3),0)</f>
        <v>800000</v>
      </c>
      <c r="J877" s="33">
        <f>INDEX('BIO WAHYU'!B:G,MATCH(DATA!D877,'BIO WAHYU'!B:B,0),5)</f>
        <v>1</v>
      </c>
      <c r="K877" s="34">
        <f>INDEX('BIO WAHYU'!B:G,MATCH(DATA!D877,'BIO WAHYU'!B:B,0),6)</f>
        <v>3</v>
      </c>
      <c r="L877" s="35">
        <f>INDEX('BIO WAHYU'!B:H,MATCH(DATA!D877,'BIO WAHYU'!B:B,0),7)</f>
        <v>2</v>
      </c>
      <c r="M877" s="34">
        <f>INDEX('BIO WAHYU'!B:H,MATCH(DATA!D877,'BIO WAHYU'!B:B,0),4)</f>
        <v>0</v>
      </c>
    </row>
    <row r="878" spans="1:13">
      <c r="A878" s="43" t="s">
        <v>1675</v>
      </c>
      <c r="B878" s="43" t="s">
        <v>136</v>
      </c>
      <c r="C878" s="43" t="s">
        <v>1416</v>
      </c>
      <c r="D878" s="10">
        <v>211532</v>
      </c>
      <c r="E878" s="43" t="s">
        <v>10</v>
      </c>
      <c r="F878" s="8">
        <f>_xlfn.IFNA(INDEX('OSA | 3GB'!J:L,MATCH(DATA!D878,'OSA | 3GB'!J:J,0),2),0)</f>
        <v>5</v>
      </c>
      <c r="G878" s="8">
        <f>_xlfn.IFNA(INDEX('OSA | 3GB'!J:L,MATCH(DATA!D878,'OSA | 3GB'!J:J,0),3),0)</f>
        <v>3550000</v>
      </c>
      <c r="H878" s="32" t="str">
        <f>_xlfn.IFNA(INDEX('OSA | 3GB'!A:C,MATCH(DATA!D878,'OSA | 3GB'!A:A,0),2),0)</f>
        <v xml:space="preserve"> -   </v>
      </c>
      <c r="I878" s="33">
        <f>_xlfn.IFNA(INDEX('OSA | 3GB'!A:C,MATCH(DATA!D878,'OSA | 3GB'!A:A,0),3),0)</f>
        <v>1650000</v>
      </c>
      <c r="J878" s="33">
        <f>INDEX('BIO WAHYU'!B:G,MATCH(DATA!D878,'BIO WAHYU'!B:B,0),5)</f>
        <v>2</v>
      </c>
      <c r="K878" s="34">
        <f>INDEX('BIO WAHYU'!B:G,MATCH(DATA!D878,'BIO WAHYU'!B:B,0),6)</f>
        <v>1</v>
      </c>
      <c r="L878" s="35">
        <f>INDEX('BIO WAHYU'!B:H,MATCH(DATA!D878,'BIO WAHYU'!B:B,0),7)</f>
        <v>0</v>
      </c>
      <c r="M878" s="34">
        <f>INDEX('BIO WAHYU'!B:H,MATCH(DATA!D878,'BIO WAHYU'!B:B,0),4)</f>
        <v>0</v>
      </c>
    </row>
    <row r="879" spans="1:13">
      <c r="A879" s="43" t="s">
        <v>1674</v>
      </c>
      <c r="B879" s="43" t="s">
        <v>152</v>
      </c>
      <c r="C879" s="43" t="s">
        <v>652</v>
      </c>
      <c r="D879" s="10">
        <v>12320664</v>
      </c>
      <c r="E879" s="43" t="s">
        <v>15</v>
      </c>
      <c r="F879" s="8">
        <f>_xlfn.IFNA(INDEX('OSA | 3GB'!J:L,MATCH(DATA!D879,'OSA | 3GB'!J:J,0),2),0)</f>
        <v>2</v>
      </c>
      <c r="G879" s="8">
        <f>_xlfn.IFNA(INDEX('OSA | 3GB'!J:L,MATCH(DATA!D879,'OSA | 3GB'!J:J,0),3),0)</f>
        <v>0</v>
      </c>
      <c r="H879" s="32" t="str">
        <f>_xlfn.IFNA(INDEX('OSA | 3GB'!A:C,MATCH(DATA!D879,'OSA | 3GB'!A:A,0),2),0)</f>
        <v xml:space="preserve"> -   </v>
      </c>
      <c r="I879" s="33" t="str">
        <f>_xlfn.IFNA(INDEX('OSA | 3GB'!A:C,MATCH(DATA!D879,'OSA | 3GB'!A:A,0),3),0)</f>
        <v xml:space="preserve"> -   </v>
      </c>
      <c r="J879" s="33">
        <f>INDEX('BIO WAHYU'!B:G,MATCH(DATA!D879,'BIO WAHYU'!B:B,0),5)</f>
        <v>1</v>
      </c>
      <c r="K879" s="34">
        <f>INDEX('BIO WAHYU'!B:G,MATCH(DATA!D879,'BIO WAHYU'!B:B,0),6)</f>
        <v>0</v>
      </c>
      <c r="L879" s="35">
        <f>INDEX('BIO WAHYU'!B:H,MATCH(DATA!D879,'BIO WAHYU'!B:B,0),7)</f>
        <v>0</v>
      </c>
      <c r="M879" s="34">
        <f>INDEX('BIO WAHYU'!B:H,MATCH(DATA!D879,'BIO WAHYU'!B:B,0),4)</f>
        <v>0</v>
      </c>
    </row>
    <row r="880" spans="1:13">
      <c r="A880" s="43" t="s">
        <v>1672</v>
      </c>
      <c r="B880" s="43">
        <v>2613051475</v>
      </c>
      <c r="C880" s="43" t="s">
        <v>917</v>
      </c>
      <c r="D880" s="10">
        <v>557861</v>
      </c>
      <c r="E880" s="43" t="s">
        <v>10</v>
      </c>
      <c r="F880" s="8">
        <f>_xlfn.IFNA(INDEX('OSA | 3GB'!J:L,MATCH(DATA!D880,'OSA | 3GB'!J:J,0),2),0)</f>
        <v>0</v>
      </c>
      <c r="G880" s="8">
        <f>_xlfn.IFNA(INDEX('OSA | 3GB'!J:L,MATCH(DATA!D880,'OSA | 3GB'!J:J,0),3),0)</f>
        <v>2500000</v>
      </c>
      <c r="H880" s="32" t="str">
        <f>_xlfn.IFNA(INDEX('OSA | 3GB'!A:C,MATCH(DATA!D880,'OSA | 3GB'!A:A,0),2),0)</f>
        <v xml:space="preserve"> -   </v>
      </c>
      <c r="I880" s="33" t="str">
        <f>_xlfn.IFNA(INDEX('OSA | 3GB'!A:C,MATCH(DATA!D880,'OSA | 3GB'!A:A,0),3),0)</f>
        <v xml:space="preserve"> -   </v>
      </c>
      <c r="J880" s="33">
        <f>INDEX('BIO WAHYU'!B:G,MATCH(DATA!D880,'BIO WAHYU'!B:B,0),5)</f>
        <v>3</v>
      </c>
      <c r="K880" s="34">
        <f>INDEX('BIO WAHYU'!B:G,MATCH(DATA!D880,'BIO WAHYU'!B:B,0),6)</f>
        <v>0</v>
      </c>
      <c r="L880" s="35">
        <f>INDEX('BIO WAHYU'!B:H,MATCH(DATA!D880,'BIO WAHYU'!B:B,0),7)</f>
        <v>0</v>
      </c>
      <c r="M880" s="34">
        <f>INDEX('BIO WAHYU'!B:H,MATCH(DATA!D880,'BIO WAHYU'!B:B,0),4)</f>
        <v>0</v>
      </c>
    </row>
    <row r="881" spans="1:13">
      <c r="A881" s="43" t="s">
        <v>1675</v>
      </c>
      <c r="B881" s="43">
        <v>2613051451</v>
      </c>
      <c r="C881" s="43" t="s">
        <v>1417</v>
      </c>
      <c r="D881" s="10">
        <v>397362</v>
      </c>
      <c r="E881" s="43" t="s">
        <v>10</v>
      </c>
      <c r="F881" s="8">
        <f>_xlfn.IFNA(INDEX('OSA | 3GB'!J:L,MATCH(DATA!D881,'OSA | 3GB'!J:J,0),2),0)</f>
        <v>0</v>
      </c>
      <c r="G881" s="8">
        <f>_xlfn.IFNA(INDEX('OSA | 3GB'!J:L,MATCH(DATA!D881,'OSA | 3GB'!J:J,0),3),0)</f>
        <v>0</v>
      </c>
      <c r="H881" s="32" t="str">
        <f>_xlfn.IFNA(INDEX('OSA | 3GB'!A:C,MATCH(DATA!D881,'OSA | 3GB'!A:A,0),2),0)</f>
        <v xml:space="preserve"> -   </v>
      </c>
      <c r="I881" s="33" t="str">
        <f>_xlfn.IFNA(INDEX('OSA | 3GB'!A:C,MATCH(DATA!D881,'OSA | 3GB'!A:A,0),3),0)</f>
        <v xml:space="preserve"> -   </v>
      </c>
      <c r="J881" s="33">
        <f>INDEX('BIO WAHYU'!B:G,MATCH(DATA!D881,'BIO WAHYU'!B:B,0),5)</f>
        <v>0</v>
      </c>
      <c r="K881" s="34">
        <f>INDEX('BIO WAHYU'!B:G,MATCH(DATA!D881,'BIO WAHYU'!B:B,0),6)</f>
        <v>0</v>
      </c>
      <c r="L881" s="35">
        <f>INDEX('BIO WAHYU'!B:H,MATCH(DATA!D881,'BIO WAHYU'!B:B,0),7)</f>
        <v>0</v>
      </c>
      <c r="M881" s="34">
        <f>INDEX('BIO WAHYU'!B:H,MATCH(DATA!D881,'BIO WAHYU'!B:B,0),4)</f>
        <v>0</v>
      </c>
    </row>
    <row r="882" spans="1:13">
      <c r="A882" s="43" t="s">
        <v>1670</v>
      </c>
      <c r="B882" s="43" t="s">
        <v>145</v>
      </c>
      <c r="C882" s="43" t="s">
        <v>520</v>
      </c>
      <c r="D882" s="10">
        <v>61818</v>
      </c>
      <c r="E882" s="43" t="s">
        <v>10</v>
      </c>
      <c r="F882" s="8">
        <f>_xlfn.IFNA(INDEX('OSA | 3GB'!J:L,MATCH(DATA!D882,'OSA | 3GB'!J:J,0),2),0)</f>
        <v>5</v>
      </c>
      <c r="G882" s="8">
        <f>_xlfn.IFNA(INDEX('OSA | 3GB'!J:L,MATCH(DATA!D882,'OSA | 3GB'!J:J,0),3),0)</f>
        <v>700000</v>
      </c>
      <c r="H882" s="32">
        <f>_xlfn.IFNA(INDEX('OSA | 3GB'!A:C,MATCH(DATA!D882,'OSA | 3GB'!A:A,0),2),0)</f>
        <v>3</v>
      </c>
      <c r="I882" s="33" t="str">
        <f>_xlfn.IFNA(INDEX('OSA | 3GB'!A:C,MATCH(DATA!D882,'OSA | 3GB'!A:A,0),3),0)</f>
        <v xml:space="preserve"> -   </v>
      </c>
      <c r="J882" s="33">
        <f>INDEX('BIO WAHYU'!B:G,MATCH(DATA!D882,'BIO WAHYU'!B:B,0),5)</f>
        <v>3</v>
      </c>
      <c r="K882" s="34">
        <f>INDEX('BIO WAHYU'!B:G,MATCH(DATA!D882,'BIO WAHYU'!B:B,0),6)</f>
        <v>0</v>
      </c>
      <c r="L882" s="35">
        <f>INDEX('BIO WAHYU'!B:H,MATCH(DATA!D882,'BIO WAHYU'!B:B,0),7)</f>
        <v>0</v>
      </c>
      <c r="M882" s="34">
        <f>INDEX('BIO WAHYU'!B:H,MATCH(DATA!D882,'BIO WAHYU'!B:B,0),4)</f>
        <v>0</v>
      </c>
    </row>
    <row r="883" spans="1:13">
      <c r="A883" s="43" t="s">
        <v>1673</v>
      </c>
      <c r="B883" s="43" t="s">
        <v>1140</v>
      </c>
      <c r="C883" s="43" t="s">
        <v>1418</v>
      </c>
      <c r="D883" s="10">
        <v>574054</v>
      </c>
      <c r="E883" s="43" t="s">
        <v>15</v>
      </c>
      <c r="F883" s="8">
        <f>_xlfn.IFNA(INDEX('OSA | 3GB'!J:L,MATCH(DATA!D883,'OSA | 3GB'!J:J,0),2),0)</f>
        <v>3</v>
      </c>
      <c r="G883" s="8">
        <f>_xlfn.IFNA(INDEX('OSA | 3GB'!J:L,MATCH(DATA!D883,'OSA | 3GB'!J:J,0),3),0)</f>
        <v>900000</v>
      </c>
      <c r="H883" s="32" t="str">
        <f>_xlfn.IFNA(INDEX('OSA | 3GB'!A:C,MATCH(DATA!D883,'OSA | 3GB'!A:A,0),2),0)</f>
        <v xml:space="preserve"> -   </v>
      </c>
      <c r="I883" s="33">
        <f>_xlfn.IFNA(INDEX('OSA | 3GB'!A:C,MATCH(DATA!D883,'OSA | 3GB'!A:A,0),3),0)</f>
        <v>400000</v>
      </c>
      <c r="J883" s="33">
        <f>INDEX('BIO WAHYU'!B:G,MATCH(DATA!D883,'BIO WAHYU'!B:B,0),5)</f>
        <v>1</v>
      </c>
      <c r="K883" s="34">
        <f>INDEX('BIO WAHYU'!B:G,MATCH(DATA!D883,'BIO WAHYU'!B:B,0),6)</f>
        <v>1</v>
      </c>
      <c r="L883" s="35">
        <f>INDEX('BIO WAHYU'!B:H,MATCH(DATA!D883,'BIO WAHYU'!B:B,0),7)</f>
        <v>0</v>
      </c>
      <c r="M883" s="34">
        <f>INDEX('BIO WAHYU'!B:H,MATCH(DATA!D883,'BIO WAHYU'!B:B,0),4)</f>
        <v>0</v>
      </c>
    </row>
    <row r="884" spans="1:13">
      <c r="A884" s="43" t="s">
        <v>1672</v>
      </c>
      <c r="B884" s="43" t="s">
        <v>157</v>
      </c>
      <c r="C884" s="43" t="s">
        <v>1045</v>
      </c>
      <c r="D884" s="10">
        <v>453016</v>
      </c>
      <c r="E884" s="43" t="s">
        <v>10</v>
      </c>
      <c r="F884" s="8">
        <f>_xlfn.IFNA(INDEX('OSA | 3GB'!J:L,MATCH(DATA!D884,'OSA | 3GB'!J:J,0),2),0)</f>
        <v>0</v>
      </c>
      <c r="G884" s="8">
        <f>_xlfn.IFNA(INDEX('OSA | 3GB'!J:L,MATCH(DATA!D884,'OSA | 3GB'!J:J,0),3),0)</f>
        <v>500000</v>
      </c>
      <c r="H884" s="32" t="str">
        <f>_xlfn.IFNA(INDEX('OSA | 3GB'!A:C,MATCH(DATA!D884,'OSA | 3GB'!A:A,0),2),0)</f>
        <v xml:space="preserve"> -   </v>
      </c>
      <c r="I884" s="33">
        <f>_xlfn.IFNA(INDEX('OSA | 3GB'!A:C,MATCH(DATA!D884,'OSA | 3GB'!A:A,0),3),0)</f>
        <v>500000</v>
      </c>
      <c r="J884" s="33">
        <f>INDEX('BIO WAHYU'!B:G,MATCH(DATA!D884,'BIO WAHYU'!B:B,0),5)</f>
        <v>0</v>
      </c>
      <c r="K884" s="34">
        <f>INDEX('BIO WAHYU'!B:G,MATCH(DATA!D884,'BIO WAHYU'!B:B,0),6)</f>
        <v>3</v>
      </c>
      <c r="L884" s="35">
        <f>INDEX('BIO WAHYU'!B:H,MATCH(DATA!D884,'BIO WAHYU'!B:B,0),7)</f>
        <v>3</v>
      </c>
      <c r="M884" s="34">
        <f>INDEX('BIO WAHYU'!B:H,MATCH(DATA!D884,'BIO WAHYU'!B:B,0),4)</f>
        <v>0</v>
      </c>
    </row>
    <row r="885" spans="1:13">
      <c r="A885" s="43" t="s">
        <v>1670</v>
      </c>
      <c r="B885" s="43" t="s">
        <v>140</v>
      </c>
      <c r="C885" s="43" t="s">
        <v>455</v>
      </c>
      <c r="D885" s="10">
        <v>12295896</v>
      </c>
      <c r="E885" s="43" t="s">
        <v>15</v>
      </c>
      <c r="F885" s="8">
        <f>_xlfn.IFNA(INDEX('OSA | 3GB'!J:L,MATCH(DATA!D885,'OSA | 3GB'!J:J,0),2),0)</f>
        <v>0</v>
      </c>
      <c r="G885" s="8">
        <f>_xlfn.IFNA(INDEX('OSA | 3GB'!J:L,MATCH(DATA!D885,'OSA | 3GB'!J:J,0),3),0)</f>
        <v>1350000</v>
      </c>
      <c r="H885" s="32" t="str">
        <f>_xlfn.IFNA(INDEX('OSA | 3GB'!A:C,MATCH(DATA!D885,'OSA | 3GB'!A:A,0),2),0)</f>
        <v xml:space="preserve"> -   </v>
      </c>
      <c r="I885" s="33">
        <f>_xlfn.IFNA(INDEX('OSA | 3GB'!A:C,MATCH(DATA!D885,'OSA | 3GB'!A:A,0),3),0)</f>
        <v>650000</v>
      </c>
      <c r="J885" s="33">
        <f>INDEX('BIO WAHYU'!B:G,MATCH(DATA!D885,'BIO WAHYU'!B:B,0),5)</f>
        <v>0</v>
      </c>
      <c r="K885" s="34">
        <f>INDEX('BIO WAHYU'!B:G,MATCH(DATA!D885,'BIO WAHYU'!B:B,0),6)</f>
        <v>2</v>
      </c>
      <c r="L885" s="35">
        <f>INDEX('BIO WAHYU'!B:H,MATCH(DATA!D885,'BIO WAHYU'!B:B,0),7)</f>
        <v>2</v>
      </c>
      <c r="M885" s="34">
        <f>INDEX('BIO WAHYU'!B:H,MATCH(DATA!D885,'BIO WAHYU'!B:B,0),4)</f>
        <v>0</v>
      </c>
    </row>
    <row r="886" spans="1:13">
      <c r="A886" s="43" t="s">
        <v>1675</v>
      </c>
      <c r="B886" s="43" t="s">
        <v>136</v>
      </c>
      <c r="C886" s="43" t="s">
        <v>412</v>
      </c>
      <c r="D886" s="10">
        <v>67319</v>
      </c>
      <c r="E886" s="43" t="s">
        <v>10</v>
      </c>
      <c r="F886" s="8">
        <f>_xlfn.IFNA(INDEX('OSA | 3GB'!J:L,MATCH(DATA!D886,'OSA | 3GB'!J:J,0),2),0)</f>
        <v>5</v>
      </c>
      <c r="G886" s="8">
        <f>_xlfn.IFNA(INDEX('OSA | 3GB'!J:L,MATCH(DATA!D886,'OSA | 3GB'!J:J,0),3),0)</f>
        <v>3150000</v>
      </c>
      <c r="H886" s="32" t="str">
        <f>_xlfn.IFNA(INDEX('OSA | 3GB'!A:C,MATCH(DATA!D886,'OSA | 3GB'!A:A,0),2),0)</f>
        <v xml:space="preserve"> -   </v>
      </c>
      <c r="I886" s="33">
        <f>_xlfn.IFNA(INDEX('OSA | 3GB'!A:C,MATCH(DATA!D886,'OSA | 3GB'!A:A,0),3),0)</f>
        <v>1250000</v>
      </c>
      <c r="J886" s="33">
        <f>INDEX('BIO WAHYU'!B:G,MATCH(DATA!D886,'BIO WAHYU'!B:B,0),5)</f>
        <v>2</v>
      </c>
      <c r="K886" s="34">
        <f>INDEX('BIO WAHYU'!B:G,MATCH(DATA!D886,'BIO WAHYU'!B:B,0),6)</f>
        <v>0</v>
      </c>
      <c r="L886" s="35">
        <f>INDEX('BIO WAHYU'!B:H,MATCH(DATA!D886,'BIO WAHYU'!B:B,0),7)</f>
        <v>0</v>
      </c>
      <c r="M886" s="34">
        <f>INDEX('BIO WAHYU'!B:H,MATCH(DATA!D886,'BIO WAHYU'!B:B,0),4)</f>
        <v>0</v>
      </c>
    </row>
    <row r="887" spans="1:13">
      <c r="A887" s="43" t="s">
        <v>1671</v>
      </c>
      <c r="B887" s="43" t="s">
        <v>142</v>
      </c>
      <c r="C887" s="43" t="s">
        <v>1419</v>
      </c>
      <c r="D887" s="10">
        <v>572343</v>
      </c>
      <c r="E887" s="43" t="s">
        <v>10</v>
      </c>
      <c r="F887" s="8">
        <f>_xlfn.IFNA(INDEX('OSA | 3GB'!J:L,MATCH(DATA!D887,'OSA | 3GB'!J:J,0),2),0)</f>
        <v>4</v>
      </c>
      <c r="G887" s="8">
        <f>_xlfn.IFNA(INDEX('OSA | 3GB'!J:L,MATCH(DATA!D887,'OSA | 3GB'!J:J,0),3),0)</f>
        <v>8087000</v>
      </c>
      <c r="H887" s="32">
        <f>_xlfn.IFNA(INDEX('OSA | 3GB'!A:C,MATCH(DATA!D887,'OSA | 3GB'!A:A,0),2),0)</f>
        <v>16</v>
      </c>
      <c r="I887" s="33">
        <f>_xlfn.IFNA(INDEX('OSA | 3GB'!A:C,MATCH(DATA!D887,'OSA | 3GB'!A:A,0),3),0)</f>
        <v>1229000</v>
      </c>
      <c r="J887" s="33">
        <f>INDEX('BIO WAHYU'!B:G,MATCH(DATA!D887,'BIO WAHYU'!B:B,0),5)</f>
        <v>3</v>
      </c>
      <c r="K887" s="34">
        <f>INDEX('BIO WAHYU'!B:G,MATCH(DATA!D887,'BIO WAHYU'!B:B,0),6)</f>
        <v>1</v>
      </c>
      <c r="L887" s="35">
        <f>INDEX('BIO WAHYU'!B:H,MATCH(DATA!D887,'BIO WAHYU'!B:B,0),7)</f>
        <v>0</v>
      </c>
      <c r="M887" s="34">
        <f>INDEX('BIO WAHYU'!B:H,MATCH(DATA!D887,'BIO WAHYU'!B:B,0),4)</f>
        <v>0</v>
      </c>
    </row>
    <row r="888" spans="1:13">
      <c r="A888" s="43" t="s">
        <v>1671</v>
      </c>
      <c r="B888" s="43" t="s">
        <v>142</v>
      </c>
      <c r="C888" s="43" t="s">
        <v>1420</v>
      </c>
      <c r="D888" s="10">
        <v>537116</v>
      </c>
      <c r="E888" s="43" t="s">
        <v>10</v>
      </c>
      <c r="F888" s="8">
        <f>_xlfn.IFNA(INDEX('OSA | 3GB'!J:L,MATCH(DATA!D888,'OSA | 3GB'!J:J,0),2),0)</f>
        <v>4</v>
      </c>
      <c r="G888" s="8">
        <f>_xlfn.IFNA(INDEX('OSA | 3GB'!J:L,MATCH(DATA!D888,'OSA | 3GB'!J:J,0),3),0)</f>
        <v>3487000</v>
      </c>
      <c r="H888" s="32">
        <f>_xlfn.IFNA(INDEX('OSA | 3GB'!A:C,MATCH(DATA!D888,'OSA | 3GB'!A:A,0),2),0)</f>
        <v>18</v>
      </c>
      <c r="I888" s="33">
        <f>_xlfn.IFNA(INDEX('OSA | 3GB'!A:C,MATCH(DATA!D888,'OSA | 3GB'!A:A,0),3),0)</f>
        <v>2437000</v>
      </c>
      <c r="J888" s="33">
        <f>INDEX('BIO WAHYU'!B:G,MATCH(DATA!D888,'BIO WAHYU'!B:B,0),5)</f>
        <v>5</v>
      </c>
      <c r="K888" s="34">
        <f>INDEX('BIO WAHYU'!B:G,MATCH(DATA!D888,'BIO WAHYU'!B:B,0),6)</f>
        <v>2</v>
      </c>
      <c r="L888" s="35">
        <f>INDEX('BIO WAHYU'!B:H,MATCH(DATA!D888,'BIO WAHYU'!B:B,0),7)</f>
        <v>0</v>
      </c>
      <c r="M888" s="34">
        <f>INDEX('BIO WAHYU'!B:H,MATCH(DATA!D888,'BIO WAHYU'!B:B,0),4)</f>
        <v>0</v>
      </c>
    </row>
    <row r="889" spans="1:13">
      <c r="A889" s="43" t="s">
        <v>1672</v>
      </c>
      <c r="B889" s="43" t="s">
        <v>151</v>
      </c>
      <c r="C889" s="43" t="s">
        <v>862</v>
      </c>
      <c r="D889" s="10">
        <v>237411</v>
      </c>
      <c r="E889" s="43" t="s">
        <v>10</v>
      </c>
      <c r="F889" s="8">
        <f>_xlfn.IFNA(INDEX('OSA | 3GB'!J:L,MATCH(DATA!D889,'OSA | 3GB'!J:J,0),2),0)</f>
        <v>0</v>
      </c>
      <c r="G889" s="8">
        <f>_xlfn.IFNA(INDEX('OSA | 3GB'!J:L,MATCH(DATA!D889,'OSA | 3GB'!J:J,0),3),0)</f>
        <v>4000000</v>
      </c>
      <c r="H889" s="32" t="str">
        <f>_xlfn.IFNA(INDEX('OSA | 3GB'!A:C,MATCH(DATA!D889,'OSA | 3GB'!A:A,0),2),0)</f>
        <v xml:space="preserve"> -   </v>
      </c>
      <c r="I889" s="33" t="str">
        <f>_xlfn.IFNA(INDEX('OSA | 3GB'!A:C,MATCH(DATA!D889,'OSA | 3GB'!A:A,0),3),0)</f>
        <v xml:space="preserve"> -   </v>
      </c>
      <c r="J889" s="33">
        <f>INDEX('BIO WAHYU'!B:G,MATCH(DATA!D889,'BIO WAHYU'!B:B,0),5)</f>
        <v>0</v>
      </c>
      <c r="K889" s="34">
        <f>INDEX('BIO WAHYU'!B:G,MATCH(DATA!D889,'BIO WAHYU'!B:B,0),6)</f>
        <v>0</v>
      </c>
      <c r="L889" s="35">
        <f>INDEX('BIO WAHYU'!B:H,MATCH(DATA!D889,'BIO WAHYU'!B:B,0),7)</f>
        <v>0</v>
      </c>
      <c r="M889" s="34">
        <f>INDEX('BIO WAHYU'!B:H,MATCH(DATA!D889,'BIO WAHYU'!B:B,0),4)</f>
        <v>0</v>
      </c>
    </row>
    <row r="890" spans="1:13">
      <c r="A890" s="43" t="s">
        <v>1674</v>
      </c>
      <c r="B890" s="43" t="s">
        <v>152</v>
      </c>
      <c r="C890" s="43" t="s">
        <v>655</v>
      </c>
      <c r="D890" s="10">
        <v>126970</v>
      </c>
      <c r="E890" s="43" t="s">
        <v>10</v>
      </c>
      <c r="F890" s="8">
        <f>_xlfn.IFNA(INDEX('OSA | 3GB'!J:L,MATCH(DATA!D890,'OSA | 3GB'!J:J,0),2),0)</f>
        <v>3</v>
      </c>
      <c r="G890" s="8">
        <f>_xlfn.IFNA(INDEX('OSA | 3GB'!J:L,MATCH(DATA!D890,'OSA | 3GB'!J:J,0),3),0)</f>
        <v>1129000</v>
      </c>
      <c r="H890" s="32" t="str">
        <f>_xlfn.IFNA(INDEX('OSA | 3GB'!A:C,MATCH(DATA!D890,'OSA | 3GB'!A:A,0),2),0)</f>
        <v xml:space="preserve"> -   </v>
      </c>
      <c r="I890" s="33">
        <f>_xlfn.IFNA(INDEX('OSA | 3GB'!A:C,MATCH(DATA!D890,'OSA | 3GB'!A:A,0),3),0)</f>
        <v>500000</v>
      </c>
      <c r="J890" s="33">
        <f>INDEX('BIO WAHYU'!B:G,MATCH(DATA!D890,'BIO WAHYU'!B:B,0),5)</f>
        <v>3</v>
      </c>
      <c r="K890" s="34">
        <f>INDEX('BIO WAHYU'!B:G,MATCH(DATA!D890,'BIO WAHYU'!B:B,0),6)</f>
        <v>0</v>
      </c>
      <c r="L890" s="35">
        <f>INDEX('BIO WAHYU'!B:H,MATCH(DATA!D890,'BIO WAHYU'!B:B,0),7)</f>
        <v>0</v>
      </c>
      <c r="M890" s="34">
        <f>INDEX('BIO WAHYU'!B:H,MATCH(DATA!D890,'BIO WAHYU'!B:B,0),4)</f>
        <v>0</v>
      </c>
    </row>
    <row r="891" spans="1:13">
      <c r="A891" s="43" t="s">
        <v>1673</v>
      </c>
      <c r="B891" s="43" t="s">
        <v>1136</v>
      </c>
      <c r="C891" s="43" t="s">
        <v>1421</v>
      </c>
      <c r="D891" s="10">
        <v>411018</v>
      </c>
      <c r="E891" s="43" t="s">
        <v>10</v>
      </c>
      <c r="F891" s="8">
        <f>_xlfn.IFNA(INDEX('OSA | 3GB'!J:L,MATCH(DATA!D891,'OSA | 3GB'!J:J,0),2),0)</f>
        <v>6</v>
      </c>
      <c r="G891" s="8">
        <f>_xlfn.IFNA(INDEX('OSA | 3GB'!J:L,MATCH(DATA!D891,'OSA | 3GB'!J:J,0),3),0)</f>
        <v>650000</v>
      </c>
      <c r="H891" s="32" t="str">
        <f>_xlfn.IFNA(INDEX('OSA | 3GB'!A:C,MATCH(DATA!D891,'OSA | 3GB'!A:A,0),2),0)</f>
        <v xml:space="preserve"> -   </v>
      </c>
      <c r="I891" s="33">
        <f>_xlfn.IFNA(INDEX('OSA | 3GB'!A:C,MATCH(DATA!D891,'OSA | 3GB'!A:A,0),3),0)</f>
        <v>450000</v>
      </c>
      <c r="J891" s="33">
        <f>INDEX('BIO WAHYU'!B:G,MATCH(DATA!D891,'BIO WAHYU'!B:B,0),5)</f>
        <v>0</v>
      </c>
      <c r="K891" s="34">
        <f>INDEX('BIO WAHYU'!B:G,MATCH(DATA!D891,'BIO WAHYU'!B:B,0),6)</f>
        <v>1</v>
      </c>
      <c r="L891" s="35">
        <f>INDEX('BIO WAHYU'!B:H,MATCH(DATA!D891,'BIO WAHYU'!B:B,0),7)</f>
        <v>1</v>
      </c>
      <c r="M891" s="34">
        <f>INDEX('BIO WAHYU'!B:H,MATCH(DATA!D891,'BIO WAHYU'!B:B,0),4)</f>
        <v>0</v>
      </c>
    </row>
    <row r="892" spans="1:13">
      <c r="A892" s="43" t="s">
        <v>1670</v>
      </c>
      <c r="B892" s="43">
        <v>2613052584</v>
      </c>
      <c r="C892" s="43" t="s">
        <v>573</v>
      </c>
      <c r="D892" s="10">
        <v>12322880</v>
      </c>
      <c r="E892" s="43" t="s">
        <v>10</v>
      </c>
      <c r="F892" s="8">
        <f>_xlfn.IFNA(INDEX('OSA | 3GB'!J:L,MATCH(DATA!D892,'OSA | 3GB'!J:J,0),2),0)</f>
        <v>7</v>
      </c>
      <c r="G892" s="8">
        <f>_xlfn.IFNA(INDEX('OSA | 3GB'!J:L,MATCH(DATA!D892,'OSA | 3GB'!J:J,0),3),0)</f>
        <v>523000</v>
      </c>
      <c r="H892" s="32" t="str">
        <f>_xlfn.IFNA(INDEX('OSA | 3GB'!A:C,MATCH(DATA!D892,'OSA | 3GB'!A:A,0),2),0)</f>
        <v xml:space="preserve"> -   </v>
      </c>
      <c r="I892" s="33" t="str">
        <f>_xlfn.IFNA(INDEX('OSA | 3GB'!A:C,MATCH(DATA!D892,'OSA | 3GB'!A:A,0),3),0)</f>
        <v xml:space="preserve"> -   </v>
      </c>
      <c r="J892" s="33">
        <f>INDEX('BIO WAHYU'!B:G,MATCH(DATA!D892,'BIO WAHYU'!B:B,0),5)</f>
        <v>0</v>
      </c>
      <c r="K892" s="34">
        <f>INDEX('BIO WAHYU'!B:G,MATCH(DATA!D892,'BIO WAHYU'!B:B,0),6)</f>
        <v>1</v>
      </c>
      <c r="L892" s="35">
        <f>INDEX('BIO WAHYU'!B:H,MATCH(DATA!D892,'BIO WAHYU'!B:B,0),7)</f>
        <v>1</v>
      </c>
      <c r="M892" s="34">
        <f>INDEX('BIO WAHYU'!B:H,MATCH(DATA!D892,'BIO WAHYU'!B:B,0),4)</f>
        <v>0</v>
      </c>
    </row>
    <row r="893" spans="1:13">
      <c r="A893" s="43" t="s">
        <v>1673</v>
      </c>
      <c r="B893" s="43" t="s">
        <v>143</v>
      </c>
      <c r="C893" s="43" t="s">
        <v>1422</v>
      </c>
      <c r="D893" s="10">
        <v>489481</v>
      </c>
      <c r="E893" s="43" t="s">
        <v>10</v>
      </c>
      <c r="F893" s="8">
        <f>_xlfn.IFNA(INDEX('OSA | 3GB'!J:L,MATCH(DATA!D893,'OSA | 3GB'!J:J,0),2),0)</f>
        <v>4</v>
      </c>
      <c r="G893" s="8">
        <f>_xlfn.IFNA(INDEX('OSA | 3GB'!J:L,MATCH(DATA!D893,'OSA | 3GB'!J:J,0),3),0)</f>
        <v>8383000</v>
      </c>
      <c r="H893" s="32" t="str">
        <f>_xlfn.IFNA(INDEX('OSA | 3GB'!A:C,MATCH(DATA!D893,'OSA | 3GB'!A:A,0),2),0)</f>
        <v xml:space="preserve"> -   </v>
      </c>
      <c r="I893" s="33">
        <f>_xlfn.IFNA(INDEX('OSA | 3GB'!A:C,MATCH(DATA!D893,'OSA | 3GB'!A:A,0),3),0)</f>
        <v>16500000</v>
      </c>
      <c r="J893" s="33">
        <f>INDEX('BIO WAHYU'!B:G,MATCH(DATA!D893,'BIO WAHYU'!B:B,0),5)</f>
        <v>3</v>
      </c>
      <c r="K893" s="34">
        <f>INDEX('BIO WAHYU'!B:G,MATCH(DATA!D893,'BIO WAHYU'!B:B,0),6)</f>
        <v>0</v>
      </c>
      <c r="L893" s="35">
        <f>INDEX('BIO WAHYU'!B:H,MATCH(DATA!D893,'BIO WAHYU'!B:B,0),7)</f>
        <v>0</v>
      </c>
      <c r="M893" s="34">
        <f>INDEX('BIO WAHYU'!B:H,MATCH(DATA!D893,'BIO WAHYU'!B:B,0),4)</f>
        <v>0</v>
      </c>
    </row>
    <row r="894" spans="1:13">
      <c r="A894" s="43" t="s">
        <v>1673</v>
      </c>
      <c r="B894" s="43" t="s">
        <v>158</v>
      </c>
      <c r="C894" s="43" t="s">
        <v>177</v>
      </c>
      <c r="D894" s="10">
        <v>565427</v>
      </c>
      <c r="E894" s="43" t="s">
        <v>10</v>
      </c>
      <c r="F894" s="8">
        <f>_xlfn.IFNA(INDEX('OSA | 3GB'!J:L,MATCH(DATA!D894,'OSA | 3GB'!J:J,0),2),0)</f>
        <v>3</v>
      </c>
      <c r="G894" s="8">
        <f>_xlfn.IFNA(INDEX('OSA | 3GB'!J:L,MATCH(DATA!D894,'OSA | 3GB'!J:J,0),3),0)</f>
        <v>1350000</v>
      </c>
      <c r="H894" s="32" t="str">
        <f>_xlfn.IFNA(INDEX('OSA | 3GB'!A:C,MATCH(DATA!D894,'OSA | 3GB'!A:A,0),2),0)</f>
        <v xml:space="preserve"> -   </v>
      </c>
      <c r="I894" s="33">
        <f>_xlfn.IFNA(INDEX('OSA | 3GB'!A:C,MATCH(DATA!D894,'OSA | 3GB'!A:A,0),3),0)</f>
        <v>450000</v>
      </c>
      <c r="J894" s="33">
        <f>INDEX('BIO WAHYU'!B:G,MATCH(DATA!D894,'BIO WAHYU'!B:B,0),5)</f>
        <v>3</v>
      </c>
      <c r="K894" s="34">
        <f>INDEX('BIO WAHYU'!B:G,MATCH(DATA!D894,'BIO WAHYU'!B:B,0),6)</f>
        <v>1</v>
      </c>
      <c r="L894" s="35">
        <f>INDEX('BIO WAHYU'!B:H,MATCH(DATA!D894,'BIO WAHYU'!B:B,0),7)</f>
        <v>0</v>
      </c>
      <c r="M894" s="34">
        <f>INDEX('BIO WAHYU'!B:H,MATCH(DATA!D894,'BIO WAHYU'!B:B,0),4)</f>
        <v>0</v>
      </c>
    </row>
    <row r="895" spans="1:13">
      <c r="A895" s="43" t="s">
        <v>1671</v>
      </c>
      <c r="B895" s="43" t="s">
        <v>142</v>
      </c>
      <c r="C895" s="43" t="s">
        <v>1423</v>
      </c>
      <c r="D895" s="10">
        <v>553531</v>
      </c>
      <c r="E895" s="43" t="s">
        <v>10</v>
      </c>
      <c r="F895" s="8">
        <f>_xlfn.IFNA(INDEX('OSA | 3GB'!J:L,MATCH(DATA!D895,'OSA | 3GB'!J:J,0),2),0)</f>
        <v>0</v>
      </c>
      <c r="G895" s="8">
        <f>_xlfn.IFNA(INDEX('OSA | 3GB'!J:L,MATCH(DATA!D895,'OSA | 3GB'!J:J,0),3),0)</f>
        <v>0</v>
      </c>
      <c r="H895" s="32" t="str">
        <f>_xlfn.IFNA(INDEX('OSA | 3GB'!A:C,MATCH(DATA!D895,'OSA | 3GB'!A:A,0),2),0)</f>
        <v xml:space="preserve"> -   </v>
      </c>
      <c r="I895" s="33" t="str">
        <f>_xlfn.IFNA(INDEX('OSA | 3GB'!A:C,MATCH(DATA!D895,'OSA | 3GB'!A:A,0),3),0)</f>
        <v xml:space="preserve"> -   </v>
      </c>
      <c r="J895" s="33">
        <f>INDEX('BIO WAHYU'!B:G,MATCH(DATA!D895,'BIO WAHYU'!B:B,0),5)</f>
        <v>0</v>
      </c>
      <c r="K895" s="34">
        <f>INDEX('BIO WAHYU'!B:G,MATCH(DATA!D895,'BIO WAHYU'!B:B,0),6)</f>
        <v>0</v>
      </c>
      <c r="L895" s="35">
        <f>INDEX('BIO WAHYU'!B:H,MATCH(DATA!D895,'BIO WAHYU'!B:B,0),7)</f>
        <v>0</v>
      </c>
      <c r="M895" s="34">
        <f>INDEX('BIO WAHYU'!B:H,MATCH(DATA!D895,'BIO WAHYU'!B:B,0),4)</f>
        <v>0</v>
      </c>
    </row>
    <row r="896" spans="1:13">
      <c r="A896" s="43" t="s">
        <v>1673</v>
      </c>
      <c r="B896" s="43" t="s">
        <v>158</v>
      </c>
      <c r="C896" s="43" t="s">
        <v>1424</v>
      </c>
      <c r="D896" s="10">
        <v>240092</v>
      </c>
      <c r="E896" s="43" t="s">
        <v>10</v>
      </c>
      <c r="F896" s="8">
        <f>_xlfn.IFNA(INDEX('OSA | 3GB'!J:L,MATCH(DATA!D896,'OSA | 3GB'!J:J,0),2),0)</f>
        <v>5</v>
      </c>
      <c r="G896" s="8">
        <f>_xlfn.IFNA(INDEX('OSA | 3GB'!J:L,MATCH(DATA!D896,'OSA | 3GB'!J:J,0),3),0)</f>
        <v>1000000</v>
      </c>
      <c r="H896" s="32" t="str">
        <f>_xlfn.IFNA(INDEX('OSA | 3GB'!A:C,MATCH(DATA!D896,'OSA | 3GB'!A:A,0),2),0)</f>
        <v xml:space="preserve"> -   </v>
      </c>
      <c r="I896" s="33">
        <f>_xlfn.IFNA(INDEX('OSA | 3GB'!A:C,MATCH(DATA!D896,'OSA | 3GB'!A:A,0),3),0)</f>
        <v>100000</v>
      </c>
      <c r="J896" s="33">
        <f>INDEX('BIO WAHYU'!B:G,MATCH(DATA!D896,'BIO WAHYU'!B:B,0),5)</f>
        <v>5</v>
      </c>
      <c r="K896" s="34">
        <f>INDEX('BIO WAHYU'!B:G,MATCH(DATA!D896,'BIO WAHYU'!B:B,0),6)</f>
        <v>0</v>
      </c>
      <c r="L896" s="35">
        <f>INDEX('BIO WAHYU'!B:H,MATCH(DATA!D896,'BIO WAHYU'!B:B,0),7)</f>
        <v>0</v>
      </c>
      <c r="M896" s="34">
        <f>INDEX('BIO WAHYU'!B:H,MATCH(DATA!D896,'BIO WAHYU'!B:B,0),4)</f>
        <v>0</v>
      </c>
    </row>
    <row r="897" spans="1:13">
      <c r="A897" s="43" t="s">
        <v>1672</v>
      </c>
      <c r="B897" s="43" t="s">
        <v>155</v>
      </c>
      <c r="C897" s="43" t="s">
        <v>922</v>
      </c>
      <c r="D897" s="10">
        <v>12304278</v>
      </c>
      <c r="E897" s="43" t="s">
        <v>10</v>
      </c>
      <c r="F897" s="8">
        <f>_xlfn.IFNA(INDEX('OSA | 3GB'!J:L,MATCH(DATA!D897,'OSA | 3GB'!J:J,0),2),0)</f>
        <v>2</v>
      </c>
      <c r="G897" s="8">
        <f>_xlfn.IFNA(INDEX('OSA | 3GB'!J:L,MATCH(DATA!D897,'OSA | 3GB'!J:J,0),3),0)</f>
        <v>2450000</v>
      </c>
      <c r="H897" s="32">
        <f>_xlfn.IFNA(INDEX('OSA | 3GB'!A:C,MATCH(DATA!D897,'OSA | 3GB'!A:A,0),2),0)</f>
        <v>1</v>
      </c>
      <c r="I897" s="33">
        <f>_xlfn.IFNA(INDEX('OSA | 3GB'!A:C,MATCH(DATA!D897,'OSA | 3GB'!A:A,0),3),0)</f>
        <v>950000</v>
      </c>
      <c r="J897" s="33">
        <f>INDEX('BIO WAHYU'!B:G,MATCH(DATA!D897,'BIO WAHYU'!B:B,0),5)</f>
        <v>1</v>
      </c>
      <c r="K897" s="34">
        <f>INDEX('BIO WAHYU'!B:G,MATCH(DATA!D897,'BIO WAHYU'!B:B,0),6)</f>
        <v>0</v>
      </c>
      <c r="L897" s="35">
        <f>INDEX('BIO WAHYU'!B:H,MATCH(DATA!D897,'BIO WAHYU'!B:B,0),7)</f>
        <v>0</v>
      </c>
      <c r="M897" s="34">
        <f>INDEX('BIO WAHYU'!B:H,MATCH(DATA!D897,'BIO WAHYU'!B:B,0),4)</f>
        <v>0</v>
      </c>
    </row>
    <row r="898" spans="1:13">
      <c r="A898" s="43" t="s">
        <v>1672</v>
      </c>
      <c r="B898" s="43">
        <v>2613051475</v>
      </c>
      <c r="C898" s="43" t="s">
        <v>907</v>
      </c>
      <c r="D898" s="10">
        <v>509536</v>
      </c>
      <c r="E898" s="43" t="s">
        <v>10</v>
      </c>
      <c r="F898" s="8">
        <f>_xlfn.IFNA(INDEX('OSA | 3GB'!J:L,MATCH(DATA!D898,'OSA | 3GB'!J:J,0),2),0)</f>
        <v>0</v>
      </c>
      <c r="G898" s="8">
        <f>_xlfn.IFNA(INDEX('OSA | 3GB'!J:L,MATCH(DATA!D898,'OSA | 3GB'!J:J,0),3),0)</f>
        <v>0</v>
      </c>
      <c r="H898" s="32">
        <f>_xlfn.IFNA(INDEX('OSA | 3GB'!A:C,MATCH(DATA!D898,'OSA | 3GB'!A:A,0),2),0)</f>
        <v>2</v>
      </c>
      <c r="I898" s="33">
        <f>_xlfn.IFNA(INDEX('OSA | 3GB'!A:C,MATCH(DATA!D898,'OSA | 3GB'!A:A,0),3),0)</f>
        <v>250000</v>
      </c>
      <c r="J898" s="33">
        <f>INDEX('BIO WAHYU'!B:G,MATCH(DATA!D898,'BIO WAHYU'!B:B,0),5)</f>
        <v>0</v>
      </c>
      <c r="K898" s="34">
        <f>INDEX('BIO WAHYU'!B:G,MATCH(DATA!D898,'BIO WAHYU'!B:B,0),6)</f>
        <v>0</v>
      </c>
      <c r="L898" s="35">
        <f>INDEX('BIO WAHYU'!B:H,MATCH(DATA!D898,'BIO WAHYU'!B:B,0),7)</f>
        <v>0</v>
      </c>
      <c r="M898" s="34">
        <f>INDEX('BIO WAHYU'!B:H,MATCH(DATA!D898,'BIO WAHYU'!B:B,0),4)</f>
        <v>0</v>
      </c>
    </row>
    <row r="899" spans="1:13">
      <c r="A899" s="43" t="s">
        <v>1671</v>
      </c>
      <c r="B899" s="43">
        <v>2613050885</v>
      </c>
      <c r="C899" s="43" t="s">
        <v>1425</v>
      </c>
      <c r="D899" s="10">
        <v>518674</v>
      </c>
      <c r="E899" s="43" t="s">
        <v>15</v>
      </c>
      <c r="F899" s="8">
        <f>_xlfn.IFNA(INDEX('OSA | 3GB'!J:L,MATCH(DATA!D899,'OSA | 3GB'!J:J,0),2),0)</f>
        <v>3</v>
      </c>
      <c r="G899" s="8">
        <f>_xlfn.IFNA(INDEX('OSA | 3GB'!J:L,MATCH(DATA!D899,'OSA | 3GB'!J:J,0),3),0)</f>
        <v>3812000</v>
      </c>
      <c r="H899" s="32">
        <f>_xlfn.IFNA(INDEX('OSA | 3GB'!A:C,MATCH(DATA!D899,'OSA | 3GB'!A:A,0),2),0)</f>
        <v>3</v>
      </c>
      <c r="I899" s="33">
        <f>_xlfn.IFNA(INDEX('OSA | 3GB'!A:C,MATCH(DATA!D899,'OSA | 3GB'!A:A,0),3),0)</f>
        <v>2480000</v>
      </c>
      <c r="J899" s="33">
        <f>INDEX('BIO WAHYU'!B:G,MATCH(DATA!D899,'BIO WAHYU'!B:B,0),5)</f>
        <v>1</v>
      </c>
      <c r="K899" s="34">
        <f>INDEX('BIO WAHYU'!B:G,MATCH(DATA!D899,'BIO WAHYU'!B:B,0),6)</f>
        <v>0</v>
      </c>
      <c r="L899" s="35">
        <f>INDEX('BIO WAHYU'!B:H,MATCH(DATA!D899,'BIO WAHYU'!B:B,0),7)</f>
        <v>0</v>
      </c>
      <c r="M899" s="34">
        <f>INDEX('BIO WAHYU'!B:H,MATCH(DATA!D899,'BIO WAHYU'!B:B,0),4)</f>
        <v>0</v>
      </c>
    </row>
    <row r="900" spans="1:13">
      <c r="A900" s="43" t="s">
        <v>1673</v>
      </c>
      <c r="B900" s="43" t="s">
        <v>143</v>
      </c>
      <c r="C900" s="43" t="s">
        <v>274</v>
      </c>
      <c r="D900" s="10">
        <v>570472</v>
      </c>
      <c r="E900" s="43" t="s">
        <v>15</v>
      </c>
      <c r="F900" s="8">
        <f>_xlfn.IFNA(INDEX('OSA | 3GB'!J:L,MATCH(DATA!D900,'OSA | 3GB'!J:J,0),2),0)</f>
        <v>4</v>
      </c>
      <c r="G900" s="8">
        <f>_xlfn.IFNA(INDEX('OSA | 3GB'!J:L,MATCH(DATA!D900,'OSA | 3GB'!J:J,0),3),0)</f>
        <v>1008000</v>
      </c>
      <c r="H900" s="32">
        <f>_xlfn.IFNA(INDEX('OSA | 3GB'!A:C,MATCH(DATA!D900,'OSA | 3GB'!A:A,0),2),0)</f>
        <v>1</v>
      </c>
      <c r="I900" s="33">
        <f>_xlfn.IFNA(INDEX('OSA | 3GB'!A:C,MATCH(DATA!D900,'OSA | 3GB'!A:A,0),3),0)</f>
        <v>600000</v>
      </c>
      <c r="J900" s="33">
        <f>INDEX('BIO WAHYU'!B:G,MATCH(DATA!D900,'BIO WAHYU'!B:B,0),5)</f>
        <v>4</v>
      </c>
      <c r="K900" s="34">
        <f>INDEX('BIO WAHYU'!B:G,MATCH(DATA!D900,'BIO WAHYU'!B:B,0),6)</f>
        <v>2</v>
      </c>
      <c r="L900" s="35">
        <f>INDEX('BIO WAHYU'!B:H,MATCH(DATA!D900,'BIO WAHYU'!B:B,0),7)</f>
        <v>0</v>
      </c>
      <c r="M900" s="34">
        <f>INDEX('BIO WAHYU'!B:H,MATCH(DATA!D900,'BIO WAHYU'!B:B,0),4)</f>
        <v>0</v>
      </c>
    </row>
    <row r="901" spans="1:13">
      <c r="A901" s="43" t="s">
        <v>1672</v>
      </c>
      <c r="B901" s="43">
        <v>2613051475</v>
      </c>
      <c r="C901" s="43" t="s">
        <v>895</v>
      </c>
      <c r="D901" s="10">
        <v>275660</v>
      </c>
      <c r="E901" s="43" t="s">
        <v>10</v>
      </c>
      <c r="F901" s="8">
        <f>_xlfn.IFNA(INDEX('OSA | 3GB'!J:L,MATCH(DATA!D901,'OSA | 3GB'!J:J,0),2),0)</f>
        <v>0</v>
      </c>
      <c r="G901" s="8">
        <f>_xlfn.IFNA(INDEX('OSA | 3GB'!J:L,MATCH(DATA!D901,'OSA | 3GB'!J:J,0),3),0)</f>
        <v>950000</v>
      </c>
      <c r="H901" s="32" t="str">
        <f>_xlfn.IFNA(INDEX('OSA | 3GB'!A:C,MATCH(DATA!D901,'OSA | 3GB'!A:A,0),2),0)</f>
        <v xml:space="preserve"> -   </v>
      </c>
      <c r="I901" s="33">
        <f>_xlfn.IFNA(INDEX('OSA | 3GB'!A:C,MATCH(DATA!D901,'OSA | 3GB'!A:A,0),3),0)</f>
        <v>200000</v>
      </c>
      <c r="J901" s="33">
        <f>INDEX('BIO WAHYU'!B:G,MATCH(DATA!D901,'BIO WAHYU'!B:B,0),5)</f>
        <v>4</v>
      </c>
      <c r="K901" s="34">
        <f>INDEX('BIO WAHYU'!B:G,MATCH(DATA!D901,'BIO WAHYU'!B:B,0),6)</f>
        <v>0</v>
      </c>
      <c r="L901" s="35">
        <f>INDEX('BIO WAHYU'!B:H,MATCH(DATA!D901,'BIO WAHYU'!B:B,0),7)</f>
        <v>0</v>
      </c>
      <c r="M901" s="34">
        <f>INDEX('BIO WAHYU'!B:H,MATCH(DATA!D901,'BIO WAHYU'!B:B,0),4)</f>
        <v>0</v>
      </c>
    </row>
    <row r="902" spans="1:13">
      <c r="A902" s="43" t="s">
        <v>1675</v>
      </c>
      <c r="B902" s="43" t="s">
        <v>137</v>
      </c>
      <c r="C902" s="43" t="s">
        <v>424</v>
      </c>
      <c r="D902" s="10">
        <v>12296045</v>
      </c>
      <c r="E902" s="43" t="s">
        <v>15</v>
      </c>
      <c r="F902" s="8">
        <f>_xlfn.IFNA(INDEX('OSA | 3GB'!J:L,MATCH(DATA!D902,'OSA | 3GB'!J:J,0),2),0)</f>
        <v>0</v>
      </c>
      <c r="G902" s="8">
        <f>_xlfn.IFNA(INDEX('OSA | 3GB'!J:L,MATCH(DATA!D902,'OSA | 3GB'!J:J,0),3),0)</f>
        <v>750000</v>
      </c>
      <c r="H902" s="32" t="str">
        <f>_xlfn.IFNA(INDEX('OSA | 3GB'!A:C,MATCH(DATA!D902,'OSA | 3GB'!A:A,0),2),0)</f>
        <v xml:space="preserve"> -   </v>
      </c>
      <c r="I902" s="33" t="str">
        <f>_xlfn.IFNA(INDEX('OSA | 3GB'!A:C,MATCH(DATA!D902,'OSA | 3GB'!A:A,0),3),0)</f>
        <v xml:space="preserve"> -   </v>
      </c>
      <c r="J902" s="33">
        <f>INDEX('BIO WAHYU'!B:G,MATCH(DATA!D902,'BIO WAHYU'!B:B,0),5)</f>
        <v>3</v>
      </c>
      <c r="K902" s="34">
        <f>INDEX('BIO WAHYU'!B:G,MATCH(DATA!D902,'BIO WAHYU'!B:B,0),6)</f>
        <v>0</v>
      </c>
      <c r="L902" s="35">
        <f>INDEX('BIO WAHYU'!B:H,MATCH(DATA!D902,'BIO WAHYU'!B:B,0),7)</f>
        <v>0</v>
      </c>
      <c r="M902" s="34">
        <f>INDEX('BIO WAHYU'!B:H,MATCH(DATA!D902,'BIO WAHYU'!B:B,0),4)</f>
        <v>0</v>
      </c>
    </row>
    <row r="903" spans="1:13">
      <c r="A903" s="43" t="s">
        <v>1672</v>
      </c>
      <c r="B903" s="43" t="s">
        <v>150</v>
      </c>
      <c r="C903" s="43" t="s">
        <v>843</v>
      </c>
      <c r="D903" s="10">
        <v>67033</v>
      </c>
      <c r="E903" s="43" t="s">
        <v>10</v>
      </c>
      <c r="F903" s="8">
        <f>_xlfn.IFNA(INDEX('OSA | 3GB'!J:L,MATCH(DATA!D903,'OSA | 3GB'!J:J,0),2),0)</f>
        <v>6</v>
      </c>
      <c r="G903" s="8">
        <f>_xlfn.IFNA(INDEX('OSA | 3GB'!J:L,MATCH(DATA!D903,'OSA | 3GB'!J:J,0),3),0)</f>
        <v>150000</v>
      </c>
      <c r="H903" s="32" t="str">
        <f>_xlfn.IFNA(INDEX('OSA | 3GB'!A:C,MATCH(DATA!D903,'OSA | 3GB'!A:A,0),2),0)</f>
        <v xml:space="preserve"> -   </v>
      </c>
      <c r="I903" s="33">
        <f>_xlfn.IFNA(INDEX('OSA | 3GB'!A:C,MATCH(DATA!D903,'OSA | 3GB'!A:A,0),3),0)</f>
        <v>100000</v>
      </c>
      <c r="J903" s="33">
        <f>INDEX('BIO WAHYU'!B:G,MATCH(DATA!D903,'BIO WAHYU'!B:B,0),5)</f>
        <v>1</v>
      </c>
      <c r="K903" s="34">
        <f>INDEX('BIO WAHYU'!B:G,MATCH(DATA!D903,'BIO WAHYU'!B:B,0),6)</f>
        <v>0</v>
      </c>
      <c r="L903" s="35">
        <f>INDEX('BIO WAHYU'!B:H,MATCH(DATA!D903,'BIO WAHYU'!B:B,0),7)</f>
        <v>0</v>
      </c>
      <c r="M903" s="34">
        <f>INDEX('BIO WAHYU'!B:H,MATCH(DATA!D903,'BIO WAHYU'!B:B,0),4)</f>
        <v>0</v>
      </c>
    </row>
    <row r="904" spans="1:13">
      <c r="A904" s="43" t="s">
        <v>1673</v>
      </c>
      <c r="B904" s="43" t="s">
        <v>1136</v>
      </c>
      <c r="C904" s="43" t="s">
        <v>1426</v>
      </c>
      <c r="D904" s="10">
        <v>487986</v>
      </c>
      <c r="E904" s="43" t="s">
        <v>10</v>
      </c>
      <c r="F904" s="8">
        <f>_xlfn.IFNA(INDEX('OSA | 3GB'!J:L,MATCH(DATA!D904,'OSA | 3GB'!J:J,0),2),0)</f>
        <v>3</v>
      </c>
      <c r="G904" s="8">
        <f>_xlfn.IFNA(INDEX('OSA | 3GB'!J:L,MATCH(DATA!D904,'OSA | 3GB'!J:J,0),3),0)</f>
        <v>12500000</v>
      </c>
      <c r="H904" s="32" t="str">
        <f>_xlfn.IFNA(INDEX('OSA | 3GB'!A:C,MATCH(DATA!D904,'OSA | 3GB'!A:A,0),2),0)</f>
        <v xml:space="preserve"> -   </v>
      </c>
      <c r="I904" s="33">
        <f>_xlfn.IFNA(INDEX('OSA | 3GB'!A:C,MATCH(DATA!D904,'OSA | 3GB'!A:A,0),3),0)</f>
        <v>5500000</v>
      </c>
      <c r="J904" s="33">
        <f>INDEX('BIO WAHYU'!B:G,MATCH(DATA!D904,'BIO WAHYU'!B:B,0),5)</f>
        <v>4</v>
      </c>
      <c r="K904" s="34">
        <f>INDEX('BIO WAHYU'!B:G,MATCH(DATA!D904,'BIO WAHYU'!B:B,0),6)</f>
        <v>3</v>
      </c>
      <c r="L904" s="35">
        <f>INDEX('BIO WAHYU'!B:H,MATCH(DATA!D904,'BIO WAHYU'!B:B,0),7)</f>
        <v>0</v>
      </c>
      <c r="M904" s="34">
        <f>INDEX('BIO WAHYU'!B:H,MATCH(DATA!D904,'BIO WAHYU'!B:B,0),4)</f>
        <v>0</v>
      </c>
    </row>
    <row r="905" spans="1:13">
      <c r="A905" s="43" t="s">
        <v>1674</v>
      </c>
      <c r="B905" s="43" t="s">
        <v>154</v>
      </c>
      <c r="C905" s="43" t="s">
        <v>737</v>
      </c>
      <c r="D905" s="10">
        <v>127220</v>
      </c>
      <c r="E905" s="43" t="s">
        <v>10</v>
      </c>
      <c r="F905" s="8">
        <f>_xlfn.IFNA(INDEX('OSA | 3GB'!J:L,MATCH(DATA!D905,'OSA | 3GB'!J:J,0),2),0)</f>
        <v>0</v>
      </c>
      <c r="G905" s="8">
        <f>_xlfn.IFNA(INDEX('OSA | 3GB'!J:L,MATCH(DATA!D905,'OSA | 3GB'!J:J,0),3),0)</f>
        <v>400000</v>
      </c>
      <c r="H905" s="32" t="str">
        <f>_xlfn.IFNA(INDEX('OSA | 3GB'!A:C,MATCH(DATA!D905,'OSA | 3GB'!A:A,0),2),0)</f>
        <v xml:space="preserve"> -   </v>
      </c>
      <c r="I905" s="33">
        <f>_xlfn.IFNA(INDEX('OSA | 3GB'!A:C,MATCH(DATA!D905,'OSA | 3GB'!A:A,0),3),0)</f>
        <v>150000</v>
      </c>
      <c r="J905" s="33">
        <f>INDEX('BIO WAHYU'!B:G,MATCH(DATA!D905,'BIO WAHYU'!B:B,0),5)</f>
        <v>2</v>
      </c>
      <c r="K905" s="34">
        <f>INDEX('BIO WAHYU'!B:G,MATCH(DATA!D905,'BIO WAHYU'!B:B,0),6)</f>
        <v>0</v>
      </c>
      <c r="L905" s="35">
        <f>INDEX('BIO WAHYU'!B:H,MATCH(DATA!D905,'BIO WAHYU'!B:B,0),7)</f>
        <v>0</v>
      </c>
      <c r="M905" s="34">
        <f>INDEX('BIO WAHYU'!B:H,MATCH(DATA!D905,'BIO WAHYU'!B:B,0),4)</f>
        <v>0</v>
      </c>
    </row>
    <row r="906" spans="1:13">
      <c r="A906" s="43" t="s">
        <v>1671</v>
      </c>
      <c r="B906" s="43">
        <v>2613050886</v>
      </c>
      <c r="C906" s="43" t="s">
        <v>316</v>
      </c>
      <c r="D906" s="10">
        <v>12322371</v>
      </c>
      <c r="E906" s="43" t="s">
        <v>15</v>
      </c>
      <c r="F906" s="8">
        <f>_xlfn.IFNA(INDEX('OSA | 3GB'!J:L,MATCH(DATA!D906,'OSA | 3GB'!J:J,0),2),0)</f>
        <v>6</v>
      </c>
      <c r="G906" s="8">
        <f>_xlfn.IFNA(INDEX('OSA | 3GB'!J:L,MATCH(DATA!D906,'OSA | 3GB'!J:J,0),3),0)</f>
        <v>2800000</v>
      </c>
      <c r="H906" s="32" t="str">
        <f>_xlfn.IFNA(INDEX('OSA | 3GB'!A:C,MATCH(DATA!D906,'OSA | 3GB'!A:A,0),2),0)</f>
        <v xml:space="preserve"> -   </v>
      </c>
      <c r="I906" s="33" t="str">
        <f>_xlfn.IFNA(INDEX('OSA | 3GB'!A:C,MATCH(DATA!D906,'OSA | 3GB'!A:A,0),3),0)</f>
        <v xml:space="preserve"> -   </v>
      </c>
      <c r="J906" s="33">
        <f>INDEX('BIO WAHYU'!B:G,MATCH(DATA!D906,'BIO WAHYU'!B:B,0),5)</f>
        <v>6</v>
      </c>
      <c r="K906" s="34">
        <f>INDEX('BIO WAHYU'!B:G,MATCH(DATA!D906,'BIO WAHYU'!B:B,0),6)</f>
        <v>0</v>
      </c>
      <c r="L906" s="35">
        <f>INDEX('BIO WAHYU'!B:H,MATCH(DATA!D906,'BIO WAHYU'!B:B,0),7)</f>
        <v>0</v>
      </c>
      <c r="M906" s="34">
        <f>INDEX('BIO WAHYU'!B:H,MATCH(DATA!D906,'BIO WAHYU'!B:B,0),4)</f>
        <v>0</v>
      </c>
    </row>
    <row r="907" spans="1:13">
      <c r="A907" s="43" t="s">
        <v>1675</v>
      </c>
      <c r="B907" s="43" t="s">
        <v>136</v>
      </c>
      <c r="C907" s="43" t="s">
        <v>1427</v>
      </c>
      <c r="D907" s="10">
        <v>505993</v>
      </c>
      <c r="E907" s="43" t="s">
        <v>10</v>
      </c>
      <c r="F907" s="8">
        <f>_xlfn.IFNA(INDEX('OSA | 3GB'!J:L,MATCH(DATA!D907,'OSA | 3GB'!J:J,0),2),0)</f>
        <v>4</v>
      </c>
      <c r="G907" s="8">
        <f>_xlfn.IFNA(INDEX('OSA | 3GB'!J:L,MATCH(DATA!D907,'OSA | 3GB'!J:J,0),3),0)</f>
        <v>631000</v>
      </c>
      <c r="H907" s="32">
        <f>_xlfn.IFNA(INDEX('OSA | 3GB'!A:C,MATCH(DATA!D907,'OSA | 3GB'!A:A,0),2),0)</f>
        <v>10</v>
      </c>
      <c r="I907" s="33" t="str">
        <f>_xlfn.IFNA(INDEX('OSA | 3GB'!A:C,MATCH(DATA!D907,'OSA | 3GB'!A:A,0),3),0)</f>
        <v xml:space="preserve"> -   </v>
      </c>
      <c r="J907" s="33">
        <f>INDEX('BIO WAHYU'!B:G,MATCH(DATA!D907,'BIO WAHYU'!B:B,0),5)</f>
        <v>10</v>
      </c>
      <c r="K907" s="34">
        <f>INDEX('BIO WAHYU'!B:G,MATCH(DATA!D907,'BIO WAHYU'!B:B,0),6)</f>
        <v>10</v>
      </c>
      <c r="L907" s="35">
        <f>INDEX('BIO WAHYU'!B:H,MATCH(DATA!D907,'BIO WAHYU'!B:B,0),7)</f>
        <v>0</v>
      </c>
      <c r="M907" s="34">
        <f>INDEX('BIO WAHYU'!B:H,MATCH(DATA!D907,'BIO WAHYU'!B:B,0),4)</f>
        <v>0</v>
      </c>
    </row>
    <row r="908" spans="1:13">
      <c r="A908" s="43" t="s">
        <v>1670</v>
      </c>
      <c r="B908" s="43" t="s">
        <v>145</v>
      </c>
      <c r="C908" s="43" t="s">
        <v>490</v>
      </c>
      <c r="D908" s="10">
        <v>126972</v>
      </c>
      <c r="E908" s="43" t="s">
        <v>15</v>
      </c>
      <c r="F908" s="8">
        <f>_xlfn.IFNA(INDEX('OSA | 3GB'!J:L,MATCH(DATA!D908,'OSA | 3GB'!J:J,0),2),0)</f>
        <v>5</v>
      </c>
      <c r="G908" s="8">
        <f>_xlfn.IFNA(INDEX('OSA | 3GB'!J:L,MATCH(DATA!D908,'OSA | 3GB'!J:J,0),3),0)</f>
        <v>0</v>
      </c>
      <c r="H908" s="32">
        <f>_xlfn.IFNA(INDEX('OSA | 3GB'!A:C,MATCH(DATA!D908,'OSA | 3GB'!A:A,0),2),0)</f>
        <v>3</v>
      </c>
      <c r="I908" s="33" t="str">
        <f>_xlfn.IFNA(INDEX('OSA | 3GB'!A:C,MATCH(DATA!D908,'OSA | 3GB'!A:A,0),3),0)</f>
        <v xml:space="preserve"> -   </v>
      </c>
      <c r="J908" s="33">
        <f>INDEX('BIO WAHYU'!B:G,MATCH(DATA!D908,'BIO WAHYU'!B:B,0),5)</f>
        <v>3</v>
      </c>
      <c r="K908" s="34">
        <f>INDEX('BIO WAHYU'!B:G,MATCH(DATA!D908,'BIO WAHYU'!B:B,0),6)</f>
        <v>1</v>
      </c>
      <c r="L908" s="35">
        <f>INDEX('BIO WAHYU'!B:H,MATCH(DATA!D908,'BIO WAHYU'!B:B,0),7)</f>
        <v>0</v>
      </c>
      <c r="M908" s="34">
        <f>INDEX('BIO WAHYU'!B:H,MATCH(DATA!D908,'BIO WAHYU'!B:B,0),4)</f>
        <v>0</v>
      </c>
    </row>
    <row r="909" spans="1:13">
      <c r="A909" s="43" t="s">
        <v>1674</v>
      </c>
      <c r="B909" s="43" t="s">
        <v>147</v>
      </c>
      <c r="C909" s="43" t="s">
        <v>1428</v>
      </c>
      <c r="D909" s="10">
        <v>199074</v>
      </c>
      <c r="E909" s="43" t="s">
        <v>10</v>
      </c>
      <c r="F909" s="8">
        <f>_xlfn.IFNA(INDEX('OSA | 3GB'!J:L,MATCH(DATA!D909,'OSA | 3GB'!J:J,0),2),0)</f>
        <v>2</v>
      </c>
      <c r="G909" s="8">
        <f>_xlfn.IFNA(INDEX('OSA | 3GB'!J:L,MATCH(DATA!D909,'OSA | 3GB'!J:J,0),3),0)</f>
        <v>450000</v>
      </c>
      <c r="H909" s="32" t="str">
        <f>_xlfn.IFNA(INDEX('OSA | 3GB'!A:C,MATCH(DATA!D909,'OSA | 3GB'!A:A,0),2),0)</f>
        <v xml:space="preserve"> -   </v>
      </c>
      <c r="I909" s="33">
        <f>_xlfn.IFNA(INDEX('OSA | 3GB'!A:C,MATCH(DATA!D909,'OSA | 3GB'!A:A,0),3),0)</f>
        <v>100000</v>
      </c>
      <c r="J909" s="33">
        <f>INDEX('BIO WAHYU'!B:G,MATCH(DATA!D909,'BIO WAHYU'!B:B,0),5)</f>
        <v>0</v>
      </c>
      <c r="K909" s="34">
        <f>INDEX('BIO WAHYU'!B:G,MATCH(DATA!D909,'BIO WAHYU'!B:B,0),6)</f>
        <v>1</v>
      </c>
      <c r="L909" s="35">
        <f>INDEX('BIO WAHYU'!B:H,MATCH(DATA!D909,'BIO WAHYU'!B:B,0),7)</f>
        <v>1</v>
      </c>
      <c r="M909" s="34">
        <f>INDEX('BIO WAHYU'!B:H,MATCH(DATA!D909,'BIO WAHYU'!B:B,0),4)</f>
        <v>0</v>
      </c>
    </row>
    <row r="910" spans="1:13">
      <c r="A910" s="43" t="s">
        <v>1673</v>
      </c>
      <c r="B910" s="43" t="s">
        <v>144</v>
      </c>
      <c r="C910" s="43" t="s">
        <v>215</v>
      </c>
      <c r="D910" s="10">
        <v>12305636</v>
      </c>
      <c r="E910" s="43" t="s">
        <v>10</v>
      </c>
      <c r="F910" s="8">
        <f>_xlfn.IFNA(INDEX('OSA | 3GB'!J:L,MATCH(DATA!D910,'OSA | 3GB'!J:J,0),2),0)</f>
        <v>2</v>
      </c>
      <c r="G910" s="8">
        <f>_xlfn.IFNA(INDEX('OSA | 3GB'!J:L,MATCH(DATA!D910,'OSA | 3GB'!J:J,0),3),0)</f>
        <v>495000</v>
      </c>
      <c r="H910" s="32">
        <f>_xlfn.IFNA(INDEX('OSA | 3GB'!A:C,MATCH(DATA!D910,'OSA | 3GB'!A:A,0),2),0)</f>
        <v>2</v>
      </c>
      <c r="I910" s="33">
        <f>_xlfn.IFNA(INDEX('OSA | 3GB'!A:C,MATCH(DATA!D910,'OSA | 3GB'!A:A,0),3),0)</f>
        <v>108000</v>
      </c>
      <c r="J910" s="33">
        <f>INDEX('BIO WAHYU'!B:G,MATCH(DATA!D910,'BIO WAHYU'!B:B,0),5)</f>
        <v>3</v>
      </c>
      <c r="K910" s="34">
        <f>INDEX('BIO WAHYU'!B:G,MATCH(DATA!D910,'BIO WAHYU'!B:B,0),6)</f>
        <v>4</v>
      </c>
      <c r="L910" s="35">
        <f>INDEX('BIO WAHYU'!B:H,MATCH(DATA!D910,'BIO WAHYU'!B:B,0),7)</f>
        <v>1</v>
      </c>
      <c r="M910" s="34">
        <f>INDEX('BIO WAHYU'!B:H,MATCH(DATA!D910,'BIO WAHYU'!B:B,0),4)</f>
        <v>0</v>
      </c>
    </row>
    <row r="911" spans="1:13">
      <c r="A911" s="43" t="s">
        <v>1672</v>
      </c>
      <c r="B911" s="43">
        <v>2613051475</v>
      </c>
      <c r="C911" s="43" t="s">
        <v>1429</v>
      </c>
      <c r="D911" s="10">
        <v>62462</v>
      </c>
      <c r="E911" s="43" t="s">
        <v>10</v>
      </c>
      <c r="F911" s="8">
        <f>_xlfn.IFNA(INDEX('OSA | 3GB'!J:L,MATCH(DATA!D911,'OSA | 3GB'!J:J,0),2),0)</f>
        <v>1</v>
      </c>
      <c r="G911" s="8">
        <f>_xlfn.IFNA(INDEX('OSA | 3GB'!J:L,MATCH(DATA!D911,'OSA | 3GB'!J:J,0),3),0)</f>
        <v>0</v>
      </c>
      <c r="H911" s="32" t="str">
        <f>_xlfn.IFNA(INDEX('OSA | 3GB'!A:C,MATCH(DATA!D911,'OSA | 3GB'!A:A,0),2),0)</f>
        <v xml:space="preserve"> -   </v>
      </c>
      <c r="I911" s="33" t="str">
        <f>_xlfn.IFNA(INDEX('OSA | 3GB'!A:C,MATCH(DATA!D911,'OSA | 3GB'!A:A,0),3),0)</f>
        <v xml:space="preserve"> -   </v>
      </c>
      <c r="J911" s="33">
        <f>INDEX('BIO WAHYU'!B:G,MATCH(DATA!D911,'BIO WAHYU'!B:B,0),5)</f>
        <v>1</v>
      </c>
      <c r="K911" s="34">
        <f>INDEX('BIO WAHYU'!B:G,MATCH(DATA!D911,'BIO WAHYU'!B:B,0),6)</f>
        <v>0</v>
      </c>
      <c r="L911" s="35">
        <f>INDEX('BIO WAHYU'!B:H,MATCH(DATA!D911,'BIO WAHYU'!B:B,0),7)</f>
        <v>0</v>
      </c>
      <c r="M911" s="34">
        <f>INDEX('BIO WAHYU'!B:H,MATCH(DATA!D911,'BIO WAHYU'!B:B,0),4)</f>
        <v>0</v>
      </c>
    </row>
    <row r="912" spans="1:13">
      <c r="A912" s="43" t="s">
        <v>1672</v>
      </c>
      <c r="B912" s="43">
        <v>2613051475</v>
      </c>
      <c r="C912" s="43" t="s">
        <v>1430</v>
      </c>
      <c r="D912" s="10">
        <v>405829</v>
      </c>
      <c r="E912" s="43" t="s">
        <v>10</v>
      </c>
      <c r="F912" s="8">
        <f>_xlfn.IFNA(INDEX('OSA | 3GB'!J:L,MATCH(DATA!D912,'OSA | 3GB'!J:J,0),2),0)</f>
        <v>6</v>
      </c>
      <c r="G912" s="8">
        <f>_xlfn.IFNA(INDEX('OSA | 3GB'!J:L,MATCH(DATA!D912,'OSA | 3GB'!J:J,0),3),0)</f>
        <v>1500000</v>
      </c>
      <c r="H912" s="32" t="str">
        <f>_xlfn.IFNA(INDEX('OSA | 3GB'!A:C,MATCH(DATA!D912,'OSA | 3GB'!A:A,0),2),0)</f>
        <v xml:space="preserve"> -   </v>
      </c>
      <c r="I912" s="33">
        <f>_xlfn.IFNA(INDEX('OSA | 3GB'!A:C,MATCH(DATA!D912,'OSA | 3GB'!A:A,0),3),0)</f>
        <v>300000</v>
      </c>
      <c r="J912" s="33">
        <f>INDEX('BIO WAHYU'!B:G,MATCH(DATA!D912,'BIO WAHYU'!B:B,0),5)</f>
        <v>3</v>
      </c>
      <c r="K912" s="34">
        <f>INDEX('BIO WAHYU'!B:G,MATCH(DATA!D912,'BIO WAHYU'!B:B,0),6)</f>
        <v>0</v>
      </c>
      <c r="L912" s="35">
        <f>INDEX('BIO WAHYU'!B:H,MATCH(DATA!D912,'BIO WAHYU'!B:B,0),7)</f>
        <v>0</v>
      </c>
      <c r="M912" s="34">
        <f>INDEX('BIO WAHYU'!B:H,MATCH(DATA!D912,'BIO WAHYU'!B:B,0),4)</f>
        <v>0</v>
      </c>
    </row>
    <row r="913" spans="1:13">
      <c r="A913" s="43" t="s">
        <v>1674</v>
      </c>
      <c r="B913" s="43" t="s">
        <v>148</v>
      </c>
      <c r="C913" s="43" t="s">
        <v>633</v>
      </c>
      <c r="D913" s="10">
        <v>182785</v>
      </c>
      <c r="E913" s="43" t="s">
        <v>10</v>
      </c>
      <c r="F913" s="8">
        <f>_xlfn.IFNA(INDEX('OSA | 3GB'!J:L,MATCH(DATA!D913,'OSA | 3GB'!J:J,0),2),0)</f>
        <v>4</v>
      </c>
      <c r="G913" s="8">
        <f>_xlfn.IFNA(INDEX('OSA | 3GB'!J:L,MATCH(DATA!D913,'OSA | 3GB'!J:J,0),3),0)</f>
        <v>1000000</v>
      </c>
      <c r="H913" s="32" t="str">
        <f>_xlfn.IFNA(INDEX('OSA | 3GB'!A:C,MATCH(DATA!D913,'OSA | 3GB'!A:A,0),2),0)</f>
        <v xml:space="preserve"> -   </v>
      </c>
      <c r="I913" s="33">
        <f>_xlfn.IFNA(INDEX('OSA | 3GB'!A:C,MATCH(DATA!D913,'OSA | 3GB'!A:A,0),3),0)</f>
        <v>500000</v>
      </c>
      <c r="J913" s="33">
        <f>INDEX('BIO WAHYU'!B:G,MATCH(DATA!D913,'BIO WAHYU'!B:B,0),5)</f>
        <v>1</v>
      </c>
      <c r="K913" s="34">
        <f>INDEX('BIO WAHYU'!B:G,MATCH(DATA!D913,'BIO WAHYU'!B:B,0),6)</f>
        <v>0</v>
      </c>
      <c r="L913" s="35">
        <f>INDEX('BIO WAHYU'!B:H,MATCH(DATA!D913,'BIO WAHYU'!B:B,0),7)</f>
        <v>0</v>
      </c>
      <c r="M913" s="34">
        <f>INDEX('BIO WAHYU'!B:H,MATCH(DATA!D913,'BIO WAHYU'!B:B,0),4)</f>
        <v>0</v>
      </c>
    </row>
    <row r="914" spans="1:13">
      <c r="A914" s="43" t="s">
        <v>1673</v>
      </c>
      <c r="B914" s="43" t="s">
        <v>1140</v>
      </c>
      <c r="C914" s="43" t="s">
        <v>1431</v>
      </c>
      <c r="D914" s="10">
        <v>571265</v>
      </c>
      <c r="E914" s="43" t="s">
        <v>15</v>
      </c>
      <c r="F914" s="8">
        <f>_xlfn.IFNA(INDEX('OSA | 3GB'!J:L,MATCH(DATA!D914,'OSA | 3GB'!J:J,0),2),0)</f>
        <v>3</v>
      </c>
      <c r="G914" s="8">
        <f>_xlfn.IFNA(INDEX('OSA | 3GB'!J:L,MATCH(DATA!D914,'OSA | 3GB'!J:J,0),3),0)</f>
        <v>1700000</v>
      </c>
      <c r="H914" s="32" t="str">
        <f>_xlfn.IFNA(INDEX('OSA | 3GB'!A:C,MATCH(DATA!D914,'OSA | 3GB'!A:A,0),2),0)</f>
        <v xml:space="preserve"> -   </v>
      </c>
      <c r="I914" s="33">
        <f>_xlfn.IFNA(INDEX('OSA | 3GB'!A:C,MATCH(DATA!D914,'OSA | 3GB'!A:A,0),3),0)</f>
        <v>300000</v>
      </c>
      <c r="J914" s="33">
        <f>INDEX('BIO WAHYU'!B:G,MATCH(DATA!D914,'BIO WAHYU'!B:B,0),5)</f>
        <v>2</v>
      </c>
      <c r="K914" s="34">
        <f>INDEX('BIO WAHYU'!B:G,MATCH(DATA!D914,'BIO WAHYU'!B:B,0),6)</f>
        <v>1</v>
      </c>
      <c r="L914" s="35">
        <f>INDEX('BIO WAHYU'!B:H,MATCH(DATA!D914,'BIO WAHYU'!B:B,0),7)</f>
        <v>0</v>
      </c>
      <c r="M914" s="34">
        <f>INDEX('BIO WAHYU'!B:H,MATCH(DATA!D914,'BIO WAHYU'!B:B,0),4)</f>
        <v>0</v>
      </c>
    </row>
    <row r="915" spans="1:13">
      <c r="A915" s="43" t="s">
        <v>1672</v>
      </c>
      <c r="B915" s="43" t="s">
        <v>150</v>
      </c>
      <c r="C915" s="43" t="s">
        <v>838</v>
      </c>
      <c r="D915" s="10">
        <v>562943</v>
      </c>
      <c r="E915" s="43" t="s">
        <v>10</v>
      </c>
      <c r="F915" s="8">
        <f>_xlfn.IFNA(INDEX('OSA | 3GB'!J:L,MATCH(DATA!D915,'OSA | 3GB'!J:J,0),2),0)</f>
        <v>6</v>
      </c>
      <c r="G915" s="8">
        <f>_xlfn.IFNA(INDEX('OSA | 3GB'!J:L,MATCH(DATA!D915,'OSA | 3GB'!J:J,0),3),0)</f>
        <v>0</v>
      </c>
      <c r="H915" s="32">
        <f>_xlfn.IFNA(INDEX('OSA | 3GB'!A:C,MATCH(DATA!D915,'OSA | 3GB'!A:A,0),2),0)</f>
        <v>3</v>
      </c>
      <c r="I915" s="33" t="str">
        <f>_xlfn.IFNA(INDEX('OSA | 3GB'!A:C,MATCH(DATA!D915,'OSA | 3GB'!A:A,0),3),0)</f>
        <v xml:space="preserve"> -   </v>
      </c>
      <c r="J915" s="33">
        <f>INDEX('BIO WAHYU'!B:G,MATCH(DATA!D915,'BIO WAHYU'!B:B,0),5)</f>
        <v>3</v>
      </c>
      <c r="K915" s="34">
        <f>INDEX('BIO WAHYU'!B:G,MATCH(DATA!D915,'BIO WAHYU'!B:B,0),6)</f>
        <v>3</v>
      </c>
      <c r="L915" s="35">
        <f>INDEX('BIO WAHYU'!B:H,MATCH(DATA!D915,'BIO WAHYU'!B:B,0),7)</f>
        <v>0</v>
      </c>
      <c r="M915" s="34">
        <f>INDEX('BIO WAHYU'!B:H,MATCH(DATA!D915,'BIO WAHYU'!B:B,0),4)</f>
        <v>0</v>
      </c>
    </row>
    <row r="916" spans="1:13">
      <c r="A916" s="43" t="s">
        <v>1673</v>
      </c>
      <c r="B916" s="43" t="s">
        <v>1140</v>
      </c>
      <c r="C916" s="43" t="s">
        <v>1432</v>
      </c>
      <c r="D916" s="10">
        <v>353047</v>
      </c>
      <c r="E916" s="43" t="s">
        <v>15</v>
      </c>
      <c r="F916" s="8">
        <f>_xlfn.IFNA(INDEX('OSA | 3GB'!J:L,MATCH(DATA!D916,'OSA | 3GB'!J:J,0),2),0)</f>
        <v>3</v>
      </c>
      <c r="G916" s="8">
        <f>_xlfn.IFNA(INDEX('OSA | 3GB'!J:L,MATCH(DATA!D916,'OSA | 3GB'!J:J,0),3),0)</f>
        <v>150000</v>
      </c>
      <c r="H916" s="32" t="str">
        <f>_xlfn.IFNA(INDEX('OSA | 3GB'!A:C,MATCH(DATA!D916,'OSA | 3GB'!A:A,0),2),0)</f>
        <v xml:space="preserve"> -   </v>
      </c>
      <c r="I916" s="33">
        <f>_xlfn.IFNA(INDEX('OSA | 3GB'!A:C,MATCH(DATA!D916,'OSA | 3GB'!A:A,0),3),0)</f>
        <v>50000</v>
      </c>
      <c r="J916" s="33">
        <f>INDEX('BIO WAHYU'!B:G,MATCH(DATA!D916,'BIO WAHYU'!B:B,0),5)</f>
        <v>1</v>
      </c>
      <c r="K916" s="34">
        <f>INDEX('BIO WAHYU'!B:G,MATCH(DATA!D916,'BIO WAHYU'!B:B,0),6)</f>
        <v>0</v>
      </c>
      <c r="L916" s="35">
        <f>INDEX('BIO WAHYU'!B:H,MATCH(DATA!D916,'BIO WAHYU'!B:B,0),7)</f>
        <v>0</v>
      </c>
      <c r="M916" s="34">
        <f>INDEX('BIO WAHYU'!B:H,MATCH(DATA!D916,'BIO WAHYU'!B:B,0),4)</f>
        <v>0</v>
      </c>
    </row>
    <row r="917" spans="1:13">
      <c r="A917" s="43" t="s">
        <v>1674</v>
      </c>
      <c r="B917" s="43" t="s">
        <v>152</v>
      </c>
      <c r="C917" s="43" t="s">
        <v>671</v>
      </c>
      <c r="D917" s="10">
        <v>391817</v>
      </c>
      <c r="E917" s="43" t="s">
        <v>10</v>
      </c>
      <c r="F917" s="8">
        <f>_xlfn.IFNA(INDEX('OSA | 3GB'!J:L,MATCH(DATA!D917,'OSA | 3GB'!J:J,0),2),0)</f>
        <v>61</v>
      </c>
      <c r="G917" s="8">
        <f>_xlfn.IFNA(INDEX('OSA | 3GB'!J:L,MATCH(DATA!D917,'OSA | 3GB'!J:J,0),3),0)</f>
        <v>13029000</v>
      </c>
      <c r="H917" s="32" t="str">
        <f>_xlfn.IFNA(INDEX('OSA | 3GB'!A:C,MATCH(DATA!D917,'OSA | 3GB'!A:A,0),2),0)</f>
        <v xml:space="preserve"> -   </v>
      </c>
      <c r="I917" s="33">
        <f>_xlfn.IFNA(INDEX('OSA | 3GB'!A:C,MATCH(DATA!D917,'OSA | 3GB'!A:A,0),3),0)</f>
        <v>3500000</v>
      </c>
      <c r="J917" s="33">
        <f>INDEX('BIO WAHYU'!B:G,MATCH(DATA!D917,'BIO WAHYU'!B:B,0),5)</f>
        <v>19</v>
      </c>
      <c r="K917" s="34">
        <f>INDEX('BIO WAHYU'!B:G,MATCH(DATA!D917,'BIO WAHYU'!B:B,0),6)</f>
        <v>13</v>
      </c>
      <c r="L917" s="35">
        <f>INDEX('BIO WAHYU'!B:H,MATCH(DATA!D917,'BIO WAHYU'!B:B,0),7)</f>
        <v>0</v>
      </c>
      <c r="M917" s="34">
        <f>INDEX('BIO WAHYU'!B:H,MATCH(DATA!D917,'BIO WAHYU'!B:B,0),4)</f>
        <v>0</v>
      </c>
    </row>
    <row r="918" spans="1:13">
      <c r="A918" s="43" t="s">
        <v>1674</v>
      </c>
      <c r="B918" s="43" t="s">
        <v>153</v>
      </c>
      <c r="C918" s="43" t="s">
        <v>732</v>
      </c>
      <c r="D918" s="10">
        <v>61846</v>
      </c>
      <c r="E918" s="43" t="s">
        <v>10</v>
      </c>
      <c r="F918" s="8">
        <f>_xlfn.IFNA(INDEX('OSA | 3GB'!J:L,MATCH(DATA!D918,'OSA | 3GB'!J:J,0),2),0)</f>
        <v>4</v>
      </c>
      <c r="G918" s="8">
        <f>_xlfn.IFNA(INDEX('OSA | 3GB'!J:L,MATCH(DATA!D918,'OSA | 3GB'!J:J,0),3),0)</f>
        <v>250000</v>
      </c>
      <c r="H918" s="32" t="str">
        <f>_xlfn.IFNA(INDEX('OSA | 3GB'!A:C,MATCH(DATA!D918,'OSA | 3GB'!A:A,0),2),0)</f>
        <v xml:space="preserve"> -   </v>
      </c>
      <c r="I918" s="33">
        <f>_xlfn.IFNA(INDEX('OSA | 3GB'!A:C,MATCH(DATA!D918,'OSA | 3GB'!A:A,0),3),0)</f>
        <v>200000</v>
      </c>
      <c r="J918" s="33">
        <f>INDEX('BIO WAHYU'!B:G,MATCH(DATA!D918,'BIO WAHYU'!B:B,0),5)</f>
        <v>1</v>
      </c>
      <c r="K918" s="34">
        <f>INDEX('BIO WAHYU'!B:G,MATCH(DATA!D918,'BIO WAHYU'!B:B,0),6)</f>
        <v>4</v>
      </c>
      <c r="L918" s="35">
        <f>INDEX('BIO WAHYU'!B:H,MATCH(DATA!D918,'BIO WAHYU'!B:B,0),7)</f>
        <v>3</v>
      </c>
      <c r="M918" s="34">
        <f>INDEX('BIO WAHYU'!B:H,MATCH(DATA!D918,'BIO WAHYU'!B:B,0),4)</f>
        <v>0</v>
      </c>
    </row>
    <row r="919" spans="1:13">
      <c r="A919" s="43" t="s">
        <v>1672</v>
      </c>
      <c r="B919" s="43" t="s">
        <v>156</v>
      </c>
      <c r="C919" s="43" t="s">
        <v>1433</v>
      </c>
      <c r="D919" s="10">
        <v>496643</v>
      </c>
      <c r="E919" s="43" t="s">
        <v>10</v>
      </c>
      <c r="F919" s="8">
        <f>_xlfn.IFNA(INDEX('OSA | 3GB'!J:L,MATCH(DATA!D919,'OSA | 3GB'!J:J,0),2),0)</f>
        <v>0</v>
      </c>
      <c r="G919" s="8">
        <f>_xlfn.IFNA(INDEX('OSA | 3GB'!J:L,MATCH(DATA!D919,'OSA | 3GB'!J:J,0),3),0)</f>
        <v>0</v>
      </c>
      <c r="H919" s="32" t="str">
        <f>_xlfn.IFNA(INDEX('OSA | 3GB'!A:C,MATCH(DATA!D919,'OSA | 3GB'!A:A,0),2),0)</f>
        <v xml:space="preserve"> -   </v>
      </c>
      <c r="I919" s="33" t="str">
        <f>_xlfn.IFNA(INDEX('OSA | 3GB'!A:C,MATCH(DATA!D919,'OSA | 3GB'!A:A,0),3),0)</f>
        <v xml:space="preserve"> -   </v>
      </c>
      <c r="J919" s="33">
        <f>INDEX('BIO WAHYU'!B:G,MATCH(DATA!D919,'BIO WAHYU'!B:B,0),5)</f>
        <v>0</v>
      </c>
      <c r="K919" s="34">
        <f>INDEX('BIO WAHYU'!B:G,MATCH(DATA!D919,'BIO WAHYU'!B:B,0),6)</f>
        <v>0</v>
      </c>
      <c r="L919" s="35">
        <f>INDEX('BIO WAHYU'!B:H,MATCH(DATA!D919,'BIO WAHYU'!B:B,0),7)</f>
        <v>0</v>
      </c>
      <c r="M919" s="34">
        <f>INDEX('BIO WAHYU'!B:H,MATCH(DATA!D919,'BIO WAHYU'!B:B,0),4)</f>
        <v>0</v>
      </c>
    </row>
    <row r="920" spans="1:13">
      <c r="A920" s="43" t="s">
        <v>1674</v>
      </c>
      <c r="B920" s="43" t="s">
        <v>148</v>
      </c>
      <c r="C920" s="43" t="s">
        <v>630</v>
      </c>
      <c r="D920" s="10">
        <v>124855</v>
      </c>
      <c r="E920" s="43" t="s">
        <v>10</v>
      </c>
      <c r="F920" s="8">
        <f>_xlfn.IFNA(INDEX('OSA | 3GB'!J:L,MATCH(DATA!D920,'OSA | 3GB'!J:J,0),2),0)</f>
        <v>3</v>
      </c>
      <c r="G920" s="8">
        <f>_xlfn.IFNA(INDEX('OSA | 3GB'!J:L,MATCH(DATA!D920,'OSA | 3GB'!J:J,0),3),0)</f>
        <v>5925000</v>
      </c>
      <c r="H920" s="32">
        <f>_xlfn.IFNA(INDEX('OSA | 3GB'!A:C,MATCH(DATA!D920,'OSA | 3GB'!A:A,0),2),0)</f>
        <v>4</v>
      </c>
      <c r="I920" s="33">
        <f>_xlfn.IFNA(INDEX('OSA | 3GB'!A:C,MATCH(DATA!D920,'OSA | 3GB'!A:A,0),3),0)</f>
        <v>1675000</v>
      </c>
      <c r="J920" s="33">
        <f>INDEX('BIO WAHYU'!B:G,MATCH(DATA!D920,'BIO WAHYU'!B:B,0),5)</f>
        <v>1</v>
      </c>
      <c r="K920" s="34">
        <f>INDEX('BIO WAHYU'!B:G,MATCH(DATA!D920,'BIO WAHYU'!B:B,0),6)</f>
        <v>1</v>
      </c>
      <c r="L920" s="35">
        <f>INDEX('BIO WAHYU'!B:H,MATCH(DATA!D920,'BIO WAHYU'!B:B,0),7)</f>
        <v>0</v>
      </c>
      <c r="M920" s="34">
        <f>INDEX('BIO WAHYU'!B:H,MATCH(DATA!D920,'BIO WAHYU'!B:B,0),4)</f>
        <v>0</v>
      </c>
    </row>
    <row r="921" spans="1:13">
      <c r="A921" s="43" t="s">
        <v>1670</v>
      </c>
      <c r="B921" s="43" t="s">
        <v>140</v>
      </c>
      <c r="C921" s="43" t="s">
        <v>463</v>
      </c>
      <c r="D921" s="10">
        <v>200996</v>
      </c>
      <c r="E921" s="43" t="s">
        <v>10</v>
      </c>
      <c r="F921" s="8">
        <f>_xlfn.IFNA(INDEX('OSA | 3GB'!J:L,MATCH(DATA!D921,'OSA | 3GB'!J:J,0),2),0)</f>
        <v>206</v>
      </c>
      <c r="G921" s="8">
        <f>_xlfn.IFNA(INDEX('OSA | 3GB'!J:L,MATCH(DATA!D921,'OSA | 3GB'!J:J,0),3),0)</f>
        <v>8190000</v>
      </c>
      <c r="H921" s="32" t="str">
        <f>_xlfn.IFNA(INDEX('OSA | 3GB'!A:C,MATCH(DATA!D921,'OSA | 3GB'!A:A,0),2),0)</f>
        <v xml:space="preserve"> -   </v>
      </c>
      <c r="I921" s="33" t="str">
        <f>_xlfn.IFNA(INDEX('OSA | 3GB'!A:C,MATCH(DATA!D921,'OSA | 3GB'!A:A,0),3),0)</f>
        <v xml:space="preserve"> -   </v>
      </c>
      <c r="J921" s="33">
        <f>INDEX('BIO WAHYU'!B:G,MATCH(DATA!D921,'BIO WAHYU'!B:B,0),5)</f>
        <v>58</v>
      </c>
      <c r="K921" s="34">
        <f>INDEX('BIO WAHYU'!B:G,MATCH(DATA!D921,'BIO WAHYU'!B:B,0),6)</f>
        <v>51</v>
      </c>
      <c r="L921" s="35">
        <f>INDEX('BIO WAHYU'!B:H,MATCH(DATA!D921,'BIO WAHYU'!B:B,0),7)</f>
        <v>0</v>
      </c>
      <c r="M921" s="34">
        <f>INDEX('BIO WAHYU'!B:H,MATCH(DATA!D921,'BIO WAHYU'!B:B,0),4)</f>
        <v>0</v>
      </c>
    </row>
    <row r="922" spans="1:13">
      <c r="A922" s="43" t="s">
        <v>1670</v>
      </c>
      <c r="B922" s="43" t="s">
        <v>146</v>
      </c>
      <c r="C922" s="43" t="s">
        <v>534</v>
      </c>
      <c r="D922" s="10">
        <v>12323486</v>
      </c>
      <c r="E922" s="43" t="s">
        <v>10</v>
      </c>
      <c r="F922" s="8">
        <f>_xlfn.IFNA(INDEX('OSA | 3GB'!J:L,MATCH(DATA!D922,'OSA | 3GB'!J:J,0),2),0)</f>
        <v>3</v>
      </c>
      <c r="G922" s="8">
        <f>_xlfn.IFNA(INDEX('OSA | 3GB'!J:L,MATCH(DATA!D922,'OSA | 3GB'!J:J,0),3),0)</f>
        <v>750000</v>
      </c>
      <c r="H922" s="32" t="str">
        <f>_xlfn.IFNA(INDEX('OSA | 3GB'!A:C,MATCH(DATA!D922,'OSA | 3GB'!A:A,0),2),0)</f>
        <v xml:space="preserve"> -   </v>
      </c>
      <c r="I922" s="33">
        <f>_xlfn.IFNA(INDEX('OSA | 3GB'!A:C,MATCH(DATA!D922,'OSA | 3GB'!A:A,0),3),0)</f>
        <v>300000</v>
      </c>
      <c r="J922" s="33">
        <f>INDEX('BIO WAHYU'!B:G,MATCH(DATA!D922,'BIO WAHYU'!B:B,0),5)</f>
        <v>2</v>
      </c>
      <c r="K922" s="34">
        <f>INDEX('BIO WAHYU'!B:G,MATCH(DATA!D922,'BIO WAHYU'!B:B,0),6)</f>
        <v>0</v>
      </c>
      <c r="L922" s="35">
        <f>INDEX('BIO WAHYU'!B:H,MATCH(DATA!D922,'BIO WAHYU'!B:B,0),7)</f>
        <v>0</v>
      </c>
      <c r="M922" s="34">
        <f>INDEX('BIO WAHYU'!B:H,MATCH(DATA!D922,'BIO WAHYU'!B:B,0),4)</f>
        <v>0</v>
      </c>
    </row>
    <row r="923" spans="1:13">
      <c r="A923" s="43" t="s">
        <v>1671</v>
      </c>
      <c r="B923" s="43" t="s">
        <v>142</v>
      </c>
      <c r="C923" s="43" t="s">
        <v>1434</v>
      </c>
      <c r="D923" s="10">
        <v>12307587</v>
      </c>
      <c r="E923" s="43" t="s">
        <v>15</v>
      </c>
      <c r="F923" s="8">
        <f>_xlfn.IFNA(INDEX('OSA | 3GB'!J:L,MATCH(DATA!D923,'OSA | 3GB'!J:J,0),2),0)</f>
        <v>6</v>
      </c>
      <c r="G923" s="8">
        <f>_xlfn.IFNA(INDEX('OSA | 3GB'!J:L,MATCH(DATA!D923,'OSA | 3GB'!J:J,0),3),0)</f>
        <v>3579000</v>
      </c>
      <c r="H923" s="32">
        <f>_xlfn.IFNA(INDEX('OSA | 3GB'!A:C,MATCH(DATA!D923,'OSA | 3GB'!A:A,0),2),0)</f>
        <v>2</v>
      </c>
      <c r="I923" s="33">
        <f>_xlfn.IFNA(INDEX('OSA | 3GB'!A:C,MATCH(DATA!D923,'OSA | 3GB'!A:A,0),3),0)</f>
        <v>1158000</v>
      </c>
      <c r="J923" s="33">
        <f>INDEX('BIO WAHYU'!B:G,MATCH(DATA!D923,'BIO WAHYU'!B:B,0),5)</f>
        <v>2</v>
      </c>
      <c r="K923" s="34">
        <f>INDEX('BIO WAHYU'!B:G,MATCH(DATA!D923,'BIO WAHYU'!B:B,0),6)</f>
        <v>1</v>
      </c>
      <c r="L923" s="35">
        <f>INDEX('BIO WAHYU'!B:H,MATCH(DATA!D923,'BIO WAHYU'!B:B,0),7)</f>
        <v>0</v>
      </c>
      <c r="M923" s="34">
        <f>INDEX('BIO WAHYU'!B:H,MATCH(DATA!D923,'BIO WAHYU'!B:B,0),4)</f>
        <v>0</v>
      </c>
    </row>
    <row r="924" spans="1:13">
      <c r="A924" s="43" t="s">
        <v>1674</v>
      </c>
      <c r="B924" s="43" t="s">
        <v>147</v>
      </c>
      <c r="C924" s="43" t="s">
        <v>613</v>
      </c>
      <c r="D924" s="10">
        <v>457893</v>
      </c>
      <c r="E924" s="43" t="s">
        <v>10</v>
      </c>
      <c r="F924" s="8">
        <f>_xlfn.IFNA(INDEX('OSA | 3GB'!J:L,MATCH(DATA!D924,'OSA | 3GB'!J:J,0),2),0)</f>
        <v>1</v>
      </c>
      <c r="G924" s="8">
        <f>_xlfn.IFNA(INDEX('OSA | 3GB'!J:L,MATCH(DATA!D924,'OSA | 3GB'!J:J,0),3),0)</f>
        <v>989000</v>
      </c>
      <c r="H924" s="32" t="str">
        <f>_xlfn.IFNA(INDEX('OSA | 3GB'!A:C,MATCH(DATA!D924,'OSA | 3GB'!A:A,0),2),0)</f>
        <v xml:space="preserve"> -   </v>
      </c>
      <c r="I924" s="33" t="str">
        <f>_xlfn.IFNA(INDEX('OSA | 3GB'!A:C,MATCH(DATA!D924,'OSA | 3GB'!A:A,0),3),0)</f>
        <v xml:space="preserve"> -   </v>
      </c>
      <c r="J924" s="33">
        <f>INDEX('BIO WAHYU'!B:G,MATCH(DATA!D924,'BIO WAHYU'!B:B,0),5)</f>
        <v>1</v>
      </c>
      <c r="K924" s="34">
        <f>INDEX('BIO WAHYU'!B:G,MATCH(DATA!D924,'BIO WAHYU'!B:B,0),6)</f>
        <v>0</v>
      </c>
      <c r="L924" s="35">
        <f>INDEX('BIO WAHYU'!B:H,MATCH(DATA!D924,'BIO WAHYU'!B:B,0),7)</f>
        <v>0</v>
      </c>
      <c r="M924" s="34">
        <f>INDEX('BIO WAHYU'!B:H,MATCH(DATA!D924,'BIO WAHYU'!B:B,0),4)</f>
        <v>0</v>
      </c>
    </row>
    <row r="925" spans="1:13">
      <c r="A925" s="43" t="s">
        <v>1670</v>
      </c>
      <c r="B925" s="43" t="s">
        <v>140</v>
      </c>
      <c r="C925" s="43" t="s">
        <v>462</v>
      </c>
      <c r="D925" s="10">
        <v>1777</v>
      </c>
      <c r="E925" s="43" t="s">
        <v>10</v>
      </c>
      <c r="F925" s="8">
        <f>_xlfn.IFNA(INDEX('OSA | 3GB'!J:L,MATCH(DATA!D925,'OSA | 3GB'!J:J,0),2),0)</f>
        <v>6</v>
      </c>
      <c r="G925" s="8">
        <f>_xlfn.IFNA(INDEX('OSA | 3GB'!J:L,MATCH(DATA!D925,'OSA | 3GB'!J:J,0),3),0)</f>
        <v>450000</v>
      </c>
      <c r="H925" s="32" t="str">
        <f>_xlfn.IFNA(INDEX('OSA | 3GB'!A:C,MATCH(DATA!D925,'OSA | 3GB'!A:A,0),2),0)</f>
        <v xml:space="preserve"> -   </v>
      </c>
      <c r="I925" s="33">
        <f>_xlfn.IFNA(INDEX('OSA | 3GB'!A:C,MATCH(DATA!D925,'OSA | 3GB'!A:A,0),3),0)</f>
        <v>150000</v>
      </c>
      <c r="J925" s="33">
        <f>INDEX('BIO WAHYU'!B:G,MATCH(DATA!D925,'BIO WAHYU'!B:B,0),5)</f>
        <v>3</v>
      </c>
      <c r="K925" s="34">
        <f>INDEX('BIO WAHYU'!B:G,MATCH(DATA!D925,'BIO WAHYU'!B:B,0),6)</f>
        <v>2</v>
      </c>
      <c r="L925" s="35">
        <f>INDEX('BIO WAHYU'!B:H,MATCH(DATA!D925,'BIO WAHYU'!B:B,0),7)</f>
        <v>0</v>
      </c>
      <c r="M925" s="34">
        <f>INDEX('BIO WAHYU'!B:H,MATCH(DATA!D925,'BIO WAHYU'!B:B,0),4)</f>
        <v>0</v>
      </c>
    </row>
    <row r="926" spans="1:13">
      <c r="A926" s="43" t="s">
        <v>1674</v>
      </c>
      <c r="B926" s="43" t="s">
        <v>154</v>
      </c>
      <c r="C926" s="43" t="s">
        <v>748</v>
      </c>
      <c r="D926" s="10">
        <v>489805</v>
      </c>
      <c r="E926" s="43" t="s">
        <v>10</v>
      </c>
      <c r="F926" s="8">
        <f>_xlfn.IFNA(INDEX('OSA | 3GB'!J:L,MATCH(DATA!D926,'OSA | 3GB'!J:J,0),2),0)</f>
        <v>0</v>
      </c>
      <c r="G926" s="8">
        <f>_xlfn.IFNA(INDEX('OSA | 3GB'!J:L,MATCH(DATA!D926,'OSA | 3GB'!J:J,0),3),0)</f>
        <v>3400000</v>
      </c>
      <c r="H926" s="32" t="str">
        <f>_xlfn.IFNA(INDEX('OSA | 3GB'!A:C,MATCH(DATA!D926,'OSA | 3GB'!A:A,0),2),0)</f>
        <v xml:space="preserve"> -   </v>
      </c>
      <c r="I926" s="33">
        <f>_xlfn.IFNA(INDEX('OSA | 3GB'!A:C,MATCH(DATA!D926,'OSA | 3GB'!A:A,0),3),0)</f>
        <v>1700000</v>
      </c>
      <c r="J926" s="33">
        <f>INDEX('BIO WAHYU'!B:G,MATCH(DATA!D926,'BIO WAHYU'!B:B,0),5)</f>
        <v>2</v>
      </c>
      <c r="K926" s="34">
        <f>INDEX('BIO WAHYU'!B:G,MATCH(DATA!D926,'BIO WAHYU'!B:B,0),6)</f>
        <v>0</v>
      </c>
      <c r="L926" s="35">
        <f>INDEX('BIO WAHYU'!B:H,MATCH(DATA!D926,'BIO WAHYU'!B:B,0),7)</f>
        <v>0</v>
      </c>
      <c r="M926" s="34">
        <f>INDEX('BIO WAHYU'!B:H,MATCH(DATA!D926,'BIO WAHYU'!B:B,0),4)</f>
        <v>0</v>
      </c>
    </row>
    <row r="927" spans="1:13">
      <c r="A927" s="43" t="s">
        <v>1671</v>
      </c>
      <c r="B927" s="43" t="s">
        <v>142</v>
      </c>
      <c r="C927" s="43" t="s">
        <v>363</v>
      </c>
      <c r="D927" s="10">
        <v>529781</v>
      </c>
      <c r="E927" s="43" t="s">
        <v>10</v>
      </c>
      <c r="F927" s="8">
        <f>_xlfn.IFNA(INDEX('OSA | 3GB'!J:L,MATCH(DATA!D927,'OSA | 3GB'!J:J,0),2),0)</f>
        <v>11</v>
      </c>
      <c r="G927" s="8">
        <f>_xlfn.IFNA(INDEX('OSA | 3GB'!J:L,MATCH(DATA!D927,'OSA | 3GB'!J:J,0),3),0)</f>
        <v>9337000</v>
      </c>
      <c r="H927" s="32">
        <f>_xlfn.IFNA(INDEX('OSA | 3GB'!A:C,MATCH(DATA!D927,'OSA | 3GB'!A:A,0),2),0)</f>
        <v>20</v>
      </c>
      <c r="I927" s="33">
        <f>_xlfn.IFNA(INDEX('OSA | 3GB'!A:C,MATCH(DATA!D927,'OSA | 3GB'!A:A,0),3),0)</f>
        <v>1337000</v>
      </c>
      <c r="J927" s="33">
        <f>INDEX('BIO WAHYU'!B:G,MATCH(DATA!D927,'BIO WAHYU'!B:B,0),5)</f>
        <v>5</v>
      </c>
      <c r="K927" s="34">
        <f>INDEX('BIO WAHYU'!B:G,MATCH(DATA!D927,'BIO WAHYU'!B:B,0),6)</f>
        <v>2</v>
      </c>
      <c r="L927" s="35">
        <f>INDEX('BIO WAHYU'!B:H,MATCH(DATA!D927,'BIO WAHYU'!B:B,0),7)</f>
        <v>0</v>
      </c>
      <c r="M927" s="34">
        <f>INDEX('BIO WAHYU'!B:H,MATCH(DATA!D927,'BIO WAHYU'!B:B,0),4)</f>
        <v>0</v>
      </c>
    </row>
    <row r="928" spans="1:13">
      <c r="A928" s="43" t="s">
        <v>1672</v>
      </c>
      <c r="B928" s="43" t="s">
        <v>151</v>
      </c>
      <c r="C928" s="43" t="s">
        <v>883</v>
      </c>
      <c r="D928" s="10">
        <v>62320</v>
      </c>
      <c r="E928" s="43" t="s">
        <v>10</v>
      </c>
      <c r="F928" s="8">
        <f>_xlfn.IFNA(INDEX('OSA | 3GB'!J:L,MATCH(DATA!D928,'OSA | 3GB'!J:J,0),2),0)</f>
        <v>5</v>
      </c>
      <c r="G928" s="8">
        <f>_xlfn.IFNA(INDEX('OSA | 3GB'!J:L,MATCH(DATA!D928,'OSA | 3GB'!J:J,0),3),0)</f>
        <v>100000</v>
      </c>
      <c r="H928" s="32">
        <f>_xlfn.IFNA(INDEX('OSA | 3GB'!A:C,MATCH(DATA!D928,'OSA | 3GB'!A:A,0),2),0)</f>
        <v>3</v>
      </c>
      <c r="I928" s="33">
        <f>_xlfn.IFNA(INDEX('OSA | 3GB'!A:C,MATCH(DATA!D928,'OSA | 3GB'!A:A,0),3),0)</f>
        <v>87000</v>
      </c>
      <c r="J928" s="33">
        <f>INDEX('BIO WAHYU'!B:G,MATCH(DATA!D928,'BIO WAHYU'!B:B,0),5)</f>
        <v>2</v>
      </c>
      <c r="K928" s="34">
        <f>INDEX('BIO WAHYU'!B:G,MATCH(DATA!D928,'BIO WAHYU'!B:B,0),6)</f>
        <v>0</v>
      </c>
      <c r="L928" s="35">
        <f>INDEX('BIO WAHYU'!B:H,MATCH(DATA!D928,'BIO WAHYU'!B:B,0),7)</f>
        <v>0</v>
      </c>
      <c r="M928" s="34">
        <f>INDEX('BIO WAHYU'!B:H,MATCH(DATA!D928,'BIO WAHYU'!B:B,0),4)</f>
        <v>0</v>
      </c>
    </row>
    <row r="929" spans="1:13">
      <c r="A929" s="43" t="s">
        <v>1674</v>
      </c>
      <c r="B929" s="43" t="s">
        <v>147</v>
      </c>
      <c r="C929" s="43" t="s">
        <v>604</v>
      </c>
      <c r="D929" s="10">
        <v>243030</v>
      </c>
      <c r="E929" s="43" t="s">
        <v>10</v>
      </c>
      <c r="F929" s="8">
        <f>_xlfn.IFNA(INDEX('OSA | 3GB'!J:L,MATCH(DATA!D929,'OSA | 3GB'!J:J,0),2),0)</f>
        <v>0</v>
      </c>
      <c r="G929" s="8">
        <f>_xlfn.IFNA(INDEX('OSA | 3GB'!J:L,MATCH(DATA!D929,'OSA | 3GB'!J:J,0),3),0)</f>
        <v>200000</v>
      </c>
      <c r="H929" s="32" t="str">
        <f>_xlfn.IFNA(INDEX('OSA | 3GB'!A:C,MATCH(DATA!D929,'OSA | 3GB'!A:A,0),2),0)</f>
        <v xml:space="preserve"> -   </v>
      </c>
      <c r="I929" s="33">
        <f>_xlfn.IFNA(INDEX('OSA | 3GB'!A:C,MATCH(DATA!D929,'OSA | 3GB'!A:A,0),3),0)</f>
        <v>200000</v>
      </c>
      <c r="J929" s="33">
        <f>INDEX('BIO WAHYU'!B:G,MATCH(DATA!D929,'BIO WAHYU'!B:B,0),5)</f>
        <v>0</v>
      </c>
      <c r="K929" s="34">
        <f>INDEX('BIO WAHYU'!B:G,MATCH(DATA!D929,'BIO WAHYU'!B:B,0),6)</f>
        <v>0</v>
      </c>
      <c r="L929" s="35">
        <f>INDEX('BIO WAHYU'!B:H,MATCH(DATA!D929,'BIO WAHYU'!B:B,0),7)</f>
        <v>0</v>
      </c>
      <c r="M929" s="34">
        <f>INDEX('BIO WAHYU'!B:H,MATCH(DATA!D929,'BIO WAHYU'!B:B,0),4)</f>
        <v>0</v>
      </c>
    </row>
    <row r="930" spans="1:13">
      <c r="A930" s="43" t="s">
        <v>1674</v>
      </c>
      <c r="B930" s="43" t="s">
        <v>153</v>
      </c>
      <c r="C930" s="43" t="s">
        <v>1435</v>
      </c>
      <c r="D930" s="10">
        <v>272816</v>
      </c>
      <c r="E930" s="43" t="s">
        <v>10</v>
      </c>
      <c r="F930" s="8">
        <f>_xlfn.IFNA(INDEX('OSA | 3GB'!J:L,MATCH(DATA!D930,'OSA | 3GB'!J:J,0),2),0)</f>
        <v>8</v>
      </c>
      <c r="G930" s="8">
        <f>_xlfn.IFNA(INDEX('OSA | 3GB'!J:L,MATCH(DATA!D930,'OSA | 3GB'!J:J,0),3),0)</f>
        <v>9087000</v>
      </c>
      <c r="H930" s="32" t="str">
        <f>_xlfn.IFNA(INDEX('OSA | 3GB'!A:C,MATCH(DATA!D930,'OSA | 3GB'!A:A,0),2),0)</f>
        <v xml:space="preserve"> -   </v>
      </c>
      <c r="I930" s="33">
        <f>_xlfn.IFNA(INDEX('OSA | 3GB'!A:C,MATCH(DATA!D930,'OSA | 3GB'!A:A,0),3),0)</f>
        <v>3500000</v>
      </c>
      <c r="J930" s="33">
        <f>INDEX('BIO WAHYU'!B:G,MATCH(DATA!D930,'BIO WAHYU'!B:B,0),5)</f>
        <v>5</v>
      </c>
      <c r="K930" s="34">
        <f>INDEX('BIO WAHYU'!B:G,MATCH(DATA!D930,'BIO WAHYU'!B:B,0),6)</f>
        <v>2</v>
      </c>
      <c r="L930" s="35">
        <f>INDEX('BIO WAHYU'!B:H,MATCH(DATA!D930,'BIO WAHYU'!B:B,0),7)</f>
        <v>0</v>
      </c>
      <c r="M930" s="34">
        <f>INDEX('BIO WAHYU'!B:H,MATCH(DATA!D930,'BIO WAHYU'!B:B,0),4)</f>
        <v>0</v>
      </c>
    </row>
    <row r="931" spans="1:13">
      <c r="A931" s="43" t="s">
        <v>1672</v>
      </c>
      <c r="B931" s="43" t="s">
        <v>149</v>
      </c>
      <c r="C931" s="43" t="s">
        <v>192</v>
      </c>
      <c r="D931" s="10">
        <v>245224</v>
      </c>
      <c r="E931" s="43" t="s">
        <v>10</v>
      </c>
      <c r="F931" s="8">
        <f>_xlfn.IFNA(INDEX('OSA | 3GB'!J:L,MATCH(DATA!D931,'OSA | 3GB'!J:J,0),2),0)</f>
        <v>3</v>
      </c>
      <c r="G931" s="8">
        <f>_xlfn.IFNA(INDEX('OSA | 3GB'!J:L,MATCH(DATA!D931,'OSA | 3GB'!J:J,0),3),0)</f>
        <v>1150000</v>
      </c>
      <c r="H931" s="32">
        <f>_xlfn.IFNA(INDEX('OSA | 3GB'!A:C,MATCH(DATA!D931,'OSA | 3GB'!A:A,0),2),0)</f>
        <v>2</v>
      </c>
      <c r="I931" s="33">
        <f>_xlfn.IFNA(INDEX('OSA | 3GB'!A:C,MATCH(DATA!D931,'OSA | 3GB'!A:A,0),3),0)</f>
        <v>158000</v>
      </c>
      <c r="J931" s="33">
        <f>INDEX('BIO WAHYU'!B:G,MATCH(DATA!D931,'BIO WAHYU'!B:B,0),5)</f>
        <v>3</v>
      </c>
      <c r="K931" s="34">
        <f>INDEX('BIO WAHYU'!B:G,MATCH(DATA!D931,'BIO WAHYU'!B:B,0),6)</f>
        <v>0</v>
      </c>
      <c r="L931" s="35">
        <f>INDEX('BIO WAHYU'!B:H,MATCH(DATA!D931,'BIO WAHYU'!B:B,0),7)</f>
        <v>0</v>
      </c>
      <c r="M931" s="34">
        <f>INDEX('BIO WAHYU'!B:H,MATCH(DATA!D931,'BIO WAHYU'!B:B,0),4)</f>
        <v>0</v>
      </c>
    </row>
    <row r="932" spans="1:13">
      <c r="A932" s="43" t="s">
        <v>1675</v>
      </c>
      <c r="B932" s="43">
        <v>2613051043</v>
      </c>
      <c r="C932" s="43" t="s">
        <v>438</v>
      </c>
      <c r="D932" s="10">
        <v>12296813</v>
      </c>
      <c r="E932" s="43" t="s">
        <v>15</v>
      </c>
      <c r="F932" s="8">
        <f>_xlfn.IFNA(INDEX('OSA | 3GB'!J:L,MATCH(DATA!D932,'OSA | 3GB'!J:J,0),2),0)</f>
        <v>0</v>
      </c>
      <c r="G932" s="8">
        <f>_xlfn.IFNA(INDEX('OSA | 3GB'!J:L,MATCH(DATA!D932,'OSA | 3GB'!J:J,0),3),0)</f>
        <v>0</v>
      </c>
      <c r="H932" s="32" t="str">
        <f>_xlfn.IFNA(INDEX('OSA | 3GB'!A:C,MATCH(DATA!D932,'OSA | 3GB'!A:A,0),2),0)</f>
        <v xml:space="preserve"> -   </v>
      </c>
      <c r="I932" s="33" t="str">
        <f>_xlfn.IFNA(INDEX('OSA | 3GB'!A:C,MATCH(DATA!D932,'OSA | 3GB'!A:A,0),3),0)</f>
        <v xml:space="preserve"> -   </v>
      </c>
      <c r="J932" s="33">
        <f>INDEX('BIO WAHYU'!B:G,MATCH(DATA!D932,'BIO WAHYU'!B:B,0),5)</f>
        <v>0</v>
      </c>
      <c r="K932" s="34">
        <f>INDEX('BIO WAHYU'!B:G,MATCH(DATA!D932,'BIO WAHYU'!B:B,0),6)</f>
        <v>0</v>
      </c>
      <c r="L932" s="35">
        <f>INDEX('BIO WAHYU'!B:H,MATCH(DATA!D932,'BIO WAHYU'!B:B,0),7)</f>
        <v>0</v>
      </c>
      <c r="M932" s="34">
        <f>INDEX('BIO WAHYU'!B:H,MATCH(DATA!D932,'BIO WAHYU'!B:B,0),4)</f>
        <v>0</v>
      </c>
    </row>
    <row r="933" spans="1:13">
      <c r="A933" s="43" t="s">
        <v>1672</v>
      </c>
      <c r="B933" s="43" t="s">
        <v>155</v>
      </c>
      <c r="C933" s="43" t="s">
        <v>959</v>
      </c>
      <c r="D933" s="10">
        <v>62079</v>
      </c>
      <c r="E933" s="43" t="s">
        <v>10</v>
      </c>
      <c r="F933" s="8">
        <f>_xlfn.IFNA(INDEX('OSA | 3GB'!J:L,MATCH(DATA!D933,'OSA | 3GB'!J:J,0),2),0)</f>
        <v>3</v>
      </c>
      <c r="G933" s="8">
        <f>_xlfn.IFNA(INDEX('OSA | 3GB'!J:L,MATCH(DATA!D933,'OSA | 3GB'!J:J,0),3),0)</f>
        <v>300000</v>
      </c>
      <c r="H933" s="32">
        <f>_xlfn.IFNA(INDEX('OSA | 3GB'!A:C,MATCH(DATA!D933,'OSA | 3GB'!A:A,0),2),0)</f>
        <v>3</v>
      </c>
      <c r="I933" s="33">
        <f>_xlfn.IFNA(INDEX('OSA | 3GB'!A:C,MATCH(DATA!D933,'OSA | 3GB'!A:A,0),3),0)</f>
        <v>200000</v>
      </c>
      <c r="J933" s="33">
        <f>INDEX('BIO WAHYU'!B:G,MATCH(DATA!D933,'BIO WAHYU'!B:B,0),5)</f>
        <v>2</v>
      </c>
      <c r="K933" s="34">
        <f>INDEX('BIO WAHYU'!B:G,MATCH(DATA!D933,'BIO WAHYU'!B:B,0),6)</f>
        <v>3</v>
      </c>
      <c r="L933" s="35">
        <f>INDEX('BIO WAHYU'!B:H,MATCH(DATA!D933,'BIO WAHYU'!B:B,0),7)</f>
        <v>1</v>
      </c>
      <c r="M933" s="34">
        <f>INDEX('BIO WAHYU'!B:H,MATCH(DATA!D933,'BIO WAHYU'!B:B,0),4)</f>
        <v>0</v>
      </c>
    </row>
    <row r="934" spans="1:13">
      <c r="A934" s="43" t="s">
        <v>1675</v>
      </c>
      <c r="B934" s="43" t="s">
        <v>136</v>
      </c>
      <c r="C934" s="43" t="s">
        <v>408</v>
      </c>
      <c r="D934" s="10">
        <v>523940</v>
      </c>
      <c r="E934" s="43" t="s">
        <v>10</v>
      </c>
      <c r="F934" s="8">
        <f>_xlfn.IFNA(INDEX('OSA | 3GB'!J:L,MATCH(DATA!D934,'OSA | 3GB'!J:J,0),2),0)</f>
        <v>4</v>
      </c>
      <c r="G934" s="8">
        <f>_xlfn.IFNA(INDEX('OSA | 3GB'!J:L,MATCH(DATA!D934,'OSA | 3GB'!J:J,0),3),0)</f>
        <v>107000</v>
      </c>
      <c r="H934" s="32">
        <f>_xlfn.IFNA(INDEX('OSA | 3GB'!A:C,MATCH(DATA!D934,'OSA | 3GB'!A:A,0),2),0)</f>
        <v>10</v>
      </c>
      <c r="I934" s="33" t="str">
        <f>_xlfn.IFNA(INDEX('OSA | 3GB'!A:C,MATCH(DATA!D934,'OSA | 3GB'!A:A,0),3),0)</f>
        <v xml:space="preserve"> -   </v>
      </c>
      <c r="J934" s="33">
        <f>INDEX('BIO WAHYU'!B:G,MATCH(DATA!D934,'BIO WAHYU'!B:B,0),5)</f>
        <v>11</v>
      </c>
      <c r="K934" s="34">
        <f>INDEX('BIO WAHYU'!B:G,MATCH(DATA!D934,'BIO WAHYU'!B:B,0),6)</f>
        <v>10</v>
      </c>
      <c r="L934" s="35">
        <f>INDEX('BIO WAHYU'!B:H,MATCH(DATA!D934,'BIO WAHYU'!B:B,0),7)</f>
        <v>0</v>
      </c>
      <c r="M934" s="34">
        <f>INDEX('BIO WAHYU'!B:H,MATCH(DATA!D934,'BIO WAHYU'!B:B,0),4)</f>
        <v>0</v>
      </c>
    </row>
    <row r="935" spans="1:13">
      <c r="A935" s="43" t="s">
        <v>1673</v>
      </c>
      <c r="B935" s="43" t="s">
        <v>143</v>
      </c>
      <c r="C935" s="43" t="s">
        <v>1322</v>
      </c>
      <c r="D935" s="10">
        <v>339299</v>
      </c>
      <c r="E935" s="43" t="s">
        <v>10</v>
      </c>
      <c r="F935" s="8">
        <f>_xlfn.IFNA(INDEX('OSA | 3GB'!J:L,MATCH(DATA!D935,'OSA | 3GB'!J:J,0),2),0)</f>
        <v>4</v>
      </c>
      <c r="G935" s="8">
        <f>_xlfn.IFNA(INDEX('OSA | 3GB'!J:L,MATCH(DATA!D935,'OSA | 3GB'!J:J,0),3),0)</f>
        <v>3850000</v>
      </c>
      <c r="H935" s="32" t="str">
        <f>_xlfn.IFNA(INDEX('OSA | 3GB'!A:C,MATCH(DATA!D935,'OSA | 3GB'!A:A,0),2),0)</f>
        <v xml:space="preserve"> -   </v>
      </c>
      <c r="I935" s="33">
        <f>_xlfn.IFNA(INDEX('OSA | 3GB'!A:C,MATCH(DATA!D935,'OSA | 3GB'!A:A,0),3),0)</f>
        <v>1150000</v>
      </c>
      <c r="J935" s="33">
        <f>INDEX('BIO WAHYU'!B:G,MATCH(DATA!D935,'BIO WAHYU'!B:B,0),5)</f>
        <v>4</v>
      </c>
      <c r="K935" s="34">
        <f>INDEX('BIO WAHYU'!B:G,MATCH(DATA!D935,'BIO WAHYU'!B:B,0),6)</f>
        <v>4</v>
      </c>
      <c r="L935" s="35">
        <f>INDEX('BIO WAHYU'!B:H,MATCH(DATA!D935,'BIO WAHYU'!B:B,0),7)</f>
        <v>0</v>
      </c>
      <c r="M935" s="34">
        <f>INDEX('BIO WAHYU'!B:H,MATCH(DATA!D935,'BIO WAHYU'!B:B,0),4)</f>
        <v>0</v>
      </c>
    </row>
    <row r="936" spans="1:13">
      <c r="A936" s="43" t="s">
        <v>1670</v>
      </c>
      <c r="B936" s="43" t="s">
        <v>145</v>
      </c>
      <c r="C936" s="43" t="s">
        <v>1436</v>
      </c>
      <c r="D936" s="10">
        <v>211703</v>
      </c>
      <c r="E936" s="43" t="s">
        <v>15</v>
      </c>
      <c r="F936" s="8">
        <f>_xlfn.IFNA(INDEX('OSA | 3GB'!J:L,MATCH(DATA!D936,'OSA | 3GB'!J:J,0),2),0)</f>
        <v>5</v>
      </c>
      <c r="G936" s="8">
        <f>_xlfn.IFNA(INDEX('OSA | 3GB'!J:L,MATCH(DATA!D936,'OSA | 3GB'!J:J,0),3),0)</f>
        <v>300000</v>
      </c>
      <c r="H936" s="32">
        <f>_xlfn.IFNA(INDEX('OSA | 3GB'!A:C,MATCH(DATA!D936,'OSA | 3GB'!A:A,0),2),0)</f>
        <v>3</v>
      </c>
      <c r="I936" s="33" t="str">
        <f>_xlfn.IFNA(INDEX('OSA | 3GB'!A:C,MATCH(DATA!D936,'OSA | 3GB'!A:A,0),3),0)</f>
        <v xml:space="preserve"> -   </v>
      </c>
      <c r="J936" s="33">
        <f>INDEX('BIO WAHYU'!B:G,MATCH(DATA!D936,'BIO WAHYU'!B:B,0),5)</f>
        <v>3</v>
      </c>
      <c r="K936" s="34">
        <f>INDEX('BIO WAHYU'!B:G,MATCH(DATA!D936,'BIO WAHYU'!B:B,0),6)</f>
        <v>0</v>
      </c>
      <c r="L936" s="35">
        <f>INDEX('BIO WAHYU'!B:H,MATCH(DATA!D936,'BIO WAHYU'!B:B,0),7)</f>
        <v>0</v>
      </c>
      <c r="M936" s="34">
        <f>INDEX('BIO WAHYU'!B:H,MATCH(DATA!D936,'BIO WAHYU'!B:B,0),4)</f>
        <v>0</v>
      </c>
    </row>
    <row r="937" spans="1:13">
      <c r="A937" s="43" t="s">
        <v>1670</v>
      </c>
      <c r="B937" s="43" t="s">
        <v>140</v>
      </c>
      <c r="C937" s="43" t="s">
        <v>1085</v>
      </c>
      <c r="D937" s="10">
        <v>412499</v>
      </c>
      <c r="E937" s="43" t="s">
        <v>10</v>
      </c>
      <c r="F937" s="8">
        <f>_xlfn.IFNA(INDEX('OSA | 3GB'!J:L,MATCH(DATA!D937,'OSA | 3GB'!J:J,0),2),0)</f>
        <v>6</v>
      </c>
      <c r="G937" s="8">
        <f>_xlfn.IFNA(INDEX('OSA | 3GB'!J:L,MATCH(DATA!D937,'OSA | 3GB'!J:J,0),3),0)</f>
        <v>11100000</v>
      </c>
      <c r="H937" s="32" t="str">
        <f>_xlfn.IFNA(INDEX('OSA | 3GB'!A:C,MATCH(DATA!D937,'OSA | 3GB'!A:A,0),2),0)</f>
        <v xml:space="preserve"> -   </v>
      </c>
      <c r="I937" s="33">
        <f>_xlfn.IFNA(INDEX('OSA | 3GB'!A:C,MATCH(DATA!D937,'OSA | 3GB'!A:A,0),3),0)</f>
        <v>3000000</v>
      </c>
      <c r="J937" s="33">
        <f>INDEX('BIO WAHYU'!B:G,MATCH(DATA!D937,'BIO WAHYU'!B:B,0),5)</f>
        <v>4</v>
      </c>
      <c r="K937" s="34">
        <f>INDEX('BIO WAHYU'!B:G,MATCH(DATA!D937,'BIO WAHYU'!B:B,0),6)</f>
        <v>2</v>
      </c>
      <c r="L937" s="35">
        <f>INDEX('BIO WAHYU'!B:H,MATCH(DATA!D937,'BIO WAHYU'!B:B,0),7)</f>
        <v>0</v>
      </c>
      <c r="M937" s="34">
        <f>INDEX('BIO WAHYU'!B:H,MATCH(DATA!D937,'BIO WAHYU'!B:B,0),4)</f>
        <v>3</v>
      </c>
    </row>
    <row r="938" spans="1:13">
      <c r="A938" s="43" t="s">
        <v>1673</v>
      </c>
      <c r="B938" s="43" t="s">
        <v>143</v>
      </c>
      <c r="C938" s="43" t="s">
        <v>1437</v>
      </c>
      <c r="D938" s="10">
        <v>67311</v>
      </c>
      <c r="E938" s="43" t="s">
        <v>10</v>
      </c>
      <c r="F938" s="8">
        <f>_xlfn.IFNA(INDEX('OSA | 3GB'!J:L,MATCH(DATA!D938,'OSA | 3GB'!J:J,0),2),0)</f>
        <v>3</v>
      </c>
      <c r="G938" s="8">
        <f>_xlfn.IFNA(INDEX('OSA | 3GB'!J:L,MATCH(DATA!D938,'OSA | 3GB'!J:J,0),3),0)</f>
        <v>3900000</v>
      </c>
      <c r="H938" s="32" t="str">
        <f>_xlfn.IFNA(INDEX('OSA | 3GB'!A:C,MATCH(DATA!D938,'OSA | 3GB'!A:A,0),2),0)</f>
        <v xml:space="preserve"> -   </v>
      </c>
      <c r="I938" s="33">
        <f>_xlfn.IFNA(INDEX('OSA | 3GB'!A:C,MATCH(DATA!D938,'OSA | 3GB'!A:A,0),3),0)</f>
        <v>2000000</v>
      </c>
      <c r="J938" s="33">
        <f>INDEX('BIO WAHYU'!B:G,MATCH(DATA!D938,'BIO WAHYU'!B:B,0),5)</f>
        <v>3</v>
      </c>
      <c r="K938" s="34">
        <f>INDEX('BIO WAHYU'!B:G,MATCH(DATA!D938,'BIO WAHYU'!B:B,0),6)</f>
        <v>0</v>
      </c>
      <c r="L938" s="35">
        <f>INDEX('BIO WAHYU'!B:H,MATCH(DATA!D938,'BIO WAHYU'!B:B,0),7)</f>
        <v>0</v>
      </c>
      <c r="M938" s="34">
        <f>INDEX('BIO WAHYU'!B:H,MATCH(DATA!D938,'BIO WAHYU'!B:B,0),4)</f>
        <v>0</v>
      </c>
    </row>
    <row r="939" spans="1:13">
      <c r="A939" s="43" t="s">
        <v>1673</v>
      </c>
      <c r="B939" s="43" t="s">
        <v>1140</v>
      </c>
      <c r="C939" s="43" t="s">
        <v>1438</v>
      </c>
      <c r="D939" s="10">
        <v>422918</v>
      </c>
      <c r="E939" s="43" t="s">
        <v>10</v>
      </c>
      <c r="F939" s="8">
        <f>_xlfn.IFNA(INDEX('OSA | 3GB'!J:L,MATCH(DATA!D939,'OSA | 3GB'!J:J,0),2),0)</f>
        <v>3</v>
      </c>
      <c r="G939" s="8">
        <f>_xlfn.IFNA(INDEX('OSA | 3GB'!J:L,MATCH(DATA!D939,'OSA | 3GB'!J:J,0),3),0)</f>
        <v>10000000</v>
      </c>
      <c r="H939" s="32" t="str">
        <f>_xlfn.IFNA(INDEX('OSA | 3GB'!A:C,MATCH(DATA!D939,'OSA | 3GB'!A:A,0),2),0)</f>
        <v xml:space="preserve"> -   </v>
      </c>
      <c r="I939" s="33">
        <f>_xlfn.IFNA(INDEX('OSA | 3GB'!A:C,MATCH(DATA!D939,'OSA | 3GB'!A:A,0),3),0)</f>
        <v>4000000</v>
      </c>
      <c r="J939" s="33">
        <f>INDEX('BIO WAHYU'!B:G,MATCH(DATA!D939,'BIO WAHYU'!B:B,0),5)</f>
        <v>3</v>
      </c>
      <c r="K939" s="34">
        <f>INDEX('BIO WAHYU'!B:G,MATCH(DATA!D939,'BIO WAHYU'!B:B,0),6)</f>
        <v>0</v>
      </c>
      <c r="L939" s="35">
        <f>INDEX('BIO WAHYU'!B:H,MATCH(DATA!D939,'BIO WAHYU'!B:B,0),7)</f>
        <v>0</v>
      </c>
      <c r="M939" s="34">
        <f>INDEX('BIO WAHYU'!B:H,MATCH(DATA!D939,'BIO WAHYU'!B:B,0),4)</f>
        <v>0</v>
      </c>
    </row>
    <row r="940" spans="1:13">
      <c r="A940" s="43" t="s">
        <v>1670</v>
      </c>
      <c r="B940" s="43" t="s">
        <v>140</v>
      </c>
      <c r="C940" s="43" t="s">
        <v>477</v>
      </c>
      <c r="D940" s="10">
        <v>556434</v>
      </c>
      <c r="E940" s="43" t="s">
        <v>10</v>
      </c>
      <c r="F940" s="8">
        <f>_xlfn.IFNA(INDEX('OSA | 3GB'!J:L,MATCH(DATA!D940,'OSA | 3GB'!J:J,0),2),0)</f>
        <v>6</v>
      </c>
      <c r="G940" s="8">
        <f>_xlfn.IFNA(INDEX('OSA | 3GB'!J:L,MATCH(DATA!D940,'OSA | 3GB'!J:J,0),3),0)</f>
        <v>175000</v>
      </c>
      <c r="H940" s="32" t="str">
        <f>_xlfn.IFNA(INDEX('OSA | 3GB'!A:C,MATCH(DATA!D940,'OSA | 3GB'!A:A,0),2),0)</f>
        <v xml:space="preserve"> -   </v>
      </c>
      <c r="I940" s="33" t="str">
        <f>_xlfn.IFNA(INDEX('OSA | 3GB'!A:C,MATCH(DATA!D940,'OSA | 3GB'!A:A,0),3),0)</f>
        <v xml:space="preserve"> -   </v>
      </c>
      <c r="J940" s="33">
        <f>INDEX('BIO WAHYU'!B:G,MATCH(DATA!D940,'BIO WAHYU'!B:B,0),5)</f>
        <v>5</v>
      </c>
      <c r="K940" s="34">
        <f>INDEX('BIO WAHYU'!B:G,MATCH(DATA!D940,'BIO WAHYU'!B:B,0),6)</f>
        <v>0</v>
      </c>
      <c r="L940" s="35">
        <f>INDEX('BIO WAHYU'!B:H,MATCH(DATA!D940,'BIO WAHYU'!B:B,0),7)</f>
        <v>0</v>
      </c>
      <c r="M940" s="34">
        <f>INDEX('BIO WAHYU'!B:H,MATCH(DATA!D940,'BIO WAHYU'!B:B,0),4)</f>
        <v>0</v>
      </c>
    </row>
    <row r="941" spans="1:13">
      <c r="A941" s="43" t="s">
        <v>1</v>
      </c>
      <c r="B941" s="43" t="s">
        <v>5</v>
      </c>
      <c r="C941" s="43" t="s">
        <v>99</v>
      </c>
      <c r="D941" s="10">
        <v>501263</v>
      </c>
      <c r="E941" s="43" t="s">
        <v>15</v>
      </c>
      <c r="F941" s="8">
        <f>_xlfn.IFNA(INDEX('OSA | 3GB'!J:L,MATCH(DATA!D941,'OSA | 3GB'!J:J,0),2),0)</f>
        <v>0</v>
      </c>
      <c r="G941" s="8">
        <f>_xlfn.IFNA(INDEX('OSA | 3GB'!J:L,MATCH(DATA!D941,'OSA | 3GB'!J:J,0),3),0)</f>
        <v>200000</v>
      </c>
      <c r="H941" s="32" t="str">
        <f>_xlfn.IFNA(INDEX('OSA | 3GB'!A:C,MATCH(DATA!D941,'OSA | 3GB'!A:A,0),2),0)</f>
        <v xml:space="preserve"> -   </v>
      </c>
      <c r="I941" s="33" t="str">
        <f>_xlfn.IFNA(INDEX('OSA | 3GB'!A:C,MATCH(DATA!D941,'OSA | 3GB'!A:A,0),3),0)</f>
        <v xml:space="preserve"> -   </v>
      </c>
      <c r="J941" s="33">
        <f>INDEX('BIO WAHYU'!B:G,MATCH(DATA!D941,'BIO WAHYU'!B:B,0),5)</f>
        <v>1</v>
      </c>
      <c r="K941" s="34">
        <f>INDEX('BIO WAHYU'!B:G,MATCH(DATA!D941,'BIO WAHYU'!B:B,0),6)</f>
        <v>0</v>
      </c>
      <c r="L941" s="35">
        <f>INDEX('BIO WAHYU'!B:H,MATCH(DATA!D941,'BIO WAHYU'!B:B,0),7)</f>
        <v>0</v>
      </c>
      <c r="M941" s="34">
        <f>INDEX('BIO WAHYU'!B:H,MATCH(DATA!D941,'BIO WAHYU'!B:B,0),4)</f>
        <v>0</v>
      </c>
    </row>
    <row r="942" spans="1:13">
      <c r="A942" s="43" t="s">
        <v>1674</v>
      </c>
      <c r="B942" s="43" t="s">
        <v>148</v>
      </c>
      <c r="C942" s="43" t="s">
        <v>649</v>
      </c>
      <c r="D942" s="10">
        <v>564795</v>
      </c>
      <c r="E942" s="43" t="s">
        <v>10</v>
      </c>
      <c r="F942" s="8">
        <f>_xlfn.IFNA(INDEX('OSA | 3GB'!J:L,MATCH(DATA!D942,'OSA | 3GB'!J:J,0),2),0)</f>
        <v>3</v>
      </c>
      <c r="G942" s="8">
        <f>_xlfn.IFNA(INDEX('OSA | 3GB'!J:L,MATCH(DATA!D942,'OSA | 3GB'!J:J,0),3),0)</f>
        <v>0</v>
      </c>
      <c r="H942" s="32" t="str">
        <f>_xlfn.IFNA(INDEX('OSA | 3GB'!A:C,MATCH(DATA!D942,'OSA | 3GB'!A:A,0),2),0)</f>
        <v xml:space="preserve"> -   </v>
      </c>
      <c r="I942" s="33" t="str">
        <f>_xlfn.IFNA(INDEX('OSA | 3GB'!A:C,MATCH(DATA!D942,'OSA | 3GB'!A:A,0),3),0)</f>
        <v xml:space="preserve"> -   </v>
      </c>
      <c r="J942" s="33">
        <f>INDEX('BIO WAHYU'!B:G,MATCH(DATA!D942,'BIO WAHYU'!B:B,0),5)</f>
        <v>9</v>
      </c>
      <c r="K942" s="34">
        <f>INDEX('BIO WAHYU'!B:G,MATCH(DATA!D942,'BIO WAHYU'!B:B,0),6)</f>
        <v>1</v>
      </c>
      <c r="L942" s="35">
        <f>INDEX('BIO WAHYU'!B:H,MATCH(DATA!D942,'BIO WAHYU'!B:B,0),7)</f>
        <v>0</v>
      </c>
      <c r="M942" s="34">
        <f>INDEX('BIO WAHYU'!B:H,MATCH(DATA!D942,'BIO WAHYU'!B:B,0),4)</f>
        <v>0</v>
      </c>
    </row>
    <row r="943" spans="1:13">
      <c r="A943" s="43" t="s">
        <v>1</v>
      </c>
      <c r="B943" s="43" t="s">
        <v>4</v>
      </c>
      <c r="C943" s="43" t="s">
        <v>54</v>
      </c>
      <c r="D943" s="10">
        <v>229765</v>
      </c>
      <c r="E943" s="43" t="s">
        <v>10</v>
      </c>
      <c r="F943" s="8">
        <f>_xlfn.IFNA(INDEX('OSA | 3GB'!J:L,MATCH(DATA!D943,'OSA | 3GB'!J:J,0),2),0)</f>
        <v>12</v>
      </c>
      <c r="G943" s="8">
        <f>_xlfn.IFNA(INDEX('OSA | 3GB'!J:L,MATCH(DATA!D943,'OSA | 3GB'!J:J,0),3),0)</f>
        <v>25000000</v>
      </c>
      <c r="H943" s="32" t="str">
        <f>_xlfn.IFNA(INDEX('OSA | 3GB'!A:C,MATCH(DATA!D943,'OSA | 3GB'!A:A,0),2),0)</f>
        <v xml:space="preserve"> -   </v>
      </c>
      <c r="I943" s="33">
        <f>_xlfn.IFNA(INDEX('OSA | 3GB'!A:C,MATCH(DATA!D943,'OSA | 3GB'!A:A,0),3),0)</f>
        <v>13000000</v>
      </c>
      <c r="J943" s="33">
        <f>INDEX('BIO WAHYU'!B:G,MATCH(DATA!D943,'BIO WAHYU'!B:B,0),5)</f>
        <v>30</v>
      </c>
      <c r="K943" s="34">
        <f>INDEX('BIO WAHYU'!B:G,MATCH(DATA!D943,'BIO WAHYU'!B:B,0),6)</f>
        <v>6</v>
      </c>
      <c r="L943" s="35">
        <f>INDEX('BIO WAHYU'!B:H,MATCH(DATA!D943,'BIO WAHYU'!B:B,0),7)</f>
        <v>0</v>
      </c>
      <c r="M943" s="34">
        <f>INDEX('BIO WAHYU'!B:H,MATCH(DATA!D943,'BIO WAHYU'!B:B,0),4)</f>
        <v>0</v>
      </c>
    </row>
    <row r="944" spans="1:13">
      <c r="A944" s="43" t="s">
        <v>1</v>
      </c>
      <c r="B944" s="43" t="s">
        <v>3</v>
      </c>
      <c r="C944" s="43" t="s">
        <v>27</v>
      </c>
      <c r="D944" s="10">
        <v>358231</v>
      </c>
      <c r="E944" s="43" t="s">
        <v>10</v>
      </c>
      <c r="F944" s="8">
        <f>_xlfn.IFNA(INDEX('OSA | 3GB'!J:L,MATCH(DATA!D944,'OSA | 3GB'!J:J,0),2),0)</f>
        <v>3</v>
      </c>
      <c r="G944" s="8">
        <f>_xlfn.IFNA(INDEX('OSA | 3GB'!J:L,MATCH(DATA!D944,'OSA | 3GB'!J:J,0),3),0)</f>
        <v>5000000</v>
      </c>
      <c r="H944" s="32">
        <f>_xlfn.IFNA(INDEX('OSA | 3GB'!A:C,MATCH(DATA!D944,'OSA | 3GB'!A:A,0),2),0)</f>
        <v>1</v>
      </c>
      <c r="I944" s="33">
        <f>_xlfn.IFNA(INDEX('OSA | 3GB'!A:C,MATCH(DATA!D944,'OSA | 3GB'!A:A,0),3),0)</f>
        <v>2008000</v>
      </c>
      <c r="J944" s="33">
        <f>INDEX('BIO WAHYU'!B:G,MATCH(DATA!D944,'BIO WAHYU'!B:B,0),5)</f>
        <v>3</v>
      </c>
      <c r="K944" s="34">
        <f>INDEX('BIO WAHYU'!B:G,MATCH(DATA!D944,'BIO WAHYU'!B:B,0),6)</f>
        <v>0</v>
      </c>
      <c r="L944" s="35">
        <f>INDEX('BIO WAHYU'!B:H,MATCH(DATA!D944,'BIO WAHYU'!B:B,0),7)</f>
        <v>0</v>
      </c>
      <c r="M944" s="34">
        <f>INDEX('BIO WAHYU'!B:H,MATCH(DATA!D944,'BIO WAHYU'!B:B,0),4)</f>
        <v>0</v>
      </c>
    </row>
    <row r="945" spans="1:13">
      <c r="A945" s="43" t="s">
        <v>1673</v>
      </c>
      <c r="B945" s="43" t="s">
        <v>1140</v>
      </c>
      <c r="C945" s="43" t="s">
        <v>1439</v>
      </c>
      <c r="D945" s="10">
        <v>499401</v>
      </c>
      <c r="E945" s="43" t="s">
        <v>15</v>
      </c>
      <c r="F945" s="8">
        <f>_xlfn.IFNA(INDEX('OSA | 3GB'!J:L,MATCH(DATA!D945,'OSA | 3GB'!J:J,0),2),0)</f>
        <v>70</v>
      </c>
      <c r="G945" s="8">
        <f>_xlfn.IFNA(INDEX('OSA | 3GB'!J:L,MATCH(DATA!D945,'OSA | 3GB'!J:J,0),3),0)</f>
        <v>200000</v>
      </c>
      <c r="H945" s="32" t="str">
        <f>_xlfn.IFNA(INDEX('OSA | 3GB'!A:C,MATCH(DATA!D945,'OSA | 3GB'!A:A,0),2),0)</f>
        <v xml:space="preserve"> -   </v>
      </c>
      <c r="I945" s="33" t="str">
        <f>_xlfn.IFNA(INDEX('OSA | 3GB'!A:C,MATCH(DATA!D945,'OSA | 3GB'!A:A,0),3),0)</f>
        <v xml:space="preserve"> -   </v>
      </c>
      <c r="J945" s="33">
        <f>INDEX('BIO WAHYU'!B:G,MATCH(DATA!D945,'BIO WAHYU'!B:B,0),5)</f>
        <v>1</v>
      </c>
      <c r="K945" s="34">
        <f>INDEX('BIO WAHYU'!B:G,MATCH(DATA!D945,'BIO WAHYU'!B:B,0),6)</f>
        <v>0</v>
      </c>
      <c r="L945" s="35">
        <f>INDEX('BIO WAHYU'!B:H,MATCH(DATA!D945,'BIO WAHYU'!B:B,0),7)</f>
        <v>0</v>
      </c>
      <c r="M945" s="34">
        <f>INDEX('BIO WAHYU'!B:H,MATCH(DATA!D945,'BIO WAHYU'!B:B,0),4)</f>
        <v>0</v>
      </c>
    </row>
    <row r="946" spans="1:13">
      <c r="A946" s="43" t="s">
        <v>1670</v>
      </c>
      <c r="B946" s="43" t="s">
        <v>145</v>
      </c>
      <c r="C946" s="43" t="s">
        <v>485</v>
      </c>
      <c r="D946" s="10">
        <v>12312749</v>
      </c>
      <c r="E946" s="43" t="s">
        <v>10</v>
      </c>
      <c r="F946" s="8">
        <f>_xlfn.IFNA(INDEX('OSA | 3GB'!J:L,MATCH(DATA!D946,'OSA | 3GB'!J:J,0),2),0)</f>
        <v>0</v>
      </c>
      <c r="G946" s="8">
        <f>_xlfn.IFNA(INDEX('OSA | 3GB'!J:L,MATCH(DATA!D946,'OSA | 3GB'!J:J,0),3),0)</f>
        <v>1900000</v>
      </c>
      <c r="H946" s="32" t="str">
        <f>_xlfn.IFNA(INDEX('OSA | 3GB'!A:C,MATCH(DATA!D946,'OSA | 3GB'!A:A,0),2),0)</f>
        <v xml:space="preserve"> -   </v>
      </c>
      <c r="I946" s="33">
        <f>_xlfn.IFNA(INDEX('OSA | 3GB'!A:C,MATCH(DATA!D946,'OSA | 3GB'!A:A,0),3),0)</f>
        <v>300000</v>
      </c>
      <c r="J946" s="33">
        <f>INDEX('BIO WAHYU'!B:G,MATCH(DATA!D946,'BIO WAHYU'!B:B,0),5)</f>
        <v>0</v>
      </c>
      <c r="K946" s="34">
        <f>INDEX('BIO WAHYU'!B:G,MATCH(DATA!D946,'BIO WAHYU'!B:B,0),6)</f>
        <v>0</v>
      </c>
      <c r="L946" s="35">
        <f>INDEX('BIO WAHYU'!B:H,MATCH(DATA!D946,'BIO WAHYU'!B:B,0),7)</f>
        <v>0</v>
      </c>
      <c r="M946" s="34">
        <f>INDEX('BIO WAHYU'!B:H,MATCH(DATA!D946,'BIO WAHYU'!B:B,0),4)</f>
        <v>1</v>
      </c>
    </row>
    <row r="947" spans="1:13">
      <c r="A947" s="43" t="s">
        <v>1674</v>
      </c>
      <c r="B947" s="43" t="s">
        <v>153</v>
      </c>
      <c r="C947" s="43" t="s">
        <v>728</v>
      </c>
      <c r="D947" s="10">
        <v>392373</v>
      </c>
      <c r="E947" s="43" t="s">
        <v>10</v>
      </c>
      <c r="F947" s="8">
        <f>_xlfn.IFNA(INDEX('OSA | 3GB'!J:L,MATCH(DATA!D947,'OSA | 3GB'!J:J,0),2),0)</f>
        <v>2</v>
      </c>
      <c r="G947" s="8">
        <f>_xlfn.IFNA(INDEX('OSA | 3GB'!J:L,MATCH(DATA!D947,'OSA | 3GB'!J:J,0),3),0)</f>
        <v>200000</v>
      </c>
      <c r="H947" s="32" t="str">
        <f>_xlfn.IFNA(INDEX('OSA | 3GB'!A:C,MATCH(DATA!D947,'OSA | 3GB'!A:A,0),2),0)</f>
        <v xml:space="preserve"> -   </v>
      </c>
      <c r="I947" s="33" t="str">
        <f>_xlfn.IFNA(INDEX('OSA | 3GB'!A:C,MATCH(DATA!D947,'OSA | 3GB'!A:A,0),3),0)</f>
        <v xml:space="preserve"> -   </v>
      </c>
      <c r="J947" s="33">
        <f>INDEX('BIO WAHYU'!B:G,MATCH(DATA!D947,'BIO WAHYU'!B:B,0),5)</f>
        <v>3</v>
      </c>
      <c r="K947" s="34">
        <f>INDEX('BIO WAHYU'!B:G,MATCH(DATA!D947,'BIO WAHYU'!B:B,0),6)</f>
        <v>1</v>
      </c>
      <c r="L947" s="35">
        <f>INDEX('BIO WAHYU'!B:H,MATCH(DATA!D947,'BIO WAHYU'!B:B,0),7)</f>
        <v>0</v>
      </c>
      <c r="M947" s="34">
        <f>INDEX('BIO WAHYU'!B:H,MATCH(DATA!D947,'BIO WAHYU'!B:B,0),4)</f>
        <v>0</v>
      </c>
    </row>
    <row r="948" spans="1:13">
      <c r="A948" s="43" t="s">
        <v>1674</v>
      </c>
      <c r="B948" s="43" t="s">
        <v>153</v>
      </c>
      <c r="C948" s="43" t="s">
        <v>719</v>
      </c>
      <c r="D948" s="10">
        <v>243536</v>
      </c>
      <c r="E948" s="43" t="s">
        <v>10</v>
      </c>
      <c r="F948" s="8">
        <f>_xlfn.IFNA(INDEX('OSA | 3GB'!J:L,MATCH(DATA!D948,'OSA | 3GB'!J:J,0),2),0)</f>
        <v>4</v>
      </c>
      <c r="G948" s="8">
        <f>_xlfn.IFNA(INDEX('OSA | 3GB'!J:L,MATCH(DATA!D948,'OSA | 3GB'!J:J,0),3),0)</f>
        <v>0</v>
      </c>
      <c r="H948" s="32" t="str">
        <f>_xlfn.IFNA(INDEX('OSA | 3GB'!A:C,MATCH(DATA!D948,'OSA | 3GB'!A:A,0),2),0)</f>
        <v xml:space="preserve"> -   </v>
      </c>
      <c r="I948" s="33" t="str">
        <f>_xlfn.IFNA(INDEX('OSA | 3GB'!A:C,MATCH(DATA!D948,'OSA | 3GB'!A:A,0),3),0)</f>
        <v xml:space="preserve"> -   </v>
      </c>
      <c r="J948" s="33">
        <f>INDEX('BIO WAHYU'!B:G,MATCH(DATA!D948,'BIO WAHYU'!B:B,0),5)</f>
        <v>2</v>
      </c>
      <c r="K948" s="34">
        <f>INDEX('BIO WAHYU'!B:G,MATCH(DATA!D948,'BIO WAHYU'!B:B,0),6)</f>
        <v>0</v>
      </c>
      <c r="L948" s="35">
        <f>INDEX('BIO WAHYU'!B:H,MATCH(DATA!D948,'BIO WAHYU'!B:B,0),7)</f>
        <v>0</v>
      </c>
      <c r="M948" s="34">
        <f>INDEX('BIO WAHYU'!B:H,MATCH(DATA!D948,'BIO WAHYU'!B:B,0),4)</f>
        <v>0</v>
      </c>
    </row>
    <row r="949" spans="1:13">
      <c r="A949" s="43" t="s">
        <v>1672</v>
      </c>
      <c r="B949" s="43" t="s">
        <v>149</v>
      </c>
      <c r="C949" s="43" t="s">
        <v>798</v>
      </c>
      <c r="D949" s="10">
        <v>532244</v>
      </c>
      <c r="E949" s="43" t="s">
        <v>15</v>
      </c>
      <c r="F949" s="8">
        <f>_xlfn.IFNA(INDEX('OSA | 3GB'!J:L,MATCH(DATA!D949,'OSA | 3GB'!J:J,0),2),0)</f>
        <v>5</v>
      </c>
      <c r="G949" s="8">
        <f>_xlfn.IFNA(INDEX('OSA | 3GB'!J:L,MATCH(DATA!D949,'OSA | 3GB'!J:J,0),3),0)</f>
        <v>450000</v>
      </c>
      <c r="H949" s="32" t="str">
        <f>_xlfn.IFNA(INDEX('OSA | 3GB'!A:C,MATCH(DATA!D949,'OSA | 3GB'!A:A,0),2),0)</f>
        <v xml:space="preserve"> -   </v>
      </c>
      <c r="I949" s="33" t="str">
        <f>_xlfn.IFNA(INDEX('OSA | 3GB'!A:C,MATCH(DATA!D949,'OSA | 3GB'!A:A,0),3),0)</f>
        <v xml:space="preserve"> -   </v>
      </c>
      <c r="J949" s="33">
        <f>INDEX('BIO WAHYU'!B:G,MATCH(DATA!D949,'BIO WAHYU'!B:B,0),5)</f>
        <v>3</v>
      </c>
      <c r="K949" s="34">
        <f>INDEX('BIO WAHYU'!B:G,MATCH(DATA!D949,'BIO WAHYU'!B:B,0),6)</f>
        <v>0</v>
      </c>
      <c r="L949" s="35">
        <f>INDEX('BIO WAHYU'!B:H,MATCH(DATA!D949,'BIO WAHYU'!B:B,0),7)</f>
        <v>0</v>
      </c>
      <c r="M949" s="34">
        <f>INDEX('BIO WAHYU'!B:H,MATCH(DATA!D949,'BIO WAHYU'!B:B,0),4)</f>
        <v>0</v>
      </c>
    </row>
    <row r="950" spans="1:13">
      <c r="A950" s="43" t="s">
        <v>1674</v>
      </c>
      <c r="B950" s="43" t="s">
        <v>148</v>
      </c>
      <c r="C950" s="43" t="s">
        <v>638</v>
      </c>
      <c r="D950" s="10">
        <v>261429</v>
      </c>
      <c r="E950" s="43" t="s">
        <v>10</v>
      </c>
      <c r="F950" s="8">
        <f>_xlfn.IFNA(INDEX('OSA | 3GB'!J:L,MATCH(DATA!D950,'OSA | 3GB'!J:J,0),2),0)</f>
        <v>3</v>
      </c>
      <c r="G950" s="8">
        <f>_xlfn.IFNA(INDEX('OSA | 3GB'!J:L,MATCH(DATA!D950,'OSA | 3GB'!J:J,0),3),0)</f>
        <v>500000</v>
      </c>
      <c r="H950" s="32" t="str">
        <f>_xlfn.IFNA(INDEX('OSA | 3GB'!A:C,MATCH(DATA!D950,'OSA | 3GB'!A:A,0),2),0)</f>
        <v xml:space="preserve"> -   </v>
      </c>
      <c r="I950" s="33">
        <f>_xlfn.IFNA(INDEX('OSA | 3GB'!A:C,MATCH(DATA!D950,'OSA | 3GB'!A:A,0),3),0)</f>
        <v>100000</v>
      </c>
      <c r="J950" s="33">
        <f>INDEX('BIO WAHYU'!B:G,MATCH(DATA!D950,'BIO WAHYU'!B:B,0),5)</f>
        <v>1</v>
      </c>
      <c r="K950" s="34">
        <f>INDEX('BIO WAHYU'!B:G,MATCH(DATA!D950,'BIO WAHYU'!B:B,0),6)</f>
        <v>0</v>
      </c>
      <c r="L950" s="35">
        <f>INDEX('BIO WAHYU'!B:H,MATCH(DATA!D950,'BIO WAHYU'!B:B,0),7)</f>
        <v>0</v>
      </c>
      <c r="M950" s="34">
        <f>INDEX('BIO WAHYU'!B:H,MATCH(DATA!D950,'BIO WAHYU'!B:B,0),4)</f>
        <v>0</v>
      </c>
    </row>
    <row r="951" spans="1:13">
      <c r="A951" s="43" t="s">
        <v>1670</v>
      </c>
      <c r="B951" s="43" t="s">
        <v>145</v>
      </c>
      <c r="C951" s="43" t="s">
        <v>1102</v>
      </c>
      <c r="D951" s="10">
        <v>12322494</v>
      </c>
      <c r="E951" s="43" t="s">
        <v>10</v>
      </c>
      <c r="F951" s="8">
        <f>_xlfn.IFNA(INDEX('OSA | 3GB'!J:L,MATCH(DATA!D951,'OSA | 3GB'!J:J,0),2),0)</f>
        <v>0</v>
      </c>
      <c r="G951" s="8">
        <f>_xlfn.IFNA(INDEX('OSA | 3GB'!J:L,MATCH(DATA!D951,'OSA | 3GB'!J:J,0),3),0)</f>
        <v>2100000</v>
      </c>
      <c r="H951" s="32" t="str">
        <f>_xlfn.IFNA(INDEX('OSA | 3GB'!A:C,MATCH(DATA!D951,'OSA | 3GB'!A:A,0),2),0)</f>
        <v xml:space="preserve"> -   </v>
      </c>
      <c r="I951" s="33">
        <f>_xlfn.IFNA(INDEX('OSA | 3GB'!A:C,MATCH(DATA!D951,'OSA | 3GB'!A:A,0),3),0)</f>
        <v>1000000</v>
      </c>
      <c r="J951" s="33">
        <f>INDEX('BIO WAHYU'!B:G,MATCH(DATA!D951,'BIO WAHYU'!B:B,0),5)</f>
        <v>0</v>
      </c>
      <c r="K951" s="34">
        <f>INDEX('BIO WAHYU'!B:G,MATCH(DATA!D951,'BIO WAHYU'!B:B,0),6)</f>
        <v>0</v>
      </c>
      <c r="L951" s="35">
        <f>INDEX('BIO WAHYU'!B:H,MATCH(DATA!D951,'BIO WAHYU'!B:B,0),7)</f>
        <v>0</v>
      </c>
      <c r="M951" s="34">
        <f>INDEX('BIO WAHYU'!B:H,MATCH(DATA!D951,'BIO WAHYU'!B:B,0),4)</f>
        <v>0</v>
      </c>
    </row>
    <row r="952" spans="1:13">
      <c r="A952" s="43" t="s">
        <v>1675</v>
      </c>
      <c r="B952" s="43" t="s">
        <v>137</v>
      </c>
      <c r="C952" s="43" t="s">
        <v>419</v>
      </c>
      <c r="D952" s="10">
        <v>12295791</v>
      </c>
      <c r="E952" s="43" t="s">
        <v>15</v>
      </c>
      <c r="F952" s="8">
        <f>_xlfn.IFNA(INDEX('OSA | 3GB'!J:L,MATCH(DATA!D952,'OSA | 3GB'!J:J,0),2),0)</f>
        <v>5</v>
      </c>
      <c r="G952" s="8">
        <f>_xlfn.IFNA(INDEX('OSA | 3GB'!J:L,MATCH(DATA!D952,'OSA | 3GB'!J:J,0),3),0)</f>
        <v>3500000</v>
      </c>
      <c r="H952" s="32" t="str">
        <f>_xlfn.IFNA(INDEX('OSA | 3GB'!A:C,MATCH(DATA!D952,'OSA | 3GB'!A:A,0),2),0)</f>
        <v xml:space="preserve"> -   </v>
      </c>
      <c r="I952" s="33">
        <f>_xlfn.IFNA(INDEX('OSA | 3GB'!A:C,MATCH(DATA!D952,'OSA | 3GB'!A:A,0),3),0)</f>
        <v>1500000</v>
      </c>
      <c r="J952" s="33">
        <f>INDEX('BIO WAHYU'!B:G,MATCH(DATA!D952,'BIO WAHYU'!B:B,0),5)</f>
        <v>0</v>
      </c>
      <c r="K952" s="34">
        <f>INDEX('BIO WAHYU'!B:G,MATCH(DATA!D952,'BIO WAHYU'!B:B,0),6)</f>
        <v>0</v>
      </c>
      <c r="L952" s="35">
        <f>INDEX('BIO WAHYU'!B:H,MATCH(DATA!D952,'BIO WAHYU'!B:B,0),7)</f>
        <v>0</v>
      </c>
      <c r="M952" s="34">
        <f>INDEX('BIO WAHYU'!B:H,MATCH(DATA!D952,'BIO WAHYU'!B:B,0),4)</f>
        <v>0</v>
      </c>
    </row>
    <row r="953" spans="1:13">
      <c r="A953" s="43" t="s">
        <v>1673</v>
      </c>
      <c r="B953" s="43" t="s">
        <v>1140</v>
      </c>
      <c r="C953" s="43" t="s">
        <v>1440</v>
      </c>
      <c r="D953" s="10">
        <v>481538</v>
      </c>
      <c r="E953" s="43" t="s">
        <v>15</v>
      </c>
      <c r="F953" s="8">
        <f>_xlfn.IFNA(INDEX('OSA | 3GB'!J:L,MATCH(DATA!D953,'OSA | 3GB'!J:J,0),2),0)</f>
        <v>0</v>
      </c>
      <c r="G953" s="8">
        <f>_xlfn.IFNA(INDEX('OSA | 3GB'!J:L,MATCH(DATA!D953,'OSA | 3GB'!J:J,0),3),0)</f>
        <v>300000</v>
      </c>
      <c r="H953" s="32" t="str">
        <f>_xlfn.IFNA(INDEX('OSA | 3GB'!A:C,MATCH(DATA!D953,'OSA | 3GB'!A:A,0),2),0)</f>
        <v xml:space="preserve"> -   </v>
      </c>
      <c r="I953" s="33">
        <f>_xlfn.IFNA(INDEX('OSA | 3GB'!A:C,MATCH(DATA!D953,'OSA | 3GB'!A:A,0),3),0)</f>
        <v>50000</v>
      </c>
      <c r="J953" s="33">
        <f>INDEX('BIO WAHYU'!B:G,MATCH(DATA!D953,'BIO WAHYU'!B:B,0),5)</f>
        <v>0</v>
      </c>
      <c r="K953" s="34">
        <f>INDEX('BIO WAHYU'!B:G,MATCH(DATA!D953,'BIO WAHYU'!B:B,0),6)</f>
        <v>0</v>
      </c>
      <c r="L953" s="35">
        <f>INDEX('BIO WAHYU'!B:H,MATCH(DATA!D953,'BIO WAHYU'!B:B,0),7)</f>
        <v>0</v>
      </c>
      <c r="M953" s="34">
        <f>INDEX('BIO WAHYU'!B:H,MATCH(DATA!D953,'BIO WAHYU'!B:B,0),4)</f>
        <v>0</v>
      </c>
    </row>
    <row r="954" spans="1:13">
      <c r="A954" s="43" t="s">
        <v>1673</v>
      </c>
      <c r="B954" s="43" t="s">
        <v>1136</v>
      </c>
      <c r="C954" s="43" t="s">
        <v>1441</v>
      </c>
      <c r="D954" s="10">
        <v>278296</v>
      </c>
      <c r="E954" s="43" t="s">
        <v>10</v>
      </c>
      <c r="F954" s="8">
        <f>_xlfn.IFNA(INDEX('OSA | 3GB'!J:L,MATCH(DATA!D954,'OSA | 3GB'!J:J,0),2),0)</f>
        <v>5</v>
      </c>
      <c r="G954" s="8">
        <f>_xlfn.IFNA(INDEX('OSA | 3GB'!J:L,MATCH(DATA!D954,'OSA | 3GB'!J:J,0),3),0)</f>
        <v>7500000</v>
      </c>
      <c r="H954" s="32" t="str">
        <f>_xlfn.IFNA(INDEX('OSA | 3GB'!A:C,MATCH(DATA!D954,'OSA | 3GB'!A:A,0),2),0)</f>
        <v xml:space="preserve"> -   </v>
      </c>
      <c r="I954" s="33">
        <f>_xlfn.IFNA(INDEX('OSA | 3GB'!A:C,MATCH(DATA!D954,'OSA | 3GB'!A:A,0),3),0)</f>
        <v>2000000</v>
      </c>
      <c r="J954" s="33">
        <f>INDEX('BIO WAHYU'!B:G,MATCH(DATA!D954,'BIO WAHYU'!B:B,0),5)</f>
        <v>3</v>
      </c>
      <c r="K954" s="34">
        <f>INDEX('BIO WAHYU'!B:G,MATCH(DATA!D954,'BIO WAHYU'!B:B,0),6)</f>
        <v>3</v>
      </c>
      <c r="L954" s="35">
        <f>INDEX('BIO WAHYU'!B:H,MATCH(DATA!D954,'BIO WAHYU'!B:B,0),7)</f>
        <v>0</v>
      </c>
      <c r="M954" s="34">
        <f>INDEX('BIO WAHYU'!B:H,MATCH(DATA!D954,'BIO WAHYU'!B:B,0),4)</f>
        <v>0</v>
      </c>
    </row>
    <row r="955" spans="1:13">
      <c r="A955" s="43" t="s">
        <v>1673</v>
      </c>
      <c r="B955" s="43" t="s">
        <v>144</v>
      </c>
      <c r="C955" s="43" t="s">
        <v>224</v>
      </c>
      <c r="D955" s="10">
        <v>309555</v>
      </c>
      <c r="E955" s="43" t="s">
        <v>10</v>
      </c>
      <c r="F955" s="8">
        <f>_xlfn.IFNA(INDEX('OSA | 3GB'!J:L,MATCH(DATA!D955,'OSA | 3GB'!J:J,0),2),0)</f>
        <v>0</v>
      </c>
      <c r="G955" s="8">
        <f>_xlfn.IFNA(INDEX('OSA | 3GB'!J:L,MATCH(DATA!D955,'OSA | 3GB'!J:J,0),3),0)</f>
        <v>50000</v>
      </c>
      <c r="H955" s="32" t="str">
        <f>_xlfn.IFNA(INDEX('OSA | 3GB'!A:C,MATCH(DATA!D955,'OSA | 3GB'!A:A,0),2),0)</f>
        <v xml:space="preserve"> -   </v>
      </c>
      <c r="I955" s="33" t="str">
        <f>_xlfn.IFNA(INDEX('OSA | 3GB'!A:C,MATCH(DATA!D955,'OSA | 3GB'!A:A,0),3),0)</f>
        <v xml:space="preserve"> -   </v>
      </c>
      <c r="J955" s="33">
        <f>INDEX('BIO WAHYU'!B:G,MATCH(DATA!D955,'BIO WAHYU'!B:B,0),5)</f>
        <v>5</v>
      </c>
      <c r="K955" s="34">
        <f>INDEX('BIO WAHYU'!B:G,MATCH(DATA!D955,'BIO WAHYU'!B:B,0),6)</f>
        <v>0</v>
      </c>
      <c r="L955" s="35">
        <f>INDEX('BIO WAHYU'!B:H,MATCH(DATA!D955,'BIO WAHYU'!B:B,0),7)</f>
        <v>0</v>
      </c>
      <c r="M955" s="34">
        <f>INDEX('BIO WAHYU'!B:H,MATCH(DATA!D955,'BIO WAHYU'!B:B,0),4)</f>
        <v>0</v>
      </c>
    </row>
    <row r="956" spans="1:13">
      <c r="A956" s="43" t="s">
        <v>1671</v>
      </c>
      <c r="B956" s="43">
        <v>2613050885</v>
      </c>
      <c r="C956" s="43" t="s">
        <v>291</v>
      </c>
      <c r="D956" s="10">
        <v>404499</v>
      </c>
      <c r="E956" s="43" t="s">
        <v>15</v>
      </c>
      <c r="F956" s="8">
        <f>_xlfn.IFNA(INDEX('OSA | 3GB'!J:L,MATCH(DATA!D956,'OSA | 3GB'!J:J,0),2),0)</f>
        <v>0</v>
      </c>
      <c r="G956" s="8">
        <f>_xlfn.IFNA(INDEX('OSA | 3GB'!J:L,MATCH(DATA!D956,'OSA | 3GB'!J:J,0),3),0)</f>
        <v>0</v>
      </c>
      <c r="H956" s="32" t="str">
        <f>_xlfn.IFNA(INDEX('OSA | 3GB'!A:C,MATCH(DATA!D956,'OSA | 3GB'!A:A,0),2),0)</f>
        <v xml:space="preserve"> -   </v>
      </c>
      <c r="I956" s="33" t="str">
        <f>_xlfn.IFNA(INDEX('OSA | 3GB'!A:C,MATCH(DATA!D956,'OSA | 3GB'!A:A,0),3),0)</f>
        <v xml:space="preserve"> -   </v>
      </c>
      <c r="J956" s="33">
        <f>INDEX('BIO WAHYU'!B:G,MATCH(DATA!D956,'BIO WAHYU'!B:B,0),5)</f>
        <v>1</v>
      </c>
      <c r="K956" s="34">
        <f>INDEX('BIO WAHYU'!B:G,MATCH(DATA!D956,'BIO WAHYU'!B:B,0),6)</f>
        <v>0</v>
      </c>
      <c r="L956" s="35">
        <f>INDEX('BIO WAHYU'!B:H,MATCH(DATA!D956,'BIO WAHYU'!B:B,0),7)</f>
        <v>0</v>
      </c>
      <c r="M956" s="34">
        <f>INDEX('BIO WAHYU'!B:H,MATCH(DATA!D956,'BIO WAHYU'!B:B,0),4)</f>
        <v>0</v>
      </c>
    </row>
    <row r="957" spans="1:13">
      <c r="A957" s="43" t="s">
        <v>1674</v>
      </c>
      <c r="B957" s="43" t="s">
        <v>147</v>
      </c>
      <c r="C957" s="43" t="s">
        <v>603</v>
      </c>
      <c r="D957" s="10">
        <v>240133</v>
      </c>
      <c r="E957" s="43" t="s">
        <v>10</v>
      </c>
      <c r="F957" s="8">
        <f>_xlfn.IFNA(INDEX('OSA | 3GB'!J:L,MATCH(DATA!D957,'OSA | 3GB'!J:J,0),2),0)</f>
        <v>3</v>
      </c>
      <c r="G957" s="8">
        <f>_xlfn.IFNA(INDEX('OSA | 3GB'!J:L,MATCH(DATA!D957,'OSA | 3GB'!J:J,0),3),0)</f>
        <v>558000</v>
      </c>
      <c r="H957" s="32" t="str">
        <f>_xlfn.IFNA(INDEX('OSA | 3GB'!A:C,MATCH(DATA!D957,'OSA | 3GB'!A:A,0),2),0)</f>
        <v xml:space="preserve"> -   </v>
      </c>
      <c r="I957" s="33">
        <f>_xlfn.IFNA(INDEX('OSA | 3GB'!A:C,MATCH(DATA!D957,'OSA | 3GB'!A:A,0),3),0)</f>
        <v>150000</v>
      </c>
      <c r="J957" s="33">
        <f>INDEX('BIO WAHYU'!B:G,MATCH(DATA!D957,'BIO WAHYU'!B:B,0),5)</f>
        <v>3</v>
      </c>
      <c r="K957" s="34">
        <f>INDEX('BIO WAHYU'!B:G,MATCH(DATA!D957,'BIO WAHYU'!B:B,0),6)</f>
        <v>1</v>
      </c>
      <c r="L957" s="35">
        <f>INDEX('BIO WAHYU'!B:H,MATCH(DATA!D957,'BIO WAHYU'!B:B,0),7)</f>
        <v>0</v>
      </c>
      <c r="M957" s="34">
        <f>INDEX('BIO WAHYU'!B:H,MATCH(DATA!D957,'BIO WAHYU'!B:B,0),4)</f>
        <v>0</v>
      </c>
    </row>
    <row r="958" spans="1:13">
      <c r="A958" s="43" t="s">
        <v>1672</v>
      </c>
      <c r="B958" s="43" t="s">
        <v>149</v>
      </c>
      <c r="C958" s="43" t="s">
        <v>784</v>
      </c>
      <c r="D958" s="10">
        <v>385444</v>
      </c>
      <c r="E958" s="43" t="s">
        <v>10</v>
      </c>
      <c r="F958" s="8">
        <f>_xlfn.IFNA(INDEX('OSA | 3GB'!J:L,MATCH(DATA!D958,'OSA | 3GB'!J:J,0),2),0)</f>
        <v>0</v>
      </c>
      <c r="G958" s="8">
        <f>_xlfn.IFNA(INDEX('OSA | 3GB'!J:L,MATCH(DATA!D958,'OSA | 3GB'!J:J,0),3),0)</f>
        <v>708000</v>
      </c>
      <c r="H958" s="32">
        <f>_xlfn.IFNA(INDEX('OSA | 3GB'!A:C,MATCH(DATA!D958,'OSA | 3GB'!A:A,0),2),0)</f>
        <v>2</v>
      </c>
      <c r="I958" s="33">
        <f>_xlfn.IFNA(INDEX('OSA | 3GB'!A:C,MATCH(DATA!D958,'OSA | 3GB'!A:A,0),3),0)</f>
        <v>358000</v>
      </c>
      <c r="J958" s="33">
        <f>INDEX('BIO WAHYU'!B:G,MATCH(DATA!D958,'BIO WAHYU'!B:B,0),5)</f>
        <v>1</v>
      </c>
      <c r="K958" s="34">
        <f>INDEX('BIO WAHYU'!B:G,MATCH(DATA!D958,'BIO WAHYU'!B:B,0),6)</f>
        <v>0</v>
      </c>
      <c r="L958" s="35">
        <f>INDEX('BIO WAHYU'!B:H,MATCH(DATA!D958,'BIO WAHYU'!B:B,0),7)</f>
        <v>0</v>
      </c>
      <c r="M958" s="34">
        <f>INDEX('BIO WAHYU'!B:H,MATCH(DATA!D958,'BIO WAHYU'!B:B,0),4)</f>
        <v>0</v>
      </c>
    </row>
    <row r="959" spans="1:13">
      <c r="A959" s="43" t="s">
        <v>1672</v>
      </c>
      <c r="B959" s="43" t="s">
        <v>149</v>
      </c>
      <c r="C959" s="43" t="s">
        <v>783</v>
      </c>
      <c r="D959" s="10">
        <v>371867</v>
      </c>
      <c r="E959" s="43" t="s">
        <v>10</v>
      </c>
      <c r="F959" s="8">
        <f>_xlfn.IFNA(INDEX('OSA | 3GB'!J:L,MATCH(DATA!D959,'OSA | 3GB'!J:J,0),2),0)</f>
        <v>38</v>
      </c>
      <c r="G959" s="8">
        <f>_xlfn.IFNA(INDEX('OSA | 3GB'!J:L,MATCH(DATA!D959,'OSA | 3GB'!J:J,0),3),0)</f>
        <v>7323500</v>
      </c>
      <c r="H959" s="32">
        <f>_xlfn.IFNA(INDEX('OSA | 3GB'!A:C,MATCH(DATA!D959,'OSA | 3GB'!A:A,0),2),0)</f>
        <v>4</v>
      </c>
      <c r="I959" s="33">
        <f>_xlfn.IFNA(INDEX('OSA | 3GB'!A:C,MATCH(DATA!D959,'OSA | 3GB'!A:A,0),3),0)</f>
        <v>3216000</v>
      </c>
      <c r="J959" s="33">
        <f>INDEX('BIO WAHYU'!B:G,MATCH(DATA!D959,'BIO WAHYU'!B:B,0),5)</f>
        <v>4</v>
      </c>
      <c r="K959" s="34">
        <f>INDEX('BIO WAHYU'!B:G,MATCH(DATA!D959,'BIO WAHYU'!B:B,0),6)</f>
        <v>0</v>
      </c>
      <c r="L959" s="35">
        <f>INDEX('BIO WAHYU'!B:H,MATCH(DATA!D959,'BIO WAHYU'!B:B,0),7)</f>
        <v>0</v>
      </c>
      <c r="M959" s="34">
        <f>INDEX('BIO WAHYU'!B:H,MATCH(DATA!D959,'BIO WAHYU'!B:B,0),4)</f>
        <v>0</v>
      </c>
    </row>
    <row r="960" spans="1:13">
      <c r="A960" s="43" t="s">
        <v>1673</v>
      </c>
      <c r="B960" s="43" t="s">
        <v>1140</v>
      </c>
      <c r="C960" s="43" t="s">
        <v>1442</v>
      </c>
      <c r="D960" s="10">
        <v>311453</v>
      </c>
      <c r="E960" s="43" t="s">
        <v>15</v>
      </c>
      <c r="F960" s="8">
        <f>_xlfn.IFNA(INDEX('OSA | 3GB'!J:L,MATCH(DATA!D960,'OSA | 3GB'!J:J,0),2),0)</f>
        <v>3</v>
      </c>
      <c r="G960" s="8">
        <f>_xlfn.IFNA(INDEX('OSA | 3GB'!J:L,MATCH(DATA!D960,'OSA | 3GB'!J:J,0),3),0)</f>
        <v>150000</v>
      </c>
      <c r="H960" s="32" t="str">
        <f>_xlfn.IFNA(INDEX('OSA | 3GB'!A:C,MATCH(DATA!D960,'OSA | 3GB'!A:A,0),2),0)</f>
        <v xml:space="preserve"> -   </v>
      </c>
      <c r="I960" s="33">
        <f>_xlfn.IFNA(INDEX('OSA | 3GB'!A:C,MATCH(DATA!D960,'OSA | 3GB'!A:A,0),3),0)</f>
        <v>100000</v>
      </c>
      <c r="J960" s="33">
        <f>INDEX('BIO WAHYU'!B:G,MATCH(DATA!D960,'BIO WAHYU'!B:B,0),5)</f>
        <v>1</v>
      </c>
      <c r="K960" s="34">
        <f>INDEX('BIO WAHYU'!B:G,MATCH(DATA!D960,'BIO WAHYU'!B:B,0),6)</f>
        <v>0</v>
      </c>
      <c r="L960" s="35">
        <f>INDEX('BIO WAHYU'!B:H,MATCH(DATA!D960,'BIO WAHYU'!B:B,0),7)</f>
        <v>0</v>
      </c>
      <c r="M960" s="34">
        <f>INDEX('BIO WAHYU'!B:H,MATCH(DATA!D960,'BIO WAHYU'!B:B,0),4)</f>
        <v>0</v>
      </c>
    </row>
    <row r="961" spans="1:13">
      <c r="A961" s="43" t="s">
        <v>1672</v>
      </c>
      <c r="B961" s="43" t="s">
        <v>155</v>
      </c>
      <c r="C961" s="43" t="s">
        <v>958</v>
      </c>
      <c r="D961" s="10">
        <v>62074</v>
      </c>
      <c r="E961" s="43" t="s">
        <v>10</v>
      </c>
      <c r="F961" s="8">
        <f>_xlfn.IFNA(INDEX('OSA | 3GB'!J:L,MATCH(DATA!D961,'OSA | 3GB'!J:J,0),2),0)</f>
        <v>2</v>
      </c>
      <c r="G961" s="8">
        <f>_xlfn.IFNA(INDEX('OSA | 3GB'!J:L,MATCH(DATA!D961,'OSA | 3GB'!J:J,0),3),0)</f>
        <v>300000</v>
      </c>
      <c r="H961" s="32">
        <f>_xlfn.IFNA(INDEX('OSA | 3GB'!A:C,MATCH(DATA!D961,'OSA | 3GB'!A:A,0),2),0)</f>
        <v>1</v>
      </c>
      <c r="I961" s="33">
        <f>_xlfn.IFNA(INDEX('OSA | 3GB'!A:C,MATCH(DATA!D961,'OSA | 3GB'!A:A,0),3),0)</f>
        <v>329000</v>
      </c>
      <c r="J961" s="33">
        <f>INDEX('BIO WAHYU'!B:G,MATCH(DATA!D961,'BIO WAHYU'!B:B,0),5)</f>
        <v>3</v>
      </c>
      <c r="K961" s="34">
        <f>INDEX('BIO WAHYU'!B:G,MATCH(DATA!D961,'BIO WAHYU'!B:B,0),6)</f>
        <v>0</v>
      </c>
      <c r="L961" s="35">
        <f>INDEX('BIO WAHYU'!B:H,MATCH(DATA!D961,'BIO WAHYU'!B:B,0),7)</f>
        <v>0</v>
      </c>
      <c r="M961" s="34">
        <f>INDEX('BIO WAHYU'!B:H,MATCH(DATA!D961,'BIO WAHYU'!B:B,0),4)</f>
        <v>0</v>
      </c>
    </row>
    <row r="962" spans="1:13">
      <c r="A962" s="43" t="s">
        <v>1670</v>
      </c>
      <c r="B962" s="43" t="s">
        <v>146</v>
      </c>
      <c r="C962" s="43" t="s">
        <v>1443</v>
      </c>
      <c r="D962" s="10">
        <v>12365</v>
      </c>
      <c r="E962" s="43" t="s">
        <v>10</v>
      </c>
      <c r="F962" s="8">
        <f>_xlfn.IFNA(INDEX('OSA | 3GB'!J:L,MATCH(DATA!D962,'OSA | 3GB'!J:J,0),2),0)</f>
        <v>6</v>
      </c>
      <c r="G962" s="8">
        <f>_xlfn.IFNA(INDEX('OSA | 3GB'!J:L,MATCH(DATA!D962,'OSA | 3GB'!J:J,0),3),0)</f>
        <v>600000</v>
      </c>
      <c r="H962" s="32">
        <f>_xlfn.IFNA(INDEX('OSA | 3GB'!A:C,MATCH(DATA!D962,'OSA | 3GB'!A:A,0),2),0)</f>
        <v>3</v>
      </c>
      <c r="I962" s="33">
        <f>_xlfn.IFNA(INDEX('OSA | 3GB'!A:C,MATCH(DATA!D962,'OSA | 3GB'!A:A,0),3),0)</f>
        <v>200000</v>
      </c>
      <c r="J962" s="33">
        <f>INDEX('BIO WAHYU'!B:G,MATCH(DATA!D962,'BIO WAHYU'!B:B,0),5)</f>
        <v>3</v>
      </c>
      <c r="K962" s="34">
        <f>INDEX('BIO WAHYU'!B:G,MATCH(DATA!D962,'BIO WAHYU'!B:B,0),6)</f>
        <v>0</v>
      </c>
      <c r="L962" s="35">
        <f>INDEX('BIO WAHYU'!B:H,MATCH(DATA!D962,'BIO WAHYU'!B:B,0),7)</f>
        <v>0</v>
      </c>
      <c r="M962" s="34">
        <f>INDEX('BIO WAHYU'!B:H,MATCH(DATA!D962,'BIO WAHYU'!B:B,0),4)</f>
        <v>0</v>
      </c>
    </row>
    <row r="963" spans="1:13">
      <c r="A963" s="43" t="s">
        <v>1673</v>
      </c>
      <c r="B963" s="43" t="s">
        <v>144</v>
      </c>
      <c r="C963" s="43" t="s">
        <v>220</v>
      </c>
      <c r="D963" s="10">
        <v>211686</v>
      </c>
      <c r="E963" s="43" t="s">
        <v>15</v>
      </c>
      <c r="F963" s="8">
        <f>_xlfn.IFNA(INDEX('OSA | 3GB'!J:L,MATCH(DATA!D963,'OSA | 3GB'!J:J,0),2),0)</f>
        <v>0</v>
      </c>
      <c r="G963" s="8">
        <f>_xlfn.IFNA(INDEX('OSA | 3GB'!J:L,MATCH(DATA!D963,'OSA | 3GB'!J:J,0),3),0)</f>
        <v>429000</v>
      </c>
      <c r="H963" s="32" t="str">
        <f>_xlfn.IFNA(INDEX('OSA | 3GB'!A:C,MATCH(DATA!D963,'OSA | 3GB'!A:A,0),2),0)</f>
        <v xml:space="preserve"> -   </v>
      </c>
      <c r="I963" s="33">
        <f>_xlfn.IFNA(INDEX('OSA | 3GB'!A:C,MATCH(DATA!D963,'OSA | 3GB'!A:A,0),3),0)</f>
        <v>600000</v>
      </c>
      <c r="J963" s="33">
        <f>INDEX('BIO WAHYU'!B:G,MATCH(DATA!D963,'BIO WAHYU'!B:B,0),5)</f>
        <v>1</v>
      </c>
      <c r="K963" s="34">
        <f>INDEX('BIO WAHYU'!B:G,MATCH(DATA!D963,'BIO WAHYU'!B:B,0),6)</f>
        <v>0</v>
      </c>
      <c r="L963" s="35">
        <f>INDEX('BIO WAHYU'!B:H,MATCH(DATA!D963,'BIO WAHYU'!B:B,0),7)</f>
        <v>0</v>
      </c>
      <c r="M963" s="34">
        <f>INDEX('BIO WAHYU'!B:H,MATCH(DATA!D963,'BIO WAHYU'!B:B,0),4)</f>
        <v>0</v>
      </c>
    </row>
    <row r="964" spans="1:13">
      <c r="A964" s="43" t="s">
        <v>1672</v>
      </c>
      <c r="B964" s="43" t="s">
        <v>151</v>
      </c>
      <c r="C964" s="43" t="s">
        <v>1444</v>
      </c>
      <c r="D964" s="10">
        <v>272399</v>
      </c>
      <c r="E964" s="43" t="s">
        <v>10</v>
      </c>
      <c r="F964" s="8">
        <f>_xlfn.IFNA(INDEX('OSA | 3GB'!J:L,MATCH(DATA!D964,'OSA | 3GB'!J:J,0),2),0)</f>
        <v>0</v>
      </c>
      <c r="G964" s="8">
        <f>_xlfn.IFNA(INDEX('OSA | 3GB'!J:L,MATCH(DATA!D964,'OSA | 3GB'!J:J,0),3),0)</f>
        <v>50000</v>
      </c>
      <c r="H964" s="32" t="str">
        <f>_xlfn.IFNA(INDEX('OSA | 3GB'!A:C,MATCH(DATA!D964,'OSA | 3GB'!A:A,0),2),0)</f>
        <v xml:space="preserve"> -   </v>
      </c>
      <c r="I964" s="33" t="str">
        <f>_xlfn.IFNA(INDEX('OSA | 3GB'!A:C,MATCH(DATA!D964,'OSA | 3GB'!A:A,0),3),0)</f>
        <v xml:space="preserve"> -   </v>
      </c>
      <c r="J964" s="33">
        <f>INDEX('BIO WAHYU'!B:G,MATCH(DATA!D964,'BIO WAHYU'!B:B,0),5)</f>
        <v>1</v>
      </c>
      <c r="K964" s="34">
        <f>INDEX('BIO WAHYU'!B:G,MATCH(DATA!D964,'BIO WAHYU'!B:B,0),6)</f>
        <v>1</v>
      </c>
      <c r="L964" s="35">
        <f>INDEX('BIO WAHYU'!B:H,MATCH(DATA!D964,'BIO WAHYU'!B:B,0),7)</f>
        <v>0</v>
      </c>
      <c r="M964" s="34">
        <f>INDEX('BIO WAHYU'!B:H,MATCH(DATA!D964,'BIO WAHYU'!B:B,0),4)</f>
        <v>0</v>
      </c>
    </row>
    <row r="965" spans="1:13">
      <c r="A965" s="43" t="s">
        <v>1673</v>
      </c>
      <c r="B965" s="43" t="s">
        <v>143</v>
      </c>
      <c r="C965" s="43" t="s">
        <v>248</v>
      </c>
      <c r="D965" s="10">
        <v>11484</v>
      </c>
      <c r="E965" s="43" t="s">
        <v>10</v>
      </c>
      <c r="F965" s="8">
        <f>_xlfn.IFNA(INDEX('OSA | 3GB'!J:L,MATCH(DATA!D965,'OSA | 3GB'!J:J,0),2),0)</f>
        <v>10</v>
      </c>
      <c r="G965" s="8">
        <f>_xlfn.IFNA(INDEX('OSA | 3GB'!J:L,MATCH(DATA!D965,'OSA | 3GB'!J:J,0),3),0)</f>
        <v>9328000</v>
      </c>
      <c r="H965" s="32">
        <f>_xlfn.IFNA(INDEX('OSA | 3GB'!A:C,MATCH(DATA!D965,'OSA | 3GB'!A:A,0),2),0)</f>
        <v>2</v>
      </c>
      <c r="I965" s="33">
        <f>_xlfn.IFNA(INDEX('OSA | 3GB'!A:C,MATCH(DATA!D965,'OSA | 3GB'!A:A,0),3),0)</f>
        <v>450000</v>
      </c>
      <c r="J965" s="33">
        <f>INDEX('BIO WAHYU'!B:G,MATCH(DATA!D965,'BIO WAHYU'!B:B,0),5)</f>
        <v>6</v>
      </c>
      <c r="K965" s="34">
        <f>INDEX('BIO WAHYU'!B:G,MATCH(DATA!D965,'BIO WAHYU'!B:B,0),6)</f>
        <v>1</v>
      </c>
      <c r="L965" s="35">
        <f>INDEX('BIO WAHYU'!B:H,MATCH(DATA!D965,'BIO WAHYU'!B:B,0),7)</f>
        <v>0</v>
      </c>
      <c r="M965" s="34">
        <f>INDEX('BIO WAHYU'!B:H,MATCH(DATA!D965,'BIO WAHYU'!B:B,0),4)</f>
        <v>0</v>
      </c>
    </row>
    <row r="966" spans="1:13">
      <c r="A966" s="43" t="s">
        <v>1</v>
      </c>
      <c r="B966" s="43" t="s">
        <v>5</v>
      </c>
      <c r="C966" s="43" t="s">
        <v>79</v>
      </c>
      <c r="D966" s="10">
        <v>12321241</v>
      </c>
      <c r="E966" s="43" t="s">
        <v>23</v>
      </c>
      <c r="F966" s="8">
        <f>_xlfn.IFNA(INDEX('OSA | 3GB'!J:L,MATCH(DATA!D966,'OSA | 3GB'!J:J,0),2),0)</f>
        <v>8</v>
      </c>
      <c r="G966" s="8">
        <f>_xlfn.IFNA(INDEX('OSA | 3GB'!J:L,MATCH(DATA!D966,'OSA | 3GB'!J:J,0),3),0)</f>
        <v>40232000</v>
      </c>
      <c r="H966" s="32">
        <f>_xlfn.IFNA(INDEX('OSA | 3GB'!A:C,MATCH(DATA!D966,'OSA | 3GB'!A:A,0),2),0)</f>
        <v>4</v>
      </c>
      <c r="I966" s="33">
        <f>_xlfn.IFNA(INDEX('OSA | 3GB'!A:C,MATCH(DATA!D966,'OSA | 3GB'!A:A,0),3),0)</f>
        <v>15000000</v>
      </c>
      <c r="J966" s="33">
        <f>INDEX('BIO WAHYU'!B:G,MATCH(DATA!D966,'BIO WAHYU'!B:B,0),5)</f>
        <v>33</v>
      </c>
      <c r="K966" s="34">
        <f>INDEX('BIO WAHYU'!B:G,MATCH(DATA!D966,'BIO WAHYU'!B:B,0),6)</f>
        <v>26</v>
      </c>
      <c r="L966" s="35">
        <f>INDEX('BIO WAHYU'!B:H,MATCH(DATA!D966,'BIO WAHYU'!B:B,0),7)</f>
        <v>0</v>
      </c>
      <c r="M966" s="34">
        <f>INDEX('BIO WAHYU'!B:H,MATCH(DATA!D966,'BIO WAHYU'!B:B,0),4)</f>
        <v>2</v>
      </c>
    </row>
    <row r="967" spans="1:13">
      <c r="A967" s="43" t="s">
        <v>1671</v>
      </c>
      <c r="B967" s="43" t="s">
        <v>142</v>
      </c>
      <c r="C967" s="43" t="s">
        <v>372</v>
      </c>
      <c r="D967" s="10">
        <v>555323</v>
      </c>
      <c r="E967" s="43" t="s">
        <v>10</v>
      </c>
      <c r="F967" s="8">
        <f>_xlfn.IFNA(INDEX('OSA | 3GB'!J:L,MATCH(DATA!D967,'OSA | 3GB'!J:J,0),2),0)</f>
        <v>38</v>
      </c>
      <c r="G967" s="8">
        <f>_xlfn.IFNA(INDEX('OSA | 3GB'!J:L,MATCH(DATA!D967,'OSA | 3GB'!J:J,0),3),0)</f>
        <v>8979000</v>
      </c>
      <c r="H967" s="32">
        <f>_xlfn.IFNA(INDEX('OSA | 3GB'!A:C,MATCH(DATA!D967,'OSA | 3GB'!A:A,0),2),0)</f>
        <v>18</v>
      </c>
      <c r="I967" s="33">
        <f>_xlfn.IFNA(INDEX('OSA | 3GB'!A:C,MATCH(DATA!D967,'OSA | 3GB'!A:A,0),3),0)</f>
        <v>1287000</v>
      </c>
      <c r="J967" s="33">
        <f>INDEX('BIO WAHYU'!B:G,MATCH(DATA!D967,'BIO WAHYU'!B:B,0),5)</f>
        <v>3</v>
      </c>
      <c r="K967" s="34">
        <f>INDEX('BIO WAHYU'!B:G,MATCH(DATA!D967,'BIO WAHYU'!B:B,0),6)</f>
        <v>1</v>
      </c>
      <c r="L967" s="35">
        <f>INDEX('BIO WAHYU'!B:H,MATCH(DATA!D967,'BIO WAHYU'!B:B,0),7)</f>
        <v>0</v>
      </c>
      <c r="M967" s="34">
        <f>INDEX('BIO WAHYU'!B:H,MATCH(DATA!D967,'BIO WAHYU'!B:B,0),4)</f>
        <v>0</v>
      </c>
    </row>
    <row r="968" spans="1:13">
      <c r="A968" s="43" t="s">
        <v>1674</v>
      </c>
      <c r="B968" s="43" t="s">
        <v>147</v>
      </c>
      <c r="C968" s="43" t="s">
        <v>1445</v>
      </c>
      <c r="D968" s="10">
        <v>127152</v>
      </c>
      <c r="E968" s="43" t="s">
        <v>10</v>
      </c>
      <c r="F968" s="8">
        <f>_xlfn.IFNA(INDEX('OSA | 3GB'!J:L,MATCH(DATA!D968,'OSA | 3GB'!J:J,0),2),0)</f>
        <v>3</v>
      </c>
      <c r="G968" s="8">
        <f>_xlfn.IFNA(INDEX('OSA | 3GB'!J:L,MATCH(DATA!D968,'OSA | 3GB'!J:J,0),3),0)</f>
        <v>1500000</v>
      </c>
      <c r="H968" s="32" t="str">
        <f>_xlfn.IFNA(INDEX('OSA | 3GB'!A:C,MATCH(DATA!D968,'OSA | 3GB'!A:A,0),2),0)</f>
        <v xml:space="preserve"> -   </v>
      </c>
      <c r="I968" s="33" t="str">
        <f>_xlfn.IFNA(INDEX('OSA | 3GB'!A:C,MATCH(DATA!D968,'OSA | 3GB'!A:A,0),3),0)</f>
        <v xml:space="preserve"> -   </v>
      </c>
      <c r="J968" s="33">
        <f>INDEX('BIO WAHYU'!B:G,MATCH(DATA!D968,'BIO WAHYU'!B:B,0),5)</f>
        <v>1</v>
      </c>
      <c r="K968" s="34">
        <f>INDEX('BIO WAHYU'!B:G,MATCH(DATA!D968,'BIO WAHYU'!B:B,0),6)</f>
        <v>0</v>
      </c>
      <c r="L968" s="35">
        <f>INDEX('BIO WAHYU'!B:H,MATCH(DATA!D968,'BIO WAHYU'!B:B,0),7)</f>
        <v>0</v>
      </c>
      <c r="M968" s="34">
        <f>INDEX('BIO WAHYU'!B:H,MATCH(DATA!D968,'BIO WAHYU'!B:B,0),4)</f>
        <v>0</v>
      </c>
    </row>
    <row r="969" spans="1:13">
      <c r="A969" s="43" t="s">
        <v>1670</v>
      </c>
      <c r="B969" s="43" t="s">
        <v>145</v>
      </c>
      <c r="C969" s="43" t="s">
        <v>493</v>
      </c>
      <c r="D969" s="10">
        <v>188445</v>
      </c>
      <c r="E969" s="43" t="s">
        <v>15</v>
      </c>
      <c r="F969" s="8">
        <f>_xlfn.IFNA(INDEX('OSA | 3GB'!J:L,MATCH(DATA!D969,'OSA | 3GB'!J:J,0),2),0)</f>
        <v>3</v>
      </c>
      <c r="G969" s="8">
        <f>_xlfn.IFNA(INDEX('OSA | 3GB'!J:L,MATCH(DATA!D969,'OSA | 3GB'!J:J,0),3),0)</f>
        <v>900000</v>
      </c>
      <c r="H969" s="32">
        <f>_xlfn.IFNA(INDEX('OSA | 3GB'!A:C,MATCH(DATA!D969,'OSA | 3GB'!A:A,0),2),0)</f>
        <v>3</v>
      </c>
      <c r="I969" s="33">
        <f>_xlfn.IFNA(INDEX('OSA | 3GB'!A:C,MATCH(DATA!D969,'OSA | 3GB'!A:A,0),3),0)</f>
        <v>700000</v>
      </c>
      <c r="J969" s="33">
        <f>INDEX('BIO WAHYU'!B:G,MATCH(DATA!D969,'BIO WAHYU'!B:B,0),5)</f>
        <v>3</v>
      </c>
      <c r="K969" s="34">
        <f>INDEX('BIO WAHYU'!B:G,MATCH(DATA!D969,'BIO WAHYU'!B:B,0),6)</f>
        <v>1</v>
      </c>
      <c r="L969" s="35">
        <f>INDEX('BIO WAHYU'!B:H,MATCH(DATA!D969,'BIO WAHYU'!B:B,0),7)</f>
        <v>0</v>
      </c>
      <c r="M969" s="34">
        <f>INDEX('BIO WAHYU'!B:H,MATCH(DATA!D969,'BIO WAHYU'!B:B,0),4)</f>
        <v>0</v>
      </c>
    </row>
    <row r="970" spans="1:13">
      <c r="A970" s="43" t="s">
        <v>1</v>
      </c>
      <c r="B970" s="43" t="s">
        <v>4</v>
      </c>
      <c r="C970" s="43" t="s">
        <v>48</v>
      </c>
      <c r="D970" s="10">
        <v>12325263</v>
      </c>
      <c r="E970" s="43" t="s">
        <v>15</v>
      </c>
      <c r="F970" s="8">
        <f>_xlfn.IFNA(INDEX('OSA | 3GB'!J:L,MATCH(DATA!D970,'OSA | 3GB'!J:J,0),2),0)</f>
        <v>6</v>
      </c>
      <c r="G970" s="8">
        <f>_xlfn.IFNA(INDEX('OSA | 3GB'!J:L,MATCH(DATA!D970,'OSA | 3GB'!J:J,0),3),0)</f>
        <v>1212000</v>
      </c>
      <c r="H970" s="32">
        <f>_xlfn.IFNA(INDEX('OSA | 3GB'!A:C,MATCH(DATA!D970,'OSA | 3GB'!A:A,0),2),0)</f>
        <v>5</v>
      </c>
      <c r="I970" s="33" t="str">
        <f>_xlfn.IFNA(INDEX('OSA | 3GB'!A:C,MATCH(DATA!D970,'OSA | 3GB'!A:A,0),3),0)</f>
        <v xml:space="preserve"> -   </v>
      </c>
      <c r="J970" s="33">
        <f>INDEX('BIO WAHYU'!B:G,MATCH(DATA!D970,'BIO WAHYU'!B:B,0),5)</f>
        <v>7</v>
      </c>
      <c r="K970" s="34">
        <f>INDEX('BIO WAHYU'!B:G,MATCH(DATA!D970,'BIO WAHYU'!B:B,0),6)</f>
        <v>5</v>
      </c>
      <c r="L970" s="35">
        <f>INDEX('BIO WAHYU'!B:H,MATCH(DATA!D970,'BIO WAHYU'!B:B,0),7)</f>
        <v>0</v>
      </c>
      <c r="M970" s="34">
        <f>INDEX('BIO WAHYU'!B:H,MATCH(DATA!D970,'BIO WAHYU'!B:B,0),4)</f>
        <v>0</v>
      </c>
    </row>
    <row r="971" spans="1:13">
      <c r="A971" s="43" t="s">
        <v>1673</v>
      </c>
      <c r="B971" s="43" t="s">
        <v>1140</v>
      </c>
      <c r="C971" s="43" t="s">
        <v>1446</v>
      </c>
      <c r="D971" s="10">
        <v>7988</v>
      </c>
      <c r="E971" s="43" t="s">
        <v>10</v>
      </c>
      <c r="F971" s="8">
        <f>_xlfn.IFNA(INDEX('OSA | 3GB'!J:L,MATCH(DATA!D971,'OSA | 3GB'!J:J,0),2),0)</f>
        <v>3</v>
      </c>
      <c r="G971" s="8">
        <f>_xlfn.IFNA(INDEX('OSA | 3GB'!J:L,MATCH(DATA!D971,'OSA | 3GB'!J:J,0),3),0)</f>
        <v>37101016</v>
      </c>
      <c r="H971" s="32" t="str">
        <f>_xlfn.IFNA(INDEX('OSA | 3GB'!A:C,MATCH(DATA!D971,'OSA | 3GB'!A:A,0),2),0)</f>
        <v xml:space="preserve"> -   </v>
      </c>
      <c r="I971" s="33">
        <f>_xlfn.IFNA(INDEX('OSA | 3GB'!A:C,MATCH(DATA!D971,'OSA | 3GB'!A:A,0),3),0)</f>
        <v>4639740</v>
      </c>
      <c r="J971" s="33">
        <f>INDEX('BIO WAHYU'!B:G,MATCH(DATA!D971,'BIO WAHYU'!B:B,0),5)</f>
        <v>6</v>
      </c>
      <c r="K971" s="34">
        <f>INDEX('BIO WAHYU'!B:G,MATCH(DATA!D971,'BIO WAHYU'!B:B,0),6)</f>
        <v>3</v>
      </c>
      <c r="L971" s="35">
        <f>INDEX('BIO WAHYU'!B:H,MATCH(DATA!D971,'BIO WAHYU'!B:B,0),7)</f>
        <v>0</v>
      </c>
      <c r="M971" s="34">
        <f>INDEX('BIO WAHYU'!B:H,MATCH(DATA!D971,'BIO WAHYU'!B:B,0),4)</f>
        <v>0</v>
      </c>
    </row>
    <row r="972" spans="1:13">
      <c r="A972" s="43" t="s">
        <v>1673</v>
      </c>
      <c r="B972" s="43" t="s">
        <v>141</v>
      </c>
      <c r="C972" s="43" t="s">
        <v>1447</v>
      </c>
      <c r="D972" s="10">
        <v>12299384</v>
      </c>
      <c r="E972" s="43" t="s">
        <v>10</v>
      </c>
      <c r="F972" s="8">
        <f>_xlfn.IFNA(INDEX('OSA | 3GB'!J:L,MATCH(DATA!D972,'OSA | 3GB'!J:J,0),2),0)</f>
        <v>3</v>
      </c>
      <c r="G972" s="8">
        <f>_xlfn.IFNA(INDEX('OSA | 3GB'!J:L,MATCH(DATA!D972,'OSA | 3GB'!J:J,0),3),0)</f>
        <v>915000</v>
      </c>
      <c r="H972" s="32" t="str">
        <f>_xlfn.IFNA(INDEX('OSA | 3GB'!A:C,MATCH(DATA!D972,'OSA | 3GB'!A:A,0),2),0)</f>
        <v xml:space="preserve"> -   </v>
      </c>
      <c r="I972" s="33">
        <f>_xlfn.IFNA(INDEX('OSA | 3GB'!A:C,MATCH(DATA!D972,'OSA | 3GB'!A:A,0),3),0)</f>
        <v>150000</v>
      </c>
      <c r="J972" s="33">
        <f>INDEX('BIO WAHYU'!B:G,MATCH(DATA!D972,'BIO WAHYU'!B:B,0),5)</f>
        <v>0</v>
      </c>
      <c r="K972" s="34">
        <f>INDEX('BIO WAHYU'!B:G,MATCH(DATA!D972,'BIO WAHYU'!B:B,0),6)</f>
        <v>0</v>
      </c>
      <c r="L972" s="35">
        <f>INDEX('BIO WAHYU'!B:H,MATCH(DATA!D972,'BIO WAHYU'!B:B,0),7)</f>
        <v>0</v>
      </c>
      <c r="M972" s="34">
        <f>INDEX('BIO WAHYU'!B:H,MATCH(DATA!D972,'BIO WAHYU'!B:B,0),4)</f>
        <v>0</v>
      </c>
    </row>
    <row r="973" spans="1:13">
      <c r="A973" s="43" t="s">
        <v>1672</v>
      </c>
      <c r="B973" s="43" t="s">
        <v>157</v>
      </c>
      <c r="C973" s="43" t="s">
        <v>1061</v>
      </c>
      <c r="D973" s="10">
        <v>61900</v>
      </c>
      <c r="E973" s="43" t="s">
        <v>10</v>
      </c>
      <c r="F973" s="8">
        <f>_xlfn.IFNA(INDEX('OSA | 3GB'!J:L,MATCH(DATA!D973,'OSA | 3GB'!J:J,0),2),0)</f>
        <v>4</v>
      </c>
      <c r="G973" s="8">
        <f>_xlfn.IFNA(INDEX('OSA | 3GB'!J:L,MATCH(DATA!D973,'OSA | 3GB'!J:J,0),3),0)</f>
        <v>19561498</v>
      </c>
      <c r="H973" s="32">
        <f>_xlfn.IFNA(INDEX('OSA | 3GB'!A:C,MATCH(DATA!D973,'OSA | 3GB'!A:A,0),2),0)</f>
        <v>1</v>
      </c>
      <c r="I973" s="33">
        <f>_xlfn.IFNA(INDEX('OSA | 3GB'!A:C,MATCH(DATA!D973,'OSA | 3GB'!A:A,0),3),0)</f>
        <v>7092440</v>
      </c>
      <c r="J973" s="33">
        <f>INDEX('BIO WAHYU'!B:G,MATCH(DATA!D973,'BIO WAHYU'!B:B,0),5)</f>
        <v>3</v>
      </c>
      <c r="K973" s="34">
        <f>INDEX('BIO WAHYU'!B:G,MATCH(DATA!D973,'BIO WAHYU'!B:B,0),6)</f>
        <v>3</v>
      </c>
      <c r="L973" s="35">
        <f>INDEX('BIO WAHYU'!B:H,MATCH(DATA!D973,'BIO WAHYU'!B:B,0),7)</f>
        <v>0</v>
      </c>
      <c r="M973" s="34">
        <f>INDEX('BIO WAHYU'!B:H,MATCH(DATA!D973,'BIO WAHYU'!B:B,0),4)</f>
        <v>0</v>
      </c>
    </row>
    <row r="974" spans="1:13">
      <c r="A974" s="43" t="s">
        <v>1675</v>
      </c>
      <c r="B974" s="43">
        <v>2613051451</v>
      </c>
      <c r="C974" s="43" t="s">
        <v>1448</v>
      </c>
      <c r="D974" s="10">
        <v>357600</v>
      </c>
      <c r="E974" s="43" t="s">
        <v>10</v>
      </c>
      <c r="F974" s="8">
        <f>_xlfn.IFNA(INDEX('OSA | 3GB'!J:L,MATCH(DATA!D974,'OSA | 3GB'!J:J,0),2),0)</f>
        <v>6</v>
      </c>
      <c r="G974" s="8">
        <f>_xlfn.IFNA(INDEX('OSA | 3GB'!J:L,MATCH(DATA!D974,'OSA | 3GB'!J:J,0),3),0)</f>
        <v>1987000</v>
      </c>
      <c r="H974" s="32" t="str">
        <f>_xlfn.IFNA(INDEX('OSA | 3GB'!A:C,MATCH(DATA!D974,'OSA | 3GB'!A:A,0),2),0)</f>
        <v xml:space="preserve"> -   </v>
      </c>
      <c r="I974" s="33" t="str">
        <f>_xlfn.IFNA(INDEX('OSA | 3GB'!A:C,MATCH(DATA!D974,'OSA | 3GB'!A:A,0),3),0)</f>
        <v xml:space="preserve"> -   </v>
      </c>
      <c r="J974" s="33">
        <f>INDEX('BIO WAHYU'!B:G,MATCH(DATA!D974,'BIO WAHYU'!B:B,0),5)</f>
        <v>4</v>
      </c>
      <c r="K974" s="34">
        <f>INDEX('BIO WAHYU'!B:G,MATCH(DATA!D974,'BIO WAHYU'!B:B,0),6)</f>
        <v>0</v>
      </c>
      <c r="L974" s="35">
        <f>INDEX('BIO WAHYU'!B:H,MATCH(DATA!D974,'BIO WAHYU'!B:B,0),7)</f>
        <v>0</v>
      </c>
      <c r="M974" s="34">
        <f>INDEX('BIO WAHYU'!B:H,MATCH(DATA!D974,'BIO WAHYU'!B:B,0),4)</f>
        <v>0</v>
      </c>
    </row>
    <row r="975" spans="1:13">
      <c r="A975" s="43" t="s">
        <v>1672</v>
      </c>
      <c r="B975" s="43" t="s">
        <v>149</v>
      </c>
      <c r="C975" s="43" t="s">
        <v>764</v>
      </c>
      <c r="D975" s="10">
        <v>12295860</v>
      </c>
      <c r="E975" s="43" t="s">
        <v>10</v>
      </c>
      <c r="F975" s="8">
        <f>_xlfn.IFNA(INDEX('OSA | 3GB'!J:L,MATCH(DATA!D975,'OSA | 3GB'!J:J,0),2),0)</f>
        <v>7</v>
      </c>
      <c r="G975" s="8">
        <f>_xlfn.IFNA(INDEX('OSA | 3GB'!J:L,MATCH(DATA!D975,'OSA | 3GB'!J:J,0),3),0)</f>
        <v>2450000</v>
      </c>
      <c r="H975" s="32" t="str">
        <f>_xlfn.IFNA(INDEX('OSA | 3GB'!A:C,MATCH(DATA!D975,'OSA | 3GB'!A:A,0),2),0)</f>
        <v xml:space="preserve"> -   </v>
      </c>
      <c r="I975" s="33">
        <f>_xlfn.IFNA(INDEX('OSA | 3GB'!A:C,MATCH(DATA!D975,'OSA | 3GB'!A:A,0),3),0)</f>
        <v>1100000</v>
      </c>
      <c r="J975" s="33">
        <f>INDEX('BIO WAHYU'!B:G,MATCH(DATA!D975,'BIO WAHYU'!B:B,0),5)</f>
        <v>3</v>
      </c>
      <c r="K975" s="34">
        <f>INDEX('BIO WAHYU'!B:G,MATCH(DATA!D975,'BIO WAHYU'!B:B,0),6)</f>
        <v>0</v>
      </c>
      <c r="L975" s="35">
        <f>INDEX('BIO WAHYU'!B:H,MATCH(DATA!D975,'BIO WAHYU'!B:B,0),7)</f>
        <v>0</v>
      </c>
      <c r="M975" s="34">
        <f>INDEX('BIO WAHYU'!B:H,MATCH(DATA!D975,'BIO WAHYU'!B:B,0),4)</f>
        <v>0</v>
      </c>
    </row>
    <row r="976" spans="1:13">
      <c r="A976" s="43" t="s">
        <v>1670</v>
      </c>
      <c r="B976" s="43" t="s">
        <v>145</v>
      </c>
      <c r="C976" s="43" t="s">
        <v>512</v>
      </c>
      <c r="D976" s="10">
        <v>477032</v>
      </c>
      <c r="E976" s="43" t="s">
        <v>10</v>
      </c>
      <c r="F976" s="8">
        <f>_xlfn.IFNA(INDEX('OSA | 3GB'!J:L,MATCH(DATA!D976,'OSA | 3GB'!J:J,0),2),0)</f>
        <v>2</v>
      </c>
      <c r="G976" s="8">
        <f>_xlfn.IFNA(INDEX('OSA | 3GB'!J:L,MATCH(DATA!D976,'OSA | 3GB'!J:J,0),3),0)</f>
        <v>3700000</v>
      </c>
      <c r="H976" s="32">
        <f>_xlfn.IFNA(INDEX('OSA | 3GB'!A:C,MATCH(DATA!D976,'OSA | 3GB'!A:A,0),2),0)</f>
        <v>1</v>
      </c>
      <c r="I976" s="33">
        <f>_xlfn.IFNA(INDEX('OSA | 3GB'!A:C,MATCH(DATA!D976,'OSA | 3GB'!A:A,0),3),0)</f>
        <v>1950000</v>
      </c>
      <c r="J976" s="33">
        <f>INDEX('BIO WAHYU'!B:G,MATCH(DATA!D976,'BIO WAHYU'!B:B,0),5)</f>
        <v>2</v>
      </c>
      <c r="K976" s="34">
        <f>INDEX('BIO WAHYU'!B:G,MATCH(DATA!D976,'BIO WAHYU'!B:B,0),6)</f>
        <v>1</v>
      </c>
      <c r="L976" s="35">
        <f>INDEX('BIO WAHYU'!B:H,MATCH(DATA!D976,'BIO WAHYU'!B:B,0),7)</f>
        <v>0</v>
      </c>
      <c r="M976" s="34">
        <f>INDEX('BIO WAHYU'!B:H,MATCH(DATA!D976,'BIO WAHYU'!B:B,0),4)</f>
        <v>0</v>
      </c>
    </row>
    <row r="977" spans="1:13">
      <c r="A977" s="43" t="s">
        <v>1673</v>
      </c>
      <c r="B977" s="43" t="s">
        <v>158</v>
      </c>
      <c r="C977" s="43" t="s">
        <v>1449</v>
      </c>
      <c r="D977" s="10">
        <v>373926</v>
      </c>
      <c r="E977" s="43" t="s">
        <v>10</v>
      </c>
      <c r="F977" s="8">
        <f>_xlfn.IFNA(INDEX('OSA | 3GB'!J:L,MATCH(DATA!D977,'OSA | 3GB'!J:J,0),2),0)</f>
        <v>3</v>
      </c>
      <c r="G977" s="8">
        <f>_xlfn.IFNA(INDEX('OSA | 3GB'!J:L,MATCH(DATA!D977,'OSA | 3GB'!J:J,0),3),0)</f>
        <v>500000</v>
      </c>
      <c r="H977" s="32" t="str">
        <f>_xlfn.IFNA(INDEX('OSA | 3GB'!A:C,MATCH(DATA!D977,'OSA | 3GB'!A:A,0),2),0)</f>
        <v xml:space="preserve"> -   </v>
      </c>
      <c r="I977" s="33">
        <f>_xlfn.IFNA(INDEX('OSA | 3GB'!A:C,MATCH(DATA!D977,'OSA | 3GB'!A:A,0),3),0)</f>
        <v>500000</v>
      </c>
      <c r="J977" s="33">
        <f>INDEX('BIO WAHYU'!B:G,MATCH(DATA!D977,'BIO WAHYU'!B:B,0),5)</f>
        <v>4</v>
      </c>
      <c r="K977" s="34">
        <f>INDEX('BIO WAHYU'!B:G,MATCH(DATA!D977,'BIO WAHYU'!B:B,0),6)</f>
        <v>1</v>
      </c>
      <c r="L977" s="35">
        <f>INDEX('BIO WAHYU'!B:H,MATCH(DATA!D977,'BIO WAHYU'!B:B,0),7)</f>
        <v>0</v>
      </c>
      <c r="M977" s="34">
        <f>INDEX('BIO WAHYU'!B:H,MATCH(DATA!D977,'BIO WAHYU'!B:B,0),4)</f>
        <v>0</v>
      </c>
    </row>
    <row r="978" spans="1:13">
      <c r="A978" s="43" t="s">
        <v>1673</v>
      </c>
      <c r="B978" s="43" t="s">
        <v>1136</v>
      </c>
      <c r="C978" s="43" t="s">
        <v>169</v>
      </c>
      <c r="D978" s="10">
        <v>12323668</v>
      </c>
      <c r="E978" s="43" t="s">
        <v>10</v>
      </c>
      <c r="F978" s="8">
        <f>_xlfn.IFNA(INDEX('OSA | 3GB'!J:L,MATCH(DATA!D978,'OSA | 3GB'!J:J,0),2),0)</f>
        <v>0</v>
      </c>
      <c r="G978" s="8">
        <f>_xlfn.IFNA(INDEX('OSA | 3GB'!J:L,MATCH(DATA!D978,'OSA | 3GB'!J:J,0),3),0)</f>
        <v>50000</v>
      </c>
      <c r="H978" s="32" t="str">
        <f>_xlfn.IFNA(INDEX('OSA | 3GB'!A:C,MATCH(DATA!D978,'OSA | 3GB'!A:A,0),2),0)</f>
        <v xml:space="preserve"> -   </v>
      </c>
      <c r="I978" s="33" t="str">
        <f>_xlfn.IFNA(INDEX('OSA | 3GB'!A:C,MATCH(DATA!D978,'OSA | 3GB'!A:A,0),3),0)</f>
        <v xml:space="preserve"> -   </v>
      </c>
      <c r="J978" s="33">
        <f>INDEX('BIO WAHYU'!B:G,MATCH(DATA!D978,'BIO WAHYU'!B:B,0),5)</f>
        <v>3</v>
      </c>
      <c r="K978" s="34">
        <f>INDEX('BIO WAHYU'!B:G,MATCH(DATA!D978,'BIO WAHYU'!B:B,0),6)</f>
        <v>0</v>
      </c>
      <c r="L978" s="35">
        <f>INDEX('BIO WAHYU'!B:H,MATCH(DATA!D978,'BIO WAHYU'!B:B,0),7)</f>
        <v>0</v>
      </c>
      <c r="M978" s="34">
        <f>INDEX('BIO WAHYU'!B:H,MATCH(DATA!D978,'BIO WAHYU'!B:B,0),4)</f>
        <v>0</v>
      </c>
    </row>
    <row r="979" spans="1:13">
      <c r="A979" s="43" t="s">
        <v>1</v>
      </c>
      <c r="B979" s="43" t="s">
        <v>4</v>
      </c>
      <c r="C979" s="43" t="s">
        <v>55</v>
      </c>
      <c r="D979" s="10">
        <v>278608</v>
      </c>
      <c r="E979" s="43" t="s">
        <v>10</v>
      </c>
      <c r="F979" s="8">
        <f>_xlfn.IFNA(INDEX('OSA | 3GB'!J:L,MATCH(DATA!D979,'OSA | 3GB'!J:J,0),2),0)</f>
        <v>3</v>
      </c>
      <c r="G979" s="8">
        <f>_xlfn.IFNA(INDEX('OSA | 3GB'!J:L,MATCH(DATA!D979,'OSA | 3GB'!J:J,0),3),0)</f>
        <v>4750000</v>
      </c>
      <c r="H979" s="32" t="str">
        <f>_xlfn.IFNA(INDEX('OSA | 3GB'!A:C,MATCH(DATA!D979,'OSA | 3GB'!A:A,0),2),0)</f>
        <v xml:space="preserve"> -   </v>
      </c>
      <c r="I979" s="33">
        <f>_xlfn.IFNA(INDEX('OSA | 3GB'!A:C,MATCH(DATA!D979,'OSA | 3GB'!A:A,0),3),0)</f>
        <v>2000000</v>
      </c>
      <c r="J979" s="33">
        <f>INDEX('BIO WAHYU'!B:G,MATCH(DATA!D979,'BIO WAHYU'!B:B,0),5)</f>
        <v>2</v>
      </c>
      <c r="K979" s="34">
        <f>INDEX('BIO WAHYU'!B:G,MATCH(DATA!D979,'BIO WAHYU'!B:B,0),6)</f>
        <v>0</v>
      </c>
      <c r="L979" s="35">
        <f>INDEX('BIO WAHYU'!B:H,MATCH(DATA!D979,'BIO WAHYU'!B:B,0),7)</f>
        <v>0</v>
      </c>
      <c r="M979" s="34">
        <f>INDEX('BIO WAHYU'!B:H,MATCH(DATA!D979,'BIO WAHYU'!B:B,0),4)</f>
        <v>1</v>
      </c>
    </row>
    <row r="980" spans="1:13">
      <c r="A980" s="43" t="s">
        <v>1673</v>
      </c>
      <c r="B980" s="43" t="s">
        <v>1140</v>
      </c>
      <c r="C980" s="43" t="s">
        <v>1450</v>
      </c>
      <c r="D980" s="10">
        <v>545535</v>
      </c>
      <c r="E980" s="43" t="s">
        <v>15</v>
      </c>
      <c r="F980" s="8">
        <f>_xlfn.IFNA(INDEX('OSA | 3GB'!J:L,MATCH(DATA!D980,'OSA | 3GB'!J:J,0),2),0)</f>
        <v>0</v>
      </c>
      <c r="G980" s="8">
        <f>_xlfn.IFNA(INDEX('OSA | 3GB'!J:L,MATCH(DATA!D980,'OSA | 3GB'!J:J,0),3),0)</f>
        <v>0</v>
      </c>
      <c r="H980" s="32" t="str">
        <f>_xlfn.IFNA(INDEX('OSA | 3GB'!A:C,MATCH(DATA!D980,'OSA | 3GB'!A:A,0),2),0)</f>
        <v xml:space="preserve"> -   </v>
      </c>
      <c r="I980" s="33" t="str">
        <f>_xlfn.IFNA(INDEX('OSA | 3GB'!A:C,MATCH(DATA!D980,'OSA | 3GB'!A:A,0),3),0)</f>
        <v xml:space="preserve"> -   </v>
      </c>
      <c r="J980" s="33">
        <f>INDEX('BIO WAHYU'!B:G,MATCH(DATA!D980,'BIO WAHYU'!B:B,0),5)</f>
        <v>0</v>
      </c>
      <c r="K980" s="34">
        <f>INDEX('BIO WAHYU'!B:G,MATCH(DATA!D980,'BIO WAHYU'!B:B,0),6)</f>
        <v>0</v>
      </c>
      <c r="L980" s="35">
        <f>INDEX('BIO WAHYU'!B:H,MATCH(DATA!D980,'BIO WAHYU'!B:B,0),7)</f>
        <v>0</v>
      </c>
      <c r="M980" s="34">
        <f>INDEX('BIO WAHYU'!B:H,MATCH(DATA!D980,'BIO WAHYU'!B:B,0),4)</f>
        <v>0</v>
      </c>
    </row>
    <row r="981" spans="1:13">
      <c r="A981" s="43" t="s">
        <v>1674</v>
      </c>
      <c r="B981" s="43" t="s">
        <v>147</v>
      </c>
      <c r="C981" s="43" t="s">
        <v>605</v>
      </c>
      <c r="D981" s="10">
        <v>246734</v>
      </c>
      <c r="E981" s="43" t="s">
        <v>10</v>
      </c>
      <c r="F981" s="8">
        <f>_xlfn.IFNA(INDEX('OSA | 3GB'!J:L,MATCH(DATA!D981,'OSA | 3GB'!J:J,0),2),0)</f>
        <v>0</v>
      </c>
      <c r="G981" s="8">
        <f>_xlfn.IFNA(INDEX('OSA | 3GB'!J:L,MATCH(DATA!D981,'OSA | 3GB'!J:J,0),3),0)</f>
        <v>200000</v>
      </c>
      <c r="H981" s="32" t="str">
        <f>_xlfn.IFNA(INDEX('OSA | 3GB'!A:C,MATCH(DATA!D981,'OSA | 3GB'!A:A,0),2),0)</f>
        <v xml:space="preserve"> -   </v>
      </c>
      <c r="I981" s="33" t="str">
        <f>_xlfn.IFNA(INDEX('OSA | 3GB'!A:C,MATCH(DATA!D981,'OSA | 3GB'!A:A,0),3),0)</f>
        <v xml:space="preserve"> -   </v>
      </c>
      <c r="J981" s="33">
        <f>INDEX('BIO WAHYU'!B:G,MATCH(DATA!D981,'BIO WAHYU'!B:B,0),5)</f>
        <v>1</v>
      </c>
      <c r="K981" s="34">
        <f>INDEX('BIO WAHYU'!B:G,MATCH(DATA!D981,'BIO WAHYU'!B:B,0),6)</f>
        <v>0</v>
      </c>
      <c r="L981" s="35">
        <f>INDEX('BIO WAHYU'!B:H,MATCH(DATA!D981,'BIO WAHYU'!B:B,0),7)</f>
        <v>0</v>
      </c>
      <c r="M981" s="34">
        <f>INDEX('BIO WAHYU'!B:H,MATCH(DATA!D981,'BIO WAHYU'!B:B,0),4)</f>
        <v>0</v>
      </c>
    </row>
    <row r="982" spans="1:13">
      <c r="A982" s="43" t="s">
        <v>1674</v>
      </c>
      <c r="B982" s="43" t="s">
        <v>148</v>
      </c>
      <c r="C982" s="43" t="s">
        <v>1451</v>
      </c>
      <c r="D982" s="10">
        <v>436841</v>
      </c>
      <c r="E982" s="43" t="s">
        <v>10</v>
      </c>
      <c r="F982" s="8">
        <f>_xlfn.IFNA(INDEX('OSA | 3GB'!J:L,MATCH(DATA!D982,'OSA | 3GB'!J:J,0),2),0)</f>
        <v>3</v>
      </c>
      <c r="G982" s="8">
        <f>_xlfn.IFNA(INDEX('OSA | 3GB'!J:L,MATCH(DATA!D982,'OSA | 3GB'!J:J,0),3),0)</f>
        <v>2995000</v>
      </c>
      <c r="H982" s="32" t="str">
        <f>_xlfn.IFNA(INDEX('OSA | 3GB'!A:C,MATCH(DATA!D982,'OSA | 3GB'!A:A,0),2),0)</f>
        <v xml:space="preserve"> -   </v>
      </c>
      <c r="I982" s="33">
        <f>_xlfn.IFNA(INDEX('OSA | 3GB'!A:C,MATCH(DATA!D982,'OSA | 3GB'!A:A,0),3),0)</f>
        <v>1250000</v>
      </c>
      <c r="J982" s="33">
        <f>INDEX('BIO WAHYU'!B:G,MATCH(DATA!D982,'BIO WAHYU'!B:B,0),5)</f>
        <v>5</v>
      </c>
      <c r="K982" s="34">
        <f>INDEX('BIO WAHYU'!B:G,MATCH(DATA!D982,'BIO WAHYU'!B:B,0),6)</f>
        <v>1</v>
      </c>
      <c r="L982" s="35">
        <f>INDEX('BIO WAHYU'!B:H,MATCH(DATA!D982,'BIO WAHYU'!B:B,0),7)</f>
        <v>0</v>
      </c>
      <c r="M982" s="34">
        <f>INDEX('BIO WAHYU'!B:H,MATCH(DATA!D982,'BIO WAHYU'!B:B,0),4)</f>
        <v>0</v>
      </c>
    </row>
    <row r="983" spans="1:13">
      <c r="A983" s="43" t="s">
        <v>1673</v>
      </c>
      <c r="B983" s="43" t="s">
        <v>1140</v>
      </c>
      <c r="C983" s="43" t="s">
        <v>1452</v>
      </c>
      <c r="D983" s="10">
        <v>188722</v>
      </c>
      <c r="E983" s="43" t="s">
        <v>10</v>
      </c>
      <c r="F983" s="8">
        <f>_xlfn.IFNA(INDEX('OSA | 3GB'!J:L,MATCH(DATA!D983,'OSA | 3GB'!J:J,0),2),0)</f>
        <v>3</v>
      </c>
      <c r="G983" s="8">
        <f>_xlfn.IFNA(INDEX('OSA | 3GB'!J:L,MATCH(DATA!D983,'OSA | 3GB'!J:J,0),3),0)</f>
        <v>5000000</v>
      </c>
      <c r="H983" s="32" t="str">
        <f>_xlfn.IFNA(INDEX('OSA | 3GB'!A:C,MATCH(DATA!D983,'OSA | 3GB'!A:A,0),2),0)</f>
        <v xml:space="preserve"> -   </v>
      </c>
      <c r="I983" s="33">
        <f>_xlfn.IFNA(INDEX('OSA | 3GB'!A:C,MATCH(DATA!D983,'OSA | 3GB'!A:A,0),3),0)</f>
        <v>3500000</v>
      </c>
      <c r="J983" s="33">
        <f>INDEX('BIO WAHYU'!B:G,MATCH(DATA!D983,'BIO WAHYU'!B:B,0),5)</f>
        <v>6</v>
      </c>
      <c r="K983" s="34">
        <f>INDEX('BIO WAHYU'!B:G,MATCH(DATA!D983,'BIO WAHYU'!B:B,0),6)</f>
        <v>0</v>
      </c>
      <c r="L983" s="35">
        <f>INDEX('BIO WAHYU'!B:H,MATCH(DATA!D983,'BIO WAHYU'!B:B,0),7)</f>
        <v>0</v>
      </c>
      <c r="M983" s="34">
        <f>INDEX('BIO WAHYU'!B:H,MATCH(DATA!D983,'BIO WAHYU'!B:B,0),4)</f>
        <v>0</v>
      </c>
    </row>
    <row r="984" spans="1:13">
      <c r="A984" s="43" t="s">
        <v>1673</v>
      </c>
      <c r="B984" s="43" t="s">
        <v>1136</v>
      </c>
      <c r="C984" s="43" t="s">
        <v>1453</v>
      </c>
      <c r="D984" s="10">
        <v>458896</v>
      </c>
      <c r="E984" s="43" t="s">
        <v>10</v>
      </c>
      <c r="F984" s="8">
        <f>_xlfn.IFNA(INDEX('OSA | 3GB'!J:L,MATCH(DATA!D984,'OSA | 3GB'!J:J,0),2),0)</f>
        <v>10</v>
      </c>
      <c r="G984" s="8">
        <f>_xlfn.IFNA(INDEX('OSA | 3GB'!J:L,MATCH(DATA!D984,'OSA | 3GB'!J:J,0),3),0)</f>
        <v>850000</v>
      </c>
      <c r="H984" s="32" t="str">
        <f>_xlfn.IFNA(INDEX('OSA | 3GB'!A:C,MATCH(DATA!D984,'OSA | 3GB'!A:A,0),2),0)</f>
        <v xml:space="preserve"> -   </v>
      </c>
      <c r="I984" s="33">
        <f>_xlfn.IFNA(INDEX('OSA | 3GB'!A:C,MATCH(DATA!D984,'OSA | 3GB'!A:A,0),3),0)</f>
        <v>250000</v>
      </c>
      <c r="J984" s="33">
        <f>INDEX('BIO WAHYU'!B:G,MATCH(DATA!D984,'BIO WAHYU'!B:B,0),5)</f>
        <v>4</v>
      </c>
      <c r="K984" s="34">
        <f>INDEX('BIO WAHYU'!B:G,MATCH(DATA!D984,'BIO WAHYU'!B:B,0),6)</f>
        <v>4</v>
      </c>
      <c r="L984" s="35">
        <f>INDEX('BIO WAHYU'!B:H,MATCH(DATA!D984,'BIO WAHYU'!B:B,0),7)</f>
        <v>0</v>
      </c>
      <c r="M984" s="34">
        <f>INDEX('BIO WAHYU'!B:H,MATCH(DATA!D984,'BIO WAHYU'!B:B,0),4)</f>
        <v>0</v>
      </c>
    </row>
    <row r="985" spans="1:13">
      <c r="A985" s="43" t="s">
        <v>1670</v>
      </c>
      <c r="B985" s="43" t="s">
        <v>146</v>
      </c>
      <c r="C985" s="43" t="s">
        <v>533</v>
      </c>
      <c r="D985" s="10">
        <v>12322292</v>
      </c>
      <c r="E985" s="43" t="s">
        <v>10</v>
      </c>
      <c r="F985" s="8">
        <f>_xlfn.IFNA(INDEX('OSA | 3GB'!J:L,MATCH(DATA!D985,'OSA | 3GB'!J:J,0),2),0)</f>
        <v>1</v>
      </c>
      <c r="G985" s="8">
        <f>_xlfn.IFNA(INDEX('OSA | 3GB'!J:L,MATCH(DATA!D985,'OSA | 3GB'!J:J,0),3),0)</f>
        <v>0</v>
      </c>
      <c r="H985" s="32" t="str">
        <f>_xlfn.IFNA(INDEX('OSA | 3GB'!A:C,MATCH(DATA!D985,'OSA | 3GB'!A:A,0),2),0)</f>
        <v xml:space="preserve"> -   </v>
      </c>
      <c r="I985" s="33" t="str">
        <f>_xlfn.IFNA(INDEX('OSA | 3GB'!A:C,MATCH(DATA!D985,'OSA | 3GB'!A:A,0),3),0)</f>
        <v xml:space="preserve"> -   </v>
      </c>
      <c r="J985" s="33">
        <f>INDEX('BIO WAHYU'!B:G,MATCH(DATA!D985,'BIO WAHYU'!B:B,0),5)</f>
        <v>1</v>
      </c>
      <c r="K985" s="34">
        <f>INDEX('BIO WAHYU'!B:G,MATCH(DATA!D985,'BIO WAHYU'!B:B,0),6)</f>
        <v>0</v>
      </c>
      <c r="L985" s="35">
        <f>INDEX('BIO WAHYU'!B:H,MATCH(DATA!D985,'BIO WAHYU'!B:B,0),7)</f>
        <v>0</v>
      </c>
      <c r="M985" s="34">
        <f>INDEX('BIO WAHYU'!B:H,MATCH(DATA!D985,'BIO WAHYU'!B:B,0),4)</f>
        <v>0</v>
      </c>
    </row>
    <row r="986" spans="1:13">
      <c r="A986" s="43" t="s">
        <v>1</v>
      </c>
      <c r="B986" s="43" t="s">
        <v>3</v>
      </c>
      <c r="C986" s="43" t="s">
        <v>12</v>
      </c>
      <c r="D986" s="10">
        <v>12295626</v>
      </c>
      <c r="E986" s="43" t="s">
        <v>10</v>
      </c>
      <c r="F986" s="8">
        <f>_xlfn.IFNA(INDEX('OSA | 3GB'!J:L,MATCH(DATA!D986,'OSA | 3GB'!J:J,0),2),0)</f>
        <v>0</v>
      </c>
      <c r="G986" s="8">
        <f>_xlfn.IFNA(INDEX('OSA | 3GB'!J:L,MATCH(DATA!D986,'OSA | 3GB'!J:J,0),3),0)</f>
        <v>1000</v>
      </c>
      <c r="H986" s="32" t="str">
        <f>_xlfn.IFNA(INDEX('OSA | 3GB'!A:C,MATCH(DATA!D986,'OSA | 3GB'!A:A,0),2),0)</f>
        <v xml:space="preserve"> -   </v>
      </c>
      <c r="I986" s="33" t="str">
        <f>_xlfn.IFNA(INDEX('OSA | 3GB'!A:C,MATCH(DATA!D986,'OSA | 3GB'!A:A,0),3),0)</f>
        <v xml:space="preserve"> -   </v>
      </c>
      <c r="J986" s="33">
        <f>INDEX('BIO WAHYU'!B:G,MATCH(DATA!D986,'BIO WAHYU'!B:B,0),5)</f>
        <v>0</v>
      </c>
      <c r="K986" s="34">
        <f>INDEX('BIO WAHYU'!B:G,MATCH(DATA!D986,'BIO WAHYU'!B:B,0),6)</f>
        <v>0</v>
      </c>
      <c r="L986" s="35">
        <f>INDEX('BIO WAHYU'!B:H,MATCH(DATA!D986,'BIO WAHYU'!B:B,0),7)</f>
        <v>0</v>
      </c>
      <c r="M986" s="34">
        <f>INDEX('BIO WAHYU'!B:H,MATCH(DATA!D986,'BIO WAHYU'!B:B,0),4)</f>
        <v>0</v>
      </c>
    </row>
    <row r="987" spans="1:13">
      <c r="A987" s="43" t="s">
        <v>1</v>
      </c>
      <c r="B987" s="43" t="s">
        <v>3</v>
      </c>
      <c r="C987" s="43" t="s">
        <v>1103</v>
      </c>
      <c r="D987" s="10">
        <v>525590</v>
      </c>
      <c r="E987" s="43" t="s">
        <v>10</v>
      </c>
      <c r="F987" s="8">
        <f>_xlfn.IFNA(INDEX('OSA | 3GB'!J:L,MATCH(DATA!D987,'OSA | 3GB'!J:J,0),2),0)</f>
        <v>4</v>
      </c>
      <c r="G987" s="8">
        <f>_xlfn.IFNA(INDEX('OSA | 3GB'!J:L,MATCH(DATA!D987,'OSA | 3GB'!J:J,0),3),0)</f>
        <v>9369000</v>
      </c>
      <c r="H987" s="32" t="str">
        <f>_xlfn.IFNA(INDEX('OSA | 3GB'!A:C,MATCH(DATA!D987,'OSA | 3GB'!A:A,0),2),0)</f>
        <v xml:space="preserve"> -   </v>
      </c>
      <c r="I987" s="33">
        <f>_xlfn.IFNA(INDEX('OSA | 3GB'!A:C,MATCH(DATA!D987,'OSA | 3GB'!A:A,0),3),0)</f>
        <v>5898000</v>
      </c>
      <c r="J987" s="33">
        <f>INDEX('BIO WAHYU'!B:G,MATCH(DATA!D987,'BIO WAHYU'!B:B,0),5)</f>
        <v>4</v>
      </c>
      <c r="K987" s="34">
        <f>INDEX('BIO WAHYU'!B:G,MATCH(DATA!D987,'BIO WAHYU'!B:B,0),6)</f>
        <v>3</v>
      </c>
      <c r="L987" s="35">
        <f>INDEX('BIO WAHYU'!B:H,MATCH(DATA!D987,'BIO WAHYU'!B:B,0),7)</f>
        <v>0</v>
      </c>
      <c r="M987" s="34">
        <f>INDEX('BIO WAHYU'!B:H,MATCH(DATA!D987,'BIO WAHYU'!B:B,0),4)</f>
        <v>0</v>
      </c>
    </row>
    <row r="988" spans="1:13">
      <c r="A988" s="43" t="s">
        <v>1673</v>
      </c>
      <c r="B988" s="43" t="s">
        <v>143</v>
      </c>
      <c r="C988" s="43" t="s">
        <v>1454</v>
      </c>
      <c r="D988" s="10">
        <v>570748</v>
      </c>
      <c r="E988" s="43" t="s">
        <v>10</v>
      </c>
      <c r="F988" s="8">
        <f>_xlfn.IFNA(INDEX('OSA | 3GB'!J:L,MATCH(DATA!D988,'OSA | 3GB'!J:J,0),2),0)</f>
        <v>3</v>
      </c>
      <c r="G988" s="8">
        <f>_xlfn.IFNA(INDEX('OSA | 3GB'!J:L,MATCH(DATA!D988,'OSA | 3GB'!J:J,0),3),0)</f>
        <v>4300000</v>
      </c>
      <c r="H988" s="32" t="str">
        <f>_xlfn.IFNA(INDEX('OSA | 3GB'!A:C,MATCH(DATA!D988,'OSA | 3GB'!A:A,0),2),0)</f>
        <v xml:space="preserve"> -   </v>
      </c>
      <c r="I988" s="33">
        <f>_xlfn.IFNA(INDEX('OSA | 3GB'!A:C,MATCH(DATA!D988,'OSA | 3GB'!A:A,0),3),0)</f>
        <v>1500000</v>
      </c>
      <c r="J988" s="33">
        <f>INDEX('BIO WAHYU'!B:G,MATCH(DATA!D988,'BIO WAHYU'!B:B,0),5)</f>
        <v>3</v>
      </c>
      <c r="K988" s="34">
        <f>INDEX('BIO WAHYU'!B:G,MATCH(DATA!D988,'BIO WAHYU'!B:B,0),6)</f>
        <v>0</v>
      </c>
      <c r="L988" s="35">
        <f>INDEX('BIO WAHYU'!B:H,MATCH(DATA!D988,'BIO WAHYU'!B:B,0),7)</f>
        <v>0</v>
      </c>
      <c r="M988" s="34">
        <f>INDEX('BIO WAHYU'!B:H,MATCH(DATA!D988,'BIO WAHYU'!B:B,0),4)</f>
        <v>0</v>
      </c>
    </row>
    <row r="989" spans="1:13">
      <c r="A989" s="43" t="s">
        <v>1672</v>
      </c>
      <c r="B989" s="43" t="s">
        <v>150</v>
      </c>
      <c r="C989" s="43" t="s">
        <v>817</v>
      </c>
      <c r="D989" s="10">
        <v>262784</v>
      </c>
      <c r="E989" s="43" t="s">
        <v>10</v>
      </c>
      <c r="F989" s="8">
        <f>_xlfn.IFNA(INDEX('OSA | 3GB'!J:L,MATCH(DATA!D989,'OSA | 3GB'!J:J,0),2),0)</f>
        <v>0</v>
      </c>
      <c r="G989" s="8">
        <f>_xlfn.IFNA(INDEX('OSA | 3GB'!J:L,MATCH(DATA!D989,'OSA | 3GB'!J:J,0),3),0)</f>
        <v>250000</v>
      </c>
      <c r="H989" s="32" t="str">
        <f>_xlfn.IFNA(INDEX('OSA | 3GB'!A:C,MATCH(DATA!D989,'OSA | 3GB'!A:A,0),2),0)</f>
        <v xml:space="preserve"> -   </v>
      </c>
      <c r="I989" s="33" t="str">
        <f>_xlfn.IFNA(INDEX('OSA | 3GB'!A:C,MATCH(DATA!D989,'OSA | 3GB'!A:A,0),3),0)</f>
        <v xml:space="preserve"> -   </v>
      </c>
      <c r="J989" s="33">
        <f>INDEX('BIO WAHYU'!B:G,MATCH(DATA!D989,'BIO WAHYU'!B:B,0),5)</f>
        <v>6</v>
      </c>
      <c r="K989" s="34">
        <f>INDEX('BIO WAHYU'!B:G,MATCH(DATA!D989,'BIO WAHYU'!B:B,0),6)</f>
        <v>1</v>
      </c>
      <c r="L989" s="35">
        <f>INDEX('BIO WAHYU'!B:H,MATCH(DATA!D989,'BIO WAHYU'!B:B,0),7)</f>
        <v>0</v>
      </c>
      <c r="M989" s="34">
        <f>INDEX('BIO WAHYU'!B:H,MATCH(DATA!D989,'BIO WAHYU'!B:B,0),4)</f>
        <v>0</v>
      </c>
    </row>
    <row r="990" spans="1:13">
      <c r="A990" s="43" t="s">
        <v>1672</v>
      </c>
      <c r="B990" s="43" t="s">
        <v>149</v>
      </c>
      <c r="C990" s="43" t="s">
        <v>802</v>
      </c>
      <c r="D990" s="10">
        <v>62165</v>
      </c>
      <c r="E990" s="43" t="s">
        <v>10</v>
      </c>
      <c r="F990" s="8">
        <f>_xlfn.IFNA(INDEX('OSA | 3GB'!J:L,MATCH(DATA!D990,'OSA | 3GB'!J:J,0),2),0)</f>
        <v>12</v>
      </c>
      <c r="G990" s="8">
        <f>_xlfn.IFNA(INDEX('OSA | 3GB'!J:L,MATCH(DATA!D990,'OSA | 3GB'!J:J,0),3),0)</f>
        <v>5929000</v>
      </c>
      <c r="H990" s="32">
        <f>_xlfn.IFNA(INDEX('OSA | 3GB'!A:C,MATCH(DATA!D990,'OSA | 3GB'!A:A,0),2),0)</f>
        <v>36</v>
      </c>
      <c r="I990" s="33">
        <f>_xlfn.IFNA(INDEX('OSA | 3GB'!A:C,MATCH(DATA!D990,'OSA | 3GB'!A:A,0),3),0)</f>
        <v>4357000</v>
      </c>
      <c r="J990" s="33">
        <f>INDEX('BIO WAHYU'!B:G,MATCH(DATA!D990,'BIO WAHYU'!B:B,0),5)</f>
        <v>5</v>
      </c>
      <c r="K990" s="34">
        <f>INDEX('BIO WAHYU'!B:G,MATCH(DATA!D990,'BIO WAHYU'!B:B,0),6)</f>
        <v>6</v>
      </c>
      <c r="L990" s="35">
        <f>INDEX('BIO WAHYU'!B:H,MATCH(DATA!D990,'BIO WAHYU'!B:B,0),7)</f>
        <v>1</v>
      </c>
      <c r="M990" s="34">
        <f>INDEX('BIO WAHYU'!B:H,MATCH(DATA!D990,'BIO WAHYU'!B:B,0),4)</f>
        <v>2</v>
      </c>
    </row>
    <row r="991" spans="1:13">
      <c r="A991" s="43" t="s">
        <v>1</v>
      </c>
      <c r="B991" s="43" t="s">
        <v>3</v>
      </c>
      <c r="C991" s="43" t="s">
        <v>1104</v>
      </c>
      <c r="D991" s="10">
        <v>523935</v>
      </c>
      <c r="E991" s="43" t="s">
        <v>10</v>
      </c>
      <c r="F991" s="8">
        <f>_xlfn.IFNA(INDEX('OSA | 3GB'!J:L,MATCH(DATA!D991,'OSA | 3GB'!J:J,0),2),0)</f>
        <v>0</v>
      </c>
      <c r="G991" s="8">
        <f>_xlfn.IFNA(INDEX('OSA | 3GB'!J:L,MATCH(DATA!D991,'OSA | 3GB'!J:J,0),3),0)</f>
        <v>4250000</v>
      </c>
      <c r="H991" s="32" t="str">
        <f>_xlfn.IFNA(INDEX('OSA | 3GB'!A:C,MATCH(DATA!D991,'OSA | 3GB'!A:A,0),2),0)</f>
        <v xml:space="preserve"> -   </v>
      </c>
      <c r="I991" s="33" t="str">
        <f>_xlfn.IFNA(INDEX('OSA | 3GB'!A:C,MATCH(DATA!D991,'OSA | 3GB'!A:A,0),3),0)</f>
        <v xml:space="preserve"> -   </v>
      </c>
      <c r="J991" s="33">
        <f>INDEX('BIO WAHYU'!B:G,MATCH(DATA!D991,'BIO WAHYU'!B:B,0),5)</f>
        <v>1</v>
      </c>
      <c r="K991" s="34">
        <f>INDEX('BIO WAHYU'!B:G,MATCH(DATA!D991,'BIO WAHYU'!B:B,0),6)</f>
        <v>1</v>
      </c>
      <c r="L991" s="35">
        <f>INDEX('BIO WAHYU'!B:H,MATCH(DATA!D991,'BIO WAHYU'!B:B,0),7)</f>
        <v>0</v>
      </c>
      <c r="M991" s="34">
        <f>INDEX('BIO WAHYU'!B:H,MATCH(DATA!D991,'BIO WAHYU'!B:B,0),4)</f>
        <v>0</v>
      </c>
    </row>
    <row r="992" spans="1:13">
      <c r="A992" s="43" t="s">
        <v>1673</v>
      </c>
      <c r="B992" s="43" t="s">
        <v>141</v>
      </c>
      <c r="C992" s="43" t="s">
        <v>186</v>
      </c>
      <c r="D992" s="10">
        <v>12299376</v>
      </c>
      <c r="E992" s="43" t="s">
        <v>10</v>
      </c>
      <c r="F992" s="8">
        <f>_xlfn.IFNA(INDEX('OSA | 3GB'!J:L,MATCH(DATA!D992,'OSA | 3GB'!J:J,0),2),0)</f>
        <v>0</v>
      </c>
      <c r="G992" s="8">
        <f>_xlfn.IFNA(INDEX('OSA | 3GB'!J:L,MATCH(DATA!D992,'OSA | 3GB'!J:J,0),3),0)</f>
        <v>58000</v>
      </c>
      <c r="H992" s="32" t="str">
        <f>_xlfn.IFNA(INDEX('OSA | 3GB'!A:C,MATCH(DATA!D992,'OSA | 3GB'!A:A,0),2),0)</f>
        <v xml:space="preserve"> -   </v>
      </c>
      <c r="I992" s="33" t="str">
        <f>_xlfn.IFNA(INDEX('OSA | 3GB'!A:C,MATCH(DATA!D992,'OSA | 3GB'!A:A,0),3),0)</f>
        <v xml:space="preserve"> -   </v>
      </c>
      <c r="J992" s="33">
        <f>INDEX('BIO WAHYU'!B:G,MATCH(DATA!D992,'BIO WAHYU'!B:B,0),5)</f>
        <v>3</v>
      </c>
      <c r="K992" s="34">
        <f>INDEX('BIO WAHYU'!B:G,MATCH(DATA!D992,'BIO WAHYU'!B:B,0),6)</f>
        <v>0</v>
      </c>
      <c r="L992" s="35">
        <f>INDEX('BIO WAHYU'!B:H,MATCH(DATA!D992,'BIO WAHYU'!B:B,0),7)</f>
        <v>0</v>
      </c>
      <c r="M992" s="34">
        <f>INDEX('BIO WAHYU'!B:H,MATCH(DATA!D992,'BIO WAHYU'!B:B,0),4)</f>
        <v>0</v>
      </c>
    </row>
    <row r="993" spans="1:13">
      <c r="A993" s="43" t="s">
        <v>1671</v>
      </c>
      <c r="B993" s="43" t="s">
        <v>142</v>
      </c>
      <c r="C993" s="43" t="s">
        <v>368</v>
      </c>
      <c r="D993" s="10">
        <v>547191</v>
      </c>
      <c r="E993" s="43" t="s">
        <v>10</v>
      </c>
      <c r="F993" s="8">
        <f>_xlfn.IFNA(INDEX('OSA | 3GB'!J:L,MATCH(DATA!D993,'OSA | 3GB'!J:J,0),2),0)</f>
        <v>19</v>
      </c>
      <c r="G993" s="8">
        <f>_xlfn.IFNA(INDEX('OSA | 3GB'!J:L,MATCH(DATA!D993,'OSA | 3GB'!J:J,0),3),0)</f>
        <v>15379000</v>
      </c>
      <c r="H993" s="32">
        <f>_xlfn.IFNA(INDEX('OSA | 3GB'!A:C,MATCH(DATA!D993,'OSA | 3GB'!A:A,0),2),0)</f>
        <v>10</v>
      </c>
      <c r="I993" s="33">
        <f>_xlfn.IFNA(INDEX('OSA | 3GB'!A:C,MATCH(DATA!D993,'OSA | 3GB'!A:A,0),3),0)</f>
        <v>1500000</v>
      </c>
      <c r="J993" s="33">
        <f>INDEX('BIO WAHYU'!B:G,MATCH(DATA!D993,'BIO WAHYU'!B:B,0),5)</f>
        <v>6</v>
      </c>
      <c r="K993" s="34">
        <f>INDEX('BIO WAHYU'!B:G,MATCH(DATA!D993,'BIO WAHYU'!B:B,0),6)</f>
        <v>5</v>
      </c>
      <c r="L993" s="35">
        <f>INDEX('BIO WAHYU'!B:H,MATCH(DATA!D993,'BIO WAHYU'!B:B,0),7)</f>
        <v>0</v>
      </c>
      <c r="M993" s="34">
        <f>INDEX('BIO WAHYU'!B:H,MATCH(DATA!D993,'BIO WAHYU'!B:B,0),4)</f>
        <v>0</v>
      </c>
    </row>
    <row r="994" spans="1:13">
      <c r="A994" s="43" t="s">
        <v>1672</v>
      </c>
      <c r="B994" s="43" t="s">
        <v>157</v>
      </c>
      <c r="C994" s="43" t="s">
        <v>1055</v>
      </c>
      <c r="D994" s="10">
        <v>538088</v>
      </c>
      <c r="E994" s="43" t="s">
        <v>10</v>
      </c>
      <c r="F994" s="8">
        <f>_xlfn.IFNA(INDEX('OSA | 3GB'!J:L,MATCH(DATA!D994,'OSA | 3GB'!J:J,0),2),0)</f>
        <v>0</v>
      </c>
      <c r="G994" s="8">
        <f>_xlfn.IFNA(INDEX('OSA | 3GB'!J:L,MATCH(DATA!D994,'OSA | 3GB'!J:J,0),3),0)</f>
        <v>700000</v>
      </c>
      <c r="H994" s="32" t="str">
        <f>_xlfn.IFNA(INDEX('OSA | 3GB'!A:C,MATCH(DATA!D994,'OSA | 3GB'!A:A,0),2),0)</f>
        <v xml:space="preserve"> -   </v>
      </c>
      <c r="I994" s="33">
        <f>_xlfn.IFNA(INDEX('OSA | 3GB'!A:C,MATCH(DATA!D994,'OSA | 3GB'!A:A,0),3),0)</f>
        <v>500000</v>
      </c>
      <c r="J994" s="33">
        <f>INDEX('BIO WAHYU'!B:G,MATCH(DATA!D994,'BIO WAHYU'!B:B,0),5)</f>
        <v>0</v>
      </c>
      <c r="K994" s="34">
        <f>INDEX('BIO WAHYU'!B:G,MATCH(DATA!D994,'BIO WAHYU'!B:B,0),6)</f>
        <v>3</v>
      </c>
      <c r="L994" s="35">
        <f>INDEX('BIO WAHYU'!B:H,MATCH(DATA!D994,'BIO WAHYU'!B:B,0),7)</f>
        <v>3</v>
      </c>
      <c r="M994" s="34">
        <f>INDEX('BIO WAHYU'!B:H,MATCH(DATA!D994,'BIO WAHYU'!B:B,0),4)</f>
        <v>0</v>
      </c>
    </row>
    <row r="995" spans="1:13">
      <c r="A995" s="43" t="s">
        <v>1</v>
      </c>
      <c r="B995" s="43" t="s">
        <v>4</v>
      </c>
      <c r="C995" s="43" t="s">
        <v>41</v>
      </c>
      <c r="D995" s="10">
        <v>12295542</v>
      </c>
      <c r="E995" s="43" t="s">
        <v>10</v>
      </c>
      <c r="F995" s="8">
        <f>_xlfn.IFNA(INDEX('OSA | 3GB'!J:L,MATCH(DATA!D995,'OSA | 3GB'!J:J,0),2),0)</f>
        <v>14</v>
      </c>
      <c r="G995" s="8">
        <f>_xlfn.IFNA(INDEX('OSA | 3GB'!J:L,MATCH(DATA!D995,'OSA | 3GB'!J:J,0),3),0)</f>
        <v>17641000</v>
      </c>
      <c r="H995" s="32">
        <f>_xlfn.IFNA(INDEX('OSA | 3GB'!A:C,MATCH(DATA!D995,'OSA | 3GB'!A:A,0),2),0)</f>
        <v>3</v>
      </c>
      <c r="I995" s="33" t="str">
        <f>_xlfn.IFNA(INDEX('OSA | 3GB'!A:C,MATCH(DATA!D995,'OSA | 3GB'!A:A,0),3),0)</f>
        <v xml:space="preserve"> -   </v>
      </c>
      <c r="J995" s="33">
        <f>INDEX('BIO WAHYU'!B:G,MATCH(DATA!D995,'BIO WAHYU'!B:B,0),5)</f>
        <v>10</v>
      </c>
      <c r="K995" s="34">
        <f>INDEX('BIO WAHYU'!B:G,MATCH(DATA!D995,'BIO WAHYU'!B:B,0),6)</f>
        <v>3</v>
      </c>
      <c r="L995" s="35">
        <f>INDEX('BIO WAHYU'!B:H,MATCH(DATA!D995,'BIO WAHYU'!B:B,0),7)</f>
        <v>0</v>
      </c>
      <c r="M995" s="34">
        <f>INDEX('BIO WAHYU'!B:H,MATCH(DATA!D995,'BIO WAHYU'!B:B,0),4)</f>
        <v>0</v>
      </c>
    </row>
    <row r="996" spans="1:13">
      <c r="A996" s="43" t="s">
        <v>1</v>
      </c>
      <c r="B996" s="43" t="s">
        <v>5</v>
      </c>
      <c r="C996" s="43" t="s">
        <v>102</v>
      </c>
      <c r="D996" s="10">
        <v>514589</v>
      </c>
      <c r="E996" s="43" t="s">
        <v>10</v>
      </c>
      <c r="F996" s="8">
        <f>_xlfn.IFNA(INDEX('OSA | 3GB'!J:L,MATCH(DATA!D996,'OSA | 3GB'!J:J,0),2),0)</f>
        <v>11</v>
      </c>
      <c r="G996" s="8">
        <f>_xlfn.IFNA(INDEX('OSA | 3GB'!J:L,MATCH(DATA!D996,'OSA | 3GB'!J:J,0),3),0)</f>
        <v>38493000</v>
      </c>
      <c r="H996" s="32">
        <f>_xlfn.IFNA(INDEX('OSA | 3GB'!A:C,MATCH(DATA!D996,'OSA | 3GB'!A:A,0),2),0)</f>
        <v>4</v>
      </c>
      <c r="I996" s="33">
        <f>_xlfn.IFNA(INDEX('OSA | 3GB'!A:C,MATCH(DATA!D996,'OSA | 3GB'!A:A,0),3),0)</f>
        <v>15000000</v>
      </c>
      <c r="J996" s="33">
        <f>INDEX('BIO WAHYU'!B:G,MATCH(DATA!D996,'BIO WAHYU'!B:B,0),5)</f>
        <v>7</v>
      </c>
      <c r="K996" s="34">
        <f>INDEX('BIO WAHYU'!B:G,MATCH(DATA!D996,'BIO WAHYU'!B:B,0),6)</f>
        <v>1</v>
      </c>
      <c r="L996" s="35">
        <f>INDEX('BIO WAHYU'!B:H,MATCH(DATA!D996,'BIO WAHYU'!B:B,0),7)</f>
        <v>0</v>
      </c>
      <c r="M996" s="34">
        <f>INDEX('BIO WAHYU'!B:H,MATCH(DATA!D996,'BIO WAHYU'!B:B,0),4)</f>
        <v>1</v>
      </c>
    </row>
    <row r="997" spans="1:13">
      <c r="A997" s="43" t="s">
        <v>1672</v>
      </c>
      <c r="B997" s="43" t="s">
        <v>149</v>
      </c>
      <c r="C997" s="43" t="s">
        <v>768</v>
      </c>
      <c r="D997" s="10">
        <v>12318696</v>
      </c>
      <c r="E997" s="43" t="s">
        <v>10</v>
      </c>
      <c r="F997" s="8">
        <f>_xlfn.IFNA(INDEX('OSA | 3GB'!J:L,MATCH(DATA!D997,'OSA | 3GB'!J:J,0),2),0)</f>
        <v>35</v>
      </c>
      <c r="G997" s="8">
        <f>_xlfn.IFNA(INDEX('OSA | 3GB'!J:L,MATCH(DATA!D997,'OSA | 3GB'!J:J,0),3),0)</f>
        <v>3276000</v>
      </c>
      <c r="H997" s="32">
        <f>_xlfn.IFNA(INDEX('OSA | 3GB'!A:C,MATCH(DATA!D997,'OSA | 3GB'!A:A,0),2),0)</f>
        <v>6</v>
      </c>
      <c r="I997" s="33">
        <f>_xlfn.IFNA(INDEX('OSA | 3GB'!A:C,MATCH(DATA!D997,'OSA | 3GB'!A:A,0),3),0)</f>
        <v>1824000</v>
      </c>
      <c r="J997" s="33">
        <f>INDEX('BIO WAHYU'!B:G,MATCH(DATA!D997,'BIO WAHYU'!B:B,0),5)</f>
        <v>30</v>
      </c>
      <c r="K997" s="34">
        <f>INDEX('BIO WAHYU'!B:G,MATCH(DATA!D997,'BIO WAHYU'!B:B,0),6)</f>
        <v>14</v>
      </c>
      <c r="L997" s="35">
        <f>INDEX('BIO WAHYU'!B:H,MATCH(DATA!D997,'BIO WAHYU'!B:B,0),7)</f>
        <v>0</v>
      </c>
      <c r="M997" s="34">
        <f>INDEX('BIO WAHYU'!B:H,MATCH(DATA!D997,'BIO WAHYU'!B:B,0),4)</f>
        <v>0</v>
      </c>
    </row>
    <row r="998" spans="1:13">
      <c r="A998" s="43" t="s">
        <v>1673</v>
      </c>
      <c r="B998" s="43" t="s">
        <v>1140</v>
      </c>
      <c r="C998" s="43" t="s">
        <v>1455</v>
      </c>
      <c r="D998" s="10">
        <v>61953</v>
      </c>
      <c r="E998" s="43" t="s">
        <v>10</v>
      </c>
      <c r="F998" s="8">
        <f>_xlfn.IFNA(INDEX('OSA | 3GB'!J:L,MATCH(DATA!D998,'OSA | 3GB'!J:J,0),2),0)</f>
        <v>14</v>
      </c>
      <c r="G998" s="8">
        <f>_xlfn.IFNA(INDEX('OSA | 3GB'!J:L,MATCH(DATA!D998,'OSA | 3GB'!J:J,0),3),0)</f>
        <v>4500000</v>
      </c>
      <c r="H998" s="32" t="str">
        <f>_xlfn.IFNA(INDEX('OSA | 3GB'!A:C,MATCH(DATA!D998,'OSA | 3GB'!A:A,0),2),0)</f>
        <v xml:space="preserve"> -   </v>
      </c>
      <c r="I998" s="33">
        <f>_xlfn.IFNA(INDEX('OSA | 3GB'!A:C,MATCH(DATA!D998,'OSA | 3GB'!A:A,0),3),0)</f>
        <v>1500000</v>
      </c>
      <c r="J998" s="33">
        <f>INDEX('BIO WAHYU'!B:G,MATCH(DATA!D998,'BIO WAHYU'!B:B,0),5)</f>
        <v>3</v>
      </c>
      <c r="K998" s="34">
        <f>INDEX('BIO WAHYU'!B:G,MATCH(DATA!D998,'BIO WAHYU'!B:B,0),6)</f>
        <v>3</v>
      </c>
      <c r="L998" s="35">
        <f>INDEX('BIO WAHYU'!B:H,MATCH(DATA!D998,'BIO WAHYU'!B:B,0),7)</f>
        <v>0</v>
      </c>
      <c r="M998" s="34">
        <f>INDEX('BIO WAHYU'!B:H,MATCH(DATA!D998,'BIO WAHYU'!B:B,0),4)</f>
        <v>0</v>
      </c>
    </row>
    <row r="999" spans="1:13">
      <c r="A999" s="43" t="s">
        <v>1673</v>
      </c>
      <c r="B999" s="43" t="s">
        <v>141</v>
      </c>
      <c r="C999" s="43" t="s">
        <v>179</v>
      </c>
      <c r="D999" s="10">
        <v>12295821</v>
      </c>
      <c r="E999" s="43" t="s">
        <v>15</v>
      </c>
      <c r="F999" s="8">
        <f>_xlfn.IFNA(INDEX('OSA | 3GB'!J:L,MATCH(DATA!D999,'OSA | 3GB'!J:J,0),2),0)</f>
        <v>0</v>
      </c>
      <c r="G999" s="8">
        <f>_xlfn.IFNA(INDEX('OSA | 3GB'!J:L,MATCH(DATA!D999,'OSA | 3GB'!J:J,0),3),0)</f>
        <v>300000</v>
      </c>
      <c r="H999" s="32" t="str">
        <f>_xlfn.IFNA(INDEX('OSA | 3GB'!A:C,MATCH(DATA!D999,'OSA | 3GB'!A:A,0),2),0)</f>
        <v xml:space="preserve"> -   </v>
      </c>
      <c r="I999" s="33" t="str">
        <f>_xlfn.IFNA(INDEX('OSA | 3GB'!A:C,MATCH(DATA!D999,'OSA | 3GB'!A:A,0),3),0)</f>
        <v xml:space="preserve"> -   </v>
      </c>
      <c r="J999" s="33">
        <f>INDEX('BIO WAHYU'!B:G,MATCH(DATA!D999,'BIO WAHYU'!B:B,0),5)</f>
        <v>0</v>
      </c>
      <c r="K999" s="34">
        <f>INDEX('BIO WAHYU'!B:G,MATCH(DATA!D999,'BIO WAHYU'!B:B,0),6)</f>
        <v>0</v>
      </c>
      <c r="L999" s="35">
        <f>INDEX('BIO WAHYU'!B:H,MATCH(DATA!D999,'BIO WAHYU'!B:B,0),7)</f>
        <v>0</v>
      </c>
      <c r="M999" s="34">
        <f>INDEX('BIO WAHYU'!B:H,MATCH(DATA!D999,'BIO WAHYU'!B:B,0),4)</f>
        <v>0</v>
      </c>
    </row>
    <row r="1000" spans="1:13">
      <c r="A1000" s="43" t="s">
        <v>1675</v>
      </c>
      <c r="B1000" s="43" t="s">
        <v>136</v>
      </c>
      <c r="C1000" s="43" t="s">
        <v>406</v>
      </c>
      <c r="D1000" s="10">
        <v>442473</v>
      </c>
      <c r="E1000" s="43" t="s">
        <v>10</v>
      </c>
      <c r="F1000" s="8">
        <f>_xlfn.IFNA(INDEX('OSA | 3GB'!J:L,MATCH(DATA!D1000,'OSA | 3GB'!J:J,0),2),0)</f>
        <v>111</v>
      </c>
      <c r="G1000" s="8">
        <f>_xlfn.IFNA(INDEX('OSA | 3GB'!J:L,MATCH(DATA!D1000,'OSA | 3GB'!J:J,0),3),0)</f>
        <v>950000</v>
      </c>
      <c r="H1000" s="32" t="str">
        <f>_xlfn.IFNA(INDEX('OSA | 3GB'!A:C,MATCH(DATA!D1000,'OSA | 3GB'!A:A,0),2),0)</f>
        <v xml:space="preserve"> -   </v>
      </c>
      <c r="I1000" s="33">
        <f>_xlfn.IFNA(INDEX('OSA | 3GB'!A:C,MATCH(DATA!D1000,'OSA | 3GB'!A:A,0),3),0)</f>
        <v>330000</v>
      </c>
      <c r="J1000" s="33">
        <f>INDEX('BIO WAHYU'!B:G,MATCH(DATA!D1000,'BIO WAHYU'!B:B,0),5)</f>
        <v>1</v>
      </c>
      <c r="K1000" s="34">
        <f>INDEX('BIO WAHYU'!B:G,MATCH(DATA!D1000,'BIO WAHYU'!B:B,0),6)</f>
        <v>10</v>
      </c>
      <c r="L1000" s="35">
        <f>INDEX('BIO WAHYU'!B:H,MATCH(DATA!D1000,'BIO WAHYU'!B:B,0),7)</f>
        <v>9</v>
      </c>
      <c r="M1000" s="34">
        <f>INDEX('BIO WAHYU'!B:H,MATCH(DATA!D1000,'BIO WAHYU'!B:B,0),4)</f>
        <v>0</v>
      </c>
    </row>
    <row r="1001" spans="1:13">
      <c r="A1001" s="43" t="s">
        <v>1670</v>
      </c>
      <c r="B1001" s="43" t="s">
        <v>140</v>
      </c>
      <c r="C1001" s="43" t="s">
        <v>466</v>
      </c>
      <c r="D1001" s="10">
        <v>211748</v>
      </c>
      <c r="E1001" s="43" t="s">
        <v>10</v>
      </c>
      <c r="F1001" s="8">
        <f>_xlfn.IFNA(INDEX('OSA | 3GB'!J:L,MATCH(DATA!D1001,'OSA | 3GB'!J:J,0),2),0)</f>
        <v>3</v>
      </c>
      <c r="G1001" s="8">
        <f>_xlfn.IFNA(INDEX('OSA | 3GB'!J:L,MATCH(DATA!D1001,'OSA | 3GB'!J:J,0),3),0)</f>
        <v>6000000</v>
      </c>
      <c r="H1001" s="32" t="str">
        <f>_xlfn.IFNA(INDEX('OSA | 3GB'!A:C,MATCH(DATA!D1001,'OSA | 3GB'!A:A,0),2),0)</f>
        <v xml:space="preserve"> -   </v>
      </c>
      <c r="I1001" s="33">
        <f>_xlfn.IFNA(INDEX('OSA | 3GB'!A:C,MATCH(DATA!D1001,'OSA | 3GB'!A:A,0),3),0)</f>
        <v>3600000</v>
      </c>
      <c r="J1001" s="33">
        <f>INDEX('BIO WAHYU'!B:G,MATCH(DATA!D1001,'BIO WAHYU'!B:B,0),5)</f>
        <v>3</v>
      </c>
      <c r="K1001" s="34">
        <f>INDEX('BIO WAHYU'!B:G,MATCH(DATA!D1001,'BIO WAHYU'!B:B,0),6)</f>
        <v>0</v>
      </c>
      <c r="L1001" s="35">
        <f>INDEX('BIO WAHYU'!B:H,MATCH(DATA!D1001,'BIO WAHYU'!B:B,0),7)</f>
        <v>0</v>
      </c>
      <c r="M1001" s="34">
        <f>INDEX('BIO WAHYU'!B:H,MATCH(DATA!D1001,'BIO WAHYU'!B:B,0),4)</f>
        <v>0</v>
      </c>
    </row>
    <row r="1002" spans="1:13">
      <c r="A1002" s="43" t="s">
        <v>1671</v>
      </c>
      <c r="B1002" s="43">
        <v>2613050886</v>
      </c>
      <c r="C1002" s="43" t="s">
        <v>1456</v>
      </c>
      <c r="D1002" s="10">
        <v>468701</v>
      </c>
      <c r="E1002" s="43" t="s">
        <v>15</v>
      </c>
      <c r="F1002" s="8">
        <f>_xlfn.IFNA(INDEX('OSA | 3GB'!J:L,MATCH(DATA!D1002,'OSA | 3GB'!J:J,0),2),0)</f>
        <v>6</v>
      </c>
      <c r="G1002" s="8">
        <f>_xlfn.IFNA(INDEX('OSA | 3GB'!J:L,MATCH(DATA!D1002,'OSA | 3GB'!J:J,0),3),0)</f>
        <v>10587000</v>
      </c>
      <c r="H1002" s="32">
        <f>_xlfn.IFNA(INDEX('OSA | 3GB'!A:C,MATCH(DATA!D1002,'OSA | 3GB'!A:A,0),2),0)</f>
        <v>2</v>
      </c>
      <c r="I1002" s="33">
        <f>_xlfn.IFNA(INDEX('OSA | 3GB'!A:C,MATCH(DATA!D1002,'OSA | 3GB'!A:A,0),3),0)</f>
        <v>3089408</v>
      </c>
      <c r="J1002" s="33">
        <f>INDEX('BIO WAHYU'!B:G,MATCH(DATA!D1002,'BIO WAHYU'!B:B,0),5)</f>
        <v>4</v>
      </c>
      <c r="K1002" s="34">
        <f>INDEX('BIO WAHYU'!B:G,MATCH(DATA!D1002,'BIO WAHYU'!B:B,0),6)</f>
        <v>3</v>
      </c>
      <c r="L1002" s="35">
        <f>INDEX('BIO WAHYU'!B:H,MATCH(DATA!D1002,'BIO WAHYU'!B:B,0),7)</f>
        <v>0</v>
      </c>
      <c r="M1002" s="34">
        <f>INDEX('BIO WAHYU'!B:H,MATCH(DATA!D1002,'BIO WAHYU'!B:B,0),4)</f>
        <v>1</v>
      </c>
    </row>
    <row r="1003" spans="1:13">
      <c r="A1003" s="43" t="s">
        <v>1675</v>
      </c>
      <c r="B1003" s="43">
        <v>2613051043</v>
      </c>
      <c r="C1003" s="43" t="s">
        <v>444</v>
      </c>
      <c r="D1003" s="10">
        <v>12296824</v>
      </c>
      <c r="E1003" s="43" t="s">
        <v>15</v>
      </c>
      <c r="F1003" s="8">
        <f>_xlfn.IFNA(INDEX('OSA | 3GB'!J:L,MATCH(DATA!D1003,'OSA | 3GB'!J:J,0),2),0)</f>
        <v>0</v>
      </c>
      <c r="G1003" s="8">
        <f>_xlfn.IFNA(INDEX('OSA | 3GB'!J:L,MATCH(DATA!D1003,'OSA | 3GB'!J:J,0),3),0)</f>
        <v>0</v>
      </c>
      <c r="H1003" s="32" t="str">
        <f>_xlfn.IFNA(INDEX('OSA | 3GB'!A:C,MATCH(DATA!D1003,'OSA | 3GB'!A:A,0),2),0)</f>
        <v xml:space="preserve"> -   </v>
      </c>
      <c r="I1003" s="33" t="str">
        <f>_xlfn.IFNA(INDEX('OSA | 3GB'!A:C,MATCH(DATA!D1003,'OSA | 3GB'!A:A,0),3),0)</f>
        <v xml:space="preserve"> -   </v>
      </c>
      <c r="J1003" s="33">
        <f>INDEX('BIO WAHYU'!B:G,MATCH(DATA!D1003,'BIO WAHYU'!B:B,0),5)</f>
        <v>1</v>
      </c>
      <c r="K1003" s="34">
        <f>INDEX('BIO WAHYU'!B:G,MATCH(DATA!D1003,'BIO WAHYU'!B:B,0),6)</f>
        <v>0</v>
      </c>
      <c r="L1003" s="35">
        <f>INDEX('BIO WAHYU'!B:H,MATCH(DATA!D1003,'BIO WAHYU'!B:B,0),7)</f>
        <v>0</v>
      </c>
      <c r="M1003" s="34">
        <f>INDEX('BIO WAHYU'!B:H,MATCH(DATA!D1003,'BIO WAHYU'!B:B,0),4)</f>
        <v>0</v>
      </c>
    </row>
    <row r="1004" spans="1:13">
      <c r="A1004" s="43" t="s">
        <v>1672</v>
      </c>
      <c r="B1004" s="43">
        <v>2613051475</v>
      </c>
      <c r="C1004" s="43" t="s">
        <v>174</v>
      </c>
      <c r="D1004" s="10">
        <v>252235</v>
      </c>
      <c r="E1004" s="43" t="s">
        <v>10</v>
      </c>
      <c r="F1004" s="8">
        <f>_xlfn.IFNA(INDEX('OSA | 3GB'!J:L,MATCH(DATA!D1004,'OSA | 3GB'!J:J,0),2),0)</f>
        <v>2</v>
      </c>
      <c r="G1004" s="8">
        <f>_xlfn.IFNA(INDEX('OSA | 3GB'!J:L,MATCH(DATA!D1004,'OSA | 3GB'!J:J,0),3),0)</f>
        <v>2200000</v>
      </c>
      <c r="H1004" s="32" t="str">
        <f>_xlfn.IFNA(INDEX('OSA | 3GB'!A:C,MATCH(DATA!D1004,'OSA | 3GB'!A:A,0),2),0)</f>
        <v xml:space="preserve"> -   </v>
      </c>
      <c r="I1004" s="33">
        <f>_xlfn.IFNA(INDEX('OSA | 3GB'!A:C,MATCH(DATA!D1004,'OSA | 3GB'!A:A,0),3),0)</f>
        <v>800000</v>
      </c>
      <c r="J1004" s="33">
        <f>INDEX('BIO WAHYU'!B:G,MATCH(DATA!D1004,'BIO WAHYU'!B:B,0),5)</f>
        <v>2</v>
      </c>
      <c r="K1004" s="34">
        <f>INDEX('BIO WAHYU'!B:G,MATCH(DATA!D1004,'BIO WAHYU'!B:B,0),6)</f>
        <v>0</v>
      </c>
      <c r="L1004" s="35">
        <f>INDEX('BIO WAHYU'!B:H,MATCH(DATA!D1004,'BIO WAHYU'!B:B,0),7)</f>
        <v>0</v>
      </c>
      <c r="M1004" s="34">
        <f>INDEX('BIO WAHYU'!B:H,MATCH(DATA!D1004,'BIO WAHYU'!B:B,0),4)</f>
        <v>0</v>
      </c>
    </row>
    <row r="1005" spans="1:13">
      <c r="A1005" s="43" t="s">
        <v>1</v>
      </c>
      <c r="B1005" s="43" t="s">
        <v>5</v>
      </c>
      <c r="C1005" s="43" t="s">
        <v>1105</v>
      </c>
      <c r="D1005" s="10">
        <v>483240</v>
      </c>
      <c r="E1005" s="43" t="s">
        <v>10</v>
      </c>
      <c r="F1005" s="8">
        <f>_xlfn.IFNA(INDEX('OSA | 3GB'!J:L,MATCH(DATA!D1005,'OSA | 3GB'!J:J,0),2),0)</f>
        <v>0</v>
      </c>
      <c r="G1005" s="8">
        <f>_xlfn.IFNA(INDEX('OSA | 3GB'!J:L,MATCH(DATA!D1005,'OSA | 3GB'!J:J,0),3),0)</f>
        <v>250000</v>
      </c>
      <c r="H1005" s="32" t="str">
        <f>_xlfn.IFNA(INDEX('OSA | 3GB'!A:C,MATCH(DATA!D1005,'OSA | 3GB'!A:A,0),2),0)</f>
        <v xml:space="preserve"> -   </v>
      </c>
      <c r="I1005" s="33">
        <f>_xlfn.IFNA(INDEX('OSA | 3GB'!A:C,MATCH(DATA!D1005,'OSA | 3GB'!A:A,0),3),0)</f>
        <v>200000</v>
      </c>
      <c r="J1005" s="33">
        <f>INDEX('BIO WAHYU'!B:G,MATCH(DATA!D1005,'BIO WAHYU'!B:B,0),5)</f>
        <v>3</v>
      </c>
      <c r="K1005" s="34">
        <f>INDEX('BIO WAHYU'!B:G,MATCH(DATA!D1005,'BIO WAHYU'!B:B,0),6)</f>
        <v>0</v>
      </c>
      <c r="L1005" s="35">
        <f>INDEX('BIO WAHYU'!B:H,MATCH(DATA!D1005,'BIO WAHYU'!B:B,0),7)</f>
        <v>0</v>
      </c>
      <c r="M1005" s="34">
        <f>INDEX('BIO WAHYU'!B:H,MATCH(DATA!D1005,'BIO WAHYU'!B:B,0),4)</f>
        <v>0</v>
      </c>
    </row>
    <row r="1006" spans="1:13">
      <c r="A1006" s="43" t="s">
        <v>1672</v>
      </c>
      <c r="B1006" s="43" t="s">
        <v>149</v>
      </c>
      <c r="C1006" s="43" t="s">
        <v>801</v>
      </c>
      <c r="D1006" s="10">
        <v>62052</v>
      </c>
      <c r="E1006" s="43" t="s">
        <v>10</v>
      </c>
      <c r="F1006" s="8">
        <f>_xlfn.IFNA(INDEX('OSA | 3GB'!J:L,MATCH(DATA!D1006,'OSA | 3GB'!J:J,0),2),0)</f>
        <v>0</v>
      </c>
      <c r="G1006" s="8">
        <f>_xlfn.IFNA(INDEX('OSA | 3GB'!J:L,MATCH(DATA!D1006,'OSA | 3GB'!J:J,0),3),0)</f>
        <v>1558000</v>
      </c>
      <c r="H1006" s="32">
        <f>_xlfn.IFNA(INDEX('OSA | 3GB'!A:C,MATCH(DATA!D1006,'OSA | 3GB'!A:A,0),2),0)</f>
        <v>2</v>
      </c>
      <c r="I1006" s="33">
        <f>_xlfn.IFNA(INDEX('OSA | 3GB'!A:C,MATCH(DATA!D1006,'OSA | 3GB'!A:A,0),3),0)</f>
        <v>658000</v>
      </c>
      <c r="J1006" s="33">
        <f>INDEX('BIO WAHYU'!B:G,MATCH(DATA!D1006,'BIO WAHYU'!B:B,0),5)</f>
        <v>1</v>
      </c>
      <c r="K1006" s="34">
        <f>INDEX('BIO WAHYU'!B:G,MATCH(DATA!D1006,'BIO WAHYU'!B:B,0),6)</f>
        <v>0</v>
      </c>
      <c r="L1006" s="35">
        <f>INDEX('BIO WAHYU'!B:H,MATCH(DATA!D1006,'BIO WAHYU'!B:B,0),7)</f>
        <v>0</v>
      </c>
      <c r="M1006" s="34">
        <f>INDEX('BIO WAHYU'!B:H,MATCH(DATA!D1006,'BIO WAHYU'!B:B,0),4)</f>
        <v>0</v>
      </c>
    </row>
    <row r="1007" spans="1:13">
      <c r="A1007" s="43" t="s">
        <v>1673</v>
      </c>
      <c r="B1007" s="43" t="s">
        <v>1136</v>
      </c>
      <c r="C1007" s="43" t="s">
        <v>1457</v>
      </c>
      <c r="D1007" s="10">
        <v>540749</v>
      </c>
      <c r="E1007" s="43" t="s">
        <v>15</v>
      </c>
      <c r="F1007" s="8">
        <f>_xlfn.IFNA(INDEX('OSA | 3GB'!J:L,MATCH(DATA!D1007,'OSA | 3GB'!J:J,0),2),0)</f>
        <v>0</v>
      </c>
      <c r="G1007" s="8">
        <f>_xlfn.IFNA(INDEX('OSA | 3GB'!J:L,MATCH(DATA!D1007,'OSA | 3GB'!J:J,0),3),0)</f>
        <v>400000</v>
      </c>
      <c r="H1007" s="32" t="str">
        <f>_xlfn.IFNA(INDEX('OSA | 3GB'!A:C,MATCH(DATA!D1007,'OSA | 3GB'!A:A,0),2),0)</f>
        <v xml:space="preserve"> -   </v>
      </c>
      <c r="I1007" s="33" t="str">
        <f>_xlfn.IFNA(INDEX('OSA | 3GB'!A:C,MATCH(DATA!D1007,'OSA | 3GB'!A:A,0),3),0)</f>
        <v xml:space="preserve"> -   </v>
      </c>
      <c r="J1007" s="33">
        <f>INDEX('BIO WAHYU'!B:G,MATCH(DATA!D1007,'BIO WAHYU'!B:B,0),5)</f>
        <v>0</v>
      </c>
      <c r="K1007" s="34">
        <f>INDEX('BIO WAHYU'!B:G,MATCH(DATA!D1007,'BIO WAHYU'!B:B,0),6)</f>
        <v>0</v>
      </c>
      <c r="L1007" s="35">
        <f>INDEX('BIO WAHYU'!B:H,MATCH(DATA!D1007,'BIO WAHYU'!B:B,0),7)</f>
        <v>0</v>
      </c>
      <c r="M1007" s="34">
        <f>INDEX('BIO WAHYU'!B:H,MATCH(DATA!D1007,'BIO WAHYU'!B:B,0),4)</f>
        <v>0</v>
      </c>
    </row>
    <row r="1008" spans="1:13">
      <c r="A1008" s="43" t="s">
        <v>1673</v>
      </c>
      <c r="B1008" s="43" t="s">
        <v>141</v>
      </c>
      <c r="C1008" s="43" t="s">
        <v>1458</v>
      </c>
      <c r="D1008" s="10">
        <v>527203</v>
      </c>
      <c r="E1008" s="43" t="s">
        <v>15</v>
      </c>
      <c r="F1008" s="8">
        <f>_xlfn.IFNA(INDEX('OSA | 3GB'!J:L,MATCH(DATA!D1008,'OSA | 3GB'!J:J,0),2),0)</f>
        <v>3</v>
      </c>
      <c r="G1008" s="8">
        <f>_xlfn.IFNA(INDEX('OSA | 3GB'!J:L,MATCH(DATA!D1008,'OSA | 3GB'!J:J,0),3),0)</f>
        <v>2300000</v>
      </c>
      <c r="H1008" s="32">
        <f>_xlfn.IFNA(INDEX('OSA | 3GB'!A:C,MATCH(DATA!D1008,'OSA | 3GB'!A:A,0),2),0)</f>
        <v>1</v>
      </c>
      <c r="I1008" s="33">
        <f>_xlfn.IFNA(INDEX('OSA | 3GB'!A:C,MATCH(DATA!D1008,'OSA | 3GB'!A:A,0),3),0)</f>
        <v>279000</v>
      </c>
      <c r="J1008" s="33">
        <f>INDEX('BIO WAHYU'!B:G,MATCH(DATA!D1008,'BIO WAHYU'!B:B,0),5)</f>
        <v>1</v>
      </c>
      <c r="K1008" s="34">
        <f>INDEX('BIO WAHYU'!B:G,MATCH(DATA!D1008,'BIO WAHYU'!B:B,0),6)</f>
        <v>1</v>
      </c>
      <c r="L1008" s="35">
        <f>INDEX('BIO WAHYU'!B:H,MATCH(DATA!D1008,'BIO WAHYU'!B:B,0),7)</f>
        <v>0</v>
      </c>
      <c r="M1008" s="34">
        <f>INDEX('BIO WAHYU'!B:H,MATCH(DATA!D1008,'BIO WAHYU'!B:B,0),4)</f>
        <v>0</v>
      </c>
    </row>
    <row r="1009" spans="1:13">
      <c r="A1009" s="43" t="s">
        <v>1</v>
      </c>
      <c r="B1009" s="43" t="s">
        <v>4</v>
      </c>
      <c r="C1009" s="43" t="s">
        <v>61</v>
      </c>
      <c r="D1009" s="10">
        <v>510053</v>
      </c>
      <c r="E1009" s="43" t="s">
        <v>10</v>
      </c>
      <c r="F1009" s="8">
        <f>_xlfn.IFNA(INDEX('OSA | 3GB'!J:L,MATCH(DATA!D1009,'OSA | 3GB'!J:J,0),2),0)</f>
        <v>3</v>
      </c>
      <c r="G1009" s="8">
        <f>_xlfn.IFNA(INDEX('OSA | 3GB'!J:L,MATCH(DATA!D1009,'OSA | 3GB'!J:J,0),3),0)</f>
        <v>658000</v>
      </c>
      <c r="H1009" s="32" t="str">
        <f>_xlfn.IFNA(INDEX('OSA | 3GB'!A:C,MATCH(DATA!D1009,'OSA | 3GB'!A:A,0),2),0)</f>
        <v xml:space="preserve"> -   </v>
      </c>
      <c r="I1009" s="33">
        <f>_xlfn.IFNA(INDEX('OSA | 3GB'!A:C,MATCH(DATA!D1009,'OSA | 3GB'!A:A,0),3),0)</f>
        <v>200000</v>
      </c>
      <c r="J1009" s="33">
        <f>INDEX('BIO WAHYU'!B:G,MATCH(DATA!D1009,'BIO WAHYU'!B:B,0),5)</f>
        <v>3</v>
      </c>
      <c r="K1009" s="34">
        <f>INDEX('BIO WAHYU'!B:G,MATCH(DATA!D1009,'BIO WAHYU'!B:B,0),6)</f>
        <v>0</v>
      </c>
      <c r="L1009" s="35">
        <f>INDEX('BIO WAHYU'!B:H,MATCH(DATA!D1009,'BIO WAHYU'!B:B,0),7)</f>
        <v>0</v>
      </c>
      <c r="M1009" s="34">
        <f>INDEX('BIO WAHYU'!B:H,MATCH(DATA!D1009,'BIO WAHYU'!B:B,0),4)</f>
        <v>0</v>
      </c>
    </row>
    <row r="1010" spans="1:13">
      <c r="A1010" s="43" t="s">
        <v>1671</v>
      </c>
      <c r="B1010" s="43">
        <v>2613050886</v>
      </c>
      <c r="C1010" s="43" t="s">
        <v>1459</v>
      </c>
      <c r="D1010" s="10">
        <v>571604</v>
      </c>
      <c r="E1010" s="43" t="s">
        <v>15</v>
      </c>
      <c r="F1010" s="8">
        <f>_xlfn.IFNA(INDEX('OSA | 3GB'!J:L,MATCH(DATA!D1010,'OSA | 3GB'!J:J,0),2),0)</f>
        <v>105</v>
      </c>
      <c r="G1010" s="8">
        <f>_xlfn.IFNA(INDEX('OSA | 3GB'!J:L,MATCH(DATA!D1010,'OSA | 3GB'!J:J,0),3),0)</f>
        <v>72500</v>
      </c>
      <c r="H1010" s="32" t="str">
        <f>_xlfn.IFNA(INDEX('OSA | 3GB'!A:C,MATCH(DATA!D1010,'OSA | 3GB'!A:A,0),2),0)</f>
        <v xml:space="preserve"> -   </v>
      </c>
      <c r="I1010" s="33" t="str">
        <f>_xlfn.IFNA(INDEX('OSA | 3GB'!A:C,MATCH(DATA!D1010,'OSA | 3GB'!A:A,0),3),0)</f>
        <v xml:space="preserve"> -   </v>
      </c>
      <c r="J1010" s="33">
        <f>INDEX('BIO WAHYU'!B:G,MATCH(DATA!D1010,'BIO WAHYU'!B:B,0),5)</f>
        <v>7</v>
      </c>
      <c r="K1010" s="34">
        <f>INDEX('BIO WAHYU'!B:G,MATCH(DATA!D1010,'BIO WAHYU'!B:B,0),6)</f>
        <v>11</v>
      </c>
      <c r="L1010" s="35">
        <f>INDEX('BIO WAHYU'!B:H,MATCH(DATA!D1010,'BIO WAHYU'!B:B,0),7)</f>
        <v>4</v>
      </c>
      <c r="M1010" s="34">
        <f>INDEX('BIO WAHYU'!B:H,MATCH(DATA!D1010,'BIO WAHYU'!B:B,0),4)</f>
        <v>0</v>
      </c>
    </row>
    <row r="1011" spans="1:13">
      <c r="A1011" s="43" t="s">
        <v>1675</v>
      </c>
      <c r="B1011" s="43">
        <v>2613051043</v>
      </c>
      <c r="C1011" s="43" t="s">
        <v>441</v>
      </c>
      <c r="D1011" s="10">
        <v>12296817</v>
      </c>
      <c r="E1011" s="43" t="s">
        <v>15</v>
      </c>
      <c r="F1011" s="8">
        <f>_xlfn.IFNA(INDEX('OSA | 3GB'!J:L,MATCH(DATA!D1011,'OSA | 3GB'!J:J,0),2),0)</f>
        <v>0</v>
      </c>
      <c r="G1011" s="8">
        <f>_xlfn.IFNA(INDEX('OSA | 3GB'!J:L,MATCH(DATA!D1011,'OSA | 3GB'!J:J,0),3),0)</f>
        <v>0</v>
      </c>
      <c r="H1011" s="32" t="str">
        <f>_xlfn.IFNA(INDEX('OSA | 3GB'!A:C,MATCH(DATA!D1011,'OSA | 3GB'!A:A,0),2),0)</f>
        <v xml:space="preserve"> -   </v>
      </c>
      <c r="I1011" s="33" t="str">
        <f>_xlfn.IFNA(INDEX('OSA | 3GB'!A:C,MATCH(DATA!D1011,'OSA | 3GB'!A:A,0),3),0)</f>
        <v xml:space="preserve"> -   </v>
      </c>
      <c r="J1011" s="33">
        <f>INDEX('BIO WAHYU'!B:G,MATCH(DATA!D1011,'BIO WAHYU'!B:B,0),5)</f>
        <v>0</v>
      </c>
      <c r="K1011" s="34">
        <f>INDEX('BIO WAHYU'!B:G,MATCH(DATA!D1011,'BIO WAHYU'!B:B,0),6)</f>
        <v>0</v>
      </c>
      <c r="L1011" s="35">
        <f>INDEX('BIO WAHYU'!B:H,MATCH(DATA!D1011,'BIO WAHYU'!B:B,0),7)</f>
        <v>0</v>
      </c>
      <c r="M1011" s="34">
        <f>INDEX('BIO WAHYU'!B:H,MATCH(DATA!D1011,'BIO WAHYU'!B:B,0),4)</f>
        <v>0</v>
      </c>
    </row>
    <row r="1012" spans="1:13">
      <c r="A1012" s="43" t="s">
        <v>1671</v>
      </c>
      <c r="B1012" s="43">
        <v>2613050885</v>
      </c>
      <c r="C1012" s="43" t="s">
        <v>295</v>
      </c>
      <c r="D1012" s="10">
        <v>514233</v>
      </c>
      <c r="E1012" s="43" t="s">
        <v>15</v>
      </c>
      <c r="F1012" s="8">
        <f>_xlfn.IFNA(INDEX('OSA | 3GB'!J:L,MATCH(DATA!D1012,'OSA | 3GB'!J:J,0),2),0)</f>
        <v>7</v>
      </c>
      <c r="G1012" s="8">
        <f>_xlfn.IFNA(INDEX('OSA | 3GB'!J:L,MATCH(DATA!D1012,'OSA | 3GB'!J:J,0),3),0)</f>
        <v>12582000</v>
      </c>
      <c r="H1012" s="32">
        <f>_xlfn.IFNA(INDEX('OSA | 3GB'!A:C,MATCH(DATA!D1012,'OSA | 3GB'!A:A,0),2),0)</f>
        <v>3</v>
      </c>
      <c r="I1012" s="33" t="str">
        <f>_xlfn.IFNA(INDEX('OSA | 3GB'!A:C,MATCH(DATA!D1012,'OSA | 3GB'!A:A,0),3),0)</f>
        <v xml:space="preserve"> -   </v>
      </c>
      <c r="J1012" s="33">
        <f>INDEX('BIO WAHYU'!B:G,MATCH(DATA!D1012,'BIO WAHYU'!B:B,0),5)</f>
        <v>3</v>
      </c>
      <c r="K1012" s="34">
        <f>INDEX('BIO WAHYU'!B:G,MATCH(DATA!D1012,'BIO WAHYU'!B:B,0),6)</f>
        <v>3</v>
      </c>
      <c r="L1012" s="35">
        <f>INDEX('BIO WAHYU'!B:H,MATCH(DATA!D1012,'BIO WAHYU'!B:B,0),7)</f>
        <v>0</v>
      </c>
      <c r="M1012" s="34">
        <f>INDEX('BIO WAHYU'!B:H,MATCH(DATA!D1012,'BIO WAHYU'!B:B,0),4)</f>
        <v>0</v>
      </c>
    </row>
    <row r="1013" spans="1:13">
      <c r="A1013" s="43" t="s">
        <v>1674</v>
      </c>
      <c r="B1013" s="43">
        <v>2613052222</v>
      </c>
      <c r="C1013" s="43" t="s">
        <v>697</v>
      </c>
      <c r="D1013" s="10">
        <v>453185</v>
      </c>
      <c r="E1013" s="43" t="s">
        <v>10</v>
      </c>
      <c r="F1013" s="8">
        <f>_xlfn.IFNA(INDEX('OSA | 3GB'!J:L,MATCH(DATA!D1013,'OSA | 3GB'!J:J,0),2),0)</f>
        <v>33</v>
      </c>
      <c r="G1013" s="8">
        <f>_xlfn.IFNA(INDEX('OSA | 3GB'!J:L,MATCH(DATA!D1013,'OSA | 3GB'!J:J,0),3),0)</f>
        <v>2050000</v>
      </c>
      <c r="H1013" s="32" t="str">
        <f>_xlfn.IFNA(INDEX('OSA | 3GB'!A:C,MATCH(DATA!D1013,'OSA | 3GB'!A:A,0),2),0)</f>
        <v xml:space="preserve"> -   </v>
      </c>
      <c r="I1013" s="33">
        <f>_xlfn.IFNA(INDEX('OSA | 3GB'!A:C,MATCH(DATA!D1013,'OSA | 3GB'!A:A,0),3),0)</f>
        <v>2500000</v>
      </c>
      <c r="J1013" s="33">
        <f>INDEX('BIO WAHYU'!B:G,MATCH(DATA!D1013,'BIO WAHYU'!B:B,0),5)</f>
        <v>4</v>
      </c>
      <c r="K1013" s="34">
        <f>INDEX('BIO WAHYU'!B:G,MATCH(DATA!D1013,'BIO WAHYU'!B:B,0),6)</f>
        <v>3</v>
      </c>
      <c r="L1013" s="35">
        <f>INDEX('BIO WAHYU'!B:H,MATCH(DATA!D1013,'BIO WAHYU'!B:B,0),7)</f>
        <v>0</v>
      </c>
      <c r="M1013" s="34">
        <f>INDEX('BIO WAHYU'!B:H,MATCH(DATA!D1013,'BIO WAHYU'!B:B,0),4)</f>
        <v>0</v>
      </c>
    </row>
    <row r="1014" spans="1:13">
      <c r="A1014" s="43" t="s">
        <v>1673</v>
      </c>
      <c r="B1014" s="43" t="s">
        <v>141</v>
      </c>
      <c r="C1014" s="43" t="s">
        <v>1460</v>
      </c>
      <c r="D1014" s="10">
        <v>549031</v>
      </c>
      <c r="E1014" s="43" t="s">
        <v>10</v>
      </c>
      <c r="F1014" s="8">
        <f>_xlfn.IFNA(INDEX('OSA | 3GB'!J:L,MATCH(DATA!D1014,'OSA | 3GB'!J:J,0),2),0)</f>
        <v>0</v>
      </c>
      <c r="G1014" s="8">
        <f>_xlfn.IFNA(INDEX('OSA | 3GB'!J:L,MATCH(DATA!D1014,'OSA | 3GB'!J:J,0),3),0)</f>
        <v>0</v>
      </c>
      <c r="H1014" s="32" t="str">
        <f>_xlfn.IFNA(INDEX('OSA | 3GB'!A:C,MATCH(DATA!D1014,'OSA | 3GB'!A:A,0),2),0)</f>
        <v xml:space="preserve"> -   </v>
      </c>
      <c r="I1014" s="33" t="str">
        <f>_xlfn.IFNA(INDEX('OSA | 3GB'!A:C,MATCH(DATA!D1014,'OSA | 3GB'!A:A,0),3),0)</f>
        <v xml:space="preserve"> -   </v>
      </c>
      <c r="J1014" s="33">
        <f>INDEX('BIO WAHYU'!B:G,MATCH(DATA!D1014,'BIO WAHYU'!B:B,0),5)</f>
        <v>0</v>
      </c>
      <c r="K1014" s="34">
        <f>INDEX('BIO WAHYU'!B:G,MATCH(DATA!D1014,'BIO WAHYU'!B:B,0),6)</f>
        <v>0</v>
      </c>
      <c r="L1014" s="35">
        <f>INDEX('BIO WAHYU'!B:H,MATCH(DATA!D1014,'BIO WAHYU'!B:B,0),7)</f>
        <v>0</v>
      </c>
      <c r="M1014" s="34">
        <f>INDEX('BIO WAHYU'!B:H,MATCH(DATA!D1014,'BIO WAHYU'!B:B,0),4)</f>
        <v>0</v>
      </c>
    </row>
    <row r="1015" spans="1:13">
      <c r="A1015" s="43" t="s">
        <v>1672</v>
      </c>
      <c r="B1015" s="43" t="s">
        <v>156</v>
      </c>
      <c r="C1015" s="43" t="s">
        <v>1461</v>
      </c>
      <c r="D1015" s="10">
        <v>62229</v>
      </c>
      <c r="E1015" s="43" t="s">
        <v>10</v>
      </c>
      <c r="F1015" s="8">
        <f>_xlfn.IFNA(INDEX('OSA | 3GB'!J:L,MATCH(DATA!D1015,'OSA | 3GB'!J:J,0),2),0)</f>
        <v>1</v>
      </c>
      <c r="G1015" s="8">
        <f>_xlfn.IFNA(INDEX('OSA | 3GB'!J:L,MATCH(DATA!D1015,'OSA | 3GB'!J:J,0),3),0)</f>
        <v>1300000</v>
      </c>
      <c r="H1015" s="32">
        <f>_xlfn.IFNA(INDEX('OSA | 3GB'!A:C,MATCH(DATA!D1015,'OSA | 3GB'!A:A,0),2),0)</f>
        <v>1</v>
      </c>
      <c r="I1015" s="33">
        <f>_xlfn.IFNA(INDEX('OSA | 3GB'!A:C,MATCH(DATA!D1015,'OSA | 3GB'!A:A,0),3),0)</f>
        <v>1000000</v>
      </c>
      <c r="J1015" s="33">
        <f>INDEX('BIO WAHYU'!B:G,MATCH(DATA!D1015,'BIO WAHYU'!B:B,0),5)</f>
        <v>1</v>
      </c>
      <c r="K1015" s="34">
        <f>INDEX('BIO WAHYU'!B:G,MATCH(DATA!D1015,'BIO WAHYU'!B:B,0),6)</f>
        <v>1</v>
      </c>
      <c r="L1015" s="35">
        <f>INDEX('BIO WAHYU'!B:H,MATCH(DATA!D1015,'BIO WAHYU'!B:B,0),7)</f>
        <v>0</v>
      </c>
      <c r="M1015" s="34">
        <f>INDEX('BIO WAHYU'!B:H,MATCH(DATA!D1015,'BIO WAHYU'!B:B,0),4)</f>
        <v>0</v>
      </c>
    </row>
    <row r="1016" spans="1:13">
      <c r="A1016" s="43" t="s">
        <v>1674</v>
      </c>
      <c r="B1016" s="43" t="s">
        <v>154</v>
      </c>
      <c r="C1016" s="43" t="s">
        <v>1462</v>
      </c>
      <c r="D1016" s="10">
        <v>62307</v>
      </c>
      <c r="E1016" s="43" t="s">
        <v>10</v>
      </c>
      <c r="F1016" s="8">
        <f>_xlfn.IFNA(INDEX('OSA | 3GB'!J:L,MATCH(DATA!D1016,'OSA | 3GB'!J:J,0),2),0)</f>
        <v>6</v>
      </c>
      <c r="G1016" s="8">
        <f>_xlfn.IFNA(INDEX('OSA | 3GB'!J:L,MATCH(DATA!D1016,'OSA | 3GB'!J:J,0),3),0)</f>
        <v>7250000</v>
      </c>
      <c r="H1016" s="32" t="str">
        <f>_xlfn.IFNA(INDEX('OSA | 3GB'!A:C,MATCH(DATA!D1016,'OSA | 3GB'!A:A,0),2),0)</f>
        <v xml:space="preserve"> -   </v>
      </c>
      <c r="I1016" s="33">
        <f>_xlfn.IFNA(INDEX('OSA | 3GB'!A:C,MATCH(DATA!D1016,'OSA | 3GB'!A:A,0),3),0)</f>
        <v>2300000</v>
      </c>
      <c r="J1016" s="33">
        <f>INDEX('BIO WAHYU'!B:G,MATCH(DATA!D1016,'BIO WAHYU'!B:B,0),5)</f>
        <v>3</v>
      </c>
      <c r="K1016" s="34">
        <f>INDEX('BIO WAHYU'!B:G,MATCH(DATA!D1016,'BIO WAHYU'!B:B,0),6)</f>
        <v>1</v>
      </c>
      <c r="L1016" s="35">
        <f>INDEX('BIO WAHYU'!B:H,MATCH(DATA!D1016,'BIO WAHYU'!B:B,0),7)</f>
        <v>0</v>
      </c>
      <c r="M1016" s="34">
        <f>INDEX('BIO WAHYU'!B:H,MATCH(DATA!D1016,'BIO WAHYU'!B:B,0),4)</f>
        <v>0</v>
      </c>
    </row>
    <row r="1017" spans="1:13">
      <c r="A1017" s="43" t="s">
        <v>1671</v>
      </c>
      <c r="B1017" s="43" t="s">
        <v>142</v>
      </c>
      <c r="C1017" s="43" t="s">
        <v>354</v>
      </c>
      <c r="D1017" s="10">
        <v>412232</v>
      </c>
      <c r="E1017" s="43" t="s">
        <v>10</v>
      </c>
      <c r="F1017" s="8">
        <f>_xlfn.IFNA(INDEX('OSA | 3GB'!J:L,MATCH(DATA!D1017,'OSA | 3GB'!J:J,0),2),0)</f>
        <v>3</v>
      </c>
      <c r="G1017" s="8">
        <f>_xlfn.IFNA(INDEX('OSA | 3GB'!J:L,MATCH(DATA!D1017,'OSA | 3GB'!J:J,0),3),0)</f>
        <v>4800000</v>
      </c>
      <c r="H1017" s="32" t="str">
        <f>_xlfn.IFNA(INDEX('OSA | 3GB'!A:C,MATCH(DATA!D1017,'OSA | 3GB'!A:A,0),2),0)</f>
        <v xml:space="preserve"> -   </v>
      </c>
      <c r="I1017" s="33">
        <f>_xlfn.IFNA(INDEX('OSA | 3GB'!A:C,MATCH(DATA!D1017,'OSA | 3GB'!A:A,0),3),0)</f>
        <v>2000000</v>
      </c>
      <c r="J1017" s="33">
        <f>INDEX('BIO WAHYU'!B:G,MATCH(DATA!D1017,'BIO WAHYU'!B:B,0),5)</f>
        <v>4</v>
      </c>
      <c r="K1017" s="34">
        <f>INDEX('BIO WAHYU'!B:G,MATCH(DATA!D1017,'BIO WAHYU'!B:B,0),6)</f>
        <v>1</v>
      </c>
      <c r="L1017" s="35">
        <f>INDEX('BIO WAHYU'!B:H,MATCH(DATA!D1017,'BIO WAHYU'!B:B,0),7)</f>
        <v>0</v>
      </c>
      <c r="M1017" s="34">
        <f>INDEX('BIO WAHYU'!B:H,MATCH(DATA!D1017,'BIO WAHYU'!B:B,0),4)</f>
        <v>0</v>
      </c>
    </row>
    <row r="1018" spans="1:13">
      <c r="A1018" s="43" t="s">
        <v>1</v>
      </c>
      <c r="B1018" s="43" t="s">
        <v>4</v>
      </c>
      <c r="C1018" s="43" t="s">
        <v>42</v>
      </c>
      <c r="D1018" s="10">
        <v>12295717</v>
      </c>
      <c r="E1018" s="43" t="s">
        <v>10</v>
      </c>
      <c r="F1018" s="8">
        <f>_xlfn.IFNA(INDEX('OSA | 3GB'!J:L,MATCH(DATA!D1018,'OSA | 3GB'!J:J,0),2),0)</f>
        <v>3</v>
      </c>
      <c r="G1018" s="8">
        <f>_xlfn.IFNA(INDEX('OSA | 3GB'!J:L,MATCH(DATA!D1018,'OSA | 3GB'!J:J,0),3),0)</f>
        <v>50000</v>
      </c>
      <c r="H1018" s="32" t="str">
        <f>_xlfn.IFNA(INDEX('OSA | 3GB'!A:C,MATCH(DATA!D1018,'OSA | 3GB'!A:A,0),2),0)</f>
        <v xml:space="preserve"> -   </v>
      </c>
      <c r="I1018" s="33" t="str">
        <f>_xlfn.IFNA(INDEX('OSA | 3GB'!A:C,MATCH(DATA!D1018,'OSA | 3GB'!A:A,0),3),0)</f>
        <v xml:space="preserve"> -   </v>
      </c>
      <c r="J1018" s="33">
        <f>INDEX('BIO WAHYU'!B:G,MATCH(DATA!D1018,'BIO WAHYU'!B:B,0),5)</f>
        <v>3</v>
      </c>
      <c r="K1018" s="34">
        <f>INDEX('BIO WAHYU'!B:G,MATCH(DATA!D1018,'BIO WAHYU'!B:B,0),6)</f>
        <v>0</v>
      </c>
      <c r="L1018" s="35">
        <f>INDEX('BIO WAHYU'!B:H,MATCH(DATA!D1018,'BIO WAHYU'!B:B,0),7)</f>
        <v>0</v>
      </c>
      <c r="M1018" s="34">
        <f>INDEX('BIO WAHYU'!B:H,MATCH(DATA!D1018,'BIO WAHYU'!B:B,0),4)</f>
        <v>0</v>
      </c>
    </row>
    <row r="1019" spans="1:13">
      <c r="A1019" s="43" t="s">
        <v>1673</v>
      </c>
      <c r="B1019" s="43" t="s">
        <v>143</v>
      </c>
      <c r="C1019" s="43" t="s">
        <v>273</v>
      </c>
      <c r="D1019" s="10">
        <v>562928</v>
      </c>
      <c r="E1019" s="43" t="s">
        <v>10</v>
      </c>
      <c r="F1019" s="8">
        <f>_xlfn.IFNA(INDEX('OSA | 3GB'!J:L,MATCH(DATA!D1019,'OSA | 3GB'!J:J,0),2),0)</f>
        <v>3</v>
      </c>
      <c r="G1019" s="8">
        <f>_xlfn.IFNA(INDEX('OSA | 3GB'!J:L,MATCH(DATA!D1019,'OSA | 3GB'!J:J,0),3),0)</f>
        <v>758000</v>
      </c>
      <c r="H1019" s="32" t="str">
        <f>_xlfn.IFNA(INDEX('OSA | 3GB'!A:C,MATCH(DATA!D1019,'OSA | 3GB'!A:A,0),2),0)</f>
        <v xml:space="preserve"> -   </v>
      </c>
      <c r="I1019" s="33">
        <f>_xlfn.IFNA(INDEX('OSA | 3GB'!A:C,MATCH(DATA!D1019,'OSA | 3GB'!A:A,0),3),0)</f>
        <v>300000</v>
      </c>
      <c r="J1019" s="33">
        <f>INDEX('BIO WAHYU'!B:G,MATCH(DATA!D1019,'BIO WAHYU'!B:B,0),5)</f>
        <v>2</v>
      </c>
      <c r="K1019" s="34">
        <f>INDEX('BIO WAHYU'!B:G,MATCH(DATA!D1019,'BIO WAHYU'!B:B,0),6)</f>
        <v>0</v>
      </c>
      <c r="L1019" s="35">
        <f>INDEX('BIO WAHYU'!B:H,MATCH(DATA!D1019,'BIO WAHYU'!B:B,0),7)</f>
        <v>0</v>
      </c>
      <c r="M1019" s="34">
        <f>INDEX('BIO WAHYU'!B:H,MATCH(DATA!D1019,'BIO WAHYU'!B:B,0),4)</f>
        <v>0</v>
      </c>
    </row>
    <row r="1020" spans="1:13">
      <c r="A1020" s="43" t="s">
        <v>1670</v>
      </c>
      <c r="B1020" s="43" t="s">
        <v>146</v>
      </c>
      <c r="C1020" s="43" t="s">
        <v>541</v>
      </c>
      <c r="D1020" s="10">
        <v>242231</v>
      </c>
      <c r="E1020" s="43" t="s">
        <v>15</v>
      </c>
      <c r="F1020" s="8">
        <f>_xlfn.IFNA(INDEX('OSA | 3GB'!J:L,MATCH(DATA!D1020,'OSA | 3GB'!J:J,0),2),0)</f>
        <v>3</v>
      </c>
      <c r="G1020" s="8">
        <f>_xlfn.IFNA(INDEX('OSA | 3GB'!J:L,MATCH(DATA!D1020,'OSA | 3GB'!J:J,0),3),0)</f>
        <v>1190000</v>
      </c>
      <c r="H1020" s="32" t="str">
        <f>_xlfn.IFNA(INDEX('OSA | 3GB'!A:C,MATCH(DATA!D1020,'OSA | 3GB'!A:A,0),2),0)</f>
        <v xml:space="preserve"> -   </v>
      </c>
      <c r="I1020" s="33" t="str">
        <f>_xlfn.IFNA(INDEX('OSA | 3GB'!A:C,MATCH(DATA!D1020,'OSA | 3GB'!A:A,0),3),0)</f>
        <v xml:space="preserve"> -   </v>
      </c>
      <c r="J1020" s="33">
        <f>INDEX('BIO WAHYU'!B:G,MATCH(DATA!D1020,'BIO WAHYU'!B:B,0),5)</f>
        <v>3</v>
      </c>
      <c r="K1020" s="34">
        <f>INDEX('BIO WAHYU'!B:G,MATCH(DATA!D1020,'BIO WAHYU'!B:B,0),6)</f>
        <v>0</v>
      </c>
      <c r="L1020" s="35">
        <f>INDEX('BIO WAHYU'!B:H,MATCH(DATA!D1020,'BIO WAHYU'!B:B,0),7)</f>
        <v>0</v>
      </c>
      <c r="M1020" s="34">
        <f>INDEX('BIO WAHYU'!B:H,MATCH(DATA!D1020,'BIO WAHYU'!B:B,0),4)</f>
        <v>0</v>
      </c>
    </row>
    <row r="1021" spans="1:13">
      <c r="A1021" s="43" t="s">
        <v>1671</v>
      </c>
      <c r="B1021" s="43">
        <v>2613050886</v>
      </c>
      <c r="C1021" s="43" t="s">
        <v>327</v>
      </c>
      <c r="D1021" s="10">
        <v>512469</v>
      </c>
      <c r="E1021" s="43" t="s">
        <v>10</v>
      </c>
      <c r="F1021" s="8">
        <f>_xlfn.IFNA(INDEX('OSA | 3GB'!J:L,MATCH(DATA!D1021,'OSA | 3GB'!J:J,0),2),0)</f>
        <v>0</v>
      </c>
      <c r="G1021" s="8">
        <f>_xlfn.IFNA(INDEX('OSA | 3GB'!J:L,MATCH(DATA!D1021,'OSA | 3GB'!J:J,0),3),0)</f>
        <v>1500000</v>
      </c>
      <c r="H1021" s="32" t="str">
        <f>_xlfn.IFNA(INDEX('OSA | 3GB'!A:C,MATCH(DATA!D1021,'OSA | 3GB'!A:A,0),2),0)</f>
        <v xml:space="preserve"> -   </v>
      </c>
      <c r="I1021" s="33">
        <f>_xlfn.IFNA(INDEX('OSA | 3GB'!A:C,MATCH(DATA!D1021,'OSA | 3GB'!A:A,0),3),0)</f>
        <v>600000</v>
      </c>
      <c r="J1021" s="33">
        <f>INDEX('BIO WAHYU'!B:G,MATCH(DATA!D1021,'BIO WAHYU'!B:B,0),5)</f>
        <v>0</v>
      </c>
      <c r="K1021" s="34">
        <f>INDEX('BIO WAHYU'!B:G,MATCH(DATA!D1021,'BIO WAHYU'!B:B,0),6)</f>
        <v>0</v>
      </c>
      <c r="L1021" s="35">
        <f>INDEX('BIO WAHYU'!B:H,MATCH(DATA!D1021,'BIO WAHYU'!B:B,0),7)</f>
        <v>0</v>
      </c>
      <c r="M1021" s="34">
        <f>INDEX('BIO WAHYU'!B:H,MATCH(DATA!D1021,'BIO WAHYU'!B:B,0),4)</f>
        <v>0</v>
      </c>
    </row>
    <row r="1022" spans="1:13">
      <c r="A1022" s="43" t="s">
        <v>1673</v>
      </c>
      <c r="B1022" s="43" t="s">
        <v>143</v>
      </c>
      <c r="C1022" s="43" t="s">
        <v>257</v>
      </c>
      <c r="D1022" s="10">
        <v>401367</v>
      </c>
      <c r="E1022" s="43" t="s">
        <v>10</v>
      </c>
      <c r="F1022" s="8">
        <f>_xlfn.IFNA(INDEX('OSA | 3GB'!J:L,MATCH(DATA!D1022,'OSA | 3GB'!J:J,0),2),0)</f>
        <v>4</v>
      </c>
      <c r="G1022" s="8">
        <f>_xlfn.IFNA(INDEX('OSA | 3GB'!J:L,MATCH(DATA!D1022,'OSA | 3GB'!J:J,0),3),0)</f>
        <v>3158000</v>
      </c>
      <c r="H1022" s="32">
        <f>_xlfn.IFNA(INDEX('OSA | 3GB'!A:C,MATCH(DATA!D1022,'OSA | 3GB'!A:A,0),2),0)</f>
        <v>1</v>
      </c>
      <c r="I1022" s="33">
        <f>_xlfn.IFNA(INDEX('OSA | 3GB'!A:C,MATCH(DATA!D1022,'OSA | 3GB'!A:A,0),3),0)</f>
        <v>1620000</v>
      </c>
      <c r="J1022" s="33">
        <f>INDEX('BIO WAHYU'!B:G,MATCH(DATA!D1022,'BIO WAHYU'!B:B,0),5)</f>
        <v>4</v>
      </c>
      <c r="K1022" s="34">
        <f>INDEX('BIO WAHYU'!B:G,MATCH(DATA!D1022,'BIO WAHYU'!B:B,0),6)</f>
        <v>2</v>
      </c>
      <c r="L1022" s="35">
        <f>INDEX('BIO WAHYU'!B:H,MATCH(DATA!D1022,'BIO WAHYU'!B:B,0),7)</f>
        <v>0</v>
      </c>
      <c r="M1022" s="34">
        <f>INDEX('BIO WAHYU'!B:H,MATCH(DATA!D1022,'BIO WAHYU'!B:B,0),4)</f>
        <v>0</v>
      </c>
    </row>
    <row r="1023" spans="1:13">
      <c r="A1023" s="43" t="s">
        <v>1672</v>
      </c>
      <c r="B1023" s="43" t="s">
        <v>155</v>
      </c>
      <c r="C1023" s="43" t="s">
        <v>954</v>
      </c>
      <c r="D1023" s="10">
        <v>61564</v>
      </c>
      <c r="E1023" s="43" t="s">
        <v>10</v>
      </c>
      <c r="F1023" s="8">
        <f>_xlfn.IFNA(INDEX('OSA | 3GB'!J:L,MATCH(DATA!D1023,'OSA | 3GB'!J:J,0),2),0)</f>
        <v>5</v>
      </c>
      <c r="G1023" s="8">
        <f>_xlfn.IFNA(INDEX('OSA | 3GB'!J:L,MATCH(DATA!D1023,'OSA | 3GB'!J:J,0),3),0)</f>
        <v>13500000</v>
      </c>
      <c r="H1023" s="32">
        <f>_xlfn.IFNA(INDEX('OSA | 3GB'!A:C,MATCH(DATA!D1023,'OSA | 3GB'!A:A,0),2),0)</f>
        <v>2</v>
      </c>
      <c r="I1023" s="33">
        <f>_xlfn.IFNA(INDEX('OSA | 3GB'!A:C,MATCH(DATA!D1023,'OSA | 3GB'!A:A,0),3),0)</f>
        <v>3525248</v>
      </c>
      <c r="J1023" s="33">
        <f>INDEX('BIO WAHYU'!B:G,MATCH(DATA!D1023,'BIO WAHYU'!B:B,0),5)</f>
        <v>3</v>
      </c>
      <c r="K1023" s="34">
        <f>INDEX('BIO WAHYU'!B:G,MATCH(DATA!D1023,'BIO WAHYU'!B:B,0),6)</f>
        <v>6</v>
      </c>
      <c r="L1023" s="35">
        <f>INDEX('BIO WAHYU'!B:H,MATCH(DATA!D1023,'BIO WAHYU'!B:B,0),7)</f>
        <v>3</v>
      </c>
      <c r="M1023" s="34">
        <f>INDEX('BIO WAHYU'!B:H,MATCH(DATA!D1023,'BIO WAHYU'!B:B,0),4)</f>
        <v>0</v>
      </c>
    </row>
    <row r="1024" spans="1:13">
      <c r="A1024" s="43" t="s">
        <v>1672</v>
      </c>
      <c r="B1024" s="43" t="s">
        <v>157</v>
      </c>
      <c r="C1024" s="43" t="s">
        <v>1058</v>
      </c>
      <c r="D1024" s="10">
        <v>61561</v>
      </c>
      <c r="E1024" s="43" t="s">
        <v>10</v>
      </c>
      <c r="F1024" s="8">
        <f>_xlfn.IFNA(INDEX('OSA | 3GB'!J:L,MATCH(DATA!D1024,'OSA | 3GB'!J:J,0),2),0)</f>
        <v>0</v>
      </c>
      <c r="G1024" s="8">
        <f>_xlfn.IFNA(INDEX('OSA | 3GB'!J:L,MATCH(DATA!D1024,'OSA | 3GB'!J:J,0),3),0)</f>
        <v>15609095</v>
      </c>
      <c r="H1024" s="32">
        <f>_xlfn.IFNA(INDEX('OSA | 3GB'!A:C,MATCH(DATA!D1024,'OSA | 3GB'!A:A,0),2),0)</f>
        <v>7</v>
      </c>
      <c r="I1024" s="33">
        <f>_xlfn.IFNA(INDEX('OSA | 3GB'!A:C,MATCH(DATA!D1024,'OSA | 3GB'!A:A,0),3),0)</f>
        <v>7448983</v>
      </c>
      <c r="J1024" s="33">
        <f>INDEX('BIO WAHYU'!B:G,MATCH(DATA!D1024,'BIO WAHYU'!B:B,0),5)</f>
        <v>2</v>
      </c>
      <c r="K1024" s="34">
        <f>INDEX('BIO WAHYU'!B:G,MATCH(DATA!D1024,'BIO WAHYU'!B:B,0),6)</f>
        <v>0</v>
      </c>
      <c r="L1024" s="35">
        <f>INDEX('BIO WAHYU'!B:H,MATCH(DATA!D1024,'BIO WAHYU'!B:B,0),7)</f>
        <v>0</v>
      </c>
      <c r="M1024" s="34">
        <f>INDEX('BIO WAHYU'!B:H,MATCH(DATA!D1024,'BIO WAHYU'!B:B,0),4)</f>
        <v>1</v>
      </c>
    </row>
    <row r="1025" spans="1:13">
      <c r="A1025" s="43" t="s">
        <v>1675</v>
      </c>
      <c r="B1025" s="43" t="s">
        <v>137</v>
      </c>
      <c r="C1025" s="43" t="s">
        <v>422</v>
      </c>
      <c r="D1025" s="10">
        <v>12295986</v>
      </c>
      <c r="E1025" s="43" t="s">
        <v>10</v>
      </c>
      <c r="F1025" s="8">
        <f>_xlfn.IFNA(INDEX('OSA | 3GB'!J:L,MATCH(DATA!D1025,'OSA | 3GB'!J:J,0),2),0)</f>
        <v>10</v>
      </c>
      <c r="G1025" s="8">
        <f>_xlfn.IFNA(INDEX('OSA | 3GB'!J:L,MATCH(DATA!D1025,'OSA | 3GB'!J:J,0),3),0)</f>
        <v>1250000</v>
      </c>
      <c r="H1025" s="32" t="str">
        <f>_xlfn.IFNA(INDEX('OSA | 3GB'!A:C,MATCH(DATA!D1025,'OSA | 3GB'!A:A,0),2),0)</f>
        <v xml:space="preserve"> -   </v>
      </c>
      <c r="I1025" s="33">
        <f>_xlfn.IFNA(INDEX('OSA | 3GB'!A:C,MATCH(DATA!D1025,'OSA | 3GB'!A:A,0),3),0)</f>
        <v>900000</v>
      </c>
      <c r="J1025" s="33">
        <f>INDEX('BIO WAHYU'!B:G,MATCH(DATA!D1025,'BIO WAHYU'!B:B,0),5)</f>
        <v>2</v>
      </c>
      <c r="K1025" s="34">
        <f>INDEX('BIO WAHYU'!B:G,MATCH(DATA!D1025,'BIO WAHYU'!B:B,0),6)</f>
        <v>1</v>
      </c>
      <c r="L1025" s="35">
        <f>INDEX('BIO WAHYU'!B:H,MATCH(DATA!D1025,'BIO WAHYU'!B:B,0),7)</f>
        <v>0</v>
      </c>
      <c r="M1025" s="34">
        <f>INDEX('BIO WAHYU'!B:H,MATCH(DATA!D1025,'BIO WAHYU'!B:B,0),4)</f>
        <v>0</v>
      </c>
    </row>
    <row r="1026" spans="1:13">
      <c r="A1026" s="43" t="s">
        <v>1670</v>
      </c>
      <c r="B1026" s="43" t="s">
        <v>145</v>
      </c>
      <c r="C1026" s="43" t="s">
        <v>487</v>
      </c>
      <c r="D1026" s="10">
        <v>12320371</v>
      </c>
      <c r="E1026" s="43" t="s">
        <v>10</v>
      </c>
      <c r="F1026" s="8">
        <f>_xlfn.IFNA(INDEX('OSA | 3GB'!J:L,MATCH(DATA!D1026,'OSA | 3GB'!J:J,0),2),0)</f>
        <v>1</v>
      </c>
      <c r="G1026" s="8">
        <f>_xlfn.IFNA(INDEX('OSA | 3GB'!J:L,MATCH(DATA!D1026,'OSA | 3GB'!J:J,0),3),0)</f>
        <v>1800000</v>
      </c>
      <c r="H1026" s="32" t="str">
        <f>_xlfn.IFNA(INDEX('OSA | 3GB'!A:C,MATCH(DATA!D1026,'OSA | 3GB'!A:A,0),2),0)</f>
        <v xml:space="preserve"> -   </v>
      </c>
      <c r="I1026" s="33">
        <f>_xlfn.IFNA(INDEX('OSA | 3GB'!A:C,MATCH(DATA!D1026,'OSA | 3GB'!A:A,0),3),0)</f>
        <v>150000</v>
      </c>
      <c r="J1026" s="33">
        <f>INDEX('BIO WAHYU'!B:G,MATCH(DATA!D1026,'BIO WAHYU'!B:B,0),5)</f>
        <v>1</v>
      </c>
      <c r="K1026" s="34">
        <f>INDEX('BIO WAHYU'!B:G,MATCH(DATA!D1026,'BIO WAHYU'!B:B,0),6)</f>
        <v>0</v>
      </c>
      <c r="L1026" s="35">
        <f>INDEX('BIO WAHYU'!B:H,MATCH(DATA!D1026,'BIO WAHYU'!B:B,0),7)</f>
        <v>0</v>
      </c>
      <c r="M1026" s="34">
        <f>INDEX('BIO WAHYU'!B:H,MATCH(DATA!D1026,'BIO WAHYU'!B:B,0),4)</f>
        <v>0</v>
      </c>
    </row>
    <row r="1027" spans="1:13">
      <c r="A1027" s="43" t="s">
        <v>1672</v>
      </c>
      <c r="B1027" s="43" t="s">
        <v>149</v>
      </c>
      <c r="C1027" s="43" t="s">
        <v>774</v>
      </c>
      <c r="D1027" s="10">
        <v>244995</v>
      </c>
      <c r="E1027" s="43" t="s">
        <v>10</v>
      </c>
      <c r="F1027" s="8">
        <f>_xlfn.IFNA(INDEX('OSA | 3GB'!J:L,MATCH(DATA!D1027,'OSA | 3GB'!J:J,0),2),0)</f>
        <v>6</v>
      </c>
      <c r="G1027" s="8">
        <f>_xlfn.IFNA(INDEX('OSA | 3GB'!J:L,MATCH(DATA!D1027,'OSA | 3GB'!J:J,0),3),0)</f>
        <v>2458000</v>
      </c>
      <c r="H1027" s="32">
        <f>_xlfn.IFNA(INDEX('OSA | 3GB'!A:C,MATCH(DATA!D1027,'OSA | 3GB'!A:A,0),2),0)</f>
        <v>4</v>
      </c>
      <c r="I1027" s="33">
        <f>_xlfn.IFNA(INDEX('OSA | 3GB'!A:C,MATCH(DATA!D1027,'OSA | 3GB'!A:A,0),3),0)</f>
        <v>616000</v>
      </c>
      <c r="J1027" s="33">
        <f>INDEX('BIO WAHYU'!B:G,MATCH(DATA!D1027,'BIO WAHYU'!B:B,0),5)</f>
        <v>3</v>
      </c>
      <c r="K1027" s="34">
        <f>INDEX('BIO WAHYU'!B:G,MATCH(DATA!D1027,'BIO WAHYU'!B:B,0),6)</f>
        <v>0</v>
      </c>
      <c r="L1027" s="35">
        <f>INDEX('BIO WAHYU'!B:H,MATCH(DATA!D1027,'BIO WAHYU'!B:B,0),7)</f>
        <v>0</v>
      </c>
      <c r="M1027" s="34">
        <f>INDEX('BIO WAHYU'!B:H,MATCH(DATA!D1027,'BIO WAHYU'!B:B,0),4)</f>
        <v>0</v>
      </c>
    </row>
    <row r="1028" spans="1:13">
      <c r="A1028" s="43" t="s">
        <v>1673</v>
      </c>
      <c r="B1028" s="43" t="s">
        <v>158</v>
      </c>
      <c r="C1028" s="43" t="s">
        <v>1463</v>
      </c>
      <c r="D1028" s="10">
        <v>12330562</v>
      </c>
      <c r="E1028" s="43" t="s">
        <v>15</v>
      </c>
      <c r="F1028" s="8">
        <f>_xlfn.IFNA(INDEX('OSA | 3GB'!J:L,MATCH(DATA!D1028,'OSA | 3GB'!J:J,0),2),0)</f>
        <v>4</v>
      </c>
      <c r="G1028" s="8">
        <f>_xlfn.IFNA(INDEX('OSA | 3GB'!J:L,MATCH(DATA!D1028,'OSA | 3GB'!J:J,0),3),0)</f>
        <v>429000</v>
      </c>
      <c r="H1028" s="32">
        <f>_xlfn.IFNA(INDEX('OSA | 3GB'!A:C,MATCH(DATA!D1028,'OSA | 3GB'!A:A,0),2),0)</f>
        <v>1</v>
      </c>
      <c r="I1028" s="33">
        <f>_xlfn.IFNA(INDEX('OSA | 3GB'!A:C,MATCH(DATA!D1028,'OSA | 3GB'!A:A,0),3),0)</f>
        <v>50000</v>
      </c>
      <c r="J1028" s="33">
        <f>INDEX('BIO WAHYU'!B:G,MATCH(DATA!D1028,'BIO WAHYU'!B:B,0),5)</f>
        <v>3</v>
      </c>
      <c r="K1028" s="34">
        <f>INDEX('BIO WAHYU'!B:G,MATCH(DATA!D1028,'BIO WAHYU'!B:B,0),6)</f>
        <v>2</v>
      </c>
      <c r="L1028" s="35">
        <f>INDEX('BIO WAHYU'!B:H,MATCH(DATA!D1028,'BIO WAHYU'!B:B,0),7)</f>
        <v>0</v>
      </c>
      <c r="M1028" s="34">
        <f>INDEX('BIO WAHYU'!B:H,MATCH(DATA!D1028,'BIO WAHYU'!B:B,0),4)</f>
        <v>0</v>
      </c>
    </row>
    <row r="1029" spans="1:13">
      <c r="A1029" s="43" t="s">
        <v>1672</v>
      </c>
      <c r="B1029" s="43" t="s">
        <v>151</v>
      </c>
      <c r="C1029" s="43" t="s">
        <v>861</v>
      </c>
      <c r="D1029" s="10">
        <v>224007</v>
      </c>
      <c r="E1029" s="43" t="s">
        <v>10</v>
      </c>
      <c r="F1029" s="8">
        <f>_xlfn.IFNA(INDEX('OSA | 3GB'!J:L,MATCH(DATA!D1029,'OSA | 3GB'!J:J,0),2),0)</f>
        <v>50</v>
      </c>
      <c r="G1029" s="8">
        <f>_xlfn.IFNA(INDEX('OSA | 3GB'!J:L,MATCH(DATA!D1029,'OSA | 3GB'!J:J,0),3),0)</f>
        <v>3900000</v>
      </c>
      <c r="H1029" s="32" t="str">
        <f>_xlfn.IFNA(INDEX('OSA | 3GB'!A:C,MATCH(DATA!D1029,'OSA | 3GB'!A:A,0),2),0)</f>
        <v xml:space="preserve"> -   </v>
      </c>
      <c r="I1029" s="33">
        <f>_xlfn.IFNA(INDEX('OSA | 3GB'!A:C,MATCH(DATA!D1029,'OSA | 3GB'!A:A,0),3),0)</f>
        <v>1850000</v>
      </c>
      <c r="J1029" s="33">
        <f>INDEX('BIO WAHYU'!B:G,MATCH(DATA!D1029,'BIO WAHYU'!B:B,0),5)</f>
        <v>2</v>
      </c>
      <c r="K1029" s="34">
        <f>INDEX('BIO WAHYU'!B:G,MATCH(DATA!D1029,'BIO WAHYU'!B:B,0),6)</f>
        <v>1</v>
      </c>
      <c r="L1029" s="35">
        <f>INDEX('BIO WAHYU'!B:H,MATCH(DATA!D1029,'BIO WAHYU'!B:B,0),7)</f>
        <v>0</v>
      </c>
      <c r="M1029" s="34">
        <f>INDEX('BIO WAHYU'!B:H,MATCH(DATA!D1029,'BIO WAHYU'!B:B,0),4)</f>
        <v>2</v>
      </c>
    </row>
    <row r="1030" spans="1:13">
      <c r="A1030" s="43" t="s">
        <v>1674</v>
      </c>
      <c r="B1030" s="43" t="s">
        <v>154</v>
      </c>
      <c r="C1030" s="43" t="s">
        <v>1464</v>
      </c>
      <c r="D1030" s="10">
        <v>562050</v>
      </c>
      <c r="E1030" s="43" t="s">
        <v>10</v>
      </c>
      <c r="F1030" s="8">
        <f>_xlfn.IFNA(INDEX('OSA | 3GB'!J:L,MATCH(DATA!D1030,'OSA | 3GB'!J:J,0),2),0)</f>
        <v>0</v>
      </c>
      <c r="G1030" s="8">
        <f>_xlfn.IFNA(INDEX('OSA | 3GB'!J:L,MATCH(DATA!D1030,'OSA | 3GB'!J:J,0),3),0)</f>
        <v>0</v>
      </c>
      <c r="H1030" s="32" t="str">
        <f>_xlfn.IFNA(INDEX('OSA | 3GB'!A:C,MATCH(DATA!D1030,'OSA | 3GB'!A:A,0),2),0)</f>
        <v xml:space="preserve"> -   </v>
      </c>
      <c r="I1030" s="33" t="str">
        <f>_xlfn.IFNA(INDEX('OSA | 3GB'!A:C,MATCH(DATA!D1030,'OSA | 3GB'!A:A,0),3),0)</f>
        <v xml:space="preserve"> -   </v>
      </c>
      <c r="J1030" s="33">
        <f>INDEX('BIO WAHYU'!B:G,MATCH(DATA!D1030,'BIO WAHYU'!B:B,0),5)</f>
        <v>0</v>
      </c>
      <c r="K1030" s="34">
        <f>INDEX('BIO WAHYU'!B:G,MATCH(DATA!D1030,'BIO WAHYU'!B:B,0),6)</f>
        <v>0</v>
      </c>
      <c r="L1030" s="35">
        <f>INDEX('BIO WAHYU'!B:H,MATCH(DATA!D1030,'BIO WAHYU'!B:B,0),7)</f>
        <v>0</v>
      </c>
      <c r="M1030" s="34">
        <f>INDEX('BIO WAHYU'!B:H,MATCH(DATA!D1030,'BIO WAHYU'!B:B,0),4)</f>
        <v>0</v>
      </c>
    </row>
    <row r="1031" spans="1:13">
      <c r="A1031" s="43" t="s">
        <v>1673</v>
      </c>
      <c r="B1031" s="43" t="s">
        <v>1140</v>
      </c>
      <c r="C1031" s="43" t="s">
        <v>1465</v>
      </c>
      <c r="D1031" s="10">
        <v>61664</v>
      </c>
      <c r="E1031" s="43" t="s">
        <v>15</v>
      </c>
      <c r="F1031" s="8">
        <f>_xlfn.IFNA(INDEX('OSA | 3GB'!J:L,MATCH(DATA!D1031,'OSA | 3GB'!J:J,0),2),0)</f>
        <v>3</v>
      </c>
      <c r="G1031" s="8">
        <f>_xlfn.IFNA(INDEX('OSA | 3GB'!J:L,MATCH(DATA!D1031,'OSA | 3GB'!J:J,0),3),0)</f>
        <v>8000000</v>
      </c>
      <c r="H1031" s="32" t="str">
        <f>_xlfn.IFNA(INDEX('OSA | 3GB'!A:C,MATCH(DATA!D1031,'OSA | 3GB'!A:A,0),2),0)</f>
        <v xml:space="preserve"> -   </v>
      </c>
      <c r="I1031" s="33">
        <f>_xlfn.IFNA(INDEX('OSA | 3GB'!A:C,MATCH(DATA!D1031,'OSA | 3GB'!A:A,0),3),0)</f>
        <v>5100000</v>
      </c>
      <c r="J1031" s="33">
        <f>INDEX('BIO WAHYU'!B:G,MATCH(DATA!D1031,'BIO WAHYU'!B:B,0),5)</f>
        <v>2</v>
      </c>
      <c r="K1031" s="34">
        <f>INDEX('BIO WAHYU'!B:G,MATCH(DATA!D1031,'BIO WAHYU'!B:B,0),6)</f>
        <v>3</v>
      </c>
      <c r="L1031" s="35">
        <f>INDEX('BIO WAHYU'!B:H,MATCH(DATA!D1031,'BIO WAHYU'!B:B,0),7)</f>
        <v>1</v>
      </c>
      <c r="M1031" s="34">
        <f>INDEX('BIO WAHYU'!B:H,MATCH(DATA!D1031,'BIO WAHYU'!B:B,0),4)</f>
        <v>0</v>
      </c>
    </row>
    <row r="1032" spans="1:13">
      <c r="A1032" s="43" t="s">
        <v>1671</v>
      </c>
      <c r="B1032" s="43">
        <v>2613050885</v>
      </c>
      <c r="C1032" s="43" t="s">
        <v>1466</v>
      </c>
      <c r="D1032" s="10">
        <v>523919</v>
      </c>
      <c r="E1032" s="43" t="s">
        <v>15</v>
      </c>
      <c r="F1032" s="8">
        <f>_xlfn.IFNA(INDEX('OSA | 3GB'!J:L,MATCH(DATA!D1032,'OSA | 3GB'!J:J,0),2),0)</f>
        <v>10</v>
      </c>
      <c r="G1032" s="8">
        <f>_xlfn.IFNA(INDEX('OSA | 3GB'!J:L,MATCH(DATA!D1032,'OSA | 3GB'!J:J,0),3),0)</f>
        <v>12180000</v>
      </c>
      <c r="H1032" s="32">
        <f>_xlfn.IFNA(INDEX('OSA | 3GB'!A:C,MATCH(DATA!D1032,'OSA | 3GB'!A:A,0),2),0)</f>
        <v>3</v>
      </c>
      <c r="I1032" s="33" t="str">
        <f>_xlfn.IFNA(INDEX('OSA | 3GB'!A:C,MATCH(DATA!D1032,'OSA | 3GB'!A:A,0),3),0)</f>
        <v xml:space="preserve"> -   </v>
      </c>
      <c r="J1032" s="33">
        <f>INDEX('BIO WAHYU'!B:G,MATCH(DATA!D1032,'BIO WAHYU'!B:B,0),5)</f>
        <v>4</v>
      </c>
      <c r="K1032" s="34">
        <f>INDEX('BIO WAHYU'!B:G,MATCH(DATA!D1032,'BIO WAHYU'!B:B,0),6)</f>
        <v>4</v>
      </c>
      <c r="L1032" s="35">
        <f>INDEX('BIO WAHYU'!B:H,MATCH(DATA!D1032,'BIO WAHYU'!B:B,0),7)</f>
        <v>0</v>
      </c>
      <c r="M1032" s="34">
        <f>INDEX('BIO WAHYU'!B:H,MATCH(DATA!D1032,'BIO WAHYU'!B:B,0),4)</f>
        <v>0</v>
      </c>
    </row>
    <row r="1033" spans="1:13">
      <c r="A1033" s="43" t="s">
        <v>1673</v>
      </c>
      <c r="B1033" s="43" t="s">
        <v>143</v>
      </c>
      <c r="C1033" s="43" t="s">
        <v>255</v>
      </c>
      <c r="D1033" s="10">
        <v>3135</v>
      </c>
      <c r="E1033" s="43" t="s">
        <v>10</v>
      </c>
      <c r="F1033" s="8">
        <f>_xlfn.IFNA(INDEX('OSA | 3GB'!J:L,MATCH(DATA!D1033,'OSA | 3GB'!J:J,0),2),0)</f>
        <v>3</v>
      </c>
      <c r="G1033" s="8">
        <f>_xlfn.IFNA(INDEX('OSA | 3GB'!J:L,MATCH(DATA!D1033,'OSA | 3GB'!J:J,0),3),0)</f>
        <v>128000000</v>
      </c>
      <c r="H1033" s="32" t="str">
        <f>_xlfn.IFNA(INDEX('OSA | 3GB'!A:C,MATCH(DATA!D1033,'OSA | 3GB'!A:A,0),2),0)</f>
        <v xml:space="preserve"> -   </v>
      </c>
      <c r="I1033" s="33">
        <f>_xlfn.IFNA(INDEX('OSA | 3GB'!A:C,MATCH(DATA!D1033,'OSA | 3GB'!A:A,0),3),0)</f>
        <v>44500000</v>
      </c>
      <c r="J1033" s="33">
        <f>INDEX('BIO WAHYU'!B:G,MATCH(DATA!D1033,'BIO WAHYU'!B:B,0),5)</f>
        <v>2</v>
      </c>
      <c r="K1033" s="34">
        <f>INDEX('BIO WAHYU'!B:G,MATCH(DATA!D1033,'BIO WAHYU'!B:B,0),6)</f>
        <v>0</v>
      </c>
      <c r="L1033" s="35">
        <f>INDEX('BIO WAHYU'!B:H,MATCH(DATA!D1033,'BIO WAHYU'!B:B,0),7)</f>
        <v>0</v>
      </c>
      <c r="M1033" s="34">
        <f>INDEX('BIO WAHYU'!B:H,MATCH(DATA!D1033,'BIO WAHYU'!B:B,0),4)</f>
        <v>0</v>
      </c>
    </row>
    <row r="1034" spans="1:13">
      <c r="A1034" s="43" t="s">
        <v>1</v>
      </c>
      <c r="B1034" s="43" t="s">
        <v>4</v>
      </c>
      <c r="C1034" s="43" t="s">
        <v>47</v>
      </c>
      <c r="D1034" s="10">
        <v>12323463</v>
      </c>
      <c r="E1034" s="43" t="s">
        <v>10</v>
      </c>
      <c r="F1034" s="8">
        <f>_xlfn.IFNA(INDEX('OSA | 3GB'!J:L,MATCH(DATA!D1034,'OSA | 3GB'!J:J,0),2),0)</f>
        <v>38</v>
      </c>
      <c r="G1034" s="8">
        <f>_xlfn.IFNA(INDEX('OSA | 3GB'!J:L,MATCH(DATA!D1034,'OSA | 3GB'!J:J,0),3),0)</f>
        <v>7489500</v>
      </c>
      <c r="H1034" s="32">
        <f>_xlfn.IFNA(INDEX('OSA | 3GB'!A:C,MATCH(DATA!D1034,'OSA | 3GB'!A:A,0),2),0)</f>
        <v>13</v>
      </c>
      <c r="I1034" s="33">
        <f>_xlfn.IFNA(INDEX('OSA | 3GB'!A:C,MATCH(DATA!D1034,'OSA | 3GB'!A:A,0),3),0)</f>
        <v>804000</v>
      </c>
      <c r="J1034" s="33">
        <f>INDEX('BIO WAHYU'!B:G,MATCH(DATA!D1034,'BIO WAHYU'!B:B,0),5)</f>
        <v>76</v>
      </c>
      <c r="K1034" s="34">
        <f>INDEX('BIO WAHYU'!B:G,MATCH(DATA!D1034,'BIO WAHYU'!B:B,0),6)</f>
        <v>15</v>
      </c>
      <c r="L1034" s="35">
        <f>INDEX('BIO WAHYU'!B:H,MATCH(DATA!D1034,'BIO WAHYU'!B:B,0),7)</f>
        <v>0</v>
      </c>
      <c r="M1034" s="34">
        <f>INDEX('BIO WAHYU'!B:H,MATCH(DATA!D1034,'BIO WAHYU'!B:B,0),4)</f>
        <v>0</v>
      </c>
    </row>
    <row r="1035" spans="1:13">
      <c r="A1035" s="43" t="s">
        <v>1675</v>
      </c>
      <c r="B1035" s="43">
        <v>2613051451</v>
      </c>
      <c r="C1035" s="43" t="s">
        <v>377</v>
      </c>
      <c r="D1035" s="10">
        <v>12300575</v>
      </c>
      <c r="E1035" s="43" t="s">
        <v>10</v>
      </c>
      <c r="F1035" s="8">
        <f>_xlfn.IFNA(INDEX('OSA | 3GB'!J:L,MATCH(DATA!D1035,'OSA | 3GB'!J:J,0),2),0)</f>
        <v>0</v>
      </c>
      <c r="G1035" s="8">
        <f>_xlfn.IFNA(INDEX('OSA | 3GB'!J:L,MATCH(DATA!D1035,'OSA | 3GB'!J:J,0),3),0)</f>
        <v>0</v>
      </c>
      <c r="H1035" s="32" t="str">
        <f>_xlfn.IFNA(INDEX('OSA | 3GB'!A:C,MATCH(DATA!D1035,'OSA | 3GB'!A:A,0),2),0)</f>
        <v xml:space="preserve"> -   </v>
      </c>
      <c r="I1035" s="33" t="str">
        <f>_xlfn.IFNA(INDEX('OSA | 3GB'!A:C,MATCH(DATA!D1035,'OSA | 3GB'!A:A,0),3),0)</f>
        <v xml:space="preserve"> -   </v>
      </c>
      <c r="J1035" s="33">
        <f>INDEX('BIO WAHYU'!B:G,MATCH(DATA!D1035,'BIO WAHYU'!B:B,0),5)</f>
        <v>0</v>
      </c>
      <c r="K1035" s="34">
        <f>INDEX('BIO WAHYU'!B:G,MATCH(DATA!D1035,'BIO WAHYU'!B:B,0),6)</f>
        <v>0</v>
      </c>
      <c r="L1035" s="35">
        <f>INDEX('BIO WAHYU'!B:H,MATCH(DATA!D1035,'BIO WAHYU'!B:B,0),7)</f>
        <v>0</v>
      </c>
      <c r="M1035" s="34">
        <f>INDEX('BIO WAHYU'!B:H,MATCH(DATA!D1035,'BIO WAHYU'!B:B,0),4)</f>
        <v>0</v>
      </c>
    </row>
    <row r="1036" spans="1:13">
      <c r="A1036" s="43" t="s">
        <v>1</v>
      </c>
      <c r="B1036" s="43" t="s">
        <v>3</v>
      </c>
      <c r="C1036" s="43" t="s">
        <v>32</v>
      </c>
      <c r="D1036" s="10">
        <v>524281</v>
      </c>
      <c r="E1036" s="43" t="s">
        <v>10</v>
      </c>
      <c r="F1036" s="8">
        <f>_xlfn.IFNA(INDEX('OSA | 3GB'!J:L,MATCH(DATA!D1036,'OSA | 3GB'!J:J,0),2),0)</f>
        <v>0</v>
      </c>
      <c r="G1036" s="8">
        <f>_xlfn.IFNA(INDEX('OSA | 3GB'!J:L,MATCH(DATA!D1036,'OSA | 3GB'!J:J,0),3),0)</f>
        <v>300000</v>
      </c>
      <c r="H1036" s="32" t="str">
        <f>_xlfn.IFNA(INDEX('OSA | 3GB'!A:C,MATCH(DATA!D1036,'OSA | 3GB'!A:A,0),2),0)</f>
        <v xml:space="preserve"> -   </v>
      </c>
      <c r="I1036" s="33" t="str">
        <f>_xlfn.IFNA(INDEX('OSA | 3GB'!A:C,MATCH(DATA!D1036,'OSA | 3GB'!A:A,0),3),0)</f>
        <v xml:space="preserve"> -   </v>
      </c>
      <c r="J1036" s="33">
        <f>INDEX('BIO WAHYU'!B:G,MATCH(DATA!D1036,'BIO WAHYU'!B:B,0),5)</f>
        <v>0</v>
      </c>
      <c r="K1036" s="34">
        <f>INDEX('BIO WAHYU'!B:G,MATCH(DATA!D1036,'BIO WAHYU'!B:B,0),6)</f>
        <v>1</v>
      </c>
      <c r="L1036" s="35">
        <f>INDEX('BIO WAHYU'!B:H,MATCH(DATA!D1036,'BIO WAHYU'!B:B,0),7)</f>
        <v>1</v>
      </c>
      <c r="M1036" s="34">
        <f>INDEX('BIO WAHYU'!B:H,MATCH(DATA!D1036,'BIO WAHYU'!B:B,0),4)</f>
        <v>0</v>
      </c>
    </row>
    <row r="1037" spans="1:13">
      <c r="A1037" s="43" t="s">
        <v>1672</v>
      </c>
      <c r="B1037" s="43" t="s">
        <v>157</v>
      </c>
      <c r="C1037" s="43" t="s">
        <v>716</v>
      </c>
      <c r="D1037" s="10">
        <v>67028</v>
      </c>
      <c r="E1037" s="43" t="s">
        <v>10</v>
      </c>
      <c r="F1037" s="8">
        <f>_xlfn.IFNA(INDEX('OSA | 3GB'!J:L,MATCH(DATA!D1037,'OSA | 3GB'!J:J,0),2),0)</f>
        <v>14</v>
      </c>
      <c r="G1037" s="8">
        <f>_xlfn.IFNA(INDEX('OSA | 3GB'!J:L,MATCH(DATA!D1037,'OSA | 3GB'!J:J,0),3),0)</f>
        <v>129000</v>
      </c>
      <c r="H1037" s="32">
        <f>_xlfn.IFNA(INDEX('OSA | 3GB'!A:C,MATCH(DATA!D1037,'OSA | 3GB'!A:A,0),2),0)</f>
        <v>7</v>
      </c>
      <c r="I1037" s="33">
        <f>_xlfn.IFNA(INDEX('OSA | 3GB'!A:C,MATCH(DATA!D1037,'OSA | 3GB'!A:A,0),3),0)</f>
        <v>703000</v>
      </c>
      <c r="J1037" s="33">
        <f>INDEX('BIO WAHYU'!B:G,MATCH(DATA!D1037,'BIO WAHYU'!B:B,0),5)</f>
        <v>5</v>
      </c>
      <c r="K1037" s="34">
        <f>INDEX('BIO WAHYU'!B:G,MATCH(DATA!D1037,'BIO WAHYU'!B:B,0),6)</f>
        <v>3</v>
      </c>
      <c r="L1037" s="35">
        <f>INDEX('BIO WAHYU'!B:H,MATCH(DATA!D1037,'BIO WAHYU'!B:B,0),7)</f>
        <v>0</v>
      </c>
      <c r="M1037" s="34">
        <f>INDEX('BIO WAHYU'!B:H,MATCH(DATA!D1037,'BIO WAHYU'!B:B,0),4)</f>
        <v>0</v>
      </c>
    </row>
    <row r="1038" spans="1:13">
      <c r="A1038" s="43" t="s">
        <v>1672</v>
      </c>
      <c r="B1038" s="43" t="s">
        <v>150</v>
      </c>
      <c r="C1038" s="43" t="s">
        <v>820</v>
      </c>
      <c r="D1038" s="10">
        <v>270056</v>
      </c>
      <c r="E1038" s="43" t="s">
        <v>10</v>
      </c>
      <c r="F1038" s="8">
        <f>_xlfn.IFNA(INDEX('OSA | 3GB'!J:L,MATCH(DATA!D1038,'OSA | 3GB'!J:J,0),2),0)</f>
        <v>4</v>
      </c>
      <c r="G1038" s="8">
        <f>_xlfn.IFNA(INDEX('OSA | 3GB'!J:L,MATCH(DATA!D1038,'OSA | 3GB'!J:J,0),3),0)</f>
        <v>9500000</v>
      </c>
      <c r="H1038" s="32" t="str">
        <f>_xlfn.IFNA(INDEX('OSA | 3GB'!A:C,MATCH(DATA!D1038,'OSA | 3GB'!A:A,0),2),0)</f>
        <v xml:space="preserve"> -   </v>
      </c>
      <c r="I1038" s="33">
        <f>_xlfn.IFNA(INDEX('OSA | 3GB'!A:C,MATCH(DATA!D1038,'OSA | 3GB'!A:A,0),3),0)</f>
        <v>2000000</v>
      </c>
      <c r="J1038" s="33">
        <f>INDEX('BIO WAHYU'!B:G,MATCH(DATA!D1038,'BIO WAHYU'!B:B,0),5)</f>
        <v>3</v>
      </c>
      <c r="K1038" s="34">
        <f>INDEX('BIO WAHYU'!B:G,MATCH(DATA!D1038,'BIO WAHYU'!B:B,0),6)</f>
        <v>2</v>
      </c>
      <c r="L1038" s="35">
        <f>INDEX('BIO WAHYU'!B:H,MATCH(DATA!D1038,'BIO WAHYU'!B:B,0),7)</f>
        <v>0</v>
      </c>
      <c r="M1038" s="34">
        <f>INDEX('BIO WAHYU'!B:H,MATCH(DATA!D1038,'BIO WAHYU'!B:B,0),4)</f>
        <v>0</v>
      </c>
    </row>
    <row r="1039" spans="1:13">
      <c r="A1039" s="43" t="s">
        <v>1675</v>
      </c>
      <c r="B1039" s="43">
        <v>2613051043</v>
      </c>
      <c r="C1039" s="43" t="s">
        <v>439</v>
      </c>
      <c r="D1039" s="10">
        <v>12296815</v>
      </c>
      <c r="E1039" s="43" t="s">
        <v>15</v>
      </c>
      <c r="F1039" s="8">
        <f>_xlfn.IFNA(INDEX('OSA | 3GB'!J:L,MATCH(DATA!D1039,'OSA | 3GB'!J:J,0),2),0)</f>
        <v>0</v>
      </c>
      <c r="G1039" s="8">
        <f>_xlfn.IFNA(INDEX('OSA | 3GB'!J:L,MATCH(DATA!D1039,'OSA | 3GB'!J:J,0),3),0)</f>
        <v>1573000</v>
      </c>
      <c r="H1039" s="32" t="str">
        <f>_xlfn.IFNA(INDEX('OSA | 3GB'!A:C,MATCH(DATA!D1039,'OSA | 3GB'!A:A,0),2),0)</f>
        <v xml:space="preserve"> -   </v>
      </c>
      <c r="I1039" s="33" t="str">
        <f>_xlfn.IFNA(INDEX('OSA | 3GB'!A:C,MATCH(DATA!D1039,'OSA | 3GB'!A:A,0),3),0)</f>
        <v xml:space="preserve"> -   </v>
      </c>
      <c r="J1039" s="33">
        <f>INDEX('BIO WAHYU'!B:G,MATCH(DATA!D1039,'BIO WAHYU'!B:B,0),5)</f>
        <v>1</v>
      </c>
      <c r="K1039" s="34">
        <f>INDEX('BIO WAHYU'!B:G,MATCH(DATA!D1039,'BIO WAHYU'!B:B,0),6)</f>
        <v>0</v>
      </c>
      <c r="L1039" s="35">
        <f>INDEX('BIO WAHYU'!B:H,MATCH(DATA!D1039,'BIO WAHYU'!B:B,0),7)</f>
        <v>0</v>
      </c>
      <c r="M1039" s="34">
        <f>INDEX('BIO WAHYU'!B:H,MATCH(DATA!D1039,'BIO WAHYU'!B:B,0),4)</f>
        <v>0</v>
      </c>
    </row>
    <row r="1040" spans="1:13">
      <c r="A1040" s="43" t="s">
        <v>1670</v>
      </c>
      <c r="B1040" s="43">
        <v>2613052584</v>
      </c>
      <c r="C1040" s="43" t="s">
        <v>564</v>
      </c>
      <c r="D1040" s="10">
        <v>305020</v>
      </c>
      <c r="E1040" s="43" t="s">
        <v>10</v>
      </c>
      <c r="F1040" s="8">
        <f>_xlfn.IFNA(INDEX('OSA | 3GB'!J:L,MATCH(DATA!D1040,'OSA | 3GB'!J:J,0),2),0)</f>
        <v>3</v>
      </c>
      <c r="G1040" s="8">
        <f>_xlfn.IFNA(INDEX('OSA | 3GB'!J:L,MATCH(DATA!D1040,'OSA | 3GB'!J:J,0),3),0)</f>
        <v>1200000</v>
      </c>
      <c r="H1040" s="32" t="str">
        <f>_xlfn.IFNA(INDEX('OSA | 3GB'!A:C,MATCH(DATA!D1040,'OSA | 3GB'!A:A,0),2),0)</f>
        <v xml:space="preserve"> -   </v>
      </c>
      <c r="I1040" s="33">
        <f>_xlfn.IFNA(INDEX('OSA | 3GB'!A:C,MATCH(DATA!D1040,'OSA | 3GB'!A:A,0),3),0)</f>
        <v>200000</v>
      </c>
      <c r="J1040" s="33">
        <f>INDEX('BIO WAHYU'!B:G,MATCH(DATA!D1040,'BIO WAHYU'!B:B,0),5)</f>
        <v>0</v>
      </c>
      <c r="K1040" s="34">
        <f>INDEX('BIO WAHYU'!B:G,MATCH(DATA!D1040,'BIO WAHYU'!B:B,0),6)</f>
        <v>0</v>
      </c>
      <c r="L1040" s="35">
        <f>INDEX('BIO WAHYU'!B:H,MATCH(DATA!D1040,'BIO WAHYU'!B:B,0),7)</f>
        <v>0</v>
      </c>
      <c r="M1040" s="34">
        <f>INDEX('BIO WAHYU'!B:H,MATCH(DATA!D1040,'BIO WAHYU'!B:B,0),4)</f>
        <v>0</v>
      </c>
    </row>
    <row r="1041" spans="1:13">
      <c r="A1041" s="43" t="s">
        <v>1670</v>
      </c>
      <c r="B1041" s="43" t="s">
        <v>145</v>
      </c>
      <c r="C1041" s="43" t="s">
        <v>519</v>
      </c>
      <c r="D1041" s="10">
        <v>556459</v>
      </c>
      <c r="E1041" s="43" t="s">
        <v>10</v>
      </c>
      <c r="F1041" s="8">
        <f>_xlfn.IFNA(INDEX('OSA | 3GB'!J:L,MATCH(DATA!D1041,'OSA | 3GB'!J:J,0),2),0)</f>
        <v>9</v>
      </c>
      <c r="G1041" s="8">
        <f>_xlfn.IFNA(INDEX('OSA | 3GB'!J:L,MATCH(DATA!D1041,'OSA | 3GB'!J:J,0),3),0)</f>
        <v>2900000</v>
      </c>
      <c r="H1041" s="32" t="str">
        <f>_xlfn.IFNA(INDEX('OSA | 3GB'!A:C,MATCH(DATA!D1041,'OSA | 3GB'!A:A,0),2),0)</f>
        <v xml:space="preserve"> -   </v>
      </c>
      <c r="I1041" s="33">
        <f>_xlfn.IFNA(INDEX('OSA | 3GB'!A:C,MATCH(DATA!D1041,'OSA | 3GB'!A:A,0),3),0)</f>
        <v>2500000</v>
      </c>
      <c r="J1041" s="33">
        <f>INDEX('BIO WAHYU'!B:G,MATCH(DATA!D1041,'BIO WAHYU'!B:B,0),5)</f>
        <v>3</v>
      </c>
      <c r="K1041" s="34">
        <f>INDEX('BIO WAHYU'!B:G,MATCH(DATA!D1041,'BIO WAHYU'!B:B,0),6)</f>
        <v>2</v>
      </c>
      <c r="L1041" s="35">
        <f>INDEX('BIO WAHYU'!B:H,MATCH(DATA!D1041,'BIO WAHYU'!B:B,0),7)</f>
        <v>0</v>
      </c>
      <c r="M1041" s="34">
        <f>INDEX('BIO WAHYU'!B:H,MATCH(DATA!D1041,'BIO WAHYU'!B:B,0),4)</f>
        <v>0</v>
      </c>
    </row>
    <row r="1042" spans="1:13">
      <c r="A1042" s="43" t="s">
        <v>1674</v>
      </c>
      <c r="B1042" s="43" t="s">
        <v>147</v>
      </c>
      <c r="C1042" s="43" t="s">
        <v>619</v>
      </c>
      <c r="D1042" s="10">
        <v>62130</v>
      </c>
      <c r="E1042" s="43" t="s">
        <v>10</v>
      </c>
      <c r="F1042" s="8">
        <f>_xlfn.IFNA(INDEX('OSA | 3GB'!J:L,MATCH(DATA!D1042,'OSA | 3GB'!J:J,0),2),0)</f>
        <v>1</v>
      </c>
      <c r="G1042" s="8">
        <f>_xlfn.IFNA(INDEX('OSA | 3GB'!J:L,MATCH(DATA!D1042,'OSA | 3GB'!J:J,0),3),0)</f>
        <v>2200000</v>
      </c>
      <c r="H1042" s="32" t="str">
        <f>_xlfn.IFNA(INDEX('OSA | 3GB'!A:C,MATCH(DATA!D1042,'OSA | 3GB'!A:A,0),2),0)</f>
        <v xml:space="preserve"> -   </v>
      </c>
      <c r="I1042" s="33">
        <f>_xlfn.IFNA(INDEX('OSA | 3GB'!A:C,MATCH(DATA!D1042,'OSA | 3GB'!A:A,0),3),0)</f>
        <v>1500000</v>
      </c>
      <c r="J1042" s="33">
        <f>INDEX('BIO WAHYU'!B:G,MATCH(DATA!D1042,'BIO WAHYU'!B:B,0),5)</f>
        <v>3</v>
      </c>
      <c r="K1042" s="34">
        <f>INDEX('BIO WAHYU'!B:G,MATCH(DATA!D1042,'BIO WAHYU'!B:B,0),6)</f>
        <v>1</v>
      </c>
      <c r="L1042" s="35">
        <f>INDEX('BIO WAHYU'!B:H,MATCH(DATA!D1042,'BIO WAHYU'!B:B,0),7)</f>
        <v>0</v>
      </c>
      <c r="M1042" s="34">
        <f>INDEX('BIO WAHYU'!B:H,MATCH(DATA!D1042,'BIO WAHYU'!B:B,0),4)</f>
        <v>0</v>
      </c>
    </row>
    <row r="1043" spans="1:13">
      <c r="A1043" s="43" t="s">
        <v>1673</v>
      </c>
      <c r="B1043" s="43" t="s">
        <v>144</v>
      </c>
      <c r="C1043" s="43" t="s">
        <v>1467</v>
      </c>
      <c r="D1043" s="10">
        <v>579337</v>
      </c>
      <c r="E1043" s="43" t="s">
        <v>10</v>
      </c>
      <c r="F1043" s="8">
        <f>_xlfn.IFNA(INDEX('OSA | 3GB'!J:L,MATCH(DATA!D1043,'OSA | 3GB'!J:J,0),2),0)</f>
        <v>11</v>
      </c>
      <c r="G1043" s="8">
        <f>_xlfn.IFNA(INDEX('OSA | 3GB'!J:L,MATCH(DATA!D1043,'OSA | 3GB'!J:J,0),3),0)</f>
        <v>3002000</v>
      </c>
      <c r="H1043" s="32">
        <f>_xlfn.IFNA(INDEX('OSA | 3GB'!A:C,MATCH(DATA!D1043,'OSA | 3GB'!A:A,0),2),0)</f>
        <v>1</v>
      </c>
      <c r="I1043" s="33">
        <f>_xlfn.IFNA(INDEX('OSA | 3GB'!A:C,MATCH(DATA!D1043,'OSA | 3GB'!A:A,0),3),0)</f>
        <v>929000</v>
      </c>
      <c r="J1043" s="33">
        <f>INDEX('BIO WAHYU'!B:G,MATCH(DATA!D1043,'BIO WAHYU'!B:B,0),5)</f>
        <v>5</v>
      </c>
      <c r="K1043" s="34">
        <f>INDEX('BIO WAHYU'!B:G,MATCH(DATA!D1043,'BIO WAHYU'!B:B,0),6)</f>
        <v>3</v>
      </c>
      <c r="L1043" s="35">
        <f>INDEX('BIO WAHYU'!B:H,MATCH(DATA!D1043,'BIO WAHYU'!B:B,0),7)</f>
        <v>0</v>
      </c>
      <c r="M1043" s="34">
        <f>INDEX('BIO WAHYU'!B:H,MATCH(DATA!D1043,'BIO WAHYU'!B:B,0),4)</f>
        <v>0</v>
      </c>
    </row>
    <row r="1044" spans="1:13">
      <c r="A1044" s="43" t="s">
        <v>1672</v>
      </c>
      <c r="B1044" s="43">
        <v>2613051475</v>
      </c>
      <c r="C1044" s="43" t="s">
        <v>898</v>
      </c>
      <c r="D1044" s="10">
        <v>328295</v>
      </c>
      <c r="E1044" s="43" t="s">
        <v>10</v>
      </c>
      <c r="F1044" s="8">
        <f>_xlfn.IFNA(INDEX('OSA | 3GB'!J:L,MATCH(DATA!D1044,'OSA | 3GB'!J:J,0),2),0)</f>
        <v>3</v>
      </c>
      <c r="G1044" s="8">
        <f>_xlfn.IFNA(INDEX('OSA | 3GB'!J:L,MATCH(DATA!D1044,'OSA | 3GB'!J:J,0),3),0)</f>
        <v>1150000</v>
      </c>
      <c r="H1044" s="32" t="str">
        <f>_xlfn.IFNA(INDEX('OSA | 3GB'!A:C,MATCH(DATA!D1044,'OSA | 3GB'!A:A,0),2),0)</f>
        <v xml:space="preserve"> -   </v>
      </c>
      <c r="I1044" s="33">
        <f>_xlfn.IFNA(INDEX('OSA | 3GB'!A:C,MATCH(DATA!D1044,'OSA | 3GB'!A:A,0),3),0)</f>
        <v>1400000</v>
      </c>
      <c r="J1044" s="33">
        <f>INDEX('BIO WAHYU'!B:G,MATCH(DATA!D1044,'BIO WAHYU'!B:B,0),5)</f>
        <v>2</v>
      </c>
      <c r="K1044" s="34">
        <f>INDEX('BIO WAHYU'!B:G,MATCH(DATA!D1044,'BIO WAHYU'!B:B,0),6)</f>
        <v>1</v>
      </c>
      <c r="L1044" s="35">
        <f>INDEX('BIO WAHYU'!B:H,MATCH(DATA!D1044,'BIO WAHYU'!B:B,0),7)</f>
        <v>0</v>
      </c>
      <c r="M1044" s="34">
        <f>INDEX('BIO WAHYU'!B:H,MATCH(DATA!D1044,'BIO WAHYU'!B:B,0),4)</f>
        <v>0</v>
      </c>
    </row>
    <row r="1045" spans="1:13">
      <c r="A1045" s="43" t="s">
        <v>1673</v>
      </c>
      <c r="B1045" s="43" t="s">
        <v>141</v>
      </c>
      <c r="C1045" s="43" t="s">
        <v>1468</v>
      </c>
      <c r="D1045" s="10">
        <v>12299382</v>
      </c>
      <c r="E1045" s="43" t="s">
        <v>10</v>
      </c>
      <c r="F1045" s="8">
        <f>_xlfn.IFNA(INDEX('OSA | 3GB'!J:L,MATCH(DATA!D1045,'OSA | 3GB'!J:J,0),2),0)</f>
        <v>3</v>
      </c>
      <c r="G1045" s="8">
        <f>_xlfn.IFNA(INDEX('OSA | 3GB'!J:L,MATCH(DATA!D1045,'OSA | 3GB'!J:J,0),3),0)</f>
        <v>50000</v>
      </c>
      <c r="H1045" s="32" t="str">
        <f>_xlfn.IFNA(INDEX('OSA | 3GB'!A:C,MATCH(DATA!D1045,'OSA | 3GB'!A:A,0),2),0)</f>
        <v xml:space="preserve"> -   </v>
      </c>
      <c r="I1045" s="33">
        <f>_xlfn.IFNA(INDEX('OSA | 3GB'!A:C,MATCH(DATA!D1045,'OSA | 3GB'!A:A,0),3),0)</f>
        <v>50000</v>
      </c>
      <c r="J1045" s="33">
        <f>INDEX('BIO WAHYU'!B:G,MATCH(DATA!D1045,'BIO WAHYU'!B:B,0),5)</f>
        <v>8</v>
      </c>
      <c r="K1045" s="34">
        <f>INDEX('BIO WAHYU'!B:G,MATCH(DATA!D1045,'BIO WAHYU'!B:B,0),6)</f>
        <v>0</v>
      </c>
      <c r="L1045" s="35">
        <f>INDEX('BIO WAHYU'!B:H,MATCH(DATA!D1045,'BIO WAHYU'!B:B,0),7)</f>
        <v>0</v>
      </c>
      <c r="M1045" s="34">
        <f>INDEX('BIO WAHYU'!B:H,MATCH(DATA!D1045,'BIO WAHYU'!B:B,0),4)</f>
        <v>0</v>
      </c>
    </row>
    <row r="1046" spans="1:13">
      <c r="A1046" s="43" t="s">
        <v>1674</v>
      </c>
      <c r="B1046" s="43" t="s">
        <v>148</v>
      </c>
      <c r="C1046" s="43" t="s">
        <v>1134</v>
      </c>
      <c r="D1046" s="10">
        <v>243187</v>
      </c>
      <c r="E1046" s="43" t="s">
        <v>10</v>
      </c>
      <c r="F1046" s="8">
        <f>_xlfn.IFNA(INDEX('OSA | 3GB'!J:L,MATCH(DATA!D1046,'OSA | 3GB'!J:J,0),2),0)</f>
        <v>3</v>
      </c>
      <c r="G1046" s="8">
        <f>_xlfn.IFNA(INDEX('OSA | 3GB'!J:L,MATCH(DATA!D1046,'OSA | 3GB'!J:J,0),3),0)</f>
        <v>1087000</v>
      </c>
      <c r="H1046" s="32" t="str">
        <f>_xlfn.IFNA(INDEX('OSA | 3GB'!A:C,MATCH(DATA!D1046,'OSA | 3GB'!A:A,0),2),0)</f>
        <v xml:space="preserve"> -   </v>
      </c>
      <c r="I1046" s="33" t="str">
        <f>_xlfn.IFNA(INDEX('OSA | 3GB'!A:C,MATCH(DATA!D1046,'OSA | 3GB'!A:A,0),3),0)</f>
        <v xml:space="preserve"> -   </v>
      </c>
      <c r="J1046" s="33">
        <f>INDEX('BIO WAHYU'!B:G,MATCH(DATA!D1046,'BIO WAHYU'!B:B,0),5)</f>
        <v>1</v>
      </c>
      <c r="K1046" s="34">
        <f>INDEX('BIO WAHYU'!B:G,MATCH(DATA!D1046,'BIO WAHYU'!B:B,0),6)</f>
        <v>1</v>
      </c>
      <c r="L1046" s="35">
        <f>INDEX('BIO WAHYU'!B:H,MATCH(DATA!D1046,'BIO WAHYU'!B:B,0),7)</f>
        <v>0</v>
      </c>
      <c r="M1046" s="34">
        <f>INDEX('BIO WAHYU'!B:H,MATCH(DATA!D1046,'BIO WAHYU'!B:B,0),4)</f>
        <v>0</v>
      </c>
    </row>
    <row r="1047" spans="1:13">
      <c r="A1047" s="43" t="s">
        <v>1671</v>
      </c>
      <c r="B1047" s="43">
        <v>2613050886</v>
      </c>
      <c r="C1047" s="43" t="s">
        <v>338</v>
      </c>
      <c r="D1047" s="10">
        <v>562457</v>
      </c>
      <c r="E1047" s="43" t="s">
        <v>15</v>
      </c>
      <c r="F1047" s="8">
        <f>_xlfn.IFNA(INDEX('OSA | 3GB'!J:L,MATCH(DATA!D1047,'OSA | 3GB'!J:J,0),2),0)</f>
        <v>3</v>
      </c>
      <c r="G1047" s="8">
        <f>_xlfn.IFNA(INDEX('OSA | 3GB'!J:L,MATCH(DATA!D1047,'OSA | 3GB'!J:J,0),3),0)</f>
        <v>2800000</v>
      </c>
      <c r="H1047" s="32" t="str">
        <f>_xlfn.IFNA(INDEX('OSA | 3GB'!A:C,MATCH(DATA!D1047,'OSA | 3GB'!A:A,0),2),0)</f>
        <v xml:space="preserve"> -   </v>
      </c>
      <c r="I1047" s="33">
        <f>_xlfn.IFNA(INDEX('OSA | 3GB'!A:C,MATCH(DATA!D1047,'OSA | 3GB'!A:A,0),3),0)</f>
        <v>1000000</v>
      </c>
      <c r="J1047" s="33">
        <f>INDEX('BIO WAHYU'!B:G,MATCH(DATA!D1047,'BIO WAHYU'!B:B,0),5)</f>
        <v>1</v>
      </c>
      <c r="K1047" s="34">
        <f>INDEX('BIO WAHYU'!B:G,MATCH(DATA!D1047,'BIO WAHYU'!B:B,0),6)</f>
        <v>0</v>
      </c>
      <c r="L1047" s="35">
        <f>INDEX('BIO WAHYU'!B:H,MATCH(DATA!D1047,'BIO WAHYU'!B:B,0),7)</f>
        <v>0</v>
      </c>
      <c r="M1047" s="34">
        <f>INDEX('BIO WAHYU'!B:H,MATCH(DATA!D1047,'BIO WAHYU'!B:B,0),4)</f>
        <v>0</v>
      </c>
    </row>
    <row r="1048" spans="1:13">
      <c r="A1048" s="43" t="s">
        <v>1</v>
      </c>
      <c r="B1048" s="43" t="s">
        <v>5</v>
      </c>
      <c r="C1048" s="43" t="s">
        <v>1106</v>
      </c>
      <c r="D1048" s="10">
        <v>12302808</v>
      </c>
      <c r="E1048" s="43" t="s">
        <v>15</v>
      </c>
      <c r="F1048" s="8">
        <f>_xlfn.IFNA(INDEX('OSA | 3GB'!J:L,MATCH(DATA!D1048,'OSA | 3GB'!J:J,0),2),0)</f>
        <v>0</v>
      </c>
      <c r="G1048" s="8">
        <f>_xlfn.IFNA(INDEX('OSA | 3GB'!J:L,MATCH(DATA!D1048,'OSA | 3GB'!J:J,0),3),0)</f>
        <v>0</v>
      </c>
      <c r="H1048" s="32" t="str">
        <f>_xlfn.IFNA(INDEX('OSA | 3GB'!A:C,MATCH(DATA!D1048,'OSA | 3GB'!A:A,0),2),0)</f>
        <v xml:space="preserve"> -   </v>
      </c>
      <c r="I1048" s="33" t="str">
        <f>_xlfn.IFNA(INDEX('OSA | 3GB'!A:C,MATCH(DATA!D1048,'OSA | 3GB'!A:A,0),3),0)</f>
        <v xml:space="preserve"> -   </v>
      </c>
      <c r="J1048" s="33">
        <f>INDEX('BIO WAHYU'!B:G,MATCH(DATA!D1048,'BIO WAHYU'!B:B,0),5)</f>
        <v>3</v>
      </c>
      <c r="K1048" s="34">
        <f>INDEX('BIO WAHYU'!B:G,MATCH(DATA!D1048,'BIO WAHYU'!B:B,0),6)</f>
        <v>0</v>
      </c>
      <c r="L1048" s="35">
        <f>INDEX('BIO WAHYU'!B:H,MATCH(DATA!D1048,'BIO WAHYU'!B:B,0),7)</f>
        <v>0</v>
      </c>
      <c r="M1048" s="34">
        <f>INDEX('BIO WAHYU'!B:H,MATCH(DATA!D1048,'BIO WAHYU'!B:B,0),4)</f>
        <v>0</v>
      </c>
    </row>
    <row r="1049" spans="1:13">
      <c r="A1049" s="43" t="s">
        <v>1</v>
      </c>
      <c r="B1049" s="43" t="s">
        <v>3</v>
      </c>
      <c r="C1049" s="43" t="s">
        <v>35</v>
      </c>
      <c r="D1049" s="10">
        <v>542823</v>
      </c>
      <c r="E1049" s="43" t="s">
        <v>15</v>
      </c>
      <c r="F1049" s="8">
        <f>_xlfn.IFNA(INDEX('OSA | 3GB'!J:L,MATCH(DATA!D1049,'OSA | 3GB'!J:J,0),2),0)</f>
        <v>6</v>
      </c>
      <c r="G1049" s="8">
        <f>_xlfn.IFNA(INDEX('OSA | 3GB'!J:L,MATCH(DATA!D1049,'OSA | 3GB'!J:J,0),3),0)</f>
        <v>800000</v>
      </c>
      <c r="H1049" s="32">
        <f>_xlfn.IFNA(INDEX('OSA | 3GB'!A:C,MATCH(DATA!D1049,'OSA | 3GB'!A:A,0),2),0)</f>
        <v>3</v>
      </c>
      <c r="I1049" s="33">
        <f>_xlfn.IFNA(INDEX('OSA | 3GB'!A:C,MATCH(DATA!D1049,'OSA | 3GB'!A:A,0),3),0)</f>
        <v>550000</v>
      </c>
      <c r="J1049" s="33">
        <f>INDEX('BIO WAHYU'!B:G,MATCH(DATA!D1049,'BIO WAHYU'!B:B,0),5)</f>
        <v>5</v>
      </c>
      <c r="K1049" s="34">
        <f>INDEX('BIO WAHYU'!B:G,MATCH(DATA!D1049,'BIO WAHYU'!B:B,0),6)</f>
        <v>3</v>
      </c>
      <c r="L1049" s="35">
        <f>INDEX('BIO WAHYU'!B:H,MATCH(DATA!D1049,'BIO WAHYU'!B:B,0),7)</f>
        <v>0</v>
      </c>
      <c r="M1049" s="34">
        <f>INDEX('BIO WAHYU'!B:H,MATCH(DATA!D1049,'BIO WAHYU'!B:B,0),4)</f>
        <v>0</v>
      </c>
    </row>
    <row r="1050" spans="1:13">
      <c r="A1050" s="43" t="s">
        <v>1674</v>
      </c>
      <c r="B1050" s="43" t="s">
        <v>153</v>
      </c>
      <c r="C1050" s="43" t="s">
        <v>1469</v>
      </c>
      <c r="D1050" s="10">
        <v>199253</v>
      </c>
      <c r="E1050" s="43" t="s">
        <v>10</v>
      </c>
      <c r="F1050" s="8">
        <f>_xlfn.IFNA(INDEX('OSA | 3GB'!J:L,MATCH(DATA!D1050,'OSA | 3GB'!J:J,0),2),0)</f>
        <v>3</v>
      </c>
      <c r="G1050" s="8">
        <f>_xlfn.IFNA(INDEX('OSA | 3GB'!J:L,MATCH(DATA!D1050,'OSA | 3GB'!J:J,0),3),0)</f>
        <v>1763000</v>
      </c>
      <c r="H1050" s="32" t="str">
        <f>_xlfn.IFNA(INDEX('OSA | 3GB'!A:C,MATCH(DATA!D1050,'OSA | 3GB'!A:A,0),2),0)</f>
        <v xml:space="preserve"> -   </v>
      </c>
      <c r="I1050" s="33">
        <f>_xlfn.IFNA(INDEX('OSA | 3GB'!A:C,MATCH(DATA!D1050,'OSA | 3GB'!A:A,0),3),0)</f>
        <v>400000</v>
      </c>
      <c r="J1050" s="33">
        <f>INDEX('BIO WAHYU'!B:G,MATCH(DATA!D1050,'BIO WAHYU'!B:B,0),5)</f>
        <v>3</v>
      </c>
      <c r="K1050" s="34">
        <f>INDEX('BIO WAHYU'!B:G,MATCH(DATA!D1050,'BIO WAHYU'!B:B,0),6)</f>
        <v>0</v>
      </c>
      <c r="L1050" s="35">
        <f>INDEX('BIO WAHYU'!B:H,MATCH(DATA!D1050,'BIO WAHYU'!B:B,0),7)</f>
        <v>0</v>
      </c>
      <c r="M1050" s="34">
        <f>INDEX('BIO WAHYU'!B:H,MATCH(DATA!D1050,'BIO WAHYU'!B:B,0),4)</f>
        <v>0</v>
      </c>
    </row>
    <row r="1051" spans="1:13">
      <c r="A1051" s="43" t="s">
        <v>1672</v>
      </c>
      <c r="B1051" s="43">
        <v>2613051475</v>
      </c>
      <c r="C1051" s="43" t="s">
        <v>905</v>
      </c>
      <c r="D1051" s="10">
        <v>476211</v>
      </c>
      <c r="E1051" s="43" t="s">
        <v>10</v>
      </c>
      <c r="F1051" s="8">
        <f>_xlfn.IFNA(INDEX('OSA | 3GB'!J:L,MATCH(DATA!D1051,'OSA | 3GB'!J:J,0),2),0)</f>
        <v>0</v>
      </c>
      <c r="G1051" s="8">
        <f>_xlfn.IFNA(INDEX('OSA | 3GB'!J:L,MATCH(DATA!D1051,'OSA | 3GB'!J:J,0),3),0)</f>
        <v>0</v>
      </c>
      <c r="H1051" s="32" t="str">
        <f>_xlfn.IFNA(INDEX('OSA | 3GB'!A:C,MATCH(DATA!D1051,'OSA | 3GB'!A:A,0),2),0)</f>
        <v xml:space="preserve"> -   </v>
      </c>
      <c r="I1051" s="33" t="str">
        <f>_xlfn.IFNA(INDEX('OSA | 3GB'!A:C,MATCH(DATA!D1051,'OSA | 3GB'!A:A,0),3),0)</f>
        <v xml:space="preserve"> -   </v>
      </c>
      <c r="J1051" s="33">
        <f>INDEX('BIO WAHYU'!B:G,MATCH(DATA!D1051,'BIO WAHYU'!B:B,0),5)</f>
        <v>0</v>
      </c>
      <c r="K1051" s="34">
        <f>INDEX('BIO WAHYU'!B:G,MATCH(DATA!D1051,'BIO WAHYU'!B:B,0),6)</f>
        <v>0</v>
      </c>
      <c r="L1051" s="35">
        <f>INDEX('BIO WAHYU'!B:H,MATCH(DATA!D1051,'BIO WAHYU'!B:B,0),7)</f>
        <v>0</v>
      </c>
      <c r="M1051" s="34">
        <f>INDEX('BIO WAHYU'!B:H,MATCH(DATA!D1051,'BIO WAHYU'!B:B,0),4)</f>
        <v>0</v>
      </c>
    </row>
    <row r="1052" spans="1:13">
      <c r="A1052" s="43" t="s">
        <v>1</v>
      </c>
      <c r="B1052" s="43" t="s">
        <v>4</v>
      </c>
      <c r="C1052" s="43" t="s">
        <v>64</v>
      </c>
      <c r="D1052" s="10">
        <v>530345</v>
      </c>
      <c r="E1052" s="43" t="s">
        <v>10</v>
      </c>
      <c r="F1052" s="8">
        <f>_xlfn.IFNA(INDEX('OSA | 3GB'!J:L,MATCH(DATA!D1052,'OSA | 3GB'!J:J,0),2),0)</f>
        <v>4</v>
      </c>
      <c r="G1052" s="8">
        <f>_xlfn.IFNA(INDEX('OSA | 3GB'!J:L,MATCH(DATA!D1052,'OSA | 3GB'!J:J,0),3),0)</f>
        <v>8000000</v>
      </c>
      <c r="H1052" s="32" t="str">
        <f>_xlfn.IFNA(INDEX('OSA | 3GB'!A:C,MATCH(DATA!D1052,'OSA | 3GB'!A:A,0),2),0)</f>
        <v xml:space="preserve"> -   </v>
      </c>
      <c r="I1052" s="33">
        <f>_xlfn.IFNA(INDEX('OSA | 3GB'!A:C,MATCH(DATA!D1052,'OSA | 3GB'!A:A,0),3),0)</f>
        <v>3000000</v>
      </c>
      <c r="J1052" s="33">
        <f>INDEX('BIO WAHYU'!B:G,MATCH(DATA!D1052,'BIO WAHYU'!B:B,0),5)</f>
        <v>2</v>
      </c>
      <c r="K1052" s="34">
        <f>INDEX('BIO WAHYU'!B:G,MATCH(DATA!D1052,'BIO WAHYU'!B:B,0),6)</f>
        <v>0</v>
      </c>
      <c r="L1052" s="35">
        <f>INDEX('BIO WAHYU'!B:H,MATCH(DATA!D1052,'BIO WAHYU'!B:B,0),7)</f>
        <v>0</v>
      </c>
      <c r="M1052" s="34">
        <f>INDEX('BIO WAHYU'!B:H,MATCH(DATA!D1052,'BIO WAHYU'!B:B,0),4)</f>
        <v>0</v>
      </c>
    </row>
    <row r="1053" spans="1:13">
      <c r="A1053" s="43" t="s">
        <v>1674</v>
      </c>
      <c r="B1053" s="43" t="s">
        <v>148</v>
      </c>
      <c r="C1053" s="43" t="s">
        <v>647</v>
      </c>
      <c r="D1053" s="10">
        <v>458900</v>
      </c>
      <c r="E1053" s="43" t="s">
        <v>10</v>
      </c>
      <c r="F1053" s="8">
        <f>_xlfn.IFNA(INDEX('OSA | 3GB'!J:L,MATCH(DATA!D1053,'OSA | 3GB'!J:J,0),2),0)</f>
        <v>4</v>
      </c>
      <c r="G1053" s="8">
        <f>_xlfn.IFNA(INDEX('OSA | 3GB'!J:L,MATCH(DATA!D1053,'OSA | 3GB'!J:J,0),3),0)</f>
        <v>5500000</v>
      </c>
      <c r="H1053" s="32">
        <f>_xlfn.IFNA(INDEX('OSA | 3GB'!A:C,MATCH(DATA!D1053,'OSA | 3GB'!A:A,0),2),0)</f>
        <v>1</v>
      </c>
      <c r="I1053" s="33">
        <f>_xlfn.IFNA(INDEX('OSA | 3GB'!A:C,MATCH(DATA!D1053,'OSA | 3GB'!A:A,0),3),0)</f>
        <v>1900000</v>
      </c>
      <c r="J1053" s="33">
        <f>INDEX('BIO WAHYU'!B:G,MATCH(DATA!D1053,'BIO WAHYU'!B:B,0),5)</f>
        <v>2</v>
      </c>
      <c r="K1053" s="34">
        <f>INDEX('BIO WAHYU'!B:G,MATCH(DATA!D1053,'BIO WAHYU'!B:B,0),6)</f>
        <v>1</v>
      </c>
      <c r="L1053" s="35">
        <f>INDEX('BIO WAHYU'!B:H,MATCH(DATA!D1053,'BIO WAHYU'!B:B,0),7)</f>
        <v>0</v>
      </c>
      <c r="M1053" s="34">
        <f>INDEX('BIO WAHYU'!B:H,MATCH(DATA!D1053,'BIO WAHYU'!B:B,0),4)</f>
        <v>0</v>
      </c>
    </row>
    <row r="1054" spans="1:13">
      <c r="A1054" s="43" t="s">
        <v>1672</v>
      </c>
      <c r="B1054" s="43" t="s">
        <v>150</v>
      </c>
      <c r="C1054" s="43" t="s">
        <v>822</v>
      </c>
      <c r="D1054" s="10">
        <v>283425</v>
      </c>
      <c r="E1054" s="43" t="s">
        <v>10</v>
      </c>
      <c r="F1054" s="8">
        <f>_xlfn.IFNA(INDEX('OSA | 3GB'!J:L,MATCH(DATA!D1054,'OSA | 3GB'!J:J,0),2),0)</f>
        <v>2</v>
      </c>
      <c r="G1054" s="8">
        <f>_xlfn.IFNA(INDEX('OSA | 3GB'!J:L,MATCH(DATA!D1054,'OSA | 3GB'!J:J,0),3),0)</f>
        <v>600000</v>
      </c>
      <c r="H1054" s="32" t="str">
        <f>_xlfn.IFNA(INDEX('OSA | 3GB'!A:C,MATCH(DATA!D1054,'OSA | 3GB'!A:A,0),2),0)</f>
        <v xml:space="preserve"> -   </v>
      </c>
      <c r="I1054" s="33" t="str">
        <f>_xlfn.IFNA(INDEX('OSA | 3GB'!A:C,MATCH(DATA!D1054,'OSA | 3GB'!A:A,0),3),0)</f>
        <v xml:space="preserve"> -   </v>
      </c>
      <c r="J1054" s="33">
        <f>INDEX('BIO WAHYU'!B:G,MATCH(DATA!D1054,'BIO WAHYU'!B:B,0),5)</f>
        <v>1</v>
      </c>
      <c r="K1054" s="34">
        <f>INDEX('BIO WAHYU'!B:G,MATCH(DATA!D1054,'BIO WAHYU'!B:B,0),6)</f>
        <v>0</v>
      </c>
      <c r="L1054" s="35">
        <f>INDEX('BIO WAHYU'!B:H,MATCH(DATA!D1054,'BIO WAHYU'!B:B,0),7)</f>
        <v>0</v>
      </c>
      <c r="M1054" s="34">
        <f>INDEX('BIO WAHYU'!B:H,MATCH(DATA!D1054,'BIO WAHYU'!B:B,0),4)</f>
        <v>0</v>
      </c>
    </row>
    <row r="1055" spans="1:13">
      <c r="A1055" s="43" t="s">
        <v>1675</v>
      </c>
      <c r="B1055" s="43">
        <v>2613051451</v>
      </c>
      <c r="C1055" s="43" t="s">
        <v>1470</v>
      </c>
      <c r="D1055" s="10">
        <v>402298</v>
      </c>
      <c r="E1055" s="43" t="s">
        <v>10</v>
      </c>
      <c r="F1055" s="8">
        <f>_xlfn.IFNA(INDEX('OSA | 3GB'!J:L,MATCH(DATA!D1055,'OSA | 3GB'!J:J,0),2),0)</f>
        <v>24</v>
      </c>
      <c r="G1055" s="8">
        <f>_xlfn.IFNA(INDEX('OSA | 3GB'!J:L,MATCH(DATA!D1055,'OSA | 3GB'!J:J,0),3),0)</f>
        <v>116000</v>
      </c>
      <c r="H1055" s="32" t="str">
        <f>_xlfn.IFNA(INDEX('OSA | 3GB'!A:C,MATCH(DATA!D1055,'OSA | 3GB'!A:A,0),2),0)</f>
        <v xml:space="preserve"> -   </v>
      </c>
      <c r="I1055" s="33" t="str">
        <f>_xlfn.IFNA(INDEX('OSA | 3GB'!A:C,MATCH(DATA!D1055,'OSA | 3GB'!A:A,0),3),0)</f>
        <v xml:space="preserve"> -   </v>
      </c>
      <c r="J1055" s="33">
        <f>INDEX('BIO WAHYU'!B:G,MATCH(DATA!D1055,'BIO WAHYU'!B:B,0),5)</f>
        <v>8</v>
      </c>
      <c r="K1055" s="34">
        <f>INDEX('BIO WAHYU'!B:G,MATCH(DATA!D1055,'BIO WAHYU'!B:B,0),6)</f>
        <v>1</v>
      </c>
      <c r="L1055" s="35">
        <f>INDEX('BIO WAHYU'!B:H,MATCH(DATA!D1055,'BIO WAHYU'!B:B,0),7)</f>
        <v>0</v>
      </c>
      <c r="M1055" s="34">
        <f>INDEX('BIO WAHYU'!B:H,MATCH(DATA!D1055,'BIO WAHYU'!B:B,0),4)</f>
        <v>0</v>
      </c>
    </row>
    <row r="1056" spans="1:13">
      <c r="A1056" s="43" t="s">
        <v>1672</v>
      </c>
      <c r="B1056" s="43" t="s">
        <v>156</v>
      </c>
      <c r="C1056" s="43" t="s">
        <v>989</v>
      </c>
      <c r="D1056" s="10">
        <v>384508</v>
      </c>
      <c r="E1056" s="43" t="s">
        <v>10</v>
      </c>
      <c r="F1056" s="8">
        <f>_xlfn.IFNA(INDEX('OSA | 3GB'!J:L,MATCH(DATA!D1056,'OSA | 3GB'!J:J,0),2),0)</f>
        <v>0</v>
      </c>
      <c r="G1056" s="8">
        <f>_xlfn.IFNA(INDEX('OSA | 3GB'!J:L,MATCH(DATA!D1056,'OSA | 3GB'!J:J,0),3),0)</f>
        <v>2800000</v>
      </c>
      <c r="H1056" s="32" t="str">
        <f>_xlfn.IFNA(INDEX('OSA | 3GB'!A:C,MATCH(DATA!D1056,'OSA | 3GB'!A:A,0),2),0)</f>
        <v xml:space="preserve"> -   </v>
      </c>
      <c r="I1056" s="33">
        <f>_xlfn.IFNA(INDEX('OSA | 3GB'!A:C,MATCH(DATA!D1056,'OSA | 3GB'!A:A,0),3),0)</f>
        <v>950000</v>
      </c>
      <c r="J1056" s="33">
        <f>INDEX('BIO WAHYU'!B:G,MATCH(DATA!D1056,'BIO WAHYU'!B:B,0),5)</f>
        <v>4</v>
      </c>
      <c r="K1056" s="34">
        <f>INDEX('BIO WAHYU'!B:G,MATCH(DATA!D1056,'BIO WAHYU'!B:B,0),6)</f>
        <v>0</v>
      </c>
      <c r="L1056" s="35">
        <f>INDEX('BIO WAHYU'!B:H,MATCH(DATA!D1056,'BIO WAHYU'!B:B,0),7)</f>
        <v>0</v>
      </c>
      <c r="M1056" s="34">
        <f>INDEX('BIO WAHYU'!B:H,MATCH(DATA!D1056,'BIO WAHYU'!B:B,0),4)</f>
        <v>0</v>
      </c>
    </row>
    <row r="1057" spans="1:13">
      <c r="A1057" s="43" t="s">
        <v>1670</v>
      </c>
      <c r="B1057" s="43" t="s">
        <v>140</v>
      </c>
      <c r="C1057" s="43" t="s">
        <v>465</v>
      </c>
      <c r="D1057" s="10">
        <v>211660</v>
      </c>
      <c r="E1057" s="43" t="s">
        <v>10</v>
      </c>
      <c r="F1057" s="8">
        <f>_xlfn.IFNA(INDEX('OSA | 3GB'!J:L,MATCH(DATA!D1057,'OSA | 3GB'!J:J,0),2),0)</f>
        <v>4</v>
      </c>
      <c r="G1057" s="8">
        <f>_xlfn.IFNA(INDEX('OSA | 3GB'!J:L,MATCH(DATA!D1057,'OSA | 3GB'!J:J,0),3),0)</f>
        <v>229000</v>
      </c>
      <c r="H1057" s="32" t="str">
        <f>_xlfn.IFNA(INDEX('OSA | 3GB'!A:C,MATCH(DATA!D1057,'OSA | 3GB'!A:A,0),2),0)</f>
        <v xml:space="preserve"> -   </v>
      </c>
      <c r="I1057" s="33">
        <f>_xlfn.IFNA(INDEX('OSA | 3GB'!A:C,MATCH(DATA!D1057,'OSA | 3GB'!A:A,0),3),0)</f>
        <v>300000</v>
      </c>
      <c r="J1057" s="33">
        <f>INDEX('BIO WAHYU'!B:G,MATCH(DATA!D1057,'BIO WAHYU'!B:B,0),5)</f>
        <v>5</v>
      </c>
      <c r="K1057" s="34">
        <f>INDEX('BIO WAHYU'!B:G,MATCH(DATA!D1057,'BIO WAHYU'!B:B,0),6)</f>
        <v>1</v>
      </c>
      <c r="L1057" s="35">
        <f>INDEX('BIO WAHYU'!B:H,MATCH(DATA!D1057,'BIO WAHYU'!B:B,0),7)</f>
        <v>0</v>
      </c>
      <c r="M1057" s="34">
        <f>INDEX('BIO WAHYU'!B:H,MATCH(DATA!D1057,'BIO WAHYU'!B:B,0),4)</f>
        <v>0</v>
      </c>
    </row>
    <row r="1058" spans="1:13">
      <c r="A1058" s="43" t="s">
        <v>1671</v>
      </c>
      <c r="B1058" s="43">
        <v>2613050885</v>
      </c>
      <c r="C1058" s="43" t="s">
        <v>1471</v>
      </c>
      <c r="D1058" s="10">
        <v>512770</v>
      </c>
      <c r="E1058" s="43" t="s">
        <v>15</v>
      </c>
      <c r="F1058" s="8">
        <f>_xlfn.IFNA(INDEX('OSA | 3GB'!J:L,MATCH(DATA!D1058,'OSA | 3GB'!J:J,0),2),0)</f>
        <v>0</v>
      </c>
      <c r="G1058" s="8">
        <f>_xlfn.IFNA(INDEX('OSA | 3GB'!J:L,MATCH(DATA!D1058,'OSA | 3GB'!J:J,0),3),0)</f>
        <v>0</v>
      </c>
      <c r="H1058" s="32" t="str">
        <f>_xlfn.IFNA(INDEX('OSA | 3GB'!A:C,MATCH(DATA!D1058,'OSA | 3GB'!A:A,0),2),0)</f>
        <v xml:space="preserve"> -   </v>
      </c>
      <c r="I1058" s="33" t="str">
        <f>_xlfn.IFNA(INDEX('OSA | 3GB'!A:C,MATCH(DATA!D1058,'OSA | 3GB'!A:A,0),3),0)</f>
        <v xml:space="preserve"> -   </v>
      </c>
      <c r="J1058" s="33">
        <f>INDEX('BIO WAHYU'!B:G,MATCH(DATA!D1058,'BIO WAHYU'!B:B,0),5)</f>
        <v>1</v>
      </c>
      <c r="K1058" s="34">
        <f>INDEX('BIO WAHYU'!B:G,MATCH(DATA!D1058,'BIO WAHYU'!B:B,0),6)</f>
        <v>0</v>
      </c>
      <c r="L1058" s="35">
        <f>INDEX('BIO WAHYU'!B:H,MATCH(DATA!D1058,'BIO WAHYU'!B:B,0),7)</f>
        <v>0</v>
      </c>
      <c r="M1058" s="34">
        <f>INDEX('BIO WAHYU'!B:H,MATCH(DATA!D1058,'BIO WAHYU'!B:B,0),4)</f>
        <v>0</v>
      </c>
    </row>
    <row r="1059" spans="1:13">
      <c r="A1059" s="43" t="s">
        <v>1673</v>
      </c>
      <c r="B1059" s="43" t="s">
        <v>141</v>
      </c>
      <c r="C1059" s="43" t="s">
        <v>203</v>
      </c>
      <c r="D1059" s="10">
        <v>476239</v>
      </c>
      <c r="E1059" s="43" t="s">
        <v>10</v>
      </c>
      <c r="F1059" s="8">
        <f>_xlfn.IFNA(INDEX('OSA | 3GB'!J:L,MATCH(DATA!D1059,'OSA | 3GB'!J:J,0),2),0)</f>
        <v>0</v>
      </c>
      <c r="G1059" s="8">
        <f>_xlfn.IFNA(INDEX('OSA | 3GB'!J:L,MATCH(DATA!D1059,'OSA | 3GB'!J:J,0),3),0)</f>
        <v>250000</v>
      </c>
      <c r="H1059" s="32" t="str">
        <f>_xlfn.IFNA(INDEX('OSA | 3GB'!A:C,MATCH(DATA!D1059,'OSA | 3GB'!A:A,0),2),0)</f>
        <v xml:space="preserve"> -   </v>
      </c>
      <c r="I1059" s="33" t="str">
        <f>_xlfn.IFNA(INDEX('OSA | 3GB'!A:C,MATCH(DATA!D1059,'OSA | 3GB'!A:A,0),3),0)</f>
        <v xml:space="preserve"> -   </v>
      </c>
      <c r="J1059" s="33">
        <f>INDEX('BIO WAHYU'!B:G,MATCH(DATA!D1059,'BIO WAHYU'!B:B,0),5)</f>
        <v>0</v>
      </c>
      <c r="K1059" s="34">
        <f>INDEX('BIO WAHYU'!B:G,MATCH(DATA!D1059,'BIO WAHYU'!B:B,0),6)</f>
        <v>0</v>
      </c>
      <c r="L1059" s="35">
        <f>INDEX('BIO WAHYU'!B:H,MATCH(DATA!D1059,'BIO WAHYU'!B:B,0),7)</f>
        <v>0</v>
      </c>
      <c r="M1059" s="34">
        <f>INDEX('BIO WAHYU'!B:H,MATCH(DATA!D1059,'BIO WAHYU'!B:B,0),4)</f>
        <v>0</v>
      </c>
    </row>
    <row r="1060" spans="1:13">
      <c r="A1060" s="43" t="s">
        <v>1672</v>
      </c>
      <c r="B1060" s="43" t="s">
        <v>149</v>
      </c>
      <c r="C1060" s="43" t="s">
        <v>771</v>
      </c>
      <c r="D1060" s="10">
        <v>222817</v>
      </c>
      <c r="E1060" s="43" t="s">
        <v>10</v>
      </c>
      <c r="F1060" s="8">
        <f>_xlfn.IFNA(INDEX('OSA | 3GB'!J:L,MATCH(DATA!D1060,'OSA | 3GB'!J:J,0),2),0)</f>
        <v>134</v>
      </c>
      <c r="G1060" s="8">
        <f>_xlfn.IFNA(INDEX('OSA | 3GB'!J:L,MATCH(DATA!D1060,'OSA | 3GB'!J:J,0),3),0)</f>
        <v>5519000</v>
      </c>
      <c r="H1060" s="32">
        <f>_xlfn.IFNA(INDEX('OSA | 3GB'!A:C,MATCH(DATA!D1060,'OSA | 3GB'!A:A,0),2),0)</f>
        <v>6</v>
      </c>
      <c r="I1060" s="33">
        <f>_xlfn.IFNA(INDEX('OSA | 3GB'!A:C,MATCH(DATA!D1060,'OSA | 3GB'!A:A,0),3),0)</f>
        <v>224000</v>
      </c>
      <c r="J1060" s="33">
        <f>INDEX('BIO WAHYU'!B:G,MATCH(DATA!D1060,'BIO WAHYU'!B:B,0),5)</f>
        <v>55</v>
      </c>
      <c r="K1060" s="34">
        <f>INDEX('BIO WAHYU'!B:G,MATCH(DATA!D1060,'BIO WAHYU'!B:B,0),6)</f>
        <v>40</v>
      </c>
      <c r="L1060" s="35">
        <f>INDEX('BIO WAHYU'!B:H,MATCH(DATA!D1060,'BIO WAHYU'!B:B,0),7)</f>
        <v>0</v>
      </c>
      <c r="M1060" s="34">
        <f>INDEX('BIO WAHYU'!B:H,MATCH(DATA!D1060,'BIO WAHYU'!B:B,0),4)</f>
        <v>0</v>
      </c>
    </row>
    <row r="1061" spans="1:13">
      <c r="A1061" s="43" t="s">
        <v>1674</v>
      </c>
      <c r="B1061" s="43" t="s">
        <v>153</v>
      </c>
      <c r="C1061" s="43" t="s">
        <v>729</v>
      </c>
      <c r="D1061" s="10">
        <v>475859</v>
      </c>
      <c r="E1061" s="43" t="s">
        <v>10</v>
      </c>
      <c r="F1061" s="8">
        <f>_xlfn.IFNA(INDEX('OSA | 3GB'!J:L,MATCH(DATA!D1061,'OSA | 3GB'!J:J,0),2),0)</f>
        <v>3</v>
      </c>
      <c r="G1061" s="8">
        <f>_xlfn.IFNA(INDEX('OSA | 3GB'!J:L,MATCH(DATA!D1061,'OSA | 3GB'!J:J,0),3),0)</f>
        <v>800000</v>
      </c>
      <c r="H1061" s="32" t="str">
        <f>_xlfn.IFNA(INDEX('OSA | 3GB'!A:C,MATCH(DATA!D1061,'OSA | 3GB'!A:A,0),2),0)</f>
        <v xml:space="preserve"> -   </v>
      </c>
      <c r="I1061" s="33">
        <f>_xlfn.IFNA(INDEX('OSA | 3GB'!A:C,MATCH(DATA!D1061,'OSA | 3GB'!A:A,0),3),0)</f>
        <v>300000</v>
      </c>
      <c r="J1061" s="33">
        <f>INDEX('BIO WAHYU'!B:G,MATCH(DATA!D1061,'BIO WAHYU'!B:B,0),5)</f>
        <v>3</v>
      </c>
      <c r="K1061" s="34">
        <f>INDEX('BIO WAHYU'!B:G,MATCH(DATA!D1061,'BIO WAHYU'!B:B,0),6)</f>
        <v>0</v>
      </c>
      <c r="L1061" s="35">
        <f>INDEX('BIO WAHYU'!B:H,MATCH(DATA!D1061,'BIO WAHYU'!B:B,0),7)</f>
        <v>0</v>
      </c>
      <c r="M1061" s="34">
        <f>INDEX('BIO WAHYU'!B:H,MATCH(DATA!D1061,'BIO WAHYU'!B:B,0),4)</f>
        <v>0</v>
      </c>
    </row>
    <row r="1062" spans="1:13">
      <c r="A1062" s="43" t="s">
        <v>1672</v>
      </c>
      <c r="B1062" s="43" t="s">
        <v>155</v>
      </c>
      <c r="C1062" s="43" t="s">
        <v>936</v>
      </c>
      <c r="D1062" s="10">
        <v>282319</v>
      </c>
      <c r="E1062" s="43" t="s">
        <v>10</v>
      </c>
      <c r="F1062" s="8">
        <f>_xlfn.IFNA(INDEX('OSA | 3GB'!J:L,MATCH(DATA!D1062,'OSA | 3GB'!J:J,0),2),0)</f>
        <v>5</v>
      </c>
      <c r="G1062" s="8">
        <f>_xlfn.IFNA(INDEX('OSA | 3GB'!J:L,MATCH(DATA!D1062,'OSA | 3GB'!J:J,0),3),0)</f>
        <v>1500000</v>
      </c>
      <c r="H1062" s="32">
        <f>_xlfn.IFNA(INDEX('OSA | 3GB'!A:C,MATCH(DATA!D1062,'OSA | 3GB'!A:A,0),2),0)</f>
        <v>3</v>
      </c>
      <c r="I1062" s="33">
        <f>_xlfn.IFNA(INDEX('OSA | 3GB'!A:C,MATCH(DATA!D1062,'OSA | 3GB'!A:A,0),3),0)</f>
        <v>500000</v>
      </c>
      <c r="J1062" s="33">
        <f>INDEX('BIO WAHYU'!B:G,MATCH(DATA!D1062,'BIO WAHYU'!B:B,0),5)</f>
        <v>3</v>
      </c>
      <c r="K1062" s="34">
        <f>INDEX('BIO WAHYU'!B:G,MATCH(DATA!D1062,'BIO WAHYU'!B:B,0),6)</f>
        <v>3</v>
      </c>
      <c r="L1062" s="35">
        <f>INDEX('BIO WAHYU'!B:H,MATCH(DATA!D1062,'BIO WAHYU'!B:B,0),7)</f>
        <v>0</v>
      </c>
      <c r="M1062" s="34">
        <f>INDEX('BIO WAHYU'!B:H,MATCH(DATA!D1062,'BIO WAHYU'!B:B,0),4)</f>
        <v>0</v>
      </c>
    </row>
    <row r="1063" spans="1:13">
      <c r="A1063" s="43" t="s">
        <v>1673</v>
      </c>
      <c r="B1063" s="43" t="s">
        <v>144</v>
      </c>
      <c r="C1063" s="43" t="s">
        <v>223</v>
      </c>
      <c r="D1063" s="10">
        <v>2815</v>
      </c>
      <c r="E1063" s="43" t="s">
        <v>15</v>
      </c>
      <c r="F1063" s="8">
        <f>_xlfn.IFNA(INDEX('OSA | 3GB'!J:L,MATCH(DATA!D1063,'OSA | 3GB'!J:J,0),2),0)</f>
        <v>3</v>
      </c>
      <c r="G1063" s="8">
        <f>_xlfn.IFNA(INDEX('OSA | 3GB'!J:L,MATCH(DATA!D1063,'OSA | 3GB'!J:J,0),3),0)</f>
        <v>1115000</v>
      </c>
      <c r="H1063" s="32" t="str">
        <f>_xlfn.IFNA(INDEX('OSA | 3GB'!A:C,MATCH(DATA!D1063,'OSA | 3GB'!A:A,0),2),0)</f>
        <v xml:space="preserve"> -   </v>
      </c>
      <c r="I1063" s="33">
        <f>_xlfn.IFNA(INDEX('OSA | 3GB'!A:C,MATCH(DATA!D1063,'OSA | 3GB'!A:A,0),3),0)</f>
        <v>200000</v>
      </c>
      <c r="J1063" s="33">
        <f>INDEX('BIO WAHYU'!B:G,MATCH(DATA!D1063,'BIO WAHYU'!B:B,0),5)</f>
        <v>1</v>
      </c>
      <c r="K1063" s="34">
        <f>INDEX('BIO WAHYU'!B:G,MATCH(DATA!D1063,'BIO WAHYU'!B:B,0),6)</f>
        <v>1</v>
      </c>
      <c r="L1063" s="35">
        <f>INDEX('BIO WAHYU'!B:H,MATCH(DATA!D1063,'BIO WAHYU'!B:B,0),7)</f>
        <v>0</v>
      </c>
      <c r="M1063" s="34">
        <f>INDEX('BIO WAHYU'!B:H,MATCH(DATA!D1063,'BIO WAHYU'!B:B,0),4)</f>
        <v>0</v>
      </c>
    </row>
    <row r="1064" spans="1:13">
      <c r="A1064" s="43" t="s">
        <v>1670</v>
      </c>
      <c r="B1064" s="43" t="s">
        <v>140</v>
      </c>
      <c r="C1064" s="43" t="s">
        <v>469</v>
      </c>
      <c r="D1064" s="10">
        <v>265677</v>
      </c>
      <c r="E1064" s="43" t="s">
        <v>10</v>
      </c>
      <c r="F1064" s="8">
        <f>_xlfn.IFNA(INDEX('OSA | 3GB'!J:L,MATCH(DATA!D1064,'OSA | 3GB'!J:J,0),2),0)</f>
        <v>0</v>
      </c>
      <c r="G1064" s="8">
        <f>_xlfn.IFNA(INDEX('OSA | 3GB'!J:L,MATCH(DATA!D1064,'OSA | 3GB'!J:J,0),3),0)</f>
        <v>1800000</v>
      </c>
      <c r="H1064" s="32" t="str">
        <f>_xlfn.IFNA(INDEX('OSA | 3GB'!A:C,MATCH(DATA!D1064,'OSA | 3GB'!A:A,0),2),0)</f>
        <v xml:space="preserve"> -   </v>
      </c>
      <c r="I1064" s="33">
        <f>_xlfn.IFNA(INDEX('OSA | 3GB'!A:C,MATCH(DATA!D1064,'OSA | 3GB'!A:A,0),3),0)</f>
        <v>300000</v>
      </c>
      <c r="J1064" s="33">
        <f>INDEX('BIO WAHYU'!B:G,MATCH(DATA!D1064,'BIO WAHYU'!B:B,0),5)</f>
        <v>0</v>
      </c>
      <c r="K1064" s="34">
        <f>INDEX('BIO WAHYU'!B:G,MATCH(DATA!D1064,'BIO WAHYU'!B:B,0),6)</f>
        <v>0</v>
      </c>
      <c r="L1064" s="35">
        <f>INDEX('BIO WAHYU'!B:H,MATCH(DATA!D1064,'BIO WAHYU'!B:B,0),7)</f>
        <v>0</v>
      </c>
      <c r="M1064" s="34">
        <f>INDEX('BIO WAHYU'!B:H,MATCH(DATA!D1064,'BIO WAHYU'!B:B,0),4)</f>
        <v>0</v>
      </c>
    </row>
    <row r="1065" spans="1:13">
      <c r="A1065" s="43" t="s">
        <v>1672</v>
      </c>
      <c r="B1065" s="43" t="s">
        <v>155</v>
      </c>
      <c r="C1065" s="43" t="s">
        <v>934</v>
      </c>
      <c r="D1065" s="10">
        <v>261870</v>
      </c>
      <c r="E1065" s="43" t="s">
        <v>10</v>
      </c>
      <c r="F1065" s="8">
        <f>_xlfn.IFNA(INDEX('OSA | 3GB'!J:L,MATCH(DATA!D1065,'OSA | 3GB'!J:J,0),2),0)</f>
        <v>2</v>
      </c>
      <c r="G1065" s="8">
        <f>_xlfn.IFNA(INDEX('OSA | 3GB'!J:L,MATCH(DATA!D1065,'OSA | 3GB'!J:J,0),3),0)</f>
        <v>829000</v>
      </c>
      <c r="H1065" s="32">
        <f>_xlfn.IFNA(INDEX('OSA | 3GB'!A:C,MATCH(DATA!D1065,'OSA | 3GB'!A:A,0),2),0)</f>
        <v>3</v>
      </c>
      <c r="I1065" s="33">
        <f>_xlfn.IFNA(INDEX('OSA | 3GB'!A:C,MATCH(DATA!D1065,'OSA | 3GB'!A:A,0),3),0)</f>
        <v>287000</v>
      </c>
      <c r="J1065" s="33">
        <f>INDEX('BIO WAHYU'!B:G,MATCH(DATA!D1065,'BIO WAHYU'!B:B,0),5)</f>
        <v>3</v>
      </c>
      <c r="K1065" s="34">
        <f>INDEX('BIO WAHYU'!B:G,MATCH(DATA!D1065,'BIO WAHYU'!B:B,0),6)</f>
        <v>0</v>
      </c>
      <c r="L1065" s="35">
        <f>INDEX('BIO WAHYU'!B:H,MATCH(DATA!D1065,'BIO WAHYU'!B:B,0),7)</f>
        <v>0</v>
      </c>
      <c r="M1065" s="34">
        <f>INDEX('BIO WAHYU'!B:H,MATCH(DATA!D1065,'BIO WAHYU'!B:B,0),4)</f>
        <v>0</v>
      </c>
    </row>
    <row r="1066" spans="1:13">
      <c r="A1066" s="43" t="s">
        <v>1674</v>
      </c>
      <c r="B1066" s="43" t="s">
        <v>154</v>
      </c>
      <c r="C1066" s="43" t="s">
        <v>755</v>
      </c>
      <c r="D1066" s="10">
        <v>576113</v>
      </c>
      <c r="E1066" s="43" t="s">
        <v>10</v>
      </c>
      <c r="F1066" s="8">
        <f>_xlfn.IFNA(INDEX('OSA | 3GB'!J:L,MATCH(DATA!D1066,'OSA | 3GB'!J:J,0),2),0)</f>
        <v>4</v>
      </c>
      <c r="G1066" s="8">
        <f>_xlfn.IFNA(INDEX('OSA | 3GB'!J:L,MATCH(DATA!D1066,'OSA | 3GB'!J:J,0),3),0)</f>
        <v>0</v>
      </c>
      <c r="H1066" s="32" t="str">
        <f>_xlfn.IFNA(INDEX('OSA | 3GB'!A:C,MATCH(DATA!D1066,'OSA | 3GB'!A:A,0),2),0)</f>
        <v xml:space="preserve"> -   </v>
      </c>
      <c r="I1066" s="33">
        <f>_xlfn.IFNA(INDEX('OSA | 3GB'!A:C,MATCH(DATA!D1066,'OSA | 3GB'!A:A,0),3),0)</f>
        <v>100000</v>
      </c>
      <c r="J1066" s="33">
        <f>INDEX('BIO WAHYU'!B:G,MATCH(DATA!D1066,'BIO WAHYU'!B:B,0),5)</f>
        <v>3</v>
      </c>
      <c r="K1066" s="34">
        <f>INDEX('BIO WAHYU'!B:G,MATCH(DATA!D1066,'BIO WAHYU'!B:B,0),6)</f>
        <v>0</v>
      </c>
      <c r="L1066" s="35">
        <f>INDEX('BIO WAHYU'!B:H,MATCH(DATA!D1066,'BIO WAHYU'!B:B,0),7)</f>
        <v>0</v>
      </c>
      <c r="M1066" s="34">
        <f>INDEX('BIO WAHYU'!B:H,MATCH(DATA!D1066,'BIO WAHYU'!B:B,0),4)</f>
        <v>0</v>
      </c>
    </row>
    <row r="1067" spans="1:13">
      <c r="A1067" s="43" t="s">
        <v>1675</v>
      </c>
      <c r="B1067" s="43" t="s">
        <v>137</v>
      </c>
      <c r="C1067" s="43" t="s">
        <v>1472</v>
      </c>
      <c r="D1067" s="10">
        <v>12296327</v>
      </c>
      <c r="E1067" s="43" t="s">
        <v>15</v>
      </c>
      <c r="F1067" s="8">
        <f>_xlfn.IFNA(INDEX('OSA | 3GB'!J:L,MATCH(DATA!D1067,'OSA | 3GB'!J:J,0),2),0)</f>
        <v>0</v>
      </c>
      <c r="G1067" s="8">
        <f>_xlfn.IFNA(INDEX('OSA | 3GB'!J:L,MATCH(DATA!D1067,'OSA | 3GB'!J:J,0),3),0)</f>
        <v>0</v>
      </c>
      <c r="H1067" s="32" t="str">
        <f>_xlfn.IFNA(INDEX('OSA | 3GB'!A:C,MATCH(DATA!D1067,'OSA | 3GB'!A:A,0),2),0)</f>
        <v xml:space="preserve"> -   </v>
      </c>
      <c r="I1067" s="33" t="str">
        <f>_xlfn.IFNA(INDEX('OSA | 3GB'!A:C,MATCH(DATA!D1067,'OSA | 3GB'!A:A,0),3),0)</f>
        <v xml:space="preserve"> -   </v>
      </c>
      <c r="J1067" s="33">
        <f>INDEX('BIO WAHYU'!B:G,MATCH(DATA!D1067,'BIO WAHYU'!B:B,0),5)</f>
        <v>0</v>
      </c>
      <c r="K1067" s="34">
        <f>INDEX('BIO WAHYU'!B:G,MATCH(DATA!D1067,'BIO WAHYU'!B:B,0),6)</f>
        <v>0</v>
      </c>
      <c r="L1067" s="35">
        <f>INDEX('BIO WAHYU'!B:H,MATCH(DATA!D1067,'BIO WAHYU'!B:B,0),7)</f>
        <v>0</v>
      </c>
      <c r="M1067" s="34">
        <f>INDEX('BIO WAHYU'!B:H,MATCH(DATA!D1067,'BIO WAHYU'!B:B,0),4)</f>
        <v>0</v>
      </c>
    </row>
    <row r="1068" spans="1:13">
      <c r="A1068" s="43" t="s">
        <v>1673</v>
      </c>
      <c r="B1068" s="43" t="s">
        <v>1140</v>
      </c>
      <c r="C1068" s="43" t="s">
        <v>1473</v>
      </c>
      <c r="D1068" s="10">
        <v>413177</v>
      </c>
      <c r="E1068" s="43" t="s">
        <v>15</v>
      </c>
      <c r="F1068" s="8">
        <f>_xlfn.IFNA(INDEX('OSA | 3GB'!J:L,MATCH(DATA!D1068,'OSA | 3GB'!J:J,0),2),0)</f>
        <v>3</v>
      </c>
      <c r="G1068" s="8">
        <f>_xlfn.IFNA(INDEX('OSA | 3GB'!J:L,MATCH(DATA!D1068,'OSA | 3GB'!J:J,0),3),0)</f>
        <v>529000</v>
      </c>
      <c r="H1068" s="32" t="str">
        <f>_xlfn.IFNA(INDEX('OSA | 3GB'!A:C,MATCH(DATA!D1068,'OSA | 3GB'!A:A,0),2),0)</f>
        <v xml:space="preserve"> -   </v>
      </c>
      <c r="I1068" s="33" t="str">
        <f>_xlfn.IFNA(INDEX('OSA | 3GB'!A:C,MATCH(DATA!D1068,'OSA | 3GB'!A:A,0),3),0)</f>
        <v xml:space="preserve"> -   </v>
      </c>
      <c r="J1068" s="33">
        <f>INDEX('BIO WAHYU'!B:G,MATCH(DATA!D1068,'BIO WAHYU'!B:B,0),5)</f>
        <v>2</v>
      </c>
      <c r="K1068" s="34">
        <f>INDEX('BIO WAHYU'!B:G,MATCH(DATA!D1068,'BIO WAHYU'!B:B,0),6)</f>
        <v>0</v>
      </c>
      <c r="L1068" s="35">
        <f>INDEX('BIO WAHYU'!B:H,MATCH(DATA!D1068,'BIO WAHYU'!B:B,0),7)</f>
        <v>0</v>
      </c>
      <c r="M1068" s="34">
        <f>INDEX('BIO WAHYU'!B:H,MATCH(DATA!D1068,'BIO WAHYU'!B:B,0),4)</f>
        <v>0</v>
      </c>
    </row>
    <row r="1069" spans="1:13">
      <c r="A1069" s="43" t="s">
        <v>1674</v>
      </c>
      <c r="B1069" s="43" t="s">
        <v>153</v>
      </c>
      <c r="C1069" s="43" t="s">
        <v>731</v>
      </c>
      <c r="D1069" s="10">
        <v>527199</v>
      </c>
      <c r="E1069" s="43" t="s">
        <v>10</v>
      </c>
      <c r="F1069" s="8">
        <f>_xlfn.IFNA(INDEX('OSA | 3GB'!J:L,MATCH(DATA!D1069,'OSA | 3GB'!J:J,0),2),0)</f>
        <v>14</v>
      </c>
      <c r="G1069" s="8">
        <f>_xlfn.IFNA(INDEX('OSA | 3GB'!J:L,MATCH(DATA!D1069,'OSA | 3GB'!J:J,0),3),0)</f>
        <v>47157808</v>
      </c>
      <c r="H1069" s="32" t="str">
        <f>_xlfn.IFNA(INDEX('OSA | 3GB'!A:C,MATCH(DATA!D1069,'OSA | 3GB'!A:A,0),2),0)</f>
        <v xml:space="preserve"> -   </v>
      </c>
      <c r="I1069" s="33">
        <f>_xlfn.IFNA(INDEX('OSA | 3GB'!A:C,MATCH(DATA!D1069,'OSA | 3GB'!A:A,0),3),0)</f>
        <v>15125000</v>
      </c>
      <c r="J1069" s="33">
        <f>INDEX('BIO WAHYU'!B:G,MATCH(DATA!D1069,'BIO WAHYU'!B:B,0),5)</f>
        <v>1</v>
      </c>
      <c r="K1069" s="34">
        <f>INDEX('BIO WAHYU'!B:G,MATCH(DATA!D1069,'BIO WAHYU'!B:B,0),6)</f>
        <v>1</v>
      </c>
      <c r="L1069" s="35">
        <f>INDEX('BIO WAHYU'!B:H,MATCH(DATA!D1069,'BIO WAHYU'!B:B,0),7)</f>
        <v>0</v>
      </c>
      <c r="M1069" s="34">
        <f>INDEX('BIO WAHYU'!B:H,MATCH(DATA!D1069,'BIO WAHYU'!B:B,0),4)</f>
        <v>0</v>
      </c>
    </row>
    <row r="1070" spans="1:13">
      <c r="A1070" s="43" t="s">
        <v>1672</v>
      </c>
      <c r="B1070" s="43" t="s">
        <v>150</v>
      </c>
      <c r="C1070" s="43" t="s">
        <v>810</v>
      </c>
      <c r="D1070" s="10">
        <v>214353</v>
      </c>
      <c r="E1070" s="43" t="s">
        <v>10</v>
      </c>
      <c r="F1070" s="8">
        <f>_xlfn.IFNA(INDEX('OSA | 3GB'!J:L,MATCH(DATA!D1070,'OSA | 3GB'!J:J,0),2),0)</f>
        <v>0</v>
      </c>
      <c r="G1070" s="8">
        <f>_xlfn.IFNA(INDEX('OSA | 3GB'!J:L,MATCH(DATA!D1070,'OSA | 3GB'!J:J,0),3),0)</f>
        <v>5000000</v>
      </c>
      <c r="H1070" s="32" t="str">
        <f>_xlfn.IFNA(INDEX('OSA | 3GB'!A:C,MATCH(DATA!D1070,'OSA | 3GB'!A:A,0),2),0)</f>
        <v xml:space="preserve"> -   </v>
      </c>
      <c r="I1070" s="33" t="str">
        <f>_xlfn.IFNA(INDEX('OSA | 3GB'!A:C,MATCH(DATA!D1070,'OSA | 3GB'!A:A,0),3),0)</f>
        <v xml:space="preserve"> -   </v>
      </c>
      <c r="J1070" s="33">
        <f>INDEX('BIO WAHYU'!B:G,MATCH(DATA!D1070,'BIO WAHYU'!B:B,0),5)</f>
        <v>0</v>
      </c>
      <c r="K1070" s="34">
        <f>INDEX('BIO WAHYU'!B:G,MATCH(DATA!D1070,'BIO WAHYU'!B:B,0),6)</f>
        <v>0</v>
      </c>
      <c r="L1070" s="35">
        <f>INDEX('BIO WAHYU'!B:H,MATCH(DATA!D1070,'BIO WAHYU'!B:B,0),7)</f>
        <v>0</v>
      </c>
      <c r="M1070" s="34">
        <f>INDEX('BIO WAHYU'!B:H,MATCH(DATA!D1070,'BIO WAHYU'!B:B,0),4)</f>
        <v>0</v>
      </c>
    </row>
    <row r="1071" spans="1:13">
      <c r="A1071" s="43" t="s">
        <v>1672</v>
      </c>
      <c r="B1071" s="43" t="s">
        <v>157</v>
      </c>
      <c r="C1071" s="43" t="s">
        <v>1047</v>
      </c>
      <c r="D1071" s="10">
        <v>494952</v>
      </c>
      <c r="E1071" s="43" t="s">
        <v>10</v>
      </c>
      <c r="F1071" s="8">
        <f>_xlfn.IFNA(INDEX('OSA | 3GB'!J:L,MATCH(DATA!D1071,'OSA | 3GB'!J:J,0),2),0)</f>
        <v>12</v>
      </c>
      <c r="G1071" s="8">
        <f>_xlfn.IFNA(INDEX('OSA | 3GB'!J:L,MATCH(DATA!D1071,'OSA | 3GB'!J:J,0),3),0)</f>
        <v>2658000</v>
      </c>
      <c r="H1071" s="32" t="str">
        <f>_xlfn.IFNA(INDEX('OSA | 3GB'!A:C,MATCH(DATA!D1071,'OSA | 3GB'!A:A,0),2),0)</f>
        <v xml:space="preserve"> -   </v>
      </c>
      <c r="I1071" s="33">
        <f>_xlfn.IFNA(INDEX('OSA | 3GB'!A:C,MATCH(DATA!D1071,'OSA | 3GB'!A:A,0),3),0)</f>
        <v>500000</v>
      </c>
      <c r="J1071" s="33">
        <f>INDEX('BIO WAHYU'!B:G,MATCH(DATA!D1071,'BIO WAHYU'!B:B,0),5)</f>
        <v>3</v>
      </c>
      <c r="K1071" s="34">
        <f>INDEX('BIO WAHYU'!B:G,MATCH(DATA!D1071,'BIO WAHYU'!B:B,0),6)</f>
        <v>0</v>
      </c>
      <c r="L1071" s="35">
        <f>INDEX('BIO WAHYU'!B:H,MATCH(DATA!D1071,'BIO WAHYU'!B:B,0),7)</f>
        <v>0</v>
      </c>
      <c r="M1071" s="34">
        <f>INDEX('BIO WAHYU'!B:H,MATCH(DATA!D1071,'BIO WAHYU'!B:B,0),4)</f>
        <v>0</v>
      </c>
    </row>
    <row r="1072" spans="1:13">
      <c r="A1072" s="43" t="s">
        <v>1673</v>
      </c>
      <c r="B1072" s="43" t="s">
        <v>1140</v>
      </c>
      <c r="C1072" s="43" t="s">
        <v>1474</v>
      </c>
      <c r="D1072" s="10">
        <v>385480</v>
      </c>
      <c r="E1072" s="43" t="s">
        <v>10</v>
      </c>
      <c r="F1072" s="8">
        <f>_xlfn.IFNA(INDEX('OSA | 3GB'!J:L,MATCH(DATA!D1072,'OSA | 3GB'!J:J,0),2),0)</f>
        <v>6</v>
      </c>
      <c r="G1072" s="8">
        <f>_xlfn.IFNA(INDEX('OSA | 3GB'!J:L,MATCH(DATA!D1072,'OSA | 3GB'!J:J,0),3),0)</f>
        <v>2550000</v>
      </c>
      <c r="H1072" s="32">
        <f>_xlfn.IFNA(INDEX('OSA | 3GB'!A:C,MATCH(DATA!D1072,'OSA | 3GB'!A:A,0),2),0)</f>
        <v>1</v>
      </c>
      <c r="I1072" s="33">
        <f>_xlfn.IFNA(INDEX('OSA | 3GB'!A:C,MATCH(DATA!D1072,'OSA | 3GB'!A:A,0),3),0)</f>
        <v>550000</v>
      </c>
      <c r="J1072" s="33">
        <f>INDEX('BIO WAHYU'!B:G,MATCH(DATA!D1072,'BIO WAHYU'!B:B,0),5)</f>
        <v>3</v>
      </c>
      <c r="K1072" s="34">
        <f>INDEX('BIO WAHYU'!B:G,MATCH(DATA!D1072,'BIO WAHYU'!B:B,0),6)</f>
        <v>2</v>
      </c>
      <c r="L1072" s="35">
        <f>INDEX('BIO WAHYU'!B:H,MATCH(DATA!D1072,'BIO WAHYU'!B:B,0),7)</f>
        <v>0</v>
      </c>
      <c r="M1072" s="34">
        <f>INDEX('BIO WAHYU'!B:H,MATCH(DATA!D1072,'BIO WAHYU'!B:B,0),4)</f>
        <v>0</v>
      </c>
    </row>
    <row r="1073" spans="1:13">
      <c r="A1073" s="43" t="s">
        <v>1671</v>
      </c>
      <c r="B1073" s="43">
        <v>2613050885</v>
      </c>
      <c r="C1073" s="43" t="s">
        <v>1475</v>
      </c>
      <c r="D1073" s="10">
        <v>211677</v>
      </c>
      <c r="E1073" s="43" t="s">
        <v>23</v>
      </c>
      <c r="F1073" s="8">
        <f>_xlfn.IFNA(INDEX('OSA | 3GB'!J:L,MATCH(DATA!D1073,'OSA | 3GB'!J:J,0),2),0)</f>
        <v>0</v>
      </c>
      <c r="G1073" s="8">
        <f>_xlfn.IFNA(INDEX('OSA | 3GB'!J:L,MATCH(DATA!D1073,'OSA | 3GB'!J:J,0),3),0)</f>
        <v>0</v>
      </c>
      <c r="H1073" s="32" t="str">
        <f>_xlfn.IFNA(INDEX('OSA | 3GB'!A:C,MATCH(DATA!D1073,'OSA | 3GB'!A:A,0),2),0)</f>
        <v xml:space="preserve"> -   </v>
      </c>
      <c r="I1073" s="33" t="str">
        <f>_xlfn.IFNA(INDEX('OSA | 3GB'!A:C,MATCH(DATA!D1073,'OSA | 3GB'!A:A,0),3),0)</f>
        <v xml:space="preserve"> -   </v>
      </c>
      <c r="J1073" s="33">
        <f>INDEX('BIO WAHYU'!B:G,MATCH(DATA!D1073,'BIO WAHYU'!B:B,0),5)</f>
        <v>0</v>
      </c>
      <c r="K1073" s="34">
        <f>INDEX('BIO WAHYU'!B:G,MATCH(DATA!D1073,'BIO WAHYU'!B:B,0),6)</f>
        <v>0</v>
      </c>
      <c r="L1073" s="35">
        <f>INDEX('BIO WAHYU'!B:H,MATCH(DATA!D1073,'BIO WAHYU'!B:B,0),7)</f>
        <v>0</v>
      </c>
      <c r="M1073" s="34">
        <f>INDEX('BIO WAHYU'!B:H,MATCH(DATA!D1073,'BIO WAHYU'!B:B,0),4)</f>
        <v>0</v>
      </c>
    </row>
    <row r="1074" spans="1:13">
      <c r="A1074" s="43" t="s">
        <v>1</v>
      </c>
      <c r="B1074" s="43" t="s">
        <v>5</v>
      </c>
      <c r="C1074" s="43" t="s">
        <v>1107</v>
      </c>
      <c r="D1074" s="10">
        <v>342829</v>
      </c>
      <c r="E1074" s="43" t="s">
        <v>10</v>
      </c>
      <c r="F1074" s="8">
        <f>_xlfn.IFNA(INDEX('OSA | 3GB'!J:L,MATCH(DATA!D1074,'OSA | 3GB'!J:J,0),2),0)</f>
        <v>3</v>
      </c>
      <c r="G1074" s="8">
        <f>_xlfn.IFNA(INDEX('OSA | 3GB'!J:L,MATCH(DATA!D1074,'OSA | 3GB'!J:J,0),3),0)</f>
        <v>3587000</v>
      </c>
      <c r="H1074" s="32" t="str">
        <f>_xlfn.IFNA(INDEX('OSA | 3GB'!A:C,MATCH(DATA!D1074,'OSA | 3GB'!A:A,0),2),0)</f>
        <v xml:space="preserve"> -   </v>
      </c>
      <c r="I1074" s="33">
        <f>_xlfn.IFNA(INDEX('OSA | 3GB'!A:C,MATCH(DATA!D1074,'OSA | 3GB'!A:A,0),3),0)</f>
        <v>500000</v>
      </c>
      <c r="J1074" s="33">
        <f>INDEX('BIO WAHYU'!B:G,MATCH(DATA!D1074,'BIO WAHYU'!B:B,0),5)</f>
        <v>4</v>
      </c>
      <c r="K1074" s="34">
        <f>INDEX('BIO WAHYU'!B:G,MATCH(DATA!D1074,'BIO WAHYU'!B:B,0),6)</f>
        <v>0</v>
      </c>
      <c r="L1074" s="35">
        <f>INDEX('BIO WAHYU'!B:H,MATCH(DATA!D1074,'BIO WAHYU'!B:B,0),7)</f>
        <v>0</v>
      </c>
      <c r="M1074" s="34">
        <f>INDEX('BIO WAHYU'!B:H,MATCH(DATA!D1074,'BIO WAHYU'!B:B,0),4)</f>
        <v>0</v>
      </c>
    </row>
    <row r="1075" spans="1:13">
      <c r="A1075" s="43" t="s">
        <v>1671</v>
      </c>
      <c r="B1075" s="43" t="s">
        <v>142</v>
      </c>
      <c r="C1075" s="43" t="s">
        <v>343</v>
      </c>
      <c r="D1075" s="10">
        <v>12300221</v>
      </c>
      <c r="E1075" s="43" t="s">
        <v>10</v>
      </c>
      <c r="F1075" s="8">
        <f>_xlfn.IFNA(INDEX('OSA | 3GB'!J:L,MATCH(DATA!D1075,'OSA | 3GB'!J:J,0),2),0)</f>
        <v>6</v>
      </c>
      <c r="G1075" s="8">
        <f>_xlfn.IFNA(INDEX('OSA | 3GB'!J:L,MATCH(DATA!D1075,'OSA | 3GB'!J:J,0),3),0)</f>
        <v>8000000</v>
      </c>
      <c r="H1075" s="32">
        <f>_xlfn.IFNA(INDEX('OSA | 3GB'!A:C,MATCH(DATA!D1075,'OSA | 3GB'!A:A,0),2),0)</f>
        <v>17</v>
      </c>
      <c r="I1075" s="33">
        <f>_xlfn.IFNA(INDEX('OSA | 3GB'!A:C,MATCH(DATA!D1075,'OSA | 3GB'!A:A,0),3),0)</f>
        <v>1258000</v>
      </c>
      <c r="J1075" s="33">
        <f>INDEX('BIO WAHYU'!B:G,MATCH(DATA!D1075,'BIO WAHYU'!B:B,0),5)</f>
        <v>3</v>
      </c>
      <c r="K1075" s="34">
        <f>INDEX('BIO WAHYU'!B:G,MATCH(DATA!D1075,'BIO WAHYU'!B:B,0),6)</f>
        <v>4</v>
      </c>
      <c r="L1075" s="35">
        <f>INDEX('BIO WAHYU'!B:H,MATCH(DATA!D1075,'BIO WAHYU'!B:B,0),7)</f>
        <v>1</v>
      </c>
      <c r="M1075" s="34">
        <f>INDEX('BIO WAHYU'!B:H,MATCH(DATA!D1075,'BIO WAHYU'!B:B,0),4)</f>
        <v>0</v>
      </c>
    </row>
    <row r="1076" spans="1:13">
      <c r="A1076" s="43" t="s">
        <v>1670</v>
      </c>
      <c r="B1076" s="43" t="s">
        <v>145</v>
      </c>
      <c r="C1076" s="43" t="s">
        <v>518</v>
      </c>
      <c r="D1076" s="10">
        <v>548338</v>
      </c>
      <c r="E1076" s="43" t="s">
        <v>10</v>
      </c>
      <c r="F1076" s="8">
        <f>_xlfn.IFNA(INDEX('OSA | 3GB'!J:L,MATCH(DATA!D1076,'OSA | 3GB'!J:J,0),2),0)</f>
        <v>5</v>
      </c>
      <c r="G1076" s="8">
        <f>_xlfn.IFNA(INDEX('OSA | 3GB'!J:L,MATCH(DATA!D1076,'OSA | 3GB'!J:J,0),3),0)</f>
        <v>900000</v>
      </c>
      <c r="H1076" s="32">
        <f>_xlfn.IFNA(INDEX('OSA | 3GB'!A:C,MATCH(DATA!D1076,'OSA | 3GB'!A:A,0),2),0)</f>
        <v>3</v>
      </c>
      <c r="I1076" s="33">
        <f>_xlfn.IFNA(INDEX('OSA | 3GB'!A:C,MATCH(DATA!D1076,'OSA | 3GB'!A:A,0),3),0)</f>
        <v>550000</v>
      </c>
      <c r="J1076" s="33">
        <f>INDEX('BIO WAHYU'!B:G,MATCH(DATA!D1076,'BIO WAHYU'!B:B,0),5)</f>
        <v>3</v>
      </c>
      <c r="K1076" s="34">
        <f>INDEX('BIO WAHYU'!B:G,MATCH(DATA!D1076,'BIO WAHYU'!B:B,0),6)</f>
        <v>0</v>
      </c>
      <c r="L1076" s="35">
        <f>INDEX('BIO WAHYU'!B:H,MATCH(DATA!D1076,'BIO WAHYU'!B:B,0),7)</f>
        <v>0</v>
      </c>
      <c r="M1076" s="34">
        <f>INDEX('BIO WAHYU'!B:H,MATCH(DATA!D1076,'BIO WAHYU'!B:B,0),4)</f>
        <v>0</v>
      </c>
    </row>
    <row r="1077" spans="1:13">
      <c r="A1077" s="43" t="s">
        <v>1674</v>
      </c>
      <c r="B1077" s="43" t="s">
        <v>147</v>
      </c>
      <c r="C1077" s="43" t="s">
        <v>1476</v>
      </c>
      <c r="D1077" s="10">
        <v>127187</v>
      </c>
      <c r="E1077" s="43" t="s">
        <v>10</v>
      </c>
      <c r="F1077" s="8">
        <f>_xlfn.IFNA(INDEX('OSA | 3GB'!J:L,MATCH(DATA!D1077,'OSA | 3GB'!J:J,0),2),0)</f>
        <v>0</v>
      </c>
      <c r="G1077" s="8">
        <f>_xlfn.IFNA(INDEX('OSA | 3GB'!J:L,MATCH(DATA!D1077,'OSA | 3GB'!J:J,0),3),0)</f>
        <v>1300000</v>
      </c>
      <c r="H1077" s="32" t="str">
        <f>_xlfn.IFNA(INDEX('OSA | 3GB'!A:C,MATCH(DATA!D1077,'OSA | 3GB'!A:A,0),2),0)</f>
        <v xml:space="preserve"> -   </v>
      </c>
      <c r="I1077" s="33">
        <f>_xlfn.IFNA(INDEX('OSA | 3GB'!A:C,MATCH(DATA!D1077,'OSA | 3GB'!A:A,0),3),0)</f>
        <v>1500000</v>
      </c>
      <c r="J1077" s="33">
        <f>INDEX('BIO WAHYU'!B:G,MATCH(DATA!D1077,'BIO WAHYU'!B:B,0),5)</f>
        <v>1</v>
      </c>
      <c r="K1077" s="34">
        <f>INDEX('BIO WAHYU'!B:G,MATCH(DATA!D1077,'BIO WAHYU'!B:B,0),6)</f>
        <v>1</v>
      </c>
      <c r="L1077" s="35">
        <f>INDEX('BIO WAHYU'!B:H,MATCH(DATA!D1077,'BIO WAHYU'!B:B,0),7)</f>
        <v>0</v>
      </c>
      <c r="M1077" s="34">
        <f>INDEX('BIO WAHYU'!B:H,MATCH(DATA!D1077,'BIO WAHYU'!B:B,0),4)</f>
        <v>0</v>
      </c>
    </row>
    <row r="1078" spans="1:13">
      <c r="A1078" s="43" t="s">
        <v>1</v>
      </c>
      <c r="B1078" s="43" t="s">
        <v>4</v>
      </c>
      <c r="C1078" s="43" t="s">
        <v>46</v>
      </c>
      <c r="D1078" s="10">
        <v>12322483</v>
      </c>
      <c r="E1078" s="43" t="s">
        <v>15</v>
      </c>
      <c r="F1078" s="8">
        <f>_xlfn.IFNA(INDEX('OSA | 3GB'!J:L,MATCH(DATA!D1078,'OSA | 3GB'!J:J,0),2),0)</f>
        <v>5</v>
      </c>
      <c r="G1078" s="8">
        <f>_xlfn.IFNA(INDEX('OSA | 3GB'!J:L,MATCH(DATA!D1078,'OSA | 3GB'!J:J,0),3),0)</f>
        <v>1000</v>
      </c>
      <c r="H1078" s="32">
        <f>_xlfn.IFNA(INDEX('OSA | 3GB'!A:C,MATCH(DATA!D1078,'OSA | 3GB'!A:A,0),2),0)</f>
        <v>5</v>
      </c>
      <c r="I1078" s="33" t="str">
        <f>_xlfn.IFNA(INDEX('OSA | 3GB'!A:C,MATCH(DATA!D1078,'OSA | 3GB'!A:A,0),3),0)</f>
        <v xml:space="preserve"> -   </v>
      </c>
      <c r="J1078" s="33">
        <f>INDEX('BIO WAHYU'!B:G,MATCH(DATA!D1078,'BIO WAHYU'!B:B,0),5)</f>
        <v>5</v>
      </c>
      <c r="K1078" s="34">
        <f>INDEX('BIO WAHYU'!B:G,MATCH(DATA!D1078,'BIO WAHYU'!B:B,0),6)</f>
        <v>5</v>
      </c>
      <c r="L1078" s="35">
        <f>INDEX('BIO WAHYU'!B:H,MATCH(DATA!D1078,'BIO WAHYU'!B:B,0),7)</f>
        <v>0</v>
      </c>
      <c r="M1078" s="34">
        <f>INDEX('BIO WAHYU'!B:H,MATCH(DATA!D1078,'BIO WAHYU'!B:B,0),4)</f>
        <v>0</v>
      </c>
    </row>
    <row r="1079" spans="1:13">
      <c r="A1079" s="43" t="s">
        <v>1672</v>
      </c>
      <c r="B1079" s="43">
        <v>2613051475</v>
      </c>
      <c r="C1079" s="43" t="s">
        <v>894</v>
      </c>
      <c r="D1079" s="10">
        <v>274154</v>
      </c>
      <c r="E1079" s="43" t="s">
        <v>10</v>
      </c>
      <c r="F1079" s="8">
        <f>_xlfn.IFNA(INDEX('OSA | 3GB'!J:L,MATCH(DATA!D1079,'OSA | 3GB'!J:J,0),2),0)</f>
        <v>0</v>
      </c>
      <c r="G1079" s="8">
        <f>_xlfn.IFNA(INDEX('OSA | 3GB'!J:L,MATCH(DATA!D1079,'OSA | 3GB'!J:J,0),3),0)</f>
        <v>1100000</v>
      </c>
      <c r="H1079" s="32" t="str">
        <f>_xlfn.IFNA(INDEX('OSA | 3GB'!A:C,MATCH(DATA!D1079,'OSA | 3GB'!A:A,0),2),0)</f>
        <v xml:space="preserve"> -   </v>
      </c>
      <c r="I1079" s="33">
        <f>_xlfn.IFNA(INDEX('OSA | 3GB'!A:C,MATCH(DATA!D1079,'OSA | 3GB'!A:A,0),3),0)</f>
        <v>200000</v>
      </c>
      <c r="J1079" s="33">
        <f>INDEX('BIO WAHYU'!B:G,MATCH(DATA!D1079,'BIO WAHYU'!B:B,0),5)</f>
        <v>3</v>
      </c>
      <c r="K1079" s="34">
        <f>INDEX('BIO WAHYU'!B:G,MATCH(DATA!D1079,'BIO WAHYU'!B:B,0),6)</f>
        <v>0</v>
      </c>
      <c r="L1079" s="35">
        <f>INDEX('BIO WAHYU'!B:H,MATCH(DATA!D1079,'BIO WAHYU'!B:B,0),7)</f>
        <v>0</v>
      </c>
      <c r="M1079" s="34">
        <f>INDEX('BIO WAHYU'!B:H,MATCH(DATA!D1079,'BIO WAHYU'!B:B,0),4)</f>
        <v>0</v>
      </c>
    </row>
    <row r="1080" spans="1:13">
      <c r="A1080" s="43" t="s">
        <v>1</v>
      </c>
      <c r="B1080" s="43" t="s">
        <v>4</v>
      </c>
      <c r="C1080" s="43" t="s">
        <v>43</v>
      </c>
      <c r="D1080" s="10">
        <v>12295887</v>
      </c>
      <c r="E1080" s="43" t="s">
        <v>15</v>
      </c>
      <c r="F1080" s="8">
        <f>_xlfn.IFNA(INDEX('OSA | 3GB'!J:L,MATCH(DATA!D1080,'OSA | 3GB'!J:J,0),2),0)</f>
        <v>5</v>
      </c>
      <c r="G1080" s="8">
        <f>_xlfn.IFNA(INDEX('OSA | 3GB'!J:L,MATCH(DATA!D1080,'OSA | 3GB'!J:J,0),3),0)</f>
        <v>3266000</v>
      </c>
      <c r="H1080" s="32">
        <f>_xlfn.IFNA(INDEX('OSA | 3GB'!A:C,MATCH(DATA!D1080,'OSA | 3GB'!A:A,0),2),0)</f>
        <v>5</v>
      </c>
      <c r="I1080" s="33">
        <f>_xlfn.IFNA(INDEX('OSA | 3GB'!A:C,MATCH(DATA!D1080,'OSA | 3GB'!A:A,0),3),0)</f>
        <v>1000</v>
      </c>
      <c r="J1080" s="33">
        <f>INDEX('BIO WAHYU'!B:G,MATCH(DATA!D1080,'BIO WAHYU'!B:B,0),5)</f>
        <v>5</v>
      </c>
      <c r="K1080" s="34">
        <f>INDEX('BIO WAHYU'!B:G,MATCH(DATA!D1080,'BIO WAHYU'!B:B,0),6)</f>
        <v>5</v>
      </c>
      <c r="L1080" s="35">
        <f>INDEX('BIO WAHYU'!B:H,MATCH(DATA!D1080,'BIO WAHYU'!B:B,0),7)</f>
        <v>0</v>
      </c>
      <c r="M1080" s="34">
        <f>INDEX('BIO WAHYU'!B:H,MATCH(DATA!D1080,'BIO WAHYU'!B:B,0),4)</f>
        <v>0</v>
      </c>
    </row>
    <row r="1081" spans="1:13">
      <c r="A1081" s="43" t="s">
        <v>1672</v>
      </c>
      <c r="B1081" s="43" t="s">
        <v>155</v>
      </c>
      <c r="C1081" s="43" t="s">
        <v>939</v>
      </c>
      <c r="D1081" s="10">
        <v>366683</v>
      </c>
      <c r="E1081" s="43" t="s">
        <v>10</v>
      </c>
      <c r="F1081" s="8">
        <f>_xlfn.IFNA(INDEX('OSA | 3GB'!J:L,MATCH(DATA!D1081,'OSA | 3GB'!J:J,0),2),0)</f>
        <v>7</v>
      </c>
      <c r="G1081" s="8">
        <f>_xlfn.IFNA(INDEX('OSA | 3GB'!J:L,MATCH(DATA!D1081,'OSA | 3GB'!J:J,0),3),0)</f>
        <v>1500000</v>
      </c>
      <c r="H1081" s="32" t="str">
        <f>_xlfn.IFNA(INDEX('OSA | 3GB'!A:C,MATCH(DATA!D1081,'OSA | 3GB'!A:A,0),2),0)</f>
        <v xml:space="preserve"> -   </v>
      </c>
      <c r="I1081" s="33">
        <f>_xlfn.IFNA(INDEX('OSA | 3GB'!A:C,MATCH(DATA!D1081,'OSA | 3GB'!A:A,0),3),0)</f>
        <v>1000000</v>
      </c>
      <c r="J1081" s="33">
        <f>INDEX('BIO WAHYU'!B:G,MATCH(DATA!D1081,'BIO WAHYU'!B:B,0),5)</f>
        <v>3</v>
      </c>
      <c r="K1081" s="34">
        <f>INDEX('BIO WAHYU'!B:G,MATCH(DATA!D1081,'BIO WAHYU'!B:B,0),6)</f>
        <v>0</v>
      </c>
      <c r="L1081" s="35">
        <f>INDEX('BIO WAHYU'!B:H,MATCH(DATA!D1081,'BIO WAHYU'!B:B,0),7)</f>
        <v>0</v>
      </c>
      <c r="M1081" s="34">
        <f>INDEX('BIO WAHYU'!B:H,MATCH(DATA!D1081,'BIO WAHYU'!B:B,0),4)</f>
        <v>0</v>
      </c>
    </row>
    <row r="1082" spans="1:13">
      <c r="A1082" s="43" t="s">
        <v>1673</v>
      </c>
      <c r="B1082" s="43" t="s">
        <v>144</v>
      </c>
      <c r="C1082" s="43" t="s">
        <v>1477</v>
      </c>
      <c r="D1082" s="10">
        <v>524127</v>
      </c>
      <c r="E1082" s="43" t="s">
        <v>15</v>
      </c>
      <c r="F1082" s="8">
        <f>_xlfn.IFNA(INDEX('OSA | 3GB'!J:L,MATCH(DATA!D1082,'OSA | 3GB'!J:J,0),2),0)</f>
        <v>0</v>
      </c>
      <c r="G1082" s="8">
        <f>_xlfn.IFNA(INDEX('OSA | 3GB'!J:L,MATCH(DATA!D1082,'OSA | 3GB'!J:J,0),3),0)</f>
        <v>0</v>
      </c>
      <c r="H1082" s="32" t="str">
        <f>_xlfn.IFNA(INDEX('OSA | 3GB'!A:C,MATCH(DATA!D1082,'OSA | 3GB'!A:A,0),2),0)</f>
        <v xml:space="preserve"> -   </v>
      </c>
      <c r="I1082" s="33" t="str">
        <f>_xlfn.IFNA(INDEX('OSA | 3GB'!A:C,MATCH(DATA!D1082,'OSA | 3GB'!A:A,0),3),0)</f>
        <v xml:space="preserve"> -   </v>
      </c>
      <c r="J1082" s="33">
        <f>INDEX('BIO WAHYU'!B:G,MATCH(DATA!D1082,'BIO WAHYU'!B:B,0),5)</f>
        <v>0</v>
      </c>
      <c r="K1082" s="34">
        <f>INDEX('BIO WAHYU'!B:G,MATCH(DATA!D1082,'BIO WAHYU'!B:B,0),6)</f>
        <v>0</v>
      </c>
      <c r="L1082" s="35">
        <f>INDEX('BIO WAHYU'!B:H,MATCH(DATA!D1082,'BIO WAHYU'!B:B,0),7)</f>
        <v>0</v>
      </c>
      <c r="M1082" s="34">
        <f>INDEX('BIO WAHYU'!B:H,MATCH(DATA!D1082,'BIO WAHYU'!B:B,0),4)</f>
        <v>0</v>
      </c>
    </row>
    <row r="1083" spans="1:13">
      <c r="A1083" s="43" t="s">
        <v>1673</v>
      </c>
      <c r="B1083" s="43" t="s">
        <v>1140</v>
      </c>
      <c r="C1083" s="43" t="s">
        <v>1478</v>
      </c>
      <c r="D1083" s="10">
        <v>240043</v>
      </c>
      <c r="E1083" s="43" t="s">
        <v>10</v>
      </c>
      <c r="F1083" s="8">
        <f>_xlfn.IFNA(INDEX('OSA | 3GB'!J:L,MATCH(DATA!D1083,'OSA | 3GB'!J:J,0),2),0)</f>
        <v>0</v>
      </c>
      <c r="G1083" s="8">
        <f>_xlfn.IFNA(INDEX('OSA | 3GB'!J:L,MATCH(DATA!D1083,'OSA | 3GB'!J:J,0),3),0)</f>
        <v>7750000</v>
      </c>
      <c r="H1083" s="32" t="str">
        <f>_xlfn.IFNA(INDEX('OSA | 3GB'!A:C,MATCH(DATA!D1083,'OSA | 3GB'!A:A,0),2),0)</f>
        <v xml:space="preserve"> -   </v>
      </c>
      <c r="I1083" s="33">
        <f>_xlfn.IFNA(INDEX('OSA | 3GB'!A:C,MATCH(DATA!D1083,'OSA | 3GB'!A:A,0),3),0)</f>
        <v>3300000</v>
      </c>
      <c r="J1083" s="33">
        <f>INDEX('BIO WAHYU'!B:G,MATCH(DATA!D1083,'BIO WAHYU'!B:B,0),5)</f>
        <v>8</v>
      </c>
      <c r="K1083" s="34">
        <f>INDEX('BIO WAHYU'!B:G,MATCH(DATA!D1083,'BIO WAHYU'!B:B,0),6)</f>
        <v>2</v>
      </c>
      <c r="L1083" s="35">
        <f>INDEX('BIO WAHYU'!B:H,MATCH(DATA!D1083,'BIO WAHYU'!B:B,0),7)</f>
        <v>0</v>
      </c>
      <c r="M1083" s="34">
        <f>INDEX('BIO WAHYU'!B:H,MATCH(DATA!D1083,'BIO WAHYU'!B:B,0),4)</f>
        <v>0</v>
      </c>
    </row>
    <row r="1084" spans="1:13">
      <c r="A1084" s="43" t="s">
        <v>1672</v>
      </c>
      <c r="B1084" s="43" t="s">
        <v>149</v>
      </c>
      <c r="C1084" s="43" t="s">
        <v>786</v>
      </c>
      <c r="D1084" s="10">
        <v>390771</v>
      </c>
      <c r="E1084" s="43" t="s">
        <v>10</v>
      </c>
      <c r="F1084" s="8">
        <f>_xlfn.IFNA(INDEX('OSA | 3GB'!J:L,MATCH(DATA!D1084,'OSA | 3GB'!J:J,0),2),0)</f>
        <v>6</v>
      </c>
      <c r="G1084" s="8">
        <f>_xlfn.IFNA(INDEX('OSA | 3GB'!J:L,MATCH(DATA!D1084,'OSA | 3GB'!J:J,0),3),0)</f>
        <v>850000</v>
      </c>
      <c r="H1084" s="32" t="str">
        <f>_xlfn.IFNA(INDEX('OSA | 3GB'!A:C,MATCH(DATA!D1084,'OSA | 3GB'!A:A,0),2),0)</f>
        <v xml:space="preserve"> -   </v>
      </c>
      <c r="I1084" s="33">
        <f>_xlfn.IFNA(INDEX('OSA | 3GB'!A:C,MATCH(DATA!D1084,'OSA | 3GB'!A:A,0),3),0)</f>
        <v>250000</v>
      </c>
      <c r="J1084" s="33">
        <f>INDEX('BIO WAHYU'!B:G,MATCH(DATA!D1084,'BIO WAHYU'!B:B,0),5)</f>
        <v>1</v>
      </c>
      <c r="K1084" s="34">
        <f>INDEX('BIO WAHYU'!B:G,MATCH(DATA!D1084,'BIO WAHYU'!B:B,0),6)</f>
        <v>0</v>
      </c>
      <c r="L1084" s="35">
        <f>INDEX('BIO WAHYU'!B:H,MATCH(DATA!D1084,'BIO WAHYU'!B:B,0),7)</f>
        <v>0</v>
      </c>
      <c r="M1084" s="34">
        <f>INDEX('BIO WAHYU'!B:H,MATCH(DATA!D1084,'BIO WAHYU'!B:B,0),4)</f>
        <v>0</v>
      </c>
    </row>
    <row r="1085" spans="1:13">
      <c r="A1085" s="43" t="s">
        <v>1672</v>
      </c>
      <c r="B1085" s="43" t="s">
        <v>149</v>
      </c>
      <c r="C1085" s="43" t="s">
        <v>789</v>
      </c>
      <c r="D1085" s="10">
        <v>404090</v>
      </c>
      <c r="E1085" s="43" t="s">
        <v>10</v>
      </c>
      <c r="F1085" s="8">
        <f>_xlfn.IFNA(INDEX('OSA | 3GB'!J:L,MATCH(DATA!D1085,'OSA | 3GB'!J:J,0),2),0)</f>
        <v>5</v>
      </c>
      <c r="G1085" s="8">
        <f>_xlfn.IFNA(INDEX('OSA | 3GB'!J:L,MATCH(DATA!D1085,'OSA | 3GB'!J:J,0),3),0)</f>
        <v>6574000</v>
      </c>
      <c r="H1085" s="32">
        <f>_xlfn.IFNA(INDEX('OSA | 3GB'!A:C,MATCH(DATA!D1085,'OSA | 3GB'!A:A,0),2),0)</f>
        <v>7</v>
      </c>
      <c r="I1085" s="33">
        <f>_xlfn.IFNA(INDEX('OSA | 3GB'!A:C,MATCH(DATA!D1085,'OSA | 3GB'!A:A,0),3),0)</f>
        <v>2158000</v>
      </c>
      <c r="J1085" s="33">
        <f>INDEX('BIO WAHYU'!B:G,MATCH(DATA!D1085,'BIO WAHYU'!B:B,0),5)</f>
        <v>0</v>
      </c>
      <c r="K1085" s="34">
        <f>INDEX('BIO WAHYU'!B:G,MATCH(DATA!D1085,'BIO WAHYU'!B:B,0),6)</f>
        <v>3</v>
      </c>
      <c r="L1085" s="35">
        <f>INDEX('BIO WAHYU'!B:H,MATCH(DATA!D1085,'BIO WAHYU'!B:B,0),7)</f>
        <v>3</v>
      </c>
      <c r="M1085" s="34">
        <f>INDEX('BIO WAHYU'!B:H,MATCH(DATA!D1085,'BIO WAHYU'!B:B,0),4)</f>
        <v>3</v>
      </c>
    </row>
    <row r="1086" spans="1:13">
      <c r="A1086" s="43" t="s">
        <v>1670</v>
      </c>
      <c r="B1086" s="43" t="s">
        <v>146</v>
      </c>
      <c r="C1086" s="43" t="s">
        <v>1479</v>
      </c>
      <c r="D1086" s="10">
        <v>405188</v>
      </c>
      <c r="E1086" s="43" t="s">
        <v>10</v>
      </c>
      <c r="F1086" s="8">
        <f>_xlfn.IFNA(INDEX('OSA | 3GB'!J:L,MATCH(DATA!D1086,'OSA | 3GB'!J:J,0),2),0)</f>
        <v>4</v>
      </c>
      <c r="G1086" s="8">
        <f>_xlfn.IFNA(INDEX('OSA | 3GB'!J:L,MATCH(DATA!D1086,'OSA | 3GB'!J:J,0),3),0)</f>
        <v>7540000</v>
      </c>
      <c r="H1086" s="32">
        <f>_xlfn.IFNA(INDEX('OSA | 3GB'!A:C,MATCH(DATA!D1086,'OSA | 3GB'!A:A,0),2),0)</f>
        <v>3</v>
      </c>
      <c r="I1086" s="33">
        <f>_xlfn.IFNA(INDEX('OSA | 3GB'!A:C,MATCH(DATA!D1086,'OSA | 3GB'!A:A,0),3),0)</f>
        <v>2900000</v>
      </c>
      <c r="J1086" s="33">
        <f>INDEX('BIO WAHYU'!B:G,MATCH(DATA!D1086,'BIO WAHYU'!B:B,0),5)</f>
        <v>4</v>
      </c>
      <c r="K1086" s="34">
        <f>INDEX('BIO WAHYU'!B:G,MATCH(DATA!D1086,'BIO WAHYU'!B:B,0),6)</f>
        <v>0</v>
      </c>
      <c r="L1086" s="35">
        <f>INDEX('BIO WAHYU'!B:H,MATCH(DATA!D1086,'BIO WAHYU'!B:B,0),7)</f>
        <v>0</v>
      </c>
      <c r="M1086" s="34">
        <f>INDEX('BIO WAHYU'!B:H,MATCH(DATA!D1086,'BIO WAHYU'!B:B,0),4)</f>
        <v>1</v>
      </c>
    </row>
    <row r="1087" spans="1:13">
      <c r="A1087" s="43" t="s">
        <v>1672</v>
      </c>
      <c r="B1087" s="43" t="s">
        <v>149</v>
      </c>
      <c r="C1087" s="43" t="s">
        <v>776</v>
      </c>
      <c r="D1087" s="10">
        <v>2772</v>
      </c>
      <c r="E1087" s="43" t="s">
        <v>10</v>
      </c>
      <c r="F1087" s="8">
        <f>_xlfn.IFNA(INDEX('OSA | 3GB'!J:L,MATCH(DATA!D1087,'OSA | 3GB'!J:J,0),2),0)</f>
        <v>0</v>
      </c>
      <c r="G1087" s="8">
        <f>_xlfn.IFNA(INDEX('OSA | 3GB'!J:L,MATCH(DATA!D1087,'OSA | 3GB'!J:J,0),3),0)</f>
        <v>3903000</v>
      </c>
      <c r="H1087" s="32">
        <f>_xlfn.IFNA(INDEX('OSA | 3GB'!A:C,MATCH(DATA!D1087,'OSA | 3GB'!A:A,0),2),0)</f>
        <v>6</v>
      </c>
      <c r="I1087" s="33">
        <f>_xlfn.IFNA(INDEX('OSA | 3GB'!A:C,MATCH(DATA!D1087,'OSA | 3GB'!A:A,0),3),0)</f>
        <v>1916000</v>
      </c>
      <c r="J1087" s="33">
        <f>INDEX('BIO WAHYU'!B:G,MATCH(DATA!D1087,'BIO WAHYU'!B:B,0),5)</f>
        <v>1</v>
      </c>
      <c r="K1087" s="34">
        <f>INDEX('BIO WAHYU'!B:G,MATCH(DATA!D1087,'BIO WAHYU'!B:B,0),6)</f>
        <v>1</v>
      </c>
      <c r="L1087" s="35">
        <f>INDEX('BIO WAHYU'!B:H,MATCH(DATA!D1087,'BIO WAHYU'!B:B,0),7)</f>
        <v>0</v>
      </c>
      <c r="M1087" s="34">
        <f>INDEX('BIO WAHYU'!B:H,MATCH(DATA!D1087,'BIO WAHYU'!B:B,0),4)</f>
        <v>0</v>
      </c>
    </row>
    <row r="1088" spans="1:13">
      <c r="A1088" s="43" t="s">
        <v>1675</v>
      </c>
      <c r="B1088" s="43" t="s">
        <v>136</v>
      </c>
      <c r="C1088" s="43" t="s">
        <v>1480</v>
      </c>
      <c r="D1088" s="10">
        <v>352910</v>
      </c>
      <c r="E1088" s="43" t="s">
        <v>15</v>
      </c>
      <c r="F1088" s="8">
        <f>_xlfn.IFNA(INDEX('OSA | 3GB'!J:L,MATCH(DATA!D1088,'OSA | 3GB'!J:J,0),2),0)</f>
        <v>3</v>
      </c>
      <c r="G1088" s="8">
        <f>_xlfn.IFNA(INDEX('OSA | 3GB'!J:L,MATCH(DATA!D1088,'OSA | 3GB'!J:J,0),3),0)</f>
        <v>500000</v>
      </c>
      <c r="H1088" s="32">
        <f>_xlfn.IFNA(INDEX('OSA | 3GB'!A:C,MATCH(DATA!D1088,'OSA | 3GB'!A:A,0),2),0)</f>
        <v>1</v>
      </c>
      <c r="I1088" s="33">
        <f>_xlfn.IFNA(INDEX('OSA | 3GB'!A:C,MATCH(DATA!D1088,'OSA | 3GB'!A:A,0),3),0)</f>
        <v>29000</v>
      </c>
      <c r="J1088" s="33">
        <f>INDEX('BIO WAHYU'!B:G,MATCH(DATA!D1088,'BIO WAHYU'!B:B,0),5)</f>
        <v>4</v>
      </c>
      <c r="K1088" s="34">
        <f>INDEX('BIO WAHYU'!B:G,MATCH(DATA!D1088,'BIO WAHYU'!B:B,0),6)</f>
        <v>0</v>
      </c>
      <c r="L1088" s="35">
        <f>INDEX('BIO WAHYU'!B:H,MATCH(DATA!D1088,'BIO WAHYU'!B:B,0),7)</f>
        <v>0</v>
      </c>
      <c r="M1088" s="34">
        <f>INDEX('BIO WAHYU'!B:H,MATCH(DATA!D1088,'BIO WAHYU'!B:B,0),4)</f>
        <v>0</v>
      </c>
    </row>
    <row r="1089" spans="1:13">
      <c r="A1089" s="43" t="s">
        <v>1</v>
      </c>
      <c r="B1089" s="43" t="s">
        <v>5</v>
      </c>
      <c r="C1089" s="43" t="s">
        <v>96</v>
      </c>
      <c r="D1089" s="10">
        <v>481857</v>
      </c>
      <c r="E1089" s="43" t="s">
        <v>15</v>
      </c>
      <c r="F1089" s="8">
        <f>_xlfn.IFNA(INDEX('OSA | 3GB'!J:L,MATCH(DATA!D1089,'OSA | 3GB'!J:J,0),2),0)</f>
        <v>0</v>
      </c>
      <c r="G1089" s="8">
        <f>_xlfn.IFNA(INDEX('OSA | 3GB'!J:L,MATCH(DATA!D1089,'OSA | 3GB'!J:J,0),3),0)</f>
        <v>200000</v>
      </c>
      <c r="H1089" s="32" t="str">
        <f>_xlfn.IFNA(INDEX('OSA | 3GB'!A:C,MATCH(DATA!D1089,'OSA | 3GB'!A:A,0),2),0)</f>
        <v xml:space="preserve"> -   </v>
      </c>
      <c r="I1089" s="33" t="str">
        <f>_xlfn.IFNA(INDEX('OSA | 3GB'!A:C,MATCH(DATA!D1089,'OSA | 3GB'!A:A,0),3),0)</f>
        <v xml:space="preserve"> -   </v>
      </c>
      <c r="J1089" s="33">
        <f>INDEX('BIO WAHYU'!B:G,MATCH(DATA!D1089,'BIO WAHYU'!B:B,0),5)</f>
        <v>3</v>
      </c>
      <c r="K1089" s="34">
        <f>INDEX('BIO WAHYU'!B:G,MATCH(DATA!D1089,'BIO WAHYU'!B:B,0),6)</f>
        <v>0</v>
      </c>
      <c r="L1089" s="35">
        <f>INDEX('BIO WAHYU'!B:H,MATCH(DATA!D1089,'BIO WAHYU'!B:B,0),7)</f>
        <v>0</v>
      </c>
      <c r="M1089" s="34">
        <f>INDEX('BIO WAHYU'!B:H,MATCH(DATA!D1089,'BIO WAHYU'!B:B,0),4)</f>
        <v>0</v>
      </c>
    </row>
    <row r="1090" spans="1:13">
      <c r="A1090" s="43" t="s">
        <v>1672</v>
      </c>
      <c r="B1090" s="43" t="s">
        <v>155</v>
      </c>
      <c r="C1090" s="43" t="s">
        <v>937</v>
      </c>
      <c r="D1090" s="10">
        <v>282322</v>
      </c>
      <c r="E1090" s="43" t="s">
        <v>10</v>
      </c>
      <c r="F1090" s="8">
        <f>_xlfn.IFNA(INDEX('OSA | 3GB'!J:L,MATCH(DATA!D1090,'OSA | 3GB'!J:J,0),2),0)</f>
        <v>6</v>
      </c>
      <c r="G1090" s="8">
        <f>_xlfn.IFNA(INDEX('OSA | 3GB'!J:L,MATCH(DATA!D1090,'OSA | 3GB'!J:J,0),3),0)</f>
        <v>1650000</v>
      </c>
      <c r="H1090" s="32">
        <f>_xlfn.IFNA(INDEX('OSA | 3GB'!A:C,MATCH(DATA!D1090,'OSA | 3GB'!A:A,0),2),0)</f>
        <v>3</v>
      </c>
      <c r="I1090" s="33">
        <f>_xlfn.IFNA(INDEX('OSA | 3GB'!A:C,MATCH(DATA!D1090,'OSA | 3GB'!A:A,0),3),0)</f>
        <v>650000</v>
      </c>
      <c r="J1090" s="33">
        <f>INDEX('BIO WAHYU'!B:G,MATCH(DATA!D1090,'BIO WAHYU'!B:B,0),5)</f>
        <v>4</v>
      </c>
      <c r="K1090" s="34">
        <f>INDEX('BIO WAHYU'!B:G,MATCH(DATA!D1090,'BIO WAHYU'!B:B,0),6)</f>
        <v>3</v>
      </c>
      <c r="L1090" s="35">
        <f>INDEX('BIO WAHYU'!B:H,MATCH(DATA!D1090,'BIO WAHYU'!B:B,0),7)</f>
        <v>0</v>
      </c>
      <c r="M1090" s="34">
        <f>INDEX('BIO WAHYU'!B:H,MATCH(DATA!D1090,'BIO WAHYU'!B:B,0),4)</f>
        <v>0</v>
      </c>
    </row>
    <row r="1091" spans="1:13">
      <c r="A1091" s="43" t="s">
        <v>1670</v>
      </c>
      <c r="B1091" s="43" t="s">
        <v>146</v>
      </c>
      <c r="C1091" s="43" t="s">
        <v>1481</v>
      </c>
      <c r="D1091" s="10">
        <v>63897</v>
      </c>
      <c r="E1091" s="43" t="s">
        <v>10</v>
      </c>
      <c r="F1091" s="8">
        <f>_xlfn.IFNA(INDEX('OSA | 3GB'!J:L,MATCH(DATA!D1091,'OSA | 3GB'!J:J,0),2),0)</f>
        <v>6</v>
      </c>
      <c r="G1091" s="8">
        <f>_xlfn.IFNA(INDEX('OSA | 3GB'!J:L,MATCH(DATA!D1091,'OSA | 3GB'!J:J,0),3),0)</f>
        <v>300000</v>
      </c>
      <c r="H1091" s="32">
        <f>_xlfn.IFNA(INDEX('OSA | 3GB'!A:C,MATCH(DATA!D1091,'OSA | 3GB'!A:A,0),2),0)</f>
        <v>3</v>
      </c>
      <c r="I1091" s="33">
        <f>_xlfn.IFNA(INDEX('OSA | 3GB'!A:C,MATCH(DATA!D1091,'OSA | 3GB'!A:A,0),3),0)</f>
        <v>300000</v>
      </c>
      <c r="J1091" s="33">
        <f>INDEX('BIO WAHYU'!B:G,MATCH(DATA!D1091,'BIO WAHYU'!B:B,0),5)</f>
        <v>5</v>
      </c>
      <c r="K1091" s="34">
        <f>INDEX('BIO WAHYU'!B:G,MATCH(DATA!D1091,'BIO WAHYU'!B:B,0),6)</f>
        <v>0</v>
      </c>
      <c r="L1091" s="35">
        <f>INDEX('BIO WAHYU'!B:H,MATCH(DATA!D1091,'BIO WAHYU'!B:B,0),7)</f>
        <v>0</v>
      </c>
      <c r="M1091" s="34">
        <f>INDEX('BIO WAHYU'!B:H,MATCH(DATA!D1091,'BIO WAHYU'!B:B,0),4)</f>
        <v>0</v>
      </c>
    </row>
    <row r="1092" spans="1:13">
      <c r="A1092" s="43" t="s">
        <v>1672</v>
      </c>
      <c r="B1092" s="43" t="s">
        <v>149</v>
      </c>
      <c r="C1092" s="43" t="s">
        <v>785</v>
      </c>
      <c r="D1092" s="10">
        <v>385457</v>
      </c>
      <c r="E1092" s="43" t="s">
        <v>10</v>
      </c>
      <c r="F1092" s="8">
        <f>_xlfn.IFNA(INDEX('OSA | 3GB'!J:L,MATCH(DATA!D1092,'OSA | 3GB'!J:J,0),2),0)</f>
        <v>7</v>
      </c>
      <c r="G1092" s="8">
        <f>_xlfn.IFNA(INDEX('OSA | 3GB'!J:L,MATCH(DATA!D1092,'OSA | 3GB'!J:J,0),3),0)</f>
        <v>1300000</v>
      </c>
      <c r="H1092" s="32" t="str">
        <f>_xlfn.IFNA(INDEX('OSA | 3GB'!A:C,MATCH(DATA!D1092,'OSA | 3GB'!A:A,0),2),0)</f>
        <v xml:space="preserve"> -   </v>
      </c>
      <c r="I1092" s="33">
        <f>_xlfn.IFNA(INDEX('OSA | 3GB'!A:C,MATCH(DATA!D1092,'OSA | 3GB'!A:A,0),3),0)</f>
        <v>1005000</v>
      </c>
      <c r="J1092" s="33">
        <f>INDEX('BIO WAHYU'!B:G,MATCH(DATA!D1092,'BIO WAHYU'!B:B,0),5)</f>
        <v>4</v>
      </c>
      <c r="K1092" s="34">
        <f>INDEX('BIO WAHYU'!B:G,MATCH(DATA!D1092,'BIO WAHYU'!B:B,0),6)</f>
        <v>4</v>
      </c>
      <c r="L1092" s="35">
        <f>INDEX('BIO WAHYU'!B:H,MATCH(DATA!D1092,'BIO WAHYU'!B:B,0),7)</f>
        <v>0</v>
      </c>
      <c r="M1092" s="34">
        <f>INDEX('BIO WAHYU'!B:H,MATCH(DATA!D1092,'BIO WAHYU'!B:B,0),4)</f>
        <v>0</v>
      </c>
    </row>
    <row r="1093" spans="1:13">
      <c r="A1093" s="43" t="s">
        <v>1672</v>
      </c>
      <c r="B1093" s="43" t="s">
        <v>150</v>
      </c>
      <c r="C1093" s="43" t="s">
        <v>808</v>
      </c>
      <c r="D1093" s="10">
        <v>12325045</v>
      </c>
      <c r="E1093" s="43" t="s">
        <v>10</v>
      </c>
      <c r="F1093" s="8">
        <f>_xlfn.IFNA(INDEX('OSA | 3GB'!J:L,MATCH(DATA!D1093,'OSA | 3GB'!J:J,0),2),0)</f>
        <v>0</v>
      </c>
      <c r="G1093" s="8">
        <f>_xlfn.IFNA(INDEX('OSA | 3GB'!J:L,MATCH(DATA!D1093,'OSA | 3GB'!J:J,0),3),0)</f>
        <v>200000</v>
      </c>
      <c r="H1093" s="32" t="str">
        <f>_xlfn.IFNA(INDEX('OSA | 3GB'!A:C,MATCH(DATA!D1093,'OSA | 3GB'!A:A,0),2),0)</f>
        <v xml:space="preserve"> -   </v>
      </c>
      <c r="I1093" s="33" t="str">
        <f>_xlfn.IFNA(INDEX('OSA | 3GB'!A:C,MATCH(DATA!D1093,'OSA | 3GB'!A:A,0),3),0)</f>
        <v xml:space="preserve"> -   </v>
      </c>
      <c r="J1093" s="33">
        <f>INDEX('BIO WAHYU'!B:G,MATCH(DATA!D1093,'BIO WAHYU'!B:B,0),5)</f>
        <v>0</v>
      </c>
      <c r="K1093" s="34">
        <f>INDEX('BIO WAHYU'!B:G,MATCH(DATA!D1093,'BIO WAHYU'!B:B,0),6)</f>
        <v>0</v>
      </c>
      <c r="L1093" s="35">
        <f>INDEX('BIO WAHYU'!B:H,MATCH(DATA!D1093,'BIO WAHYU'!B:B,0),7)</f>
        <v>0</v>
      </c>
      <c r="M1093" s="34">
        <f>INDEX('BIO WAHYU'!B:H,MATCH(DATA!D1093,'BIO WAHYU'!B:B,0),4)</f>
        <v>0</v>
      </c>
    </row>
    <row r="1094" spans="1:13">
      <c r="A1094" s="43" t="s">
        <v>1674</v>
      </c>
      <c r="B1094" s="43" t="s">
        <v>153</v>
      </c>
      <c r="C1094" s="43" t="s">
        <v>733</v>
      </c>
      <c r="D1094" s="10">
        <v>67321</v>
      </c>
      <c r="E1094" s="43" t="s">
        <v>10</v>
      </c>
      <c r="F1094" s="8">
        <f>_xlfn.IFNA(INDEX('OSA | 3GB'!J:L,MATCH(DATA!D1094,'OSA | 3GB'!J:J,0),2),0)</f>
        <v>0</v>
      </c>
      <c r="G1094" s="8">
        <f>_xlfn.IFNA(INDEX('OSA | 3GB'!J:L,MATCH(DATA!D1094,'OSA | 3GB'!J:J,0),3),0)</f>
        <v>3210000</v>
      </c>
      <c r="H1094" s="32" t="str">
        <f>_xlfn.IFNA(INDEX('OSA | 3GB'!A:C,MATCH(DATA!D1094,'OSA | 3GB'!A:A,0),2),0)</f>
        <v xml:space="preserve"> -   </v>
      </c>
      <c r="I1094" s="33">
        <f>_xlfn.IFNA(INDEX('OSA | 3GB'!A:C,MATCH(DATA!D1094,'OSA | 3GB'!A:A,0),3),0)</f>
        <v>1160000</v>
      </c>
      <c r="J1094" s="33">
        <f>INDEX('BIO WAHYU'!B:G,MATCH(DATA!D1094,'BIO WAHYU'!B:B,0),5)</f>
        <v>1</v>
      </c>
      <c r="K1094" s="34">
        <f>INDEX('BIO WAHYU'!B:G,MATCH(DATA!D1094,'BIO WAHYU'!B:B,0),6)</f>
        <v>5</v>
      </c>
      <c r="L1094" s="35">
        <f>INDEX('BIO WAHYU'!B:H,MATCH(DATA!D1094,'BIO WAHYU'!B:B,0),7)</f>
        <v>4</v>
      </c>
      <c r="M1094" s="34">
        <f>INDEX('BIO WAHYU'!B:H,MATCH(DATA!D1094,'BIO WAHYU'!B:B,0),4)</f>
        <v>0</v>
      </c>
    </row>
    <row r="1095" spans="1:13">
      <c r="A1095" s="43" t="s">
        <v>1674</v>
      </c>
      <c r="B1095" s="43" t="s">
        <v>153</v>
      </c>
      <c r="C1095" s="43" t="s">
        <v>720</v>
      </c>
      <c r="D1095" s="10">
        <v>249761</v>
      </c>
      <c r="E1095" s="43" t="s">
        <v>10</v>
      </c>
      <c r="F1095" s="8">
        <f>_xlfn.IFNA(INDEX('OSA | 3GB'!J:L,MATCH(DATA!D1095,'OSA | 3GB'!J:J,0),2),0)</f>
        <v>2</v>
      </c>
      <c r="G1095" s="8">
        <f>_xlfn.IFNA(INDEX('OSA | 3GB'!J:L,MATCH(DATA!D1095,'OSA | 3GB'!J:J,0),3),0)</f>
        <v>2000000</v>
      </c>
      <c r="H1095" s="32" t="str">
        <f>_xlfn.IFNA(INDEX('OSA | 3GB'!A:C,MATCH(DATA!D1095,'OSA | 3GB'!A:A,0),2),0)</f>
        <v xml:space="preserve"> -   </v>
      </c>
      <c r="I1095" s="33">
        <f>_xlfn.IFNA(INDEX('OSA | 3GB'!A:C,MATCH(DATA!D1095,'OSA | 3GB'!A:A,0),3),0)</f>
        <v>1070000</v>
      </c>
      <c r="J1095" s="33">
        <f>INDEX('BIO WAHYU'!B:G,MATCH(DATA!D1095,'BIO WAHYU'!B:B,0),5)</f>
        <v>1</v>
      </c>
      <c r="K1095" s="34">
        <f>INDEX('BIO WAHYU'!B:G,MATCH(DATA!D1095,'BIO WAHYU'!B:B,0),6)</f>
        <v>4</v>
      </c>
      <c r="L1095" s="35">
        <f>INDEX('BIO WAHYU'!B:H,MATCH(DATA!D1095,'BIO WAHYU'!B:B,0),7)</f>
        <v>3</v>
      </c>
      <c r="M1095" s="34">
        <f>INDEX('BIO WAHYU'!B:H,MATCH(DATA!D1095,'BIO WAHYU'!B:B,0),4)</f>
        <v>0</v>
      </c>
    </row>
    <row r="1096" spans="1:13">
      <c r="A1096" s="43" t="s">
        <v>1675</v>
      </c>
      <c r="B1096" s="43">
        <v>2613051043</v>
      </c>
      <c r="C1096" s="43" t="s">
        <v>448</v>
      </c>
      <c r="D1096" s="10">
        <v>12297174</v>
      </c>
      <c r="E1096" s="43" t="s">
        <v>15</v>
      </c>
      <c r="F1096" s="8">
        <f>_xlfn.IFNA(INDEX('OSA | 3GB'!J:L,MATCH(DATA!D1096,'OSA | 3GB'!J:J,0),2),0)</f>
        <v>0</v>
      </c>
      <c r="G1096" s="8">
        <f>_xlfn.IFNA(INDEX('OSA | 3GB'!J:L,MATCH(DATA!D1096,'OSA | 3GB'!J:J,0),3),0)</f>
        <v>0</v>
      </c>
      <c r="H1096" s="32" t="str">
        <f>_xlfn.IFNA(INDEX('OSA | 3GB'!A:C,MATCH(DATA!D1096,'OSA | 3GB'!A:A,0),2),0)</f>
        <v xml:space="preserve"> -   </v>
      </c>
      <c r="I1096" s="33" t="str">
        <f>_xlfn.IFNA(INDEX('OSA | 3GB'!A:C,MATCH(DATA!D1096,'OSA | 3GB'!A:A,0),3),0)</f>
        <v xml:space="preserve"> -   </v>
      </c>
      <c r="J1096" s="33">
        <f>INDEX('BIO WAHYU'!B:G,MATCH(DATA!D1096,'BIO WAHYU'!B:B,0),5)</f>
        <v>0</v>
      </c>
      <c r="K1096" s="34">
        <f>INDEX('BIO WAHYU'!B:G,MATCH(DATA!D1096,'BIO WAHYU'!B:B,0),6)</f>
        <v>0</v>
      </c>
      <c r="L1096" s="35">
        <f>INDEX('BIO WAHYU'!B:H,MATCH(DATA!D1096,'BIO WAHYU'!B:B,0),7)</f>
        <v>0</v>
      </c>
      <c r="M1096" s="34">
        <f>INDEX('BIO WAHYU'!B:H,MATCH(DATA!D1096,'BIO WAHYU'!B:B,0),4)</f>
        <v>0</v>
      </c>
    </row>
    <row r="1097" spans="1:13">
      <c r="A1097" s="43" t="s">
        <v>1672</v>
      </c>
      <c r="B1097" s="43" t="s">
        <v>150</v>
      </c>
      <c r="C1097" s="43" t="s">
        <v>827</v>
      </c>
      <c r="D1097" s="10">
        <v>366695</v>
      </c>
      <c r="E1097" s="43" t="s">
        <v>10</v>
      </c>
      <c r="F1097" s="8">
        <f>_xlfn.IFNA(INDEX('OSA | 3GB'!J:L,MATCH(DATA!D1097,'OSA | 3GB'!J:J,0),2),0)</f>
        <v>1</v>
      </c>
      <c r="G1097" s="8">
        <f>_xlfn.IFNA(INDEX('OSA | 3GB'!J:L,MATCH(DATA!D1097,'OSA | 3GB'!J:J,0),3),0)</f>
        <v>4200000</v>
      </c>
      <c r="H1097" s="32" t="str">
        <f>_xlfn.IFNA(INDEX('OSA | 3GB'!A:C,MATCH(DATA!D1097,'OSA | 3GB'!A:A,0),2),0)</f>
        <v xml:space="preserve"> -   </v>
      </c>
      <c r="I1097" s="33">
        <f>_xlfn.IFNA(INDEX('OSA | 3GB'!A:C,MATCH(DATA!D1097,'OSA | 3GB'!A:A,0),3),0)</f>
        <v>1800000</v>
      </c>
      <c r="J1097" s="33">
        <f>INDEX('BIO WAHYU'!B:G,MATCH(DATA!D1097,'BIO WAHYU'!B:B,0),5)</f>
        <v>5</v>
      </c>
      <c r="K1097" s="34">
        <f>INDEX('BIO WAHYU'!B:G,MATCH(DATA!D1097,'BIO WAHYU'!B:B,0),6)</f>
        <v>11</v>
      </c>
      <c r="L1097" s="35">
        <f>INDEX('BIO WAHYU'!B:H,MATCH(DATA!D1097,'BIO WAHYU'!B:B,0),7)</f>
        <v>6</v>
      </c>
      <c r="M1097" s="34">
        <f>INDEX('BIO WAHYU'!B:H,MATCH(DATA!D1097,'BIO WAHYU'!B:B,0),4)</f>
        <v>0</v>
      </c>
    </row>
    <row r="1098" spans="1:13">
      <c r="A1098" s="43" t="s">
        <v>1675</v>
      </c>
      <c r="B1098" s="43" t="s">
        <v>137</v>
      </c>
      <c r="C1098" s="43" t="s">
        <v>1482</v>
      </c>
      <c r="D1098" s="10">
        <v>12323426</v>
      </c>
      <c r="E1098" s="43" t="s">
        <v>15</v>
      </c>
      <c r="F1098" s="8">
        <f>_xlfn.IFNA(INDEX('OSA | 3GB'!J:L,MATCH(DATA!D1098,'OSA | 3GB'!J:J,0),2),0)</f>
        <v>6</v>
      </c>
      <c r="G1098" s="8">
        <f>_xlfn.IFNA(INDEX('OSA | 3GB'!J:L,MATCH(DATA!D1098,'OSA | 3GB'!J:J,0),3),0)</f>
        <v>229000</v>
      </c>
      <c r="H1098" s="32" t="str">
        <f>_xlfn.IFNA(INDEX('OSA | 3GB'!A:C,MATCH(DATA!D1098,'OSA | 3GB'!A:A,0),2),0)</f>
        <v xml:space="preserve"> -   </v>
      </c>
      <c r="I1098" s="33">
        <f>_xlfn.IFNA(INDEX('OSA | 3GB'!A:C,MATCH(DATA!D1098,'OSA | 3GB'!A:A,0),3),0)</f>
        <v>250000</v>
      </c>
      <c r="J1098" s="33">
        <f>INDEX('BIO WAHYU'!B:G,MATCH(DATA!D1098,'BIO WAHYU'!B:B,0),5)</f>
        <v>1</v>
      </c>
      <c r="K1098" s="34">
        <f>INDEX('BIO WAHYU'!B:G,MATCH(DATA!D1098,'BIO WAHYU'!B:B,0),6)</f>
        <v>0</v>
      </c>
      <c r="L1098" s="35">
        <f>INDEX('BIO WAHYU'!B:H,MATCH(DATA!D1098,'BIO WAHYU'!B:B,0),7)</f>
        <v>0</v>
      </c>
      <c r="M1098" s="34">
        <f>INDEX('BIO WAHYU'!B:H,MATCH(DATA!D1098,'BIO WAHYU'!B:B,0),4)</f>
        <v>0</v>
      </c>
    </row>
    <row r="1099" spans="1:13">
      <c r="A1099" s="43" t="s">
        <v>1671</v>
      </c>
      <c r="B1099" s="43">
        <v>2613050885</v>
      </c>
      <c r="C1099" s="43" t="s">
        <v>1483</v>
      </c>
      <c r="D1099" s="10">
        <v>115236</v>
      </c>
      <c r="E1099" s="43" t="s">
        <v>10</v>
      </c>
      <c r="F1099" s="8">
        <f>_xlfn.IFNA(INDEX('OSA | 3GB'!J:L,MATCH(DATA!D1099,'OSA | 3GB'!J:J,0),2),0)</f>
        <v>0</v>
      </c>
      <c r="G1099" s="8">
        <f>_xlfn.IFNA(INDEX('OSA | 3GB'!J:L,MATCH(DATA!D1099,'OSA | 3GB'!J:J,0),3),0)</f>
        <v>1200000</v>
      </c>
      <c r="H1099" s="32">
        <f>_xlfn.IFNA(INDEX('OSA | 3GB'!A:C,MATCH(DATA!D1099,'OSA | 3GB'!A:A,0),2),0)</f>
        <v>4</v>
      </c>
      <c r="I1099" s="33">
        <f>_xlfn.IFNA(INDEX('OSA | 3GB'!A:C,MATCH(DATA!D1099,'OSA | 3GB'!A:A,0),3),0)</f>
        <v>450000</v>
      </c>
      <c r="J1099" s="33">
        <f>INDEX('BIO WAHYU'!B:G,MATCH(DATA!D1099,'BIO WAHYU'!B:B,0),5)</f>
        <v>2</v>
      </c>
      <c r="K1099" s="34">
        <f>INDEX('BIO WAHYU'!B:G,MATCH(DATA!D1099,'BIO WAHYU'!B:B,0),6)</f>
        <v>7</v>
      </c>
      <c r="L1099" s="35">
        <f>INDEX('BIO WAHYU'!B:H,MATCH(DATA!D1099,'BIO WAHYU'!B:B,0),7)</f>
        <v>5</v>
      </c>
      <c r="M1099" s="34">
        <f>INDEX('BIO WAHYU'!B:H,MATCH(DATA!D1099,'BIO WAHYU'!B:B,0),4)</f>
        <v>1</v>
      </c>
    </row>
    <row r="1100" spans="1:13">
      <c r="A1100" s="43" t="s">
        <v>1</v>
      </c>
      <c r="B1100" s="43" t="s">
        <v>5</v>
      </c>
      <c r="C1100" s="43" t="s">
        <v>110</v>
      </c>
      <c r="D1100" s="10">
        <v>562953</v>
      </c>
      <c r="E1100" s="43" t="s">
        <v>15</v>
      </c>
      <c r="F1100" s="8">
        <f>_xlfn.IFNA(INDEX('OSA | 3GB'!J:L,MATCH(DATA!D1100,'OSA | 3GB'!J:J,0),2),0)</f>
        <v>1</v>
      </c>
      <c r="G1100" s="8">
        <f>_xlfn.IFNA(INDEX('OSA | 3GB'!J:L,MATCH(DATA!D1100,'OSA | 3GB'!J:J,0),3),0)</f>
        <v>4000000</v>
      </c>
      <c r="H1100" s="32" t="str">
        <f>_xlfn.IFNA(INDEX('OSA | 3GB'!A:C,MATCH(DATA!D1100,'OSA | 3GB'!A:A,0),2),0)</f>
        <v xml:space="preserve"> -   </v>
      </c>
      <c r="I1100" s="33">
        <f>_xlfn.IFNA(INDEX('OSA | 3GB'!A:C,MATCH(DATA!D1100,'OSA | 3GB'!A:A,0),3),0)</f>
        <v>1000000</v>
      </c>
      <c r="J1100" s="33">
        <f>INDEX('BIO WAHYU'!B:G,MATCH(DATA!D1100,'BIO WAHYU'!B:B,0),5)</f>
        <v>1</v>
      </c>
      <c r="K1100" s="34">
        <f>INDEX('BIO WAHYU'!B:G,MATCH(DATA!D1100,'BIO WAHYU'!B:B,0),6)</f>
        <v>2</v>
      </c>
      <c r="L1100" s="35">
        <f>INDEX('BIO WAHYU'!B:H,MATCH(DATA!D1100,'BIO WAHYU'!B:B,0),7)</f>
        <v>1</v>
      </c>
      <c r="M1100" s="34">
        <f>INDEX('BIO WAHYU'!B:H,MATCH(DATA!D1100,'BIO WAHYU'!B:B,0),4)</f>
        <v>0</v>
      </c>
    </row>
    <row r="1101" spans="1:13">
      <c r="A1101" s="43" t="s">
        <v>1674</v>
      </c>
      <c r="B1101" s="43" t="s">
        <v>154</v>
      </c>
      <c r="C1101" s="43" t="s">
        <v>744</v>
      </c>
      <c r="D1101" s="10">
        <v>311868</v>
      </c>
      <c r="E1101" s="43" t="s">
        <v>10</v>
      </c>
      <c r="F1101" s="8">
        <f>_xlfn.IFNA(INDEX('OSA | 3GB'!J:L,MATCH(DATA!D1101,'OSA | 3GB'!J:J,0),2),0)</f>
        <v>3</v>
      </c>
      <c r="G1101" s="8">
        <f>_xlfn.IFNA(INDEX('OSA | 3GB'!J:L,MATCH(DATA!D1101,'OSA | 3GB'!J:J,0),3),0)</f>
        <v>600000</v>
      </c>
      <c r="H1101" s="32" t="str">
        <f>_xlfn.IFNA(INDEX('OSA | 3GB'!A:C,MATCH(DATA!D1101,'OSA | 3GB'!A:A,0),2),0)</f>
        <v xml:space="preserve"> -   </v>
      </c>
      <c r="I1101" s="33">
        <f>_xlfn.IFNA(INDEX('OSA | 3GB'!A:C,MATCH(DATA!D1101,'OSA | 3GB'!A:A,0),3),0)</f>
        <v>100000</v>
      </c>
      <c r="J1101" s="33">
        <f>INDEX('BIO WAHYU'!B:G,MATCH(DATA!D1101,'BIO WAHYU'!B:B,0),5)</f>
        <v>3</v>
      </c>
      <c r="K1101" s="34">
        <f>INDEX('BIO WAHYU'!B:G,MATCH(DATA!D1101,'BIO WAHYU'!B:B,0),6)</f>
        <v>0</v>
      </c>
      <c r="L1101" s="35">
        <f>INDEX('BIO WAHYU'!B:H,MATCH(DATA!D1101,'BIO WAHYU'!B:B,0),7)</f>
        <v>0</v>
      </c>
      <c r="M1101" s="34">
        <f>INDEX('BIO WAHYU'!B:H,MATCH(DATA!D1101,'BIO WAHYU'!B:B,0),4)</f>
        <v>0</v>
      </c>
    </row>
    <row r="1102" spans="1:13">
      <c r="A1102" s="43" t="s">
        <v>1672</v>
      </c>
      <c r="B1102" s="43" t="s">
        <v>157</v>
      </c>
      <c r="C1102" s="43" t="s">
        <v>1046</v>
      </c>
      <c r="D1102" s="10">
        <v>470054</v>
      </c>
      <c r="E1102" s="43" t="s">
        <v>10</v>
      </c>
      <c r="F1102" s="8">
        <f>_xlfn.IFNA(INDEX('OSA | 3GB'!J:L,MATCH(DATA!D1102,'OSA | 3GB'!J:J,0),2),0)</f>
        <v>0</v>
      </c>
      <c r="G1102" s="8">
        <f>_xlfn.IFNA(INDEX('OSA | 3GB'!J:L,MATCH(DATA!D1102,'OSA | 3GB'!J:J,0),3),0)</f>
        <v>0</v>
      </c>
      <c r="H1102" s="32" t="str">
        <f>_xlfn.IFNA(INDEX('OSA | 3GB'!A:C,MATCH(DATA!D1102,'OSA | 3GB'!A:A,0),2),0)</f>
        <v xml:space="preserve"> -   </v>
      </c>
      <c r="I1102" s="33">
        <f>_xlfn.IFNA(INDEX('OSA | 3GB'!A:C,MATCH(DATA!D1102,'OSA | 3GB'!A:A,0),3),0)</f>
        <v>150000</v>
      </c>
      <c r="J1102" s="33">
        <f>INDEX('BIO WAHYU'!B:G,MATCH(DATA!D1102,'BIO WAHYU'!B:B,0),5)</f>
        <v>0</v>
      </c>
      <c r="K1102" s="34">
        <f>INDEX('BIO WAHYU'!B:G,MATCH(DATA!D1102,'BIO WAHYU'!B:B,0),6)</f>
        <v>0</v>
      </c>
      <c r="L1102" s="35">
        <f>INDEX('BIO WAHYU'!B:H,MATCH(DATA!D1102,'BIO WAHYU'!B:B,0),7)</f>
        <v>0</v>
      </c>
      <c r="M1102" s="34">
        <f>INDEX('BIO WAHYU'!B:H,MATCH(DATA!D1102,'BIO WAHYU'!B:B,0),4)</f>
        <v>0</v>
      </c>
    </row>
    <row r="1103" spans="1:13">
      <c r="A1103" s="43" t="s">
        <v>1672</v>
      </c>
      <c r="B1103" s="43" t="s">
        <v>157</v>
      </c>
      <c r="C1103" s="43" t="s">
        <v>1484</v>
      </c>
      <c r="D1103" s="10">
        <v>62205</v>
      </c>
      <c r="E1103" s="43" t="s">
        <v>10</v>
      </c>
      <c r="F1103" s="8">
        <f>_xlfn.IFNA(INDEX('OSA | 3GB'!J:L,MATCH(DATA!D1103,'OSA | 3GB'!J:J,0),2),0)</f>
        <v>5</v>
      </c>
      <c r="G1103" s="8">
        <f>_xlfn.IFNA(INDEX('OSA | 3GB'!J:L,MATCH(DATA!D1103,'OSA | 3GB'!J:J,0),3),0)</f>
        <v>10758000</v>
      </c>
      <c r="H1103" s="32">
        <f>_xlfn.IFNA(INDEX('OSA | 3GB'!A:C,MATCH(DATA!D1103,'OSA | 3GB'!A:A,0),2),0)</f>
        <v>6</v>
      </c>
      <c r="I1103" s="33">
        <f>_xlfn.IFNA(INDEX('OSA | 3GB'!A:C,MATCH(DATA!D1103,'OSA | 3GB'!A:A,0),3),0)</f>
        <v>4274000</v>
      </c>
      <c r="J1103" s="33">
        <f>INDEX('BIO WAHYU'!B:G,MATCH(DATA!D1103,'BIO WAHYU'!B:B,0),5)</f>
        <v>8</v>
      </c>
      <c r="K1103" s="34">
        <f>INDEX('BIO WAHYU'!B:G,MATCH(DATA!D1103,'BIO WAHYU'!B:B,0),6)</f>
        <v>1</v>
      </c>
      <c r="L1103" s="35">
        <f>INDEX('BIO WAHYU'!B:H,MATCH(DATA!D1103,'BIO WAHYU'!B:B,0),7)</f>
        <v>0</v>
      </c>
      <c r="M1103" s="34">
        <f>INDEX('BIO WAHYU'!B:H,MATCH(DATA!D1103,'BIO WAHYU'!B:B,0),4)</f>
        <v>4</v>
      </c>
    </row>
    <row r="1104" spans="1:13">
      <c r="A1104" s="43" t="s">
        <v>1</v>
      </c>
      <c r="B1104" s="43" t="s">
        <v>4</v>
      </c>
      <c r="C1104" s="43" t="s">
        <v>62</v>
      </c>
      <c r="D1104" s="10">
        <v>523430</v>
      </c>
      <c r="E1104" s="43" t="s">
        <v>23</v>
      </c>
      <c r="F1104" s="8">
        <f>_xlfn.IFNA(INDEX('OSA | 3GB'!J:L,MATCH(DATA!D1104,'OSA | 3GB'!J:J,0),2),0)</f>
        <v>0</v>
      </c>
      <c r="G1104" s="8">
        <f>_xlfn.IFNA(INDEX('OSA | 3GB'!J:L,MATCH(DATA!D1104,'OSA | 3GB'!J:J,0),3),0)</f>
        <v>10630000</v>
      </c>
      <c r="H1104" s="32" t="str">
        <f>_xlfn.IFNA(INDEX('OSA | 3GB'!A:C,MATCH(DATA!D1104,'OSA | 3GB'!A:A,0),2),0)</f>
        <v xml:space="preserve"> -   </v>
      </c>
      <c r="I1104" s="33">
        <f>_xlfn.IFNA(INDEX('OSA | 3GB'!A:C,MATCH(DATA!D1104,'OSA | 3GB'!A:A,0),3),0)</f>
        <v>4800000</v>
      </c>
      <c r="J1104" s="33">
        <f>INDEX('BIO WAHYU'!B:G,MATCH(DATA!D1104,'BIO WAHYU'!B:B,0),5)</f>
        <v>0</v>
      </c>
      <c r="K1104" s="34">
        <f>INDEX('BIO WAHYU'!B:G,MATCH(DATA!D1104,'BIO WAHYU'!B:B,0),6)</f>
        <v>0</v>
      </c>
      <c r="L1104" s="35">
        <f>INDEX('BIO WAHYU'!B:H,MATCH(DATA!D1104,'BIO WAHYU'!B:B,0),7)</f>
        <v>0</v>
      </c>
      <c r="M1104" s="34">
        <f>INDEX('BIO WAHYU'!B:H,MATCH(DATA!D1104,'BIO WAHYU'!B:B,0),4)</f>
        <v>0</v>
      </c>
    </row>
    <row r="1105" spans="1:13">
      <c r="A1105" s="43" t="s">
        <v>1672</v>
      </c>
      <c r="B1105" s="43" t="s">
        <v>157</v>
      </c>
      <c r="C1105" s="43" t="s">
        <v>1050</v>
      </c>
      <c r="D1105" s="10">
        <v>525586</v>
      </c>
      <c r="E1105" s="43" t="s">
        <v>10</v>
      </c>
      <c r="F1105" s="8">
        <f>_xlfn.IFNA(INDEX('OSA | 3GB'!J:L,MATCH(DATA!D1105,'OSA | 3GB'!J:J,0),2),0)</f>
        <v>1</v>
      </c>
      <c r="G1105" s="8">
        <f>_xlfn.IFNA(INDEX('OSA | 3GB'!J:L,MATCH(DATA!D1105,'OSA | 3GB'!J:J,0),3),0)</f>
        <v>2850000</v>
      </c>
      <c r="H1105" s="32" t="str">
        <f>_xlfn.IFNA(INDEX('OSA | 3GB'!A:C,MATCH(DATA!D1105,'OSA | 3GB'!A:A,0),2),0)</f>
        <v xml:space="preserve"> -   </v>
      </c>
      <c r="I1105" s="33">
        <f>_xlfn.IFNA(INDEX('OSA | 3GB'!A:C,MATCH(DATA!D1105,'OSA | 3GB'!A:A,0),3),0)</f>
        <v>847217</v>
      </c>
      <c r="J1105" s="33">
        <f>INDEX('BIO WAHYU'!B:G,MATCH(DATA!D1105,'BIO WAHYU'!B:B,0),5)</f>
        <v>1</v>
      </c>
      <c r="K1105" s="34">
        <f>INDEX('BIO WAHYU'!B:G,MATCH(DATA!D1105,'BIO WAHYU'!B:B,0),6)</f>
        <v>3</v>
      </c>
      <c r="L1105" s="35">
        <f>INDEX('BIO WAHYU'!B:H,MATCH(DATA!D1105,'BIO WAHYU'!B:B,0),7)</f>
        <v>2</v>
      </c>
      <c r="M1105" s="34">
        <f>INDEX('BIO WAHYU'!B:H,MATCH(DATA!D1105,'BIO WAHYU'!B:B,0),4)</f>
        <v>0</v>
      </c>
    </row>
    <row r="1106" spans="1:13">
      <c r="A1106" s="43" t="s">
        <v>1672</v>
      </c>
      <c r="B1106" s="43" t="s">
        <v>157</v>
      </c>
      <c r="C1106" s="43" t="s">
        <v>1288</v>
      </c>
      <c r="D1106" s="10">
        <v>366549</v>
      </c>
      <c r="E1106" s="43" t="s">
        <v>10</v>
      </c>
      <c r="F1106" s="8">
        <f>_xlfn.IFNA(INDEX('OSA | 3GB'!J:L,MATCH(DATA!D1106,'OSA | 3GB'!J:J,0),2),0)</f>
        <v>76</v>
      </c>
      <c r="G1106" s="8">
        <f>_xlfn.IFNA(INDEX('OSA | 3GB'!J:L,MATCH(DATA!D1106,'OSA | 3GB'!J:J,0),3),0)</f>
        <v>13241000</v>
      </c>
      <c r="H1106" s="32" t="str">
        <f>_xlfn.IFNA(INDEX('OSA | 3GB'!A:C,MATCH(DATA!D1106,'OSA | 3GB'!A:A,0),2),0)</f>
        <v xml:space="preserve"> -   </v>
      </c>
      <c r="I1106" s="33">
        <f>_xlfn.IFNA(INDEX('OSA | 3GB'!A:C,MATCH(DATA!D1106,'OSA | 3GB'!A:A,0),3),0)</f>
        <v>5221915</v>
      </c>
      <c r="J1106" s="33">
        <f>INDEX('BIO WAHYU'!B:G,MATCH(DATA!D1106,'BIO WAHYU'!B:B,0),5)</f>
        <v>8</v>
      </c>
      <c r="K1106" s="34">
        <f>INDEX('BIO WAHYU'!B:G,MATCH(DATA!D1106,'BIO WAHYU'!B:B,0),6)</f>
        <v>2</v>
      </c>
      <c r="L1106" s="35">
        <f>INDEX('BIO WAHYU'!B:H,MATCH(DATA!D1106,'BIO WAHYU'!B:B,0),7)</f>
        <v>0</v>
      </c>
      <c r="M1106" s="34">
        <f>INDEX('BIO WAHYU'!B:H,MATCH(DATA!D1106,'BIO WAHYU'!B:B,0),4)</f>
        <v>2</v>
      </c>
    </row>
    <row r="1107" spans="1:13">
      <c r="A1107" s="43" t="s">
        <v>1673</v>
      </c>
      <c r="B1107" s="43" t="s">
        <v>158</v>
      </c>
      <c r="C1107" s="43" t="s">
        <v>175</v>
      </c>
      <c r="D1107" s="10">
        <v>240104</v>
      </c>
      <c r="E1107" s="43" t="s">
        <v>10</v>
      </c>
      <c r="F1107" s="8">
        <f>_xlfn.IFNA(INDEX('OSA | 3GB'!J:L,MATCH(DATA!D1107,'OSA | 3GB'!J:J,0),2),0)</f>
        <v>3</v>
      </c>
      <c r="G1107" s="8">
        <f>_xlfn.IFNA(INDEX('OSA | 3GB'!J:L,MATCH(DATA!D1107,'OSA | 3GB'!J:J,0),3),0)</f>
        <v>800000</v>
      </c>
      <c r="H1107" s="32" t="str">
        <f>_xlfn.IFNA(INDEX('OSA | 3GB'!A:C,MATCH(DATA!D1107,'OSA | 3GB'!A:A,0),2),0)</f>
        <v xml:space="preserve"> -   </v>
      </c>
      <c r="I1107" s="33">
        <f>_xlfn.IFNA(INDEX('OSA | 3GB'!A:C,MATCH(DATA!D1107,'OSA | 3GB'!A:A,0),3),0)</f>
        <v>200000</v>
      </c>
      <c r="J1107" s="33">
        <f>INDEX('BIO WAHYU'!B:G,MATCH(DATA!D1107,'BIO WAHYU'!B:B,0),5)</f>
        <v>4</v>
      </c>
      <c r="K1107" s="34">
        <f>INDEX('BIO WAHYU'!B:G,MATCH(DATA!D1107,'BIO WAHYU'!B:B,0),6)</f>
        <v>0</v>
      </c>
      <c r="L1107" s="35">
        <f>INDEX('BIO WAHYU'!B:H,MATCH(DATA!D1107,'BIO WAHYU'!B:B,0),7)</f>
        <v>0</v>
      </c>
      <c r="M1107" s="34">
        <f>INDEX('BIO WAHYU'!B:H,MATCH(DATA!D1107,'BIO WAHYU'!B:B,0),4)</f>
        <v>0</v>
      </c>
    </row>
    <row r="1108" spans="1:13">
      <c r="A1108" s="43" t="s">
        <v>1674</v>
      </c>
      <c r="B1108" s="43" t="s">
        <v>154</v>
      </c>
      <c r="C1108" s="43" t="s">
        <v>752</v>
      </c>
      <c r="D1108" s="10">
        <v>532284</v>
      </c>
      <c r="E1108" s="43" t="s">
        <v>10</v>
      </c>
      <c r="F1108" s="8">
        <f>_xlfn.IFNA(INDEX('OSA | 3GB'!J:L,MATCH(DATA!D1108,'OSA | 3GB'!J:J,0),2),0)</f>
        <v>3</v>
      </c>
      <c r="G1108" s="8">
        <f>_xlfn.IFNA(INDEX('OSA | 3GB'!J:L,MATCH(DATA!D1108,'OSA | 3GB'!J:J,0),3),0)</f>
        <v>1800000</v>
      </c>
      <c r="H1108" s="32" t="str">
        <f>_xlfn.IFNA(INDEX('OSA | 3GB'!A:C,MATCH(DATA!D1108,'OSA | 3GB'!A:A,0),2),0)</f>
        <v xml:space="preserve"> -   </v>
      </c>
      <c r="I1108" s="33">
        <f>_xlfn.IFNA(INDEX('OSA | 3GB'!A:C,MATCH(DATA!D1108,'OSA | 3GB'!A:A,0),3),0)</f>
        <v>1700000</v>
      </c>
      <c r="J1108" s="33">
        <f>INDEX('BIO WAHYU'!B:G,MATCH(DATA!D1108,'BIO WAHYU'!B:B,0),5)</f>
        <v>3</v>
      </c>
      <c r="K1108" s="34">
        <f>INDEX('BIO WAHYU'!B:G,MATCH(DATA!D1108,'BIO WAHYU'!B:B,0),6)</f>
        <v>0</v>
      </c>
      <c r="L1108" s="35">
        <f>INDEX('BIO WAHYU'!B:H,MATCH(DATA!D1108,'BIO WAHYU'!B:B,0),7)</f>
        <v>0</v>
      </c>
      <c r="M1108" s="34">
        <f>INDEX('BIO WAHYU'!B:H,MATCH(DATA!D1108,'BIO WAHYU'!B:B,0),4)</f>
        <v>0</v>
      </c>
    </row>
    <row r="1109" spans="1:13">
      <c r="A1109" s="43" t="s">
        <v>1</v>
      </c>
      <c r="B1109" s="43" t="s">
        <v>4</v>
      </c>
      <c r="C1109" s="43" t="s">
        <v>1108</v>
      </c>
      <c r="D1109" s="10">
        <v>345691</v>
      </c>
      <c r="E1109" s="43" t="s">
        <v>10</v>
      </c>
      <c r="F1109" s="8">
        <f>_xlfn.IFNA(INDEX('OSA | 3GB'!J:L,MATCH(DATA!D1109,'OSA | 3GB'!J:J,0),2),0)</f>
        <v>3</v>
      </c>
      <c r="G1109" s="8">
        <f>_xlfn.IFNA(INDEX('OSA | 3GB'!J:L,MATCH(DATA!D1109,'OSA | 3GB'!J:J,0),3),0)</f>
        <v>2855000</v>
      </c>
      <c r="H1109" s="32" t="str">
        <f>_xlfn.IFNA(INDEX('OSA | 3GB'!A:C,MATCH(DATA!D1109,'OSA | 3GB'!A:A,0),2),0)</f>
        <v xml:space="preserve"> -   </v>
      </c>
      <c r="I1109" s="33">
        <f>_xlfn.IFNA(INDEX('OSA | 3GB'!A:C,MATCH(DATA!D1109,'OSA | 3GB'!A:A,0),3),0)</f>
        <v>800000</v>
      </c>
      <c r="J1109" s="33">
        <f>INDEX('BIO WAHYU'!B:G,MATCH(DATA!D1109,'BIO WAHYU'!B:B,0),5)</f>
        <v>3</v>
      </c>
      <c r="K1109" s="34">
        <f>INDEX('BIO WAHYU'!B:G,MATCH(DATA!D1109,'BIO WAHYU'!B:B,0),6)</f>
        <v>0</v>
      </c>
      <c r="L1109" s="35">
        <f>INDEX('BIO WAHYU'!B:H,MATCH(DATA!D1109,'BIO WAHYU'!B:B,0),7)</f>
        <v>0</v>
      </c>
      <c r="M1109" s="34">
        <f>INDEX('BIO WAHYU'!B:H,MATCH(DATA!D1109,'BIO WAHYU'!B:B,0),4)</f>
        <v>0</v>
      </c>
    </row>
    <row r="1110" spans="1:13">
      <c r="A1110" s="43" t="s">
        <v>1673</v>
      </c>
      <c r="B1110" s="43" t="s">
        <v>1140</v>
      </c>
      <c r="C1110" s="43" t="s">
        <v>160</v>
      </c>
      <c r="D1110" s="10">
        <v>2827</v>
      </c>
      <c r="E1110" s="43" t="s">
        <v>10</v>
      </c>
      <c r="F1110" s="8">
        <f>_xlfn.IFNA(INDEX('OSA | 3GB'!J:L,MATCH(DATA!D1110,'OSA | 3GB'!J:J,0),2),0)</f>
        <v>15</v>
      </c>
      <c r="G1110" s="8">
        <f>_xlfn.IFNA(INDEX('OSA | 3GB'!J:L,MATCH(DATA!D1110,'OSA | 3GB'!J:J,0),3),0)</f>
        <v>12500000</v>
      </c>
      <c r="H1110" s="32" t="str">
        <f>_xlfn.IFNA(INDEX('OSA | 3GB'!A:C,MATCH(DATA!D1110,'OSA | 3GB'!A:A,0),2),0)</f>
        <v xml:space="preserve"> -   </v>
      </c>
      <c r="I1110" s="33">
        <f>_xlfn.IFNA(INDEX('OSA | 3GB'!A:C,MATCH(DATA!D1110,'OSA | 3GB'!A:A,0),3),0)</f>
        <v>3522575</v>
      </c>
      <c r="J1110" s="33">
        <f>INDEX('BIO WAHYU'!B:G,MATCH(DATA!D1110,'BIO WAHYU'!B:B,0),5)</f>
        <v>3</v>
      </c>
      <c r="K1110" s="34">
        <f>INDEX('BIO WAHYU'!B:G,MATCH(DATA!D1110,'BIO WAHYU'!B:B,0),6)</f>
        <v>3</v>
      </c>
      <c r="L1110" s="35">
        <f>INDEX('BIO WAHYU'!B:H,MATCH(DATA!D1110,'BIO WAHYU'!B:B,0),7)</f>
        <v>0</v>
      </c>
      <c r="M1110" s="34">
        <f>INDEX('BIO WAHYU'!B:H,MATCH(DATA!D1110,'BIO WAHYU'!B:B,0),4)</f>
        <v>0</v>
      </c>
    </row>
    <row r="1111" spans="1:13">
      <c r="A1111" s="43" t="s">
        <v>1671</v>
      </c>
      <c r="B1111" s="43">
        <v>2613050885</v>
      </c>
      <c r="C1111" s="43" t="s">
        <v>1485</v>
      </c>
      <c r="D1111" s="10">
        <v>529245</v>
      </c>
      <c r="E1111" s="43" t="s">
        <v>15</v>
      </c>
      <c r="F1111" s="8">
        <f>_xlfn.IFNA(INDEX('OSA | 3GB'!J:L,MATCH(DATA!D1111,'OSA | 3GB'!J:J,0),2),0)</f>
        <v>3</v>
      </c>
      <c r="G1111" s="8">
        <f>_xlfn.IFNA(INDEX('OSA | 3GB'!J:L,MATCH(DATA!D1111,'OSA | 3GB'!J:J,0),3),0)</f>
        <v>13035000</v>
      </c>
      <c r="H1111" s="32">
        <f>_xlfn.IFNA(INDEX('OSA | 3GB'!A:C,MATCH(DATA!D1111,'OSA | 3GB'!A:A,0),2),0)</f>
        <v>3</v>
      </c>
      <c r="I1111" s="33" t="str">
        <f>_xlfn.IFNA(INDEX('OSA | 3GB'!A:C,MATCH(DATA!D1111,'OSA | 3GB'!A:A,0),3),0)</f>
        <v xml:space="preserve"> -   </v>
      </c>
      <c r="J1111" s="33">
        <f>INDEX('BIO WAHYU'!B:G,MATCH(DATA!D1111,'BIO WAHYU'!B:B,0),5)</f>
        <v>1</v>
      </c>
      <c r="K1111" s="34">
        <f>INDEX('BIO WAHYU'!B:G,MATCH(DATA!D1111,'BIO WAHYU'!B:B,0),6)</f>
        <v>3</v>
      </c>
      <c r="L1111" s="35">
        <f>INDEX('BIO WAHYU'!B:H,MATCH(DATA!D1111,'BIO WAHYU'!B:B,0),7)</f>
        <v>2</v>
      </c>
      <c r="M1111" s="34">
        <f>INDEX('BIO WAHYU'!B:H,MATCH(DATA!D1111,'BIO WAHYU'!B:B,0),4)</f>
        <v>0</v>
      </c>
    </row>
    <row r="1112" spans="1:13">
      <c r="A1112" s="43" t="s">
        <v>1672</v>
      </c>
      <c r="B1112" s="43" t="s">
        <v>156</v>
      </c>
      <c r="C1112" s="43" t="s">
        <v>1006</v>
      </c>
      <c r="D1112" s="10">
        <v>62378</v>
      </c>
      <c r="E1112" s="43" t="s">
        <v>10</v>
      </c>
      <c r="F1112" s="8">
        <f>_xlfn.IFNA(INDEX('OSA | 3GB'!J:L,MATCH(DATA!D1112,'OSA | 3GB'!J:J,0),2),0)</f>
        <v>0</v>
      </c>
      <c r="G1112" s="8">
        <f>_xlfn.IFNA(INDEX('OSA | 3GB'!J:L,MATCH(DATA!D1112,'OSA | 3GB'!J:J,0),3),0)</f>
        <v>11200000</v>
      </c>
      <c r="H1112" s="32" t="str">
        <f>_xlfn.IFNA(INDEX('OSA | 3GB'!A:C,MATCH(DATA!D1112,'OSA | 3GB'!A:A,0),2),0)</f>
        <v xml:space="preserve"> -   </v>
      </c>
      <c r="I1112" s="33">
        <f>_xlfn.IFNA(INDEX('OSA | 3GB'!A:C,MATCH(DATA!D1112,'OSA | 3GB'!A:A,0),3),0)</f>
        <v>3300000</v>
      </c>
      <c r="J1112" s="33">
        <f>INDEX('BIO WAHYU'!B:G,MATCH(DATA!D1112,'BIO WAHYU'!B:B,0),5)</f>
        <v>3</v>
      </c>
      <c r="K1112" s="34">
        <f>INDEX('BIO WAHYU'!B:G,MATCH(DATA!D1112,'BIO WAHYU'!B:B,0),6)</f>
        <v>0</v>
      </c>
      <c r="L1112" s="35">
        <f>INDEX('BIO WAHYU'!B:H,MATCH(DATA!D1112,'BIO WAHYU'!B:B,0),7)</f>
        <v>0</v>
      </c>
      <c r="M1112" s="34">
        <f>INDEX('BIO WAHYU'!B:H,MATCH(DATA!D1112,'BIO WAHYU'!B:B,0),4)</f>
        <v>0</v>
      </c>
    </row>
    <row r="1113" spans="1:13">
      <c r="A1113" s="43" t="s">
        <v>1671</v>
      </c>
      <c r="B1113" s="43" t="s">
        <v>142</v>
      </c>
      <c r="C1113" s="43" t="s">
        <v>1486</v>
      </c>
      <c r="D1113" s="10">
        <v>547188</v>
      </c>
      <c r="E1113" s="43" t="s">
        <v>10</v>
      </c>
      <c r="F1113" s="8">
        <f>_xlfn.IFNA(INDEX('OSA | 3GB'!J:L,MATCH(DATA!D1113,'OSA | 3GB'!J:J,0),2),0)</f>
        <v>65</v>
      </c>
      <c r="G1113" s="8">
        <f>_xlfn.IFNA(INDEX('OSA | 3GB'!J:L,MATCH(DATA!D1113,'OSA | 3GB'!J:J,0),3),0)</f>
        <v>6629000</v>
      </c>
      <c r="H1113" s="32">
        <f>_xlfn.IFNA(INDEX('OSA | 3GB'!A:C,MATCH(DATA!D1113,'OSA | 3GB'!A:A,0),2),0)</f>
        <v>45</v>
      </c>
      <c r="I1113" s="33">
        <f>_xlfn.IFNA(INDEX('OSA | 3GB'!A:C,MATCH(DATA!D1113,'OSA | 3GB'!A:A,0),3),0)</f>
        <v>1358000</v>
      </c>
      <c r="J1113" s="33">
        <f>INDEX('BIO WAHYU'!B:G,MATCH(DATA!D1113,'BIO WAHYU'!B:B,0),5)</f>
        <v>3</v>
      </c>
      <c r="K1113" s="34">
        <f>INDEX('BIO WAHYU'!B:G,MATCH(DATA!D1113,'BIO WAHYU'!B:B,0),6)</f>
        <v>6</v>
      </c>
      <c r="L1113" s="35">
        <f>INDEX('BIO WAHYU'!B:H,MATCH(DATA!D1113,'BIO WAHYU'!B:B,0),7)</f>
        <v>3</v>
      </c>
      <c r="M1113" s="34">
        <f>INDEX('BIO WAHYU'!B:H,MATCH(DATA!D1113,'BIO WAHYU'!B:B,0),4)</f>
        <v>0</v>
      </c>
    </row>
    <row r="1114" spans="1:13">
      <c r="A1114" s="43" t="s">
        <v>1675</v>
      </c>
      <c r="B1114" s="43" t="s">
        <v>136</v>
      </c>
      <c r="C1114" s="43" t="s">
        <v>404</v>
      </c>
      <c r="D1114" s="10">
        <v>402496</v>
      </c>
      <c r="E1114" s="43" t="s">
        <v>10</v>
      </c>
      <c r="F1114" s="8">
        <f>_xlfn.IFNA(INDEX('OSA | 3GB'!J:L,MATCH(DATA!D1114,'OSA | 3GB'!J:J,0),2),0)</f>
        <v>4</v>
      </c>
      <c r="G1114" s="8">
        <f>_xlfn.IFNA(INDEX('OSA | 3GB'!J:L,MATCH(DATA!D1114,'OSA | 3GB'!J:J,0),3),0)</f>
        <v>4200000</v>
      </c>
      <c r="H1114" s="32" t="str">
        <f>_xlfn.IFNA(INDEX('OSA | 3GB'!A:C,MATCH(DATA!D1114,'OSA | 3GB'!A:A,0),2),0)</f>
        <v xml:space="preserve"> -   </v>
      </c>
      <c r="I1114" s="33">
        <f>_xlfn.IFNA(INDEX('OSA | 3GB'!A:C,MATCH(DATA!D1114,'OSA | 3GB'!A:A,0),3),0)</f>
        <v>2000000</v>
      </c>
      <c r="J1114" s="33">
        <f>INDEX('BIO WAHYU'!B:G,MATCH(DATA!D1114,'BIO WAHYU'!B:B,0),5)</f>
        <v>5</v>
      </c>
      <c r="K1114" s="34">
        <f>INDEX('BIO WAHYU'!B:G,MATCH(DATA!D1114,'BIO WAHYU'!B:B,0),6)</f>
        <v>0</v>
      </c>
      <c r="L1114" s="35">
        <f>INDEX('BIO WAHYU'!B:H,MATCH(DATA!D1114,'BIO WAHYU'!B:B,0),7)</f>
        <v>0</v>
      </c>
      <c r="M1114" s="34">
        <f>INDEX('BIO WAHYU'!B:H,MATCH(DATA!D1114,'BIO WAHYU'!B:B,0),4)</f>
        <v>0</v>
      </c>
    </row>
    <row r="1115" spans="1:13">
      <c r="A1115" s="43" t="s">
        <v>1</v>
      </c>
      <c r="B1115" s="43" t="s">
        <v>3</v>
      </c>
      <c r="C1115" s="43" t="s">
        <v>36</v>
      </c>
      <c r="D1115" s="10">
        <v>549259</v>
      </c>
      <c r="E1115" s="43" t="s">
        <v>10</v>
      </c>
      <c r="F1115" s="8">
        <f>_xlfn.IFNA(INDEX('OSA | 3GB'!J:L,MATCH(DATA!D1115,'OSA | 3GB'!J:J,0),2),0)</f>
        <v>0</v>
      </c>
      <c r="G1115" s="8">
        <f>_xlfn.IFNA(INDEX('OSA | 3GB'!J:L,MATCH(DATA!D1115,'OSA | 3GB'!J:J,0),3),0)</f>
        <v>1000</v>
      </c>
      <c r="H1115" s="32" t="str">
        <f>_xlfn.IFNA(INDEX('OSA | 3GB'!A:C,MATCH(DATA!D1115,'OSA | 3GB'!A:A,0),2),0)</f>
        <v xml:space="preserve"> -   </v>
      </c>
      <c r="I1115" s="33" t="str">
        <f>_xlfn.IFNA(INDEX('OSA | 3GB'!A:C,MATCH(DATA!D1115,'OSA | 3GB'!A:A,0),3),0)</f>
        <v xml:space="preserve"> -   </v>
      </c>
      <c r="J1115" s="33">
        <f>INDEX('BIO WAHYU'!B:G,MATCH(DATA!D1115,'BIO WAHYU'!B:B,0),5)</f>
        <v>0</v>
      </c>
      <c r="K1115" s="34">
        <f>INDEX('BIO WAHYU'!B:G,MATCH(DATA!D1115,'BIO WAHYU'!B:B,0),6)</f>
        <v>0</v>
      </c>
      <c r="L1115" s="35">
        <f>INDEX('BIO WAHYU'!B:H,MATCH(DATA!D1115,'BIO WAHYU'!B:B,0),7)</f>
        <v>0</v>
      </c>
      <c r="M1115" s="34">
        <f>INDEX('BIO WAHYU'!B:H,MATCH(DATA!D1115,'BIO WAHYU'!B:B,0),4)</f>
        <v>0</v>
      </c>
    </row>
    <row r="1116" spans="1:13">
      <c r="A1116" s="43" t="s">
        <v>1672</v>
      </c>
      <c r="B1116" s="43" t="s">
        <v>149</v>
      </c>
      <c r="C1116" s="43" t="s">
        <v>763</v>
      </c>
      <c r="D1116" s="10">
        <v>12295189</v>
      </c>
      <c r="E1116" s="43" t="s">
        <v>10</v>
      </c>
      <c r="F1116" s="8">
        <f>_xlfn.IFNA(INDEX('OSA | 3GB'!J:L,MATCH(DATA!D1116,'OSA | 3GB'!J:J,0),2),0)</f>
        <v>3</v>
      </c>
      <c r="G1116" s="8">
        <f>_xlfn.IFNA(INDEX('OSA | 3GB'!J:L,MATCH(DATA!D1116,'OSA | 3GB'!J:J,0),3),0)</f>
        <v>3558000</v>
      </c>
      <c r="H1116" s="32">
        <f>_xlfn.IFNA(INDEX('OSA | 3GB'!A:C,MATCH(DATA!D1116,'OSA | 3GB'!A:A,0),2),0)</f>
        <v>2</v>
      </c>
      <c r="I1116" s="33">
        <f>_xlfn.IFNA(INDEX('OSA | 3GB'!A:C,MATCH(DATA!D1116,'OSA | 3GB'!A:A,0),3),0)</f>
        <v>1558000</v>
      </c>
      <c r="J1116" s="33">
        <f>INDEX('BIO WAHYU'!B:G,MATCH(DATA!D1116,'BIO WAHYU'!B:B,0),5)</f>
        <v>0</v>
      </c>
      <c r="K1116" s="34">
        <f>INDEX('BIO WAHYU'!B:G,MATCH(DATA!D1116,'BIO WAHYU'!B:B,0),6)</f>
        <v>0</v>
      </c>
      <c r="L1116" s="35">
        <f>INDEX('BIO WAHYU'!B:H,MATCH(DATA!D1116,'BIO WAHYU'!B:B,0),7)</f>
        <v>0</v>
      </c>
      <c r="M1116" s="34">
        <f>INDEX('BIO WAHYU'!B:H,MATCH(DATA!D1116,'BIO WAHYU'!B:B,0),4)</f>
        <v>0</v>
      </c>
    </row>
    <row r="1117" spans="1:13">
      <c r="A1117" s="43" t="s">
        <v>1</v>
      </c>
      <c r="B1117" s="43" t="s">
        <v>3</v>
      </c>
      <c r="C1117" s="43" t="s">
        <v>1109</v>
      </c>
      <c r="D1117" s="10">
        <v>12324647</v>
      </c>
      <c r="E1117" s="43" t="s">
        <v>10</v>
      </c>
      <c r="F1117" s="8">
        <f>_xlfn.IFNA(INDEX('OSA | 3GB'!J:L,MATCH(DATA!D1117,'OSA | 3GB'!J:J,0),2),0)</f>
        <v>3</v>
      </c>
      <c r="G1117" s="8">
        <f>_xlfn.IFNA(INDEX('OSA | 3GB'!J:L,MATCH(DATA!D1117,'OSA | 3GB'!J:J,0),3),0)</f>
        <v>1000</v>
      </c>
      <c r="H1117" s="32" t="str">
        <f>_xlfn.IFNA(INDEX('OSA | 3GB'!A:C,MATCH(DATA!D1117,'OSA | 3GB'!A:A,0),2),0)</f>
        <v xml:space="preserve"> -   </v>
      </c>
      <c r="I1117" s="33" t="str">
        <f>_xlfn.IFNA(INDEX('OSA | 3GB'!A:C,MATCH(DATA!D1117,'OSA | 3GB'!A:A,0),3),0)</f>
        <v xml:space="preserve"> -   </v>
      </c>
      <c r="J1117" s="33">
        <f>INDEX('BIO WAHYU'!B:G,MATCH(DATA!D1117,'BIO WAHYU'!B:B,0),5)</f>
        <v>3</v>
      </c>
      <c r="K1117" s="34">
        <f>INDEX('BIO WAHYU'!B:G,MATCH(DATA!D1117,'BIO WAHYU'!B:B,0),6)</f>
        <v>3</v>
      </c>
      <c r="L1117" s="35">
        <f>INDEX('BIO WAHYU'!B:H,MATCH(DATA!D1117,'BIO WAHYU'!B:B,0),7)</f>
        <v>0</v>
      </c>
      <c r="M1117" s="34">
        <f>INDEX('BIO WAHYU'!B:H,MATCH(DATA!D1117,'BIO WAHYU'!B:B,0),4)</f>
        <v>0</v>
      </c>
    </row>
    <row r="1118" spans="1:13">
      <c r="A1118" s="43" t="s">
        <v>1671</v>
      </c>
      <c r="B1118" s="43">
        <v>2613050885</v>
      </c>
      <c r="C1118" s="43" t="s">
        <v>296</v>
      </c>
      <c r="D1118" s="10">
        <v>514319</v>
      </c>
      <c r="E1118" s="43" t="s">
        <v>10</v>
      </c>
      <c r="F1118" s="8">
        <f>_xlfn.IFNA(INDEX('OSA | 3GB'!J:L,MATCH(DATA!D1118,'OSA | 3GB'!J:J,0),2),0)</f>
        <v>0</v>
      </c>
      <c r="G1118" s="8">
        <f>_xlfn.IFNA(INDEX('OSA | 3GB'!J:L,MATCH(DATA!D1118,'OSA | 3GB'!J:J,0),3),0)</f>
        <v>700000</v>
      </c>
      <c r="H1118" s="32">
        <f>_xlfn.IFNA(INDEX('OSA | 3GB'!A:C,MATCH(DATA!D1118,'OSA | 3GB'!A:A,0),2),0)</f>
        <v>2</v>
      </c>
      <c r="I1118" s="33">
        <f>_xlfn.IFNA(INDEX('OSA | 3GB'!A:C,MATCH(DATA!D1118,'OSA | 3GB'!A:A,0),3),0)</f>
        <v>950000</v>
      </c>
      <c r="J1118" s="33">
        <f>INDEX('BIO WAHYU'!B:G,MATCH(DATA!D1118,'BIO WAHYU'!B:B,0),5)</f>
        <v>0</v>
      </c>
      <c r="K1118" s="34">
        <f>INDEX('BIO WAHYU'!B:G,MATCH(DATA!D1118,'BIO WAHYU'!B:B,0),6)</f>
        <v>2</v>
      </c>
      <c r="L1118" s="35">
        <f>INDEX('BIO WAHYU'!B:H,MATCH(DATA!D1118,'BIO WAHYU'!B:B,0),7)</f>
        <v>2</v>
      </c>
      <c r="M1118" s="34">
        <f>INDEX('BIO WAHYU'!B:H,MATCH(DATA!D1118,'BIO WAHYU'!B:B,0),4)</f>
        <v>0</v>
      </c>
    </row>
    <row r="1119" spans="1:13">
      <c r="A1119" s="43" t="s">
        <v>1672</v>
      </c>
      <c r="B1119" s="43" t="s">
        <v>157</v>
      </c>
      <c r="C1119" s="43" t="s">
        <v>1032</v>
      </c>
      <c r="D1119" s="10">
        <v>275621</v>
      </c>
      <c r="E1119" s="43" t="s">
        <v>10</v>
      </c>
      <c r="F1119" s="8">
        <f>_xlfn.IFNA(INDEX('OSA | 3GB'!J:L,MATCH(DATA!D1119,'OSA | 3GB'!J:J,0),2),0)</f>
        <v>0</v>
      </c>
      <c r="G1119" s="8">
        <f>_xlfn.IFNA(INDEX('OSA | 3GB'!J:L,MATCH(DATA!D1119,'OSA | 3GB'!J:J,0),3),0)</f>
        <v>200000</v>
      </c>
      <c r="H1119" s="32">
        <f>_xlfn.IFNA(INDEX('OSA | 3GB'!A:C,MATCH(DATA!D1119,'OSA | 3GB'!A:A,0),2),0)</f>
        <v>4</v>
      </c>
      <c r="I1119" s="33">
        <f>_xlfn.IFNA(INDEX('OSA | 3GB'!A:C,MATCH(DATA!D1119,'OSA | 3GB'!A:A,0),3),0)</f>
        <v>316000</v>
      </c>
      <c r="J1119" s="33">
        <f>INDEX('BIO WAHYU'!B:G,MATCH(DATA!D1119,'BIO WAHYU'!B:B,0),5)</f>
        <v>1</v>
      </c>
      <c r="K1119" s="34">
        <f>INDEX('BIO WAHYU'!B:G,MATCH(DATA!D1119,'BIO WAHYU'!B:B,0),6)</f>
        <v>0</v>
      </c>
      <c r="L1119" s="35">
        <f>INDEX('BIO WAHYU'!B:H,MATCH(DATA!D1119,'BIO WAHYU'!B:B,0),7)</f>
        <v>0</v>
      </c>
      <c r="M1119" s="34">
        <f>INDEX('BIO WAHYU'!B:H,MATCH(DATA!D1119,'BIO WAHYU'!B:B,0),4)</f>
        <v>0</v>
      </c>
    </row>
    <row r="1120" spans="1:13">
      <c r="A1120" s="43" t="s">
        <v>1672</v>
      </c>
      <c r="B1120" s="43">
        <v>2613051475</v>
      </c>
      <c r="C1120" s="43" t="s">
        <v>913</v>
      </c>
      <c r="D1120" s="10">
        <v>533931</v>
      </c>
      <c r="E1120" s="43" t="s">
        <v>10</v>
      </c>
      <c r="F1120" s="8">
        <f>_xlfn.IFNA(INDEX('OSA | 3GB'!J:L,MATCH(DATA!D1120,'OSA | 3GB'!J:J,0),2),0)</f>
        <v>0</v>
      </c>
      <c r="G1120" s="8">
        <f>_xlfn.IFNA(INDEX('OSA | 3GB'!J:L,MATCH(DATA!D1120,'OSA | 3GB'!J:J,0),3),0)</f>
        <v>2750000</v>
      </c>
      <c r="H1120" s="32" t="str">
        <f>_xlfn.IFNA(INDEX('OSA | 3GB'!A:C,MATCH(DATA!D1120,'OSA | 3GB'!A:A,0),2),0)</f>
        <v xml:space="preserve"> -   </v>
      </c>
      <c r="I1120" s="33">
        <f>_xlfn.IFNA(INDEX('OSA | 3GB'!A:C,MATCH(DATA!D1120,'OSA | 3GB'!A:A,0),3),0)</f>
        <v>900000</v>
      </c>
      <c r="J1120" s="33">
        <f>INDEX('BIO WAHYU'!B:G,MATCH(DATA!D1120,'BIO WAHYU'!B:B,0),5)</f>
        <v>0</v>
      </c>
      <c r="K1120" s="34">
        <f>INDEX('BIO WAHYU'!B:G,MATCH(DATA!D1120,'BIO WAHYU'!B:B,0),6)</f>
        <v>0</v>
      </c>
      <c r="L1120" s="35">
        <f>INDEX('BIO WAHYU'!B:H,MATCH(DATA!D1120,'BIO WAHYU'!B:B,0),7)</f>
        <v>0</v>
      </c>
      <c r="M1120" s="34">
        <f>INDEX('BIO WAHYU'!B:H,MATCH(DATA!D1120,'BIO WAHYU'!B:B,0),4)</f>
        <v>0</v>
      </c>
    </row>
    <row r="1121" spans="1:13">
      <c r="A1121" s="43" t="s">
        <v>1</v>
      </c>
      <c r="B1121" s="43" t="s">
        <v>4</v>
      </c>
      <c r="C1121" s="43" t="s">
        <v>63</v>
      </c>
      <c r="D1121" s="10">
        <v>529249</v>
      </c>
      <c r="E1121" s="43" t="s">
        <v>15</v>
      </c>
      <c r="F1121" s="8">
        <f>_xlfn.IFNA(INDEX('OSA | 3GB'!J:L,MATCH(DATA!D1121,'OSA | 3GB'!J:J,0),2),0)</f>
        <v>7</v>
      </c>
      <c r="G1121" s="8">
        <f>_xlfn.IFNA(INDEX('OSA | 3GB'!J:L,MATCH(DATA!D1121,'OSA | 3GB'!J:J,0),3),0)</f>
        <v>0</v>
      </c>
      <c r="H1121" s="32">
        <f>_xlfn.IFNA(INDEX('OSA | 3GB'!A:C,MATCH(DATA!D1121,'OSA | 3GB'!A:A,0),2),0)</f>
        <v>4</v>
      </c>
      <c r="I1121" s="33" t="str">
        <f>_xlfn.IFNA(INDEX('OSA | 3GB'!A:C,MATCH(DATA!D1121,'OSA | 3GB'!A:A,0),3),0)</f>
        <v xml:space="preserve"> -   </v>
      </c>
      <c r="J1121" s="33">
        <f>INDEX('BIO WAHYU'!B:G,MATCH(DATA!D1121,'BIO WAHYU'!B:B,0),5)</f>
        <v>6</v>
      </c>
      <c r="K1121" s="34">
        <f>INDEX('BIO WAHYU'!B:G,MATCH(DATA!D1121,'BIO WAHYU'!B:B,0),6)</f>
        <v>2</v>
      </c>
      <c r="L1121" s="35">
        <f>INDEX('BIO WAHYU'!B:H,MATCH(DATA!D1121,'BIO WAHYU'!B:B,0),7)</f>
        <v>0</v>
      </c>
      <c r="M1121" s="34">
        <f>INDEX('BIO WAHYU'!B:H,MATCH(DATA!D1121,'BIO WAHYU'!B:B,0),4)</f>
        <v>0</v>
      </c>
    </row>
    <row r="1122" spans="1:13">
      <c r="A1122" s="43" t="s">
        <v>1673</v>
      </c>
      <c r="B1122" s="43" t="s">
        <v>1140</v>
      </c>
      <c r="C1122" s="43" t="s">
        <v>1487</v>
      </c>
      <c r="D1122" s="10">
        <v>468202</v>
      </c>
      <c r="E1122" s="43" t="s">
        <v>10</v>
      </c>
      <c r="F1122" s="8">
        <f>_xlfn.IFNA(INDEX('OSA | 3GB'!J:L,MATCH(DATA!D1122,'OSA | 3GB'!J:J,0),2),0)</f>
        <v>2</v>
      </c>
      <c r="G1122" s="8">
        <f>_xlfn.IFNA(INDEX('OSA | 3GB'!J:L,MATCH(DATA!D1122,'OSA | 3GB'!J:J,0),3),0)</f>
        <v>1000000</v>
      </c>
      <c r="H1122" s="32" t="str">
        <f>_xlfn.IFNA(INDEX('OSA | 3GB'!A:C,MATCH(DATA!D1122,'OSA | 3GB'!A:A,0),2),0)</f>
        <v xml:space="preserve"> -   </v>
      </c>
      <c r="I1122" s="33">
        <f>_xlfn.IFNA(INDEX('OSA | 3GB'!A:C,MATCH(DATA!D1122,'OSA | 3GB'!A:A,0),3),0)</f>
        <v>200000</v>
      </c>
      <c r="J1122" s="33">
        <f>INDEX('BIO WAHYU'!B:G,MATCH(DATA!D1122,'BIO WAHYU'!B:B,0),5)</f>
        <v>1</v>
      </c>
      <c r="K1122" s="34">
        <f>INDEX('BIO WAHYU'!B:G,MATCH(DATA!D1122,'BIO WAHYU'!B:B,0),6)</f>
        <v>1</v>
      </c>
      <c r="L1122" s="35">
        <f>INDEX('BIO WAHYU'!B:H,MATCH(DATA!D1122,'BIO WAHYU'!B:B,0),7)</f>
        <v>0</v>
      </c>
      <c r="M1122" s="34">
        <f>INDEX('BIO WAHYU'!B:H,MATCH(DATA!D1122,'BIO WAHYU'!B:B,0),4)</f>
        <v>0</v>
      </c>
    </row>
    <row r="1123" spans="1:13">
      <c r="A1123" s="43" t="s">
        <v>1673</v>
      </c>
      <c r="B1123" s="43" t="s">
        <v>1136</v>
      </c>
      <c r="C1123" s="43" t="s">
        <v>1488</v>
      </c>
      <c r="D1123" s="10">
        <v>325627</v>
      </c>
      <c r="E1123" s="43" t="s">
        <v>15</v>
      </c>
      <c r="F1123" s="8">
        <f>_xlfn.IFNA(INDEX('OSA | 3GB'!J:L,MATCH(DATA!D1123,'OSA | 3GB'!J:J,0),2),0)</f>
        <v>0</v>
      </c>
      <c r="G1123" s="8">
        <f>_xlfn.IFNA(INDEX('OSA | 3GB'!J:L,MATCH(DATA!D1123,'OSA | 3GB'!J:J,0),3),0)</f>
        <v>0</v>
      </c>
      <c r="H1123" s="32" t="str">
        <f>_xlfn.IFNA(INDEX('OSA | 3GB'!A:C,MATCH(DATA!D1123,'OSA | 3GB'!A:A,0),2),0)</f>
        <v xml:space="preserve"> -   </v>
      </c>
      <c r="I1123" s="33" t="str">
        <f>_xlfn.IFNA(INDEX('OSA | 3GB'!A:C,MATCH(DATA!D1123,'OSA | 3GB'!A:A,0),3),0)</f>
        <v xml:space="preserve"> -   </v>
      </c>
      <c r="J1123" s="33">
        <f>INDEX('BIO WAHYU'!B:G,MATCH(DATA!D1123,'BIO WAHYU'!B:B,0),5)</f>
        <v>0</v>
      </c>
      <c r="K1123" s="34">
        <f>INDEX('BIO WAHYU'!B:G,MATCH(DATA!D1123,'BIO WAHYU'!B:B,0),6)</f>
        <v>0</v>
      </c>
      <c r="L1123" s="35">
        <f>INDEX('BIO WAHYU'!B:H,MATCH(DATA!D1123,'BIO WAHYU'!B:B,0),7)</f>
        <v>0</v>
      </c>
      <c r="M1123" s="34">
        <f>INDEX('BIO WAHYU'!B:H,MATCH(DATA!D1123,'BIO WAHYU'!B:B,0),4)</f>
        <v>0</v>
      </c>
    </row>
    <row r="1124" spans="1:13">
      <c r="A1124" s="43" t="s">
        <v>1674</v>
      </c>
      <c r="B1124" s="43" t="s">
        <v>154</v>
      </c>
      <c r="C1124" s="43" t="s">
        <v>741</v>
      </c>
      <c r="D1124" s="10">
        <v>264010</v>
      </c>
      <c r="E1124" s="43" t="s">
        <v>10</v>
      </c>
      <c r="F1124" s="8">
        <f>_xlfn.IFNA(INDEX('OSA | 3GB'!J:L,MATCH(DATA!D1124,'OSA | 3GB'!J:J,0),2),0)</f>
        <v>3</v>
      </c>
      <c r="G1124" s="8">
        <f>_xlfn.IFNA(INDEX('OSA | 3GB'!J:L,MATCH(DATA!D1124,'OSA | 3GB'!J:J,0),3),0)</f>
        <v>300000</v>
      </c>
      <c r="H1124" s="32" t="str">
        <f>_xlfn.IFNA(INDEX('OSA | 3GB'!A:C,MATCH(DATA!D1124,'OSA | 3GB'!A:A,0),2),0)</f>
        <v xml:space="preserve"> -   </v>
      </c>
      <c r="I1124" s="33" t="str">
        <f>_xlfn.IFNA(INDEX('OSA | 3GB'!A:C,MATCH(DATA!D1124,'OSA | 3GB'!A:A,0),3),0)</f>
        <v xml:space="preserve"> -   </v>
      </c>
      <c r="J1124" s="33">
        <f>INDEX('BIO WAHYU'!B:G,MATCH(DATA!D1124,'BIO WAHYU'!B:B,0),5)</f>
        <v>3</v>
      </c>
      <c r="K1124" s="34">
        <f>INDEX('BIO WAHYU'!B:G,MATCH(DATA!D1124,'BIO WAHYU'!B:B,0),6)</f>
        <v>0</v>
      </c>
      <c r="L1124" s="35">
        <f>INDEX('BIO WAHYU'!B:H,MATCH(DATA!D1124,'BIO WAHYU'!B:B,0),7)</f>
        <v>0</v>
      </c>
      <c r="M1124" s="34">
        <f>INDEX('BIO WAHYU'!B:H,MATCH(DATA!D1124,'BIO WAHYU'!B:B,0),4)</f>
        <v>0</v>
      </c>
    </row>
    <row r="1125" spans="1:13">
      <c r="A1125" s="43" t="s">
        <v>1671</v>
      </c>
      <c r="B1125" s="43">
        <v>2613050886</v>
      </c>
      <c r="C1125" s="43" t="s">
        <v>330</v>
      </c>
      <c r="D1125" s="10">
        <v>519950</v>
      </c>
      <c r="E1125" s="43" t="s">
        <v>15</v>
      </c>
      <c r="F1125" s="8">
        <f>_xlfn.IFNA(INDEX('OSA | 3GB'!J:L,MATCH(DATA!D1125,'OSA | 3GB'!J:J,0),2),0)</f>
        <v>0</v>
      </c>
      <c r="G1125" s="8">
        <f>_xlfn.IFNA(INDEX('OSA | 3GB'!J:L,MATCH(DATA!D1125,'OSA | 3GB'!J:J,0),3),0)</f>
        <v>1500000</v>
      </c>
      <c r="H1125" s="32" t="str">
        <f>_xlfn.IFNA(INDEX('OSA | 3GB'!A:C,MATCH(DATA!D1125,'OSA | 3GB'!A:A,0),2),0)</f>
        <v xml:space="preserve"> -   </v>
      </c>
      <c r="I1125" s="33">
        <f>_xlfn.IFNA(INDEX('OSA | 3GB'!A:C,MATCH(DATA!D1125,'OSA | 3GB'!A:A,0),3),0)</f>
        <v>600000</v>
      </c>
      <c r="J1125" s="33">
        <f>INDEX('BIO WAHYU'!B:G,MATCH(DATA!D1125,'BIO WAHYU'!B:B,0),5)</f>
        <v>0</v>
      </c>
      <c r="K1125" s="34">
        <f>INDEX('BIO WAHYU'!B:G,MATCH(DATA!D1125,'BIO WAHYU'!B:B,0),6)</f>
        <v>0</v>
      </c>
      <c r="L1125" s="35">
        <f>INDEX('BIO WAHYU'!B:H,MATCH(DATA!D1125,'BIO WAHYU'!B:B,0),7)</f>
        <v>0</v>
      </c>
      <c r="M1125" s="34">
        <f>INDEX('BIO WAHYU'!B:H,MATCH(DATA!D1125,'BIO WAHYU'!B:B,0),4)</f>
        <v>0</v>
      </c>
    </row>
    <row r="1126" spans="1:13">
      <c r="A1126" s="43" t="s">
        <v>1672</v>
      </c>
      <c r="B1126" s="43">
        <v>2613051475</v>
      </c>
      <c r="C1126" s="43" t="s">
        <v>97</v>
      </c>
      <c r="D1126" s="10">
        <v>280640</v>
      </c>
      <c r="E1126" s="43" t="s">
        <v>10</v>
      </c>
      <c r="F1126" s="8">
        <f>_xlfn.IFNA(INDEX('OSA | 3GB'!J:L,MATCH(DATA!D1126,'OSA | 3GB'!J:J,0),2),0)</f>
        <v>0</v>
      </c>
      <c r="G1126" s="8">
        <f>_xlfn.IFNA(INDEX('OSA | 3GB'!J:L,MATCH(DATA!D1126,'OSA | 3GB'!J:J,0),3),0)</f>
        <v>1600000</v>
      </c>
      <c r="H1126" s="32" t="str">
        <f>_xlfn.IFNA(INDEX('OSA | 3GB'!A:C,MATCH(DATA!D1126,'OSA | 3GB'!A:A,0),2),0)</f>
        <v xml:space="preserve"> -   </v>
      </c>
      <c r="I1126" s="33">
        <f>_xlfn.IFNA(INDEX('OSA | 3GB'!A:C,MATCH(DATA!D1126,'OSA | 3GB'!A:A,0),3),0)</f>
        <v>2100000</v>
      </c>
      <c r="J1126" s="33">
        <f>INDEX('BIO WAHYU'!B:G,MATCH(DATA!D1126,'BIO WAHYU'!B:B,0),5)</f>
        <v>0</v>
      </c>
      <c r="K1126" s="34">
        <f>INDEX('BIO WAHYU'!B:G,MATCH(DATA!D1126,'BIO WAHYU'!B:B,0),6)</f>
        <v>0</v>
      </c>
      <c r="L1126" s="35">
        <f>INDEX('BIO WAHYU'!B:H,MATCH(DATA!D1126,'BIO WAHYU'!B:B,0),7)</f>
        <v>0</v>
      </c>
      <c r="M1126" s="34">
        <f>INDEX('BIO WAHYU'!B:H,MATCH(DATA!D1126,'BIO WAHYU'!B:B,0),4)</f>
        <v>0</v>
      </c>
    </row>
    <row r="1127" spans="1:13">
      <c r="A1127" s="43" t="s">
        <v>1674</v>
      </c>
      <c r="B1127" s="43" t="s">
        <v>152</v>
      </c>
      <c r="C1127" s="43" t="s">
        <v>1405</v>
      </c>
      <c r="D1127" s="10">
        <v>233903</v>
      </c>
      <c r="E1127" s="43" t="s">
        <v>10</v>
      </c>
      <c r="F1127" s="8">
        <f>_xlfn.IFNA(INDEX('OSA | 3GB'!J:L,MATCH(DATA!D1127,'OSA | 3GB'!J:J,0),2),0)</f>
        <v>3</v>
      </c>
      <c r="G1127" s="8">
        <f>_xlfn.IFNA(INDEX('OSA | 3GB'!J:L,MATCH(DATA!D1127,'OSA | 3GB'!J:J,0),3),0)</f>
        <v>358000</v>
      </c>
      <c r="H1127" s="32" t="str">
        <f>_xlfn.IFNA(INDEX('OSA | 3GB'!A:C,MATCH(DATA!D1127,'OSA | 3GB'!A:A,0),2),0)</f>
        <v xml:space="preserve"> -   </v>
      </c>
      <c r="I1127" s="33">
        <f>_xlfn.IFNA(INDEX('OSA | 3GB'!A:C,MATCH(DATA!D1127,'OSA | 3GB'!A:A,0),3),0)</f>
        <v>200000</v>
      </c>
      <c r="J1127" s="33">
        <f>INDEX('BIO WAHYU'!B:G,MATCH(DATA!D1127,'BIO WAHYU'!B:B,0),5)</f>
        <v>1</v>
      </c>
      <c r="K1127" s="34">
        <f>INDEX('BIO WAHYU'!B:G,MATCH(DATA!D1127,'BIO WAHYU'!B:B,0),6)</f>
        <v>0</v>
      </c>
      <c r="L1127" s="35">
        <f>INDEX('BIO WAHYU'!B:H,MATCH(DATA!D1127,'BIO WAHYU'!B:B,0),7)</f>
        <v>0</v>
      </c>
      <c r="M1127" s="34">
        <f>INDEX('BIO WAHYU'!B:H,MATCH(DATA!D1127,'BIO WAHYU'!B:B,0),4)</f>
        <v>0</v>
      </c>
    </row>
    <row r="1128" spans="1:13">
      <c r="A1128" s="43" t="s">
        <v>1672</v>
      </c>
      <c r="B1128" s="43">
        <v>2613051475</v>
      </c>
      <c r="C1128" s="43" t="s">
        <v>921</v>
      </c>
      <c r="D1128" s="10">
        <v>63863</v>
      </c>
      <c r="E1128" s="43" t="s">
        <v>15</v>
      </c>
      <c r="F1128" s="8">
        <f>_xlfn.IFNA(INDEX('OSA | 3GB'!J:L,MATCH(DATA!D1128,'OSA | 3GB'!J:J,0),2),0)</f>
        <v>3</v>
      </c>
      <c r="G1128" s="8">
        <f>_xlfn.IFNA(INDEX('OSA | 3GB'!J:L,MATCH(DATA!D1128,'OSA | 3GB'!J:J,0),3),0)</f>
        <v>50000</v>
      </c>
      <c r="H1128" s="32" t="str">
        <f>_xlfn.IFNA(INDEX('OSA | 3GB'!A:C,MATCH(DATA!D1128,'OSA | 3GB'!A:A,0),2),0)</f>
        <v xml:space="preserve"> -   </v>
      </c>
      <c r="I1128" s="33">
        <f>_xlfn.IFNA(INDEX('OSA | 3GB'!A:C,MATCH(DATA!D1128,'OSA | 3GB'!A:A,0),3),0)</f>
        <v>50000</v>
      </c>
      <c r="J1128" s="33">
        <f>INDEX('BIO WAHYU'!B:G,MATCH(DATA!D1128,'BIO WAHYU'!B:B,0),5)</f>
        <v>2</v>
      </c>
      <c r="K1128" s="34">
        <f>INDEX('BIO WAHYU'!B:G,MATCH(DATA!D1128,'BIO WAHYU'!B:B,0),6)</f>
        <v>0</v>
      </c>
      <c r="L1128" s="35">
        <f>INDEX('BIO WAHYU'!B:H,MATCH(DATA!D1128,'BIO WAHYU'!B:B,0),7)</f>
        <v>0</v>
      </c>
      <c r="M1128" s="34">
        <f>INDEX('BIO WAHYU'!B:H,MATCH(DATA!D1128,'BIO WAHYU'!B:B,0),4)</f>
        <v>0</v>
      </c>
    </row>
    <row r="1129" spans="1:13">
      <c r="A1129" s="43" t="s">
        <v>1674</v>
      </c>
      <c r="B1129" s="43" t="s">
        <v>153</v>
      </c>
      <c r="C1129" s="43" t="s">
        <v>1489</v>
      </c>
      <c r="D1129" s="10">
        <v>211822</v>
      </c>
      <c r="E1129" s="43" t="s">
        <v>10</v>
      </c>
      <c r="F1129" s="8">
        <f>_xlfn.IFNA(INDEX('OSA | 3GB'!J:L,MATCH(DATA!D1129,'OSA | 3GB'!J:J,0),2),0)</f>
        <v>3</v>
      </c>
      <c r="G1129" s="8">
        <f>_xlfn.IFNA(INDEX('OSA | 3GB'!J:L,MATCH(DATA!D1129,'OSA | 3GB'!J:J,0),3),0)</f>
        <v>240000</v>
      </c>
      <c r="H1129" s="32" t="str">
        <f>_xlfn.IFNA(INDEX('OSA | 3GB'!A:C,MATCH(DATA!D1129,'OSA | 3GB'!A:A,0),2),0)</f>
        <v xml:space="preserve"> -   </v>
      </c>
      <c r="I1129" s="33">
        <f>_xlfn.IFNA(INDEX('OSA | 3GB'!A:C,MATCH(DATA!D1129,'OSA | 3GB'!A:A,0),3),0)</f>
        <v>250000</v>
      </c>
      <c r="J1129" s="33">
        <f>INDEX('BIO WAHYU'!B:G,MATCH(DATA!D1129,'BIO WAHYU'!B:B,0),5)</f>
        <v>3</v>
      </c>
      <c r="K1129" s="34">
        <f>INDEX('BIO WAHYU'!B:G,MATCH(DATA!D1129,'BIO WAHYU'!B:B,0),6)</f>
        <v>0</v>
      </c>
      <c r="L1129" s="35">
        <f>INDEX('BIO WAHYU'!B:H,MATCH(DATA!D1129,'BIO WAHYU'!B:B,0),7)</f>
        <v>0</v>
      </c>
      <c r="M1129" s="34">
        <f>INDEX('BIO WAHYU'!B:H,MATCH(DATA!D1129,'BIO WAHYU'!B:B,0),4)</f>
        <v>0</v>
      </c>
    </row>
    <row r="1130" spans="1:13">
      <c r="A1130" s="43" t="s">
        <v>1674</v>
      </c>
      <c r="B1130" s="43" t="s">
        <v>153</v>
      </c>
      <c r="C1130" s="43" t="s">
        <v>714</v>
      </c>
      <c r="D1130" s="10">
        <v>211823</v>
      </c>
      <c r="E1130" s="43" t="s">
        <v>10</v>
      </c>
      <c r="F1130" s="8">
        <f>_xlfn.IFNA(INDEX('OSA | 3GB'!J:L,MATCH(DATA!D1130,'OSA | 3GB'!J:J,0),2),0)</f>
        <v>0</v>
      </c>
      <c r="G1130" s="8">
        <f>_xlfn.IFNA(INDEX('OSA | 3GB'!J:L,MATCH(DATA!D1130,'OSA | 3GB'!J:J,0),3),0)</f>
        <v>0</v>
      </c>
      <c r="H1130" s="32" t="str">
        <f>_xlfn.IFNA(INDEX('OSA | 3GB'!A:C,MATCH(DATA!D1130,'OSA | 3GB'!A:A,0),2),0)</f>
        <v xml:space="preserve"> -   </v>
      </c>
      <c r="I1130" s="33" t="str">
        <f>_xlfn.IFNA(INDEX('OSA | 3GB'!A:C,MATCH(DATA!D1130,'OSA | 3GB'!A:A,0),3),0)</f>
        <v xml:space="preserve"> -   </v>
      </c>
      <c r="J1130" s="33">
        <f>INDEX('BIO WAHYU'!B:G,MATCH(DATA!D1130,'BIO WAHYU'!B:B,0),5)</f>
        <v>1</v>
      </c>
      <c r="K1130" s="34">
        <f>INDEX('BIO WAHYU'!B:G,MATCH(DATA!D1130,'BIO WAHYU'!B:B,0),6)</f>
        <v>0</v>
      </c>
      <c r="L1130" s="35">
        <f>INDEX('BIO WAHYU'!B:H,MATCH(DATA!D1130,'BIO WAHYU'!B:B,0),7)</f>
        <v>0</v>
      </c>
      <c r="M1130" s="34">
        <f>INDEX('BIO WAHYU'!B:H,MATCH(DATA!D1130,'BIO WAHYU'!B:B,0),4)</f>
        <v>0</v>
      </c>
    </row>
    <row r="1131" spans="1:13">
      <c r="A1131" s="43" t="s">
        <v>1675</v>
      </c>
      <c r="B1131" s="43">
        <v>2613051043</v>
      </c>
      <c r="C1131" s="43" t="s">
        <v>1490</v>
      </c>
      <c r="D1131" s="10">
        <v>12327273</v>
      </c>
      <c r="E1131" s="43" t="s">
        <v>10</v>
      </c>
      <c r="F1131" s="8">
        <f>_xlfn.IFNA(INDEX('OSA | 3GB'!J:L,MATCH(DATA!D1131,'OSA | 3GB'!J:J,0),2),0)</f>
        <v>0</v>
      </c>
      <c r="G1131" s="8">
        <f>_xlfn.IFNA(INDEX('OSA | 3GB'!J:L,MATCH(DATA!D1131,'OSA | 3GB'!J:J,0),3),0)</f>
        <v>300000</v>
      </c>
      <c r="H1131" s="32" t="str">
        <f>_xlfn.IFNA(INDEX('OSA | 3GB'!A:C,MATCH(DATA!D1131,'OSA | 3GB'!A:A,0),2),0)</f>
        <v xml:space="preserve"> -   </v>
      </c>
      <c r="I1131" s="33">
        <f>_xlfn.IFNA(INDEX('OSA | 3GB'!A:C,MATCH(DATA!D1131,'OSA | 3GB'!A:A,0),3),0)</f>
        <v>100000</v>
      </c>
      <c r="J1131" s="33">
        <f>INDEX('BIO WAHYU'!B:G,MATCH(DATA!D1131,'BIO WAHYU'!B:B,0),5)</f>
        <v>0</v>
      </c>
      <c r="K1131" s="34">
        <f>INDEX('BIO WAHYU'!B:G,MATCH(DATA!D1131,'BIO WAHYU'!B:B,0),6)</f>
        <v>0</v>
      </c>
      <c r="L1131" s="35">
        <f>INDEX('BIO WAHYU'!B:H,MATCH(DATA!D1131,'BIO WAHYU'!B:B,0),7)</f>
        <v>0</v>
      </c>
      <c r="M1131" s="34">
        <f>INDEX('BIO WAHYU'!B:H,MATCH(DATA!D1131,'BIO WAHYU'!B:B,0),4)</f>
        <v>0</v>
      </c>
    </row>
    <row r="1132" spans="1:13">
      <c r="A1132" s="43" t="s">
        <v>1674</v>
      </c>
      <c r="B1132" s="43" t="s">
        <v>147</v>
      </c>
      <c r="C1132" s="43" t="s">
        <v>1491</v>
      </c>
      <c r="D1132" s="10">
        <v>61876</v>
      </c>
      <c r="E1132" s="43" t="s">
        <v>10</v>
      </c>
      <c r="F1132" s="8">
        <f>_xlfn.IFNA(INDEX('OSA | 3GB'!J:L,MATCH(DATA!D1132,'OSA | 3GB'!J:J,0),2),0)</f>
        <v>3</v>
      </c>
      <c r="G1132" s="8">
        <f>_xlfn.IFNA(INDEX('OSA | 3GB'!J:L,MATCH(DATA!D1132,'OSA | 3GB'!J:J,0),3),0)</f>
        <v>1550000</v>
      </c>
      <c r="H1132" s="32" t="str">
        <f>_xlfn.IFNA(INDEX('OSA | 3GB'!A:C,MATCH(DATA!D1132,'OSA | 3GB'!A:A,0),2),0)</f>
        <v xml:space="preserve"> -   </v>
      </c>
      <c r="I1132" s="33">
        <f>_xlfn.IFNA(INDEX('OSA | 3GB'!A:C,MATCH(DATA!D1132,'OSA | 3GB'!A:A,0),3),0)</f>
        <v>550000</v>
      </c>
      <c r="J1132" s="33">
        <f>INDEX('BIO WAHYU'!B:G,MATCH(DATA!D1132,'BIO WAHYU'!B:B,0),5)</f>
        <v>3</v>
      </c>
      <c r="K1132" s="34">
        <f>INDEX('BIO WAHYU'!B:G,MATCH(DATA!D1132,'BIO WAHYU'!B:B,0),6)</f>
        <v>2</v>
      </c>
      <c r="L1132" s="35">
        <f>INDEX('BIO WAHYU'!B:H,MATCH(DATA!D1132,'BIO WAHYU'!B:B,0),7)</f>
        <v>0</v>
      </c>
      <c r="M1132" s="34">
        <f>INDEX('BIO WAHYU'!B:H,MATCH(DATA!D1132,'BIO WAHYU'!B:B,0),4)</f>
        <v>0</v>
      </c>
    </row>
    <row r="1133" spans="1:13">
      <c r="A1133" s="43" t="s">
        <v>1675</v>
      </c>
      <c r="B1133" s="43">
        <v>2613051451</v>
      </c>
      <c r="C1133" s="43" t="s">
        <v>388</v>
      </c>
      <c r="D1133" s="10">
        <v>402461</v>
      </c>
      <c r="E1133" s="43" t="s">
        <v>10</v>
      </c>
      <c r="F1133" s="8">
        <f>_xlfn.IFNA(INDEX('OSA | 3GB'!J:L,MATCH(DATA!D1133,'OSA | 3GB'!J:J,0),2),0)</f>
        <v>3</v>
      </c>
      <c r="G1133" s="8">
        <f>_xlfn.IFNA(INDEX('OSA | 3GB'!J:L,MATCH(DATA!D1133,'OSA | 3GB'!J:J,0),3),0)</f>
        <v>300000</v>
      </c>
      <c r="H1133" s="32">
        <f>_xlfn.IFNA(INDEX('OSA | 3GB'!A:C,MATCH(DATA!D1133,'OSA | 3GB'!A:A,0),2),0)</f>
        <v>1</v>
      </c>
      <c r="I1133" s="33">
        <f>_xlfn.IFNA(INDEX('OSA | 3GB'!A:C,MATCH(DATA!D1133,'OSA | 3GB'!A:A,0),3),0)</f>
        <v>29000</v>
      </c>
      <c r="J1133" s="33">
        <f>INDEX('BIO WAHYU'!B:G,MATCH(DATA!D1133,'BIO WAHYU'!B:B,0),5)</f>
        <v>3</v>
      </c>
      <c r="K1133" s="34">
        <f>INDEX('BIO WAHYU'!B:G,MATCH(DATA!D1133,'BIO WAHYU'!B:B,0),6)</f>
        <v>1</v>
      </c>
      <c r="L1133" s="35">
        <f>INDEX('BIO WAHYU'!B:H,MATCH(DATA!D1133,'BIO WAHYU'!B:B,0),7)</f>
        <v>0</v>
      </c>
      <c r="M1133" s="34">
        <f>INDEX('BIO WAHYU'!B:H,MATCH(DATA!D1133,'BIO WAHYU'!B:B,0),4)</f>
        <v>0</v>
      </c>
    </row>
    <row r="1134" spans="1:13">
      <c r="A1134" s="43" t="s">
        <v>1675</v>
      </c>
      <c r="B1134" s="43" t="s">
        <v>137</v>
      </c>
      <c r="C1134" s="43" t="s">
        <v>420</v>
      </c>
      <c r="D1134" s="10">
        <v>12295801</v>
      </c>
      <c r="E1134" s="43" t="s">
        <v>15</v>
      </c>
      <c r="F1134" s="8">
        <f>_xlfn.IFNA(INDEX('OSA | 3GB'!J:L,MATCH(DATA!D1134,'OSA | 3GB'!J:J,0),2),0)</f>
        <v>0</v>
      </c>
      <c r="G1134" s="8">
        <f>_xlfn.IFNA(INDEX('OSA | 3GB'!J:L,MATCH(DATA!D1134,'OSA | 3GB'!J:J,0),3),0)</f>
        <v>100000</v>
      </c>
      <c r="H1134" s="32" t="str">
        <f>_xlfn.IFNA(INDEX('OSA | 3GB'!A:C,MATCH(DATA!D1134,'OSA | 3GB'!A:A,0),2),0)</f>
        <v xml:space="preserve"> -   </v>
      </c>
      <c r="I1134" s="33" t="str">
        <f>_xlfn.IFNA(INDEX('OSA | 3GB'!A:C,MATCH(DATA!D1134,'OSA | 3GB'!A:A,0),3),0)</f>
        <v xml:space="preserve"> -   </v>
      </c>
      <c r="J1134" s="33">
        <f>INDEX('BIO WAHYU'!B:G,MATCH(DATA!D1134,'BIO WAHYU'!B:B,0),5)</f>
        <v>0</v>
      </c>
      <c r="K1134" s="34">
        <f>INDEX('BIO WAHYU'!B:G,MATCH(DATA!D1134,'BIO WAHYU'!B:B,0),6)</f>
        <v>0</v>
      </c>
      <c r="L1134" s="35">
        <f>INDEX('BIO WAHYU'!B:H,MATCH(DATA!D1134,'BIO WAHYU'!B:B,0),7)</f>
        <v>0</v>
      </c>
      <c r="M1134" s="34">
        <f>INDEX('BIO WAHYU'!B:H,MATCH(DATA!D1134,'BIO WAHYU'!B:B,0),4)</f>
        <v>0</v>
      </c>
    </row>
    <row r="1135" spans="1:13">
      <c r="A1135" s="43" t="s">
        <v>1673</v>
      </c>
      <c r="B1135" s="43" t="s">
        <v>1136</v>
      </c>
      <c r="C1135" s="43" t="s">
        <v>1492</v>
      </c>
      <c r="D1135" s="10">
        <v>357286</v>
      </c>
      <c r="E1135" s="43" t="s">
        <v>15</v>
      </c>
      <c r="F1135" s="8">
        <f>_xlfn.IFNA(INDEX('OSA | 3GB'!J:L,MATCH(DATA!D1135,'OSA | 3GB'!J:J,0),2),0)</f>
        <v>10</v>
      </c>
      <c r="G1135" s="8">
        <f>_xlfn.IFNA(INDEX('OSA | 3GB'!J:L,MATCH(DATA!D1135,'OSA | 3GB'!J:J,0),3),0)</f>
        <v>100000</v>
      </c>
      <c r="H1135" s="32" t="str">
        <f>_xlfn.IFNA(INDEX('OSA | 3GB'!A:C,MATCH(DATA!D1135,'OSA | 3GB'!A:A,0),2),0)</f>
        <v xml:space="preserve"> -   </v>
      </c>
      <c r="I1135" s="33">
        <f>_xlfn.IFNA(INDEX('OSA | 3GB'!A:C,MATCH(DATA!D1135,'OSA | 3GB'!A:A,0),3),0)</f>
        <v>100000</v>
      </c>
      <c r="J1135" s="33">
        <f>INDEX('BIO WAHYU'!B:G,MATCH(DATA!D1135,'BIO WAHYU'!B:B,0),5)</f>
        <v>12</v>
      </c>
      <c r="K1135" s="34">
        <f>INDEX('BIO WAHYU'!B:G,MATCH(DATA!D1135,'BIO WAHYU'!B:B,0),6)</f>
        <v>6</v>
      </c>
      <c r="L1135" s="35">
        <f>INDEX('BIO WAHYU'!B:H,MATCH(DATA!D1135,'BIO WAHYU'!B:B,0),7)</f>
        <v>0</v>
      </c>
      <c r="M1135" s="34">
        <f>INDEX('BIO WAHYU'!B:H,MATCH(DATA!D1135,'BIO WAHYU'!B:B,0),4)</f>
        <v>0</v>
      </c>
    </row>
    <row r="1136" spans="1:13">
      <c r="A1136" s="43" t="s">
        <v>1671</v>
      </c>
      <c r="B1136" s="43">
        <v>2613050886</v>
      </c>
      <c r="C1136" s="43" t="s">
        <v>1493</v>
      </c>
      <c r="D1136" s="10">
        <v>313780</v>
      </c>
      <c r="E1136" s="43" t="s">
        <v>15</v>
      </c>
      <c r="F1136" s="8">
        <f>_xlfn.IFNA(INDEX('OSA | 3GB'!J:L,MATCH(DATA!D1136,'OSA | 3GB'!J:J,0),2),0)</f>
        <v>3</v>
      </c>
      <c r="G1136" s="8">
        <f>_xlfn.IFNA(INDEX('OSA | 3GB'!J:L,MATCH(DATA!D1136,'OSA | 3GB'!J:J,0),3),0)</f>
        <v>19750000</v>
      </c>
      <c r="H1136" s="32" t="str">
        <f>_xlfn.IFNA(INDEX('OSA | 3GB'!A:C,MATCH(DATA!D1136,'OSA | 3GB'!A:A,0),2),0)</f>
        <v xml:space="preserve"> -   </v>
      </c>
      <c r="I1136" s="33">
        <f>_xlfn.IFNA(INDEX('OSA | 3GB'!A:C,MATCH(DATA!D1136,'OSA | 3GB'!A:A,0),3),0)</f>
        <v>7775913</v>
      </c>
      <c r="J1136" s="33">
        <f>INDEX('BIO WAHYU'!B:G,MATCH(DATA!D1136,'BIO WAHYU'!B:B,0),5)</f>
        <v>2</v>
      </c>
      <c r="K1136" s="34">
        <f>INDEX('BIO WAHYU'!B:G,MATCH(DATA!D1136,'BIO WAHYU'!B:B,0),6)</f>
        <v>0</v>
      </c>
      <c r="L1136" s="35">
        <f>INDEX('BIO WAHYU'!B:H,MATCH(DATA!D1136,'BIO WAHYU'!B:B,0),7)</f>
        <v>0</v>
      </c>
      <c r="M1136" s="34">
        <f>INDEX('BIO WAHYU'!B:H,MATCH(DATA!D1136,'BIO WAHYU'!B:B,0),4)</f>
        <v>0</v>
      </c>
    </row>
    <row r="1137" spans="1:13">
      <c r="A1137" s="43" t="s">
        <v>1672</v>
      </c>
      <c r="B1137" s="43" t="s">
        <v>155</v>
      </c>
      <c r="C1137" s="43" t="s">
        <v>1494</v>
      </c>
      <c r="D1137" s="10">
        <v>61490</v>
      </c>
      <c r="E1137" s="43" t="s">
        <v>10</v>
      </c>
      <c r="F1137" s="8">
        <f>_xlfn.IFNA(INDEX('OSA | 3GB'!J:L,MATCH(DATA!D1137,'OSA | 3GB'!J:J,0),2),0)</f>
        <v>1</v>
      </c>
      <c r="G1137" s="8">
        <f>_xlfn.IFNA(INDEX('OSA | 3GB'!J:L,MATCH(DATA!D1137,'OSA | 3GB'!J:J,0),3),0)</f>
        <v>1500000</v>
      </c>
      <c r="H1137" s="32" t="str">
        <f>_xlfn.IFNA(INDEX('OSA | 3GB'!A:C,MATCH(DATA!D1137,'OSA | 3GB'!A:A,0),2),0)</f>
        <v xml:space="preserve"> -   </v>
      </c>
      <c r="I1137" s="33">
        <f>_xlfn.IFNA(INDEX('OSA | 3GB'!A:C,MATCH(DATA!D1137,'OSA | 3GB'!A:A,0),3),0)</f>
        <v>600000</v>
      </c>
      <c r="J1137" s="33">
        <f>INDEX('BIO WAHYU'!B:G,MATCH(DATA!D1137,'BIO WAHYU'!B:B,0),5)</f>
        <v>0</v>
      </c>
      <c r="K1137" s="34">
        <f>INDEX('BIO WAHYU'!B:G,MATCH(DATA!D1137,'BIO WAHYU'!B:B,0),6)</f>
        <v>0</v>
      </c>
      <c r="L1137" s="35">
        <f>INDEX('BIO WAHYU'!B:H,MATCH(DATA!D1137,'BIO WAHYU'!B:B,0),7)</f>
        <v>0</v>
      </c>
      <c r="M1137" s="34">
        <f>INDEX('BIO WAHYU'!B:H,MATCH(DATA!D1137,'BIO WAHYU'!B:B,0),4)</f>
        <v>0</v>
      </c>
    </row>
    <row r="1138" spans="1:13">
      <c r="A1138" s="43" t="s">
        <v>1672</v>
      </c>
      <c r="B1138" s="43" t="s">
        <v>157</v>
      </c>
      <c r="C1138" s="43" t="s">
        <v>1495</v>
      </c>
      <c r="D1138" s="10">
        <v>62003</v>
      </c>
      <c r="E1138" s="43" t="s">
        <v>10</v>
      </c>
      <c r="F1138" s="8">
        <f>_xlfn.IFNA(INDEX('OSA | 3GB'!J:L,MATCH(DATA!D1138,'OSA | 3GB'!J:J,0),2),0)</f>
        <v>1</v>
      </c>
      <c r="G1138" s="8">
        <f>_xlfn.IFNA(INDEX('OSA | 3GB'!J:L,MATCH(DATA!D1138,'OSA | 3GB'!J:J,0),3),0)</f>
        <v>100000</v>
      </c>
      <c r="H1138" s="32">
        <f>_xlfn.IFNA(INDEX('OSA | 3GB'!A:C,MATCH(DATA!D1138,'OSA | 3GB'!A:A,0),2),0)</f>
        <v>1</v>
      </c>
      <c r="I1138" s="33">
        <f>_xlfn.IFNA(INDEX('OSA | 3GB'!A:C,MATCH(DATA!D1138,'OSA | 3GB'!A:A,0),3),0)</f>
        <v>29000</v>
      </c>
      <c r="J1138" s="33">
        <f>INDEX('BIO WAHYU'!B:G,MATCH(DATA!D1138,'BIO WAHYU'!B:B,0),5)</f>
        <v>3</v>
      </c>
      <c r="K1138" s="34">
        <f>INDEX('BIO WAHYU'!B:G,MATCH(DATA!D1138,'BIO WAHYU'!B:B,0),6)</f>
        <v>0</v>
      </c>
      <c r="L1138" s="35">
        <f>INDEX('BIO WAHYU'!B:H,MATCH(DATA!D1138,'BIO WAHYU'!B:B,0),7)</f>
        <v>0</v>
      </c>
      <c r="M1138" s="34">
        <f>INDEX('BIO WAHYU'!B:H,MATCH(DATA!D1138,'BIO WAHYU'!B:B,0),4)</f>
        <v>0</v>
      </c>
    </row>
    <row r="1139" spans="1:13">
      <c r="A1139" s="43" t="s">
        <v>1671</v>
      </c>
      <c r="B1139" s="43">
        <v>2613050885</v>
      </c>
      <c r="C1139" s="43" t="s">
        <v>1496</v>
      </c>
      <c r="D1139" s="10">
        <v>566515</v>
      </c>
      <c r="E1139" s="43" t="s">
        <v>15</v>
      </c>
      <c r="F1139" s="8">
        <f>_xlfn.IFNA(INDEX('OSA | 3GB'!J:L,MATCH(DATA!D1139,'OSA | 3GB'!J:J,0),2),0)</f>
        <v>0</v>
      </c>
      <c r="G1139" s="8">
        <f>_xlfn.IFNA(INDEX('OSA | 3GB'!J:L,MATCH(DATA!D1139,'OSA | 3GB'!J:J,0),3),0)</f>
        <v>200000</v>
      </c>
      <c r="H1139" s="32" t="str">
        <f>_xlfn.IFNA(INDEX('OSA | 3GB'!A:C,MATCH(DATA!D1139,'OSA | 3GB'!A:A,0),2),0)</f>
        <v xml:space="preserve"> -   </v>
      </c>
      <c r="I1139" s="33" t="str">
        <f>_xlfn.IFNA(INDEX('OSA | 3GB'!A:C,MATCH(DATA!D1139,'OSA | 3GB'!A:A,0),3),0)</f>
        <v xml:space="preserve"> -   </v>
      </c>
      <c r="J1139" s="33">
        <f>INDEX('BIO WAHYU'!B:G,MATCH(DATA!D1139,'BIO WAHYU'!B:B,0),5)</f>
        <v>0</v>
      </c>
      <c r="K1139" s="34">
        <f>INDEX('BIO WAHYU'!B:G,MATCH(DATA!D1139,'BIO WAHYU'!B:B,0),6)</f>
        <v>0</v>
      </c>
      <c r="L1139" s="35">
        <f>INDEX('BIO WAHYU'!B:H,MATCH(DATA!D1139,'BIO WAHYU'!B:B,0),7)</f>
        <v>0</v>
      </c>
      <c r="M1139" s="34">
        <f>INDEX('BIO WAHYU'!B:H,MATCH(DATA!D1139,'BIO WAHYU'!B:B,0),4)</f>
        <v>0</v>
      </c>
    </row>
    <row r="1140" spans="1:13">
      <c r="A1140" s="43" t="s">
        <v>1674</v>
      </c>
      <c r="B1140" s="43" t="s">
        <v>152</v>
      </c>
      <c r="C1140" s="43" t="s">
        <v>668</v>
      </c>
      <c r="D1140" s="10">
        <v>334990</v>
      </c>
      <c r="E1140" s="43" t="s">
        <v>10</v>
      </c>
      <c r="F1140" s="8">
        <f>_xlfn.IFNA(INDEX('OSA | 3GB'!J:L,MATCH(DATA!D1140,'OSA | 3GB'!J:J,0),2),0)</f>
        <v>1</v>
      </c>
      <c r="G1140" s="8">
        <f>_xlfn.IFNA(INDEX('OSA | 3GB'!J:L,MATCH(DATA!D1140,'OSA | 3GB'!J:J,0),3),0)</f>
        <v>22536758</v>
      </c>
      <c r="H1140" s="32" t="str">
        <f>_xlfn.IFNA(INDEX('OSA | 3GB'!A:C,MATCH(DATA!D1140,'OSA | 3GB'!A:A,0),2),0)</f>
        <v xml:space="preserve"> -   </v>
      </c>
      <c r="I1140" s="33">
        <f>_xlfn.IFNA(INDEX('OSA | 3GB'!A:C,MATCH(DATA!D1140,'OSA | 3GB'!A:A,0),3),0)</f>
        <v>8000000</v>
      </c>
      <c r="J1140" s="33">
        <f>INDEX('BIO WAHYU'!B:G,MATCH(DATA!D1140,'BIO WAHYU'!B:B,0),5)</f>
        <v>1</v>
      </c>
      <c r="K1140" s="34">
        <f>INDEX('BIO WAHYU'!B:G,MATCH(DATA!D1140,'BIO WAHYU'!B:B,0),6)</f>
        <v>0</v>
      </c>
      <c r="L1140" s="35">
        <f>INDEX('BIO WAHYU'!B:H,MATCH(DATA!D1140,'BIO WAHYU'!B:B,0),7)</f>
        <v>0</v>
      </c>
      <c r="M1140" s="34">
        <f>INDEX('BIO WAHYU'!B:H,MATCH(DATA!D1140,'BIO WAHYU'!B:B,0),4)</f>
        <v>0</v>
      </c>
    </row>
    <row r="1141" spans="1:13">
      <c r="A1141" s="43" t="s">
        <v>1673</v>
      </c>
      <c r="B1141" s="43" t="s">
        <v>144</v>
      </c>
      <c r="C1141" s="43" t="s">
        <v>236</v>
      </c>
      <c r="D1141" s="10">
        <v>516280</v>
      </c>
      <c r="E1141" s="43" t="s">
        <v>10</v>
      </c>
      <c r="F1141" s="8">
        <f>_xlfn.IFNA(INDEX('OSA | 3GB'!J:L,MATCH(DATA!D1141,'OSA | 3GB'!J:J,0),2),0)</f>
        <v>5</v>
      </c>
      <c r="G1141" s="8">
        <f>_xlfn.IFNA(INDEX('OSA | 3GB'!J:L,MATCH(DATA!D1141,'OSA | 3GB'!J:J,0),3),0)</f>
        <v>150000</v>
      </c>
      <c r="H1141" s="32" t="str">
        <f>_xlfn.IFNA(INDEX('OSA | 3GB'!A:C,MATCH(DATA!D1141,'OSA | 3GB'!A:A,0),2),0)</f>
        <v xml:space="preserve"> -   </v>
      </c>
      <c r="I1141" s="33">
        <f>_xlfn.IFNA(INDEX('OSA | 3GB'!A:C,MATCH(DATA!D1141,'OSA | 3GB'!A:A,0),3),0)</f>
        <v>50000</v>
      </c>
      <c r="J1141" s="33">
        <f>INDEX('BIO WAHYU'!B:G,MATCH(DATA!D1141,'BIO WAHYU'!B:B,0),5)</f>
        <v>5</v>
      </c>
      <c r="K1141" s="34">
        <f>INDEX('BIO WAHYU'!B:G,MATCH(DATA!D1141,'BIO WAHYU'!B:B,0),6)</f>
        <v>6</v>
      </c>
      <c r="L1141" s="35">
        <f>INDEX('BIO WAHYU'!B:H,MATCH(DATA!D1141,'BIO WAHYU'!B:B,0),7)</f>
        <v>1</v>
      </c>
      <c r="M1141" s="34">
        <f>INDEX('BIO WAHYU'!B:H,MATCH(DATA!D1141,'BIO WAHYU'!B:B,0),4)</f>
        <v>0</v>
      </c>
    </row>
    <row r="1142" spans="1:13">
      <c r="A1142" s="43" t="s">
        <v>1670</v>
      </c>
      <c r="B1142" s="43">
        <v>2613051412</v>
      </c>
      <c r="C1142" s="43" t="s">
        <v>564</v>
      </c>
      <c r="D1142" s="10">
        <v>539295</v>
      </c>
      <c r="E1142" s="43" t="s">
        <v>10</v>
      </c>
      <c r="F1142" s="8">
        <f>_xlfn.IFNA(INDEX('OSA | 3GB'!J:L,MATCH(DATA!D1142,'OSA | 3GB'!J:J,0),2),0)</f>
        <v>0</v>
      </c>
      <c r="G1142" s="8">
        <f>_xlfn.IFNA(INDEX('OSA | 3GB'!J:L,MATCH(DATA!D1142,'OSA | 3GB'!J:J,0),3),0)</f>
        <v>4000000</v>
      </c>
      <c r="H1142" s="32" t="str">
        <f>_xlfn.IFNA(INDEX('OSA | 3GB'!A:C,MATCH(DATA!D1142,'OSA | 3GB'!A:A,0),2),0)</f>
        <v xml:space="preserve"> -   </v>
      </c>
      <c r="I1142" s="33">
        <f>_xlfn.IFNA(INDEX('OSA | 3GB'!A:C,MATCH(DATA!D1142,'OSA | 3GB'!A:A,0),3),0)</f>
        <v>500000</v>
      </c>
      <c r="J1142" s="33">
        <f>INDEX('BIO WAHYU'!B:G,MATCH(DATA!D1142,'BIO WAHYU'!B:B,0),5)</f>
        <v>0</v>
      </c>
      <c r="K1142" s="34">
        <f>INDEX('BIO WAHYU'!B:G,MATCH(DATA!D1142,'BIO WAHYU'!B:B,0),6)</f>
        <v>2</v>
      </c>
      <c r="L1142" s="35">
        <f>INDEX('BIO WAHYU'!B:H,MATCH(DATA!D1142,'BIO WAHYU'!B:B,0),7)</f>
        <v>2</v>
      </c>
      <c r="M1142" s="34">
        <f>INDEX('BIO WAHYU'!B:H,MATCH(DATA!D1142,'BIO WAHYU'!B:B,0),4)</f>
        <v>0</v>
      </c>
    </row>
    <row r="1143" spans="1:13">
      <c r="A1143" s="43" t="s">
        <v>1673</v>
      </c>
      <c r="B1143" s="43" t="s">
        <v>144</v>
      </c>
      <c r="C1143" s="43" t="s">
        <v>225</v>
      </c>
      <c r="D1143" s="10">
        <v>366741</v>
      </c>
      <c r="E1143" s="43" t="s">
        <v>10</v>
      </c>
      <c r="F1143" s="8">
        <f>_xlfn.IFNA(INDEX('OSA | 3GB'!J:L,MATCH(DATA!D1143,'OSA | 3GB'!J:J,0),2),0)</f>
        <v>3</v>
      </c>
      <c r="G1143" s="8">
        <f>_xlfn.IFNA(INDEX('OSA | 3GB'!J:L,MATCH(DATA!D1143,'OSA | 3GB'!J:J,0),3),0)</f>
        <v>565000</v>
      </c>
      <c r="H1143" s="32" t="str">
        <f>_xlfn.IFNA(INDEX('OSA | 3GB'!A:C,MATCH(DATA!D1143,'OSA | 3GB'!A:A,0),2),0)</f>
        <v xml:space="preserve"> -   </v>
      </c>
      <c r="I1143" s="33" t="str">
        <f>_xlfn.IFNA(INDEX('OSA | 3GB'!A:C,MATCH(DATA!D1143,'OSA | 3GB'!A:A,0),3),0)</f>
        <v xml:space="preserve"> -   </v>
      </c>
      <c r="J1143" s="33">
        <f>INDEX('BIO WAHYU'!B:G,MATCH(DATA!D1143,'BIO WAHYU'!B:B,0),5)</f>
        <v>2</v>
      </c>
      <c r="K1143" s="34">
        <f>INDEX('BIO WAHYU'!B:G,MATCH(DATA!D1143,'BIO WAHYU'!B:B,0),6)</f>
        <v>0</v>
      </c>
      <c r="L1143" s="35">
        <f>INDEX('BIO WAHYU'!B:H,MATCH(DATA!D1143,'BIO WAHYU'!B:B,0),7)</f>
        <v>0</v>
      </c>
      <c r="M1143" s="34">
        <f>INDEX('BIO WAHYU'!B:H,MATCH(DATA!D1143,'BIO WAHYU'!B:B,0),4)</f>
        <v>0</v>
      </c>
    </row>
    <row r="1144" spans="1:13">
      <c r="A1144" s="43" t="s">
        <v>1671</v>
      </c>
      <c r="B1144" s="43" t="s">
        <v>142</v>
      </c>
      <c r="C1144" s="43" t="s">
        <v>1497</v>
      </c>
      <c r="D1144" s="10">
        <v>557542</v>
      </c>
      <c r="E1144" s="43" t="s">
        <v>10</v>
      </c>
      <c r="F1144" s="8">
        <f>_xlfn.IFNA(INDEX('OSA | 3GB'!J:L,MATCH(DATA!D1144,'OSA | 3GB'!J:J,0),2),0)</f>
        <v>1</v>
      </c>
      <c r="G1144" s="8">
        <f>_xlfn.IFNA(INDEX('OSA | 3GB'!J:L,MATCH(DATA!D1144,'OSA | 3GB'!J:J,0),3),0)</f>
        <v>100000</v>
      </c>
      <c r="H1144" s="32" t="str">
        <f>_xlfn.IFNA(INDEX('OSA | 3GB'!A:C,MATCH(DATA!D1144,'OSA | 3GB'!A:A,0),2),0)</f>
        <v xml:space="preserve"> -   </v>
      </c>
      <c r="I1144" s="33" t="str">
        <f>_xlfn.IFNA(INDEX('OSA | 3GB'!A:C,MATCH(DATA!D1144,'OSA | 3GB'!A:A,0),3),0)</f>
        <v xml:space="preserve"> -   </v>
      </c>
      <c r="J1144" s="33">
        <f>INDEX('BIO WAHYU'!B:G,MATCH(DATA!D1144,'BIO WAHYU'!B:B,0),5)</f>
        <v>1</v>
      </c>
      <c r="K1144" s="34">
        <f>INDEX('BIO WAHYU'!B:G,MATCH(DATA!D1144,'BIO WAHYU'!B:B,0),6)</f>
        <v>0</v>
      </c>
      <c r="L1144" s="35">
        <f>INDEX('BIO WAHYU'!B:H,MATCH(DATA!D1144,'BIO WAHYU'!B:B,0),7)</f>
        <v>0</v>
      </c>
      <c r="M1144" s="34">
        <f>INDEX('BIO WAHYU'!B:H,MATCH(DATA!D1144,'BIO WAHYU'!B:B,0),4)</f>
        <v>0</v>
      </c>
    </row>
    <row r="1145" spans="1:13">
      <c r="A1145" s="43" t="s">
        <v>1670</v>
      </c>
      <c r="B1145" s="43" t="s">
        <v>140</v>
      </c>
      <c r="C1145" s="43" t="s">
        <v>1498</v>
      </c>
      <c r="D1145" s="10">
        <v>12321883</v>
      </c>
      <c r="E1145" s="43" t="s">
        <v>15</v>
      </c>
      <c r="F1145" s="8">
        <f>_xlfn.IFNA(INDEX('OSA | 3GB'!J:L,MATCH(DATA!D1145,'OSA | 3GB'!J:J,0),2),0)</f>
        <v>2</v>
      </c>
      <c r="G1145" s="8">
        <f>_xlfn.IFNA(INDEX('OSA | 3GB'!J:L,MATCH(DATA!D1145,'OSA | 3GB'!J:J,0),3),0)</f>
        <v>1000000</v>
      </c>
      <c r="H1145" s="32" t="str">
        <f>_xlfn.IFNA(INDEX('OSA | 3GB'!A:C,MATCH(DATA!D1145,'OSA | 3GB'!A:A,0),2),0)</f>
        <v xml:space="preserve"> -   </v>
      </c>
      <c r="I1145" s="33">
        <f>_xlfn.IFNA(INDEX('OSA | 3GB'!A:C,MATCH(DATA!D1145,'OSA | 3GB'!A:A,0),3),0)</f>
        <v>200000</v>
      </c>
      <c r="J1145" s="33">
        <f>INDEX('BIO WAHYU'!B:G,MATCH(DATA!D1145,'BIO WAHYU'!B:B,0),5)</f>
        <v>3</v>
      </c>
      <c r="K1145" s="34">
        <f>INDEX('BIO WAHYU'!B:G,MATCH(DATA!D1145,'BIO WAHYU'!B:B,0),6)</f>
        <v>0</v>
      </c>
      <c r="L1145" s="35">
        <f>INDEX('BIO WAHYU'!B:H,MATCH(DATA!D1145,'BIO WAHYU'!B:B,0),7)</f>
        <v>0</v>
      </c>
      <c r="M1145" s="34">
        <f>INDEX('BIO WAHYU'!B:H,MATCH(DATA!D1145,'BIO WAHYU'!B:B,0),4)</f>
        <v>0</v>
      </c>
    </row>
    <row r="1146" spans="1:13">
      <c r="A1146" s="43" t="s">
        <v>1</v>
      </c>
      <c r="B1146" s="43" t="s">
        <v>4</v>
      </c>
      <c r="C1146" s="43" t="s">
        <v>1110</v>
      </c>
      <c r="D1146" s="10">
        <v>246732</v>
      </c>
      <c r="E1146" s="43" t="s">
        <v>10</v>
      </c>
      <c r="F1146" s="8">
        <f>_xlfn.IFNA(INDEX('OSA | 3GB'!J:L,MATCH(DATA!D1146,'OSA | 3GB'!J:J,0),2),0)</f>
        <v>0</v>
      </c>
      <c r="G1146" s="8">
        <f>_xlfn.IFNA(INDEX('OSA | 3GB'!J:L,MATCH(DATA!D1146,'OSA | 3GB'!J:J,0),3),0)</f>
        <v>200000</v>
      </c>
      <c r="H1146" s="32" t="str">
        <f>_xlfn.IFNA(INDEX('OSA | 3GB'!A:C,MATCH(DATA!D1146,'OSA | 3GB'!A:A,0),2),0)</f>
        <v xml:space="preserve"> -   </v>
      </c>
      <c r="I1146" s="33">
        <f>_xlfn.IFNA(INDEX('OSA | 3GB'!A:C,MATCH(DATA!D1146,'OSA | 3GB'!A:A,0),3),0)</f>
        <v>50000</v>
      </c>
      <c r="J1146" s="33">
        <f>INDEX('BIO WAHYU'!B:G,MATCH(DATA!D1146,'BIO WAHYU'!B:B,0),5)</f>
        <v>1</v>
      </c>
      <c r="K1146" s="34">
        <f>INDEX('BIO WAHYU'!B:G,MATCH(DATA!D1146,'BIO WAHYU'!B:B,0),6)</f>
        <v>0</v>
      </c>
      <c r="L1146" s="35">
        <f>INDEX('BIO WAHYU'!B:H,MATCH(DATA!D1146,'BIO WAHYU'!B:B,0),7)</f>
        <v>0</v>
      </c>
      <c r="M1146" s="34">
        <f>INDEX('BIO WAHYU'!B:H,MATCH(DATA!D1146,'BIO WAHYU'!B:B,0),4)</f>
        <v>0</v>
      </c>
    </row>
    <row r="1147" spans="1:13">
      <c r="A1147" s="43" t="s">
        <v>1673</v>
      </c>
      <c r="B1147" s="43" t="s">
        <v>1136</v>
      </c>
      <c r="C1147" s="43" t="s">
        <v>170</v>
      </c>
      <c r="D1147" s="10">
        <v>12329048</v>
      </c>
      <c r="E1147" s="43" t="s">
        <v>10</v>
      </c>
      <c r="F1147" s="8">
        <f>_xlfn.IFNA(INDEX('OSA | 3GB'!J:L,MATCH(DATA!D1147,'OSA | 3GB'!J:J,0),2),0)</f>
        <v>0</v>
      </c>
      <c r="G1147" s="8">
        <f>_xlfn.IFNA(INDEX('OSA | 3GB'!J:L,MATCH(DATA!D1147,'OSA | 3GB'!J:J,0),3),0)</f>
        <v>50000</v>
      </c>
      <c r="H1147" s="32" t="str">
        <f>_xlfn.IFNA(INDEX('OSA | 3GB'!A:C,MATCH(DATA!D1147,'OSA | 3GB'!A:A,0),2),0)</f>
        <v xml:space="preserve"> -   </v>
      </c>
      <c r="I1147" s="33" t="str">
        <f>_xlfn.IFNA(INDEX('OSA | 3GB'!A:C,MATCH(DATA!D1147,'OSA | 3GB'!A:A,0),3),0)</f>
        <v xml:space="preserve"> -   </v>
      </c>
      <c r="J1147" s="33">
        <f>INDEX('BIO WAHYU'!B:G,MATCH(DATA!D1147,'BIO WAHYU'!B:B,0),5)</f>
        <v>1</v>
      </c>
      <c r="K1147" s="34">
        <f>INDEX('BIO WAHYU'!B:G,MATCH(DATA!D1147,'BIO WAHYU'!B:B,0),6)</f>
        <v>0</v>
      </c>
      <c r="L1147" s="35">
        <f>INDEX('BIO WAHYU'!B:H,MATCH(DATA!D1147,'BIO WAHYU'!B:B,0),7)</f>
        <v>0</v>
      </c>
      <c r="M1147" s="34">
        <f>INDEX('BIO WAHYU'!B:H,MATCH(DATA!D1147,'BIO WAHYU'!B:B,0),4)</f>
        <v>0</v>
      </c>
    </row>
    <row r="1148" spans="1:13">
      <c r="A1148" s="43" t="s">
        <v>1674</v>
      </c>
      <c r="B1148" s="43" t="s">
        <v>152</v>
      </c>
      <c r="C1148" s="43" t="s">
        <v>1499</v>
      </c>
      <c r="D1148" s="10">
        <v>396792</v>
      </c>
      <c r="E1148" s="43" t="s">
        <v>10</v>
      </c>
      <c r="F1148" s="8">
        <f>_xlfn.IFNA(INDEX('OSA | 3GB'!J:L,MATCH(DATA!D1148,'OSA | 3GB'!J:J,0),2),0)</f>
        <v>1</v>
      </c>
      <c r="G1148" s="8">
        <f>_xlfn.IFNA(INDEX('OSA | 3GB'!J:L,MATCH(DATA!D1148,'OSA | 3GB'!J:J,0),3),0)</f>
        <v>8500000</v>
      </c>
      <c r="H1148" s="32">
        <f>_xlfn.IFNA(INDEX('OSA | 3GB'!A:C,MATCH(DATA!D1148,'OSA | 3GB'!A:A,0),2),0)</f>
        <v>12</v>
      </c>
      <c r="I1148" s="33">
        <f>_xlfn.IFNA(INDEX('OSA | 3GB'!A:C,MATCH(DATA!D1148,'OSA | 3GB'!A:A,0),3),0)</f>
        <v>2100000</v>
      </c>
      <c r="J1148" s="33">
        <f>INDEX('BIO WAHYU'!B:G,MATCH(DATA!D1148,'BIO WAHYU'!B:B,0),5)</f>
        <v>1</v>
      </c>
      <c r="K1148" s="34">
        <f>INDEX('BIO WAHYU'!B:G,MATCH(DATA!D1148,'BIO WAHYU'!B:B,0),6)</f>
        <v>7</v>
      </c>
      <c r="L1148" s="35">
        <f>INDEX('BIO WAHYU'!B:H,MATCH(DATA!D1148,'BIO WAHYU'!B:B,0),7)</f>
        <v>6</v>
      </c>
      <c r="M1148" s="34">
        <f>INDEX('BIO WAHYU'!B:H,MATCH(DATA!D1148,'BIO WAHYU'!B:B,0),4)</f>
        <v>0</v>
      </c>
    </row>
    <row r="1149" spans="1:13">
      <c r="A1149" s="43" t="s">
        <v>1673</v>
      </c>
      <c r="B1149" s="43" t="s">
        <v>1140</v>
      </c>
      <c r="C1149" s="43" t="s">
        <v>1500</v>
      </c>
      <c r="D1149" s="10">
        <v>513182</v>
      </c>
      <c r="E1149" s="43" t="s">
        <v>10</v>
      </c>
      <c r="F1149" s="8">
        <f>_xlfn.IFNA(INDEX('OSA | 3GB'!J:L,MATCH(DATA!D1149,'OSA | 3GB'!J:J,0),2),0)</f>
        <v>3</v>
      </c>
      <c r="G1149" s="8">
        <f>_xlfn.IFNA(INDEX('OSA | 3GB'!J:L,MATCH(DATA!D1149,'OSA | 3GB'!J:J,0),3),0)</f>
        <v>2400000</v>
      </c>
      <c r="H1149" s="32" t="str">
        <f>_xlfn.IFNA(INDEX('OSA | 3GB'!A:C,MATCH(DATA!D1149,'OSA | 3GB'!A:A,0),2),0)</f>
        <v xml:space="preserve"> -   </v>
      </c>
      <c r="I1149" s="33">
        <f>_xlfn.IFNA(INDEX('OSA | 3GB'!A:C,MATCH(DATA!D1149,'OSA | 3GB'!A:A,0),3),0)</f>
        <v>850000</v>
      </c>
      <c r="J1149" s="33">
        <f>INDEX('BIO WAHYU'!B:G,MATCH(DATA!D1149,'BIO WAHYU'!B:B,0),5)</f>
        <v>3</v>
      </c>
      <c r="K1149" s="34">
        <f>INDEX('BIO WAHYU'!B:G,MATCH(DATA!D1149,'BIO WAHYU'!B:B,0),6)</f>
        <v>4</v>
      </c>
      <c r="L1149" s="35">
        <f>INDEX('BIO WAHYU'!B:H,MATCH(DATA!D1149,'BIO WAHYU'!B:B,0),7)</f>
        <v>1</v>
      </c>
      <c r="M1149" s="34">
        <f>INDEX('BIO WAHYU'!B:H,MATCH(DATA!D1149,'BIO WAHYU'!B:B,0),4)</f>
        <v>0</v>
      </c>
    </row>
    <row r="1150" spans="1:13">
      <c r="A1150" s="43" t="s">
        <v>1</v>
      </c>
      <c r="B1150" s="43" t="s">
        <v>3</v>
      </c>
      <c r="C1150" s="43" t="s">
        <v>28</v>
      </c>
      <c r="D1150" s="10">
        <v>491288</v>
      </c>
      <c r="E1150" s="43" t="s">
        <v>10</v>
      </c>
      <c r="F1150" s="8">
        <f>_xlfn.IFNA(INDEX('OSA | 3GB'!J:L,MATCH(DATA!D1150,'OSA | 3GB'!J:J,0),2),0)</f>
        <v>3</v>
      </c>
      <c r="G1150" s="8">
        <f>_xlfn.IFNA(INDEX('OSA | 3GB'!J:L,MATCH(DATA!D1150,'OSA | 3GB'!J:J,0),3),0)</f>
        <v>670500</v>
      </c>
      <c r="H1150" s="32">
        <f>_xlfn.IFNA(INDEX('OSA | 3GB'!A:C,MATCH(DATA!D1150,'OSA | 3GB'!A:A,0),2),0)</f>
        <v>3</v>
      </c>
      <c r="I1150" s="33">
        <f>_xlfn.IFNA(INDEX('OSA | 3GB'!A:C,MATCH(DATA!D1150,'OSA | 3GB'!A:A,0),3),0)</f>
        <v>300000</v>
      </c>
      <c r="J1150" s="33">
        <f>INDEX('BIO WAHYU'!B:G,MATCH(DATA!D1150,'BIO WAHYU'!B:B,0),5)</f>
        <v>3</v>
      </c>
      <c r="K1150" s="34">
        <f>INDEX('BIO WAHYU'!B:G,MATCH(DATA!D1150,'BIO WAHYU'!B:B,0),6)</f>
        <v>3</v>
      </c>
      <c r="L1150" s="35">
        <f>INDEX('BIO WAHYU'!B:H,MATCH(DATA!D1150,'BIO WAHYU'!B:B,0),7)</f>
        <v>0</v>
      </c>
      <c r="M1150" s="34">
        <f>INDEX('BIO WAHYU'!B:H,MATCH(DATA!D1150,'BIO WAHYU'!B:B,0),4)</f>
        <v>0</v>
      </c>
    </row>
    <row r="1151" spans="1:13">
      <c r="A1151" s="43" t="s">
        <v>1674</v>
      </c>
      <c r="B1151" s="43" t="s">
        <v>153</v>
      </c>
      <c r="C1151" s="43" t="s">
        <v>1501</v>
      </c>
      <c r="D1151" s="10">
        <v>357346</v>
      </c>
      <c r="E1151" s="43" t="s">
        <v>23</v>
      </c>
      <c r="F1151" s="8">
        <f>_xlfn.IFNA(INDEX('OSA | 3GB'!J:L,MATCH(DATA!D1151,'OSA | 3GB'!J:J,0),2),0)</f>
        <v>0</v>
      </c>
      <c r="G1151" s="8">
        <f>_xlfn.IFNA(INDEX('OSA | 3GB'!J:L,MATCH(DATA!D1151,'OSA | 3GB'!J:J,0),3),0)</f>
        <v>0</v>
      </c>
      <c r="H1151" s="32" t="str">
        <f>_xlfn.IFNA(INDEX('OSA | 3GB'!A:C,MATCH(DATA!D1151,'OSA | 3GB'!A:A,0),2),0)</f>
        <v xml:space="preserve"> -   </v>
      </c>
      <c r="I1151" s="33">
        <f>_xlfn.IFNA(INDEX('OSA | 3GB'!A:C,MATCH(DATA!D1151,'OSA | 3GB'!A:A,0),3),0)</f>
        <v>8000000</v>
      </c>
      <c r="J1151" s="33">
        <f>INDEX('BIO WAHYU'!B:G,MATCH(DATA!D1151,'BIO WAHYU'!B:B,0),5)</f>
        <v>0</v>
      </c>
      <c r="K1151" s="34">
        <f>INDEX('BIO WAHYU'!B:G,MATCH(DATA!D1151,'BIO WAHYU'!B:B,0),6)</f>
        <v>0</v>
      </c>
      <c r="L1151" s="35">
        <f>INDEX('BIO WAHYU'!B:H,MATCH(DATA!D1151,'BIO WAHYU'!B:B,0),7)</f>
        <v>0</v>
      </c>
      <c r="M1151" s="34">
        <f>INDEX('BIO WAHYU'!B:H,MATCH(DATA!D1151,'BIO WAHYU'!B:B,0),4)</f>
        <v>0</v>
      </c>
    </row>
    <row r="1152" spans="1:13">
      <c r="A1152" s="43" t="s">
        <v>1672</v>
      </c>
      <c r="B1152" s="43" t="s">
        <v>150</v>
      </c>
      <c r="C1152" s="43" t="s">
        <v>1502</v>
      </c>
      <c r="D1152" s="10">
        <v>342581</v>
      </c>
      <c r="E1152" s="43" t="s">
        <v>10</v>
      </c>
      <c r="F1152" s="8">
        <f>_xlfn.IFNA(INDEX('OSA | 3GB'!J:L,MATCH(DATA!D1152,'OSA | 3GB'!J:J,0),2),0)</f>
        <v>3</v>
      </c>
      <c r="G1152" s="8">
        <f>_xlfn.IFNA(INDEX('OSA | 3GB'!J:L,MATCH(DATA!D1152,'OSA | 3GB'!J:J,0),3),0)</f>
        <v>1100000</v>
      </c>
      <c r="H1152" s="32" t="str">
        <f>_xlfn.IFNA(INDEX('OSA | 3GB'!A:C,MATCH(DATA!D1152,'OSA | 3GB'!A:A,0),2),0)</f>
        <v xml:space="preserve"> -   </v>
      </c>
      <c r="I1152" s="33">
        <f>_xlfn.IFNA(INDEX('OSA | 3GB'!A:C,MATCH(DATA!D1152,'OSA | 3GB'!A:A,0),3),0)</f>
        <v>300000</v>
      </c>
      <c r="J1152" s="33">
        <f>INDEX('BIO WAHYU'!B:G,MATCH(DATA!D1152,'BIO WAHYU'!B:B,0),5)</f>
        <v>1</v>
      </c>
      <c r="K1152" s="34">
        <f>INDEX('BIO WAHYU'!B:G,MATCH(DATA!D1152,'BIO WAHYU'!B:B,0),6)</f>
        <v>0</v>
      </c>
      <c r="L1152" s="35">
        <f>INDEX('BIO WAHYU'!B:H,MATCH(DATA!D1152,'BIO WAHYU'!B:B,0),7)</f>
        <v>0</v>
      </c>
      <c r="M1152" s="34">
        <f>INDEX('BIO WAHYU'!B:H,MATCH(DATA!D1152,'BIO WAHYU'!B:B,0),4)</f>
        <v>0</v>
      </c>
    </row>
    <row r="1153" spans="1:13">
      <c r="A1153" s="43" t="s">
        <v>1672</v>
      </c>
      <c r="B1153" s="43" t="s">
        <v>156</v>
      </c>
      <c r="C1153" s="43" t="s">
        <v>1503</v>
      </c>
      <c r="D1153" s="10">
        <v>107295</v>
      </c>
      <c r="E1153" s="43" t="s">
        <v>15</v>
      </c>
      <c r="F1153" s="8">
        <f>_xlfn.IFNA(INDEX('OSA | 3GB'!J:L,MATCH(DATA!D1153,'OSA | 3GB'!J:J,0),2),0)</f>
        <v>2</v>
      </c>
      <c r="G1153" s="8">
        <f>_xlfn.IFNA(INDEX('OSA | 3GB'!J:L,MATCH(DATA!D1153,'OSA | 3GB'!J:J,0),3),0)</f>
        <v>2400000</v>
      </c>
      <c r="H1153" s="32" t="str">
        <f>_xlfn.IFNA(INDEX('OSA | 3GB'!A:C,MATCH(DATA!D1153,'OSA | 3GB'!A:A,0),2),0)</f>
        <v xml:space="preserve"> -   </v>
      </c>
      <c r="I1153" s="33">
        <f>_xlfn.IFNA(INDEX('OSA | 3GB'!A:C,MATCH(DATA!D1153,'OSA | 3GB'!A:A,0),3),0)</f>
        <v>500000</v>
      </c>
      <c r="J1153" s="33">
        <f>INDEX('BIO WAHYU'!B:G,MATCH(DATA!D1153,'BIO WAHYU'!B:B,0),5)</f>
        <v>3</v>
      </c>
      <c r="K1153" s="34">
        <f>INDEX('BIO WAHYU'!B:G,MATCH(DATA!D1153,'BIO WAHYU'!B:B,0),6)</f>
        <v>0</v>
      </c>
      <c r="L1153" s="35">
        <f>INDEX('BIO WAHYU'!B:H,MATCH(DATA!D1153,'BIO WAHYU'!B:B,0),7)</f>
        <v>0</v>
      </c>
      <c r="M1153" s="34">
        <f>INDEX('BIO WAHYU'!B:H,MATCH(DATA!D1153,'BIO WAHYU'!B:B,0),4)</f>
        <v>0</v>
      </c>
    </row>
    <row r="1154" spans="1:13">
      <c r="A1154" s="43" t="s">
        <v>1674</v>
      </c>
      <c r="B1154" s="43">
        <v>2613052222</v>
      </c>
      <c r="C1154" s="43" t="s">
        <v>1504</v>
      </c>
      <c r="D1154" s="10">
        <v>452054</v>
      </c>
      <c r="E1154" s="43" t="s">
        <v>10</v>
      </c>
      <c r="F1154" s="8">
        <f>_xlfn.IFNA(INDEX('OSA | 3GB'!J:L,MATCH(DATA!D1154,'OSA | 3GB'!J:J,0),2),0)</f>
        <v>3</v>
      </c>
      <c r="G1154" s="8">
        <f>_xlfn.IFNA(INDEX('OSA | 3GB'!J:L,MATCH(DATA!D1154,'OSA | 3GB'!J:J,0),3),0)</f>
        <v>2067000</v>
      </c>
      <c r="H1154" s="32" t="str">
        <f>_xlfn.IFNA(INDEX('OSA | 3GB'!A:C,MATCH(DATA!D1154,'OSA | 3GB'!A:A,0),2),0)</f>
        <v xml:space="preserve"> -   </v>
      </c>
      <c r="I1154" s="33">
        <f>_xlfn.IFNA(INDEX('OSA | 3GB'!A:C,MATCH(DATA!D1154,'OSA | 3GB'!A:A,0),3),0)</f>
        <v>900000</v>
      </c>
      <c r="J1154" s="33">
        <f>INDEX('BIO WAHYU'!B:G,MATCH(DATA!D1154,'BIO WAHYU'!B:B,0),5)</f>
        <v>1</v>
      </c>
      <c r="K1154" s="34">
        <f>INDEX('BIO WAHYU'!B:G,MATCH(DATA!D1154,'BIO WAHYU'!B:B,0),6)</f>
        <v>0</v>
      </c>
      <c r="L1154" s="35">
        <f>INDEX('BIO WAHYU'!B:H,MATCH(DATA!D1154,'BIO WAHYU'!B:B,0),7)</f>
        <v>0</v>
      </c>
      <c r="M1154" s="34">
        <f>INDEX('BIO WAHYU'!B:H,MATCH(DATA!D1154,'BIO WAHYU'!B:B,0),4)</f>
        <v>0</v>
      </c>
    </row>
    <row r="1155" spans="1:13">
      <c r="A1155" s="43" t="s">
        <v>1670</v>
      </c>
      <c r="B1155" s="43">
        <v>2613052584</v>
      </c>
      <c r="C1155" s="43" t="s">
        <v>569</v>
      </c>
      <c r="D1155" s="10">
        <v>12295728</v>
      </c>
      <c r="E1155" s="43" t="s">
        <v>10</v>
      </c>
      <c r="F1155" s="8">
        <f>_xlfn.IFNA(INDEX('OSA | 3GB'!J:L,MATCH(DATA!D1155,'OSA | 3GB'!J:J,0),2),0)</f>
        <v>3</v>
      </c>
      <c r="G1155" s="8">
        <f>_xlfn.IFNA(INDEX('OSA | 3GB'!J:L,MATCH(DATA!D1155,'OSA | 3GB'!J:J,0),3),0)</f>
        <v>450000</v>
      </c>
      <c r="H1155" s="32" t="str">
        <f>_xlfn.IFNA(INDEX('OSA | 3GB'!A:C,MATCH(DATA!D1155,'OSA | 3GB'!A:A,0),2),0)</f>
        <v xml:space="preserve"> -   </v>
      </c>
      <c r="I1155" s="33">
        <f>_xlfn.IFNA(INDEX('OSA | 3GB'!A:C,MATCH(DATA!D1155,'OSA | 3GB'!A:A,0),3),0)</f>
        <v>300000</v>
      </c>
      <c r="J1155" s="33">
        <f>INDEX('BIO WAHYU'!B:G,MATCH(DATA!D1155,'BIO WAHYU'!B:B,0),5)</f>
        <v>1</v>
      </c>
      <c r="K1155" s="34">
        <f>INDEX('BIO WAHYU'!B:G,MATCH(DATA!D1155,'BIO WAHYU'!B:B,0),6)</f>
        <v>0</v>
      </c>
      <c r="L1155" s="35">
        <f>INDEX('BIO WAHYU'!B:H,MATCH(DATA!D1155,'BIO WAHYU'!B:B,0),7)</f>
        <v>0</v>
      </c>
      <c r="M1155" s="34">
        <f>INDEX('BIO WAHYU'!B:H,MATCH(DATA!D1155,'BIO WAHYU'!B:B,0),4)</f>
        <v>0</v>
      </c>
    </row>
    <row r="1156" spans="1:13">
      <c r="A1156" s="43" t="s">
        <v>1672</v>
      </c>
      <c r="B1156" s="43" t="s">
        <v>157</v>
      </c>
      <c r="C1156" s="43" t="s">
        <v>1059</v>
      </c>
      <c r="D1156" s="10">
        <v>61661</v>
      </c>
      <c r="E1156" s="43" t="s">
        <v>10</v>
      </c>
      <c r="F1156" s="8">
        <f>_xlfn.IFNA(INDEX('OSA | 3GB'!J:L,MATCH(DATA!D1156,'OSA | 3GB'!J:J,0),2),0)</f>
        <v>3</v>
      </c>
      <c r="G1156" s="8">
        <f>_xlfn.IFNA(INDEX('OSA | 3GB'!J:L,MATCH(DATA!D1156,'OSA | 3GB'!J:J,0),3),0)</f>
        <v>200000</v>
      </c>
      <c r="H1156" s="32">
        <f>_xlfn.IFNA(INDEX('OSA | 3GB'!A:C,MATCH(DATA!D1156,'OSA | 3GB'!A:A,0),2),0)</f>
        <v>4</v>
      </c>
      <c r="I1156" s="33">
        <f>_xlfn.IFNA(INDEX('OSA | 3GB'!A:C,MATCH(DATA!D1156,'OSA | 3GB'!A:A,0),3),0)</f>
        <v>116000</v>
      </c>
      <c r="J1156" s="33">
        <f>INDEX('BIO WAHYU'!B:G,MATCH(DATA!D1156,'BIO WAHYU'!B:B,0),5)</f>
        <v>0</v>
      </c>
      <c r="K1156" s="34">
        <f>INDEX('BIO WAHYU'!B:G,MATCH(DATA!D1156,'BIO WAHYU'!B:B,0),6)</f>
        <v>0</v>
      </c>
      <c r="L1156" s="35">
        <f>INDEX('BIO WAHYU'!B:H,MATCH(DATA!D1156,'BIO WAHYU'!B:B,0),7)</f>
        <v>0</v>
      </c>
      <c r="M1156" s="34">
        <f>INDEX('BIO WAHYU'!B:H,MATCH(DATA!D1156,'BIO WAHYU'!B:B,0),4)</f>
        <v>0</v>
      </c>
    </row>
    <row r="1157" spans="1:13">
      <c r="A1157" s="43" t="s">
        <v>1672</v>
      </c>
      <c r="B1157" s="43" t="s">
        <v>157</v>
      </c>
      <c r="C1157" s="43" t="s">
        <v>1044</v>
      </c>
      <c r="D1157" s="10">
        <v>440906</v>
      </c>
      <c r="E1157" s="43" t="s">
        <v>10</v>
      </c>
      <c r="F1157" s="8">
        <f>_xlfn.IFNA(INDEX('OSA | 3GB'!J:L,MATCH(DATA!D1157,'OSA | 3GB'!J:J,0),2),0)</f>
        <v>4</v>
      </c>
      <c r="G1157" s="8">
        <f>_xlfn.IFNA(INDEX('OSA | 3GB'!J:L,MATCH(DATA!D1157,'OSA | 3GB'!J:J,0),3),0)</f>
        <v>679000</v>
      </c>
      <c r="H1157" s="32">
        <f>_xlfn.IFNA(INDEX('OSA | 3GB'!A:C,MATCH(DATA!D1157,'OSA | 3GB'!A:A,0),2),0)</f>
        <v>1</v>
      </c>
      <c r="I1157" s="33">
        <f>_xlfn.IFNA(INDEX('OSA | 3GB'!A:C,MATCH(DATA!D1157,'OSA | 3GB'!A:A,0),3),0)</f>
        <v>479000</v>
      </c>
      <c r="J1157" s="33">
        <f>INDEX('BIO WAHYU'!B:G,MATCH(DATA!D1157,'BIO WAHYU'!B:B,0),5)</f>
        <v>0</v>
      </c>
      <c r="K1157" s="34">
        <f>INDEX('BIO WAHYU'!B:G,MATCH(DATA!D1157,'BIO WAHYU'!B:B,0),6)</f>
        <v>0</v>
      </c>
      <c r="L1157" s="35">
        <f>INDEX('BIO WAHYU'!B:H,MATCH(DATA!D1157,'BIO WAHYU'!B:B,0),7)</f>
        <v>0</v>
      </c>
      <c r="M1157" s="34">
        <f>INDEX('BIO WAHYU'!B:H,MATCH(DATA!D1157,'BIO WAHYU'!B:B,0),4)</f>
        <v>0</v>
      </c>
    </row>
    <row r="1158" spans="1:13">
      <c r="A1158" s="43" t="s">
        <v>1671</v>
      </c>
      <c r="B1158" s="43">
        <v>2613050886</v>
      </c>
      <c r="C1158" s="43" t="s">
        <v>1503</v>
      </c>
      <c r="D1158" s="10">
        <v>561473</v>
      </c>
      <c r="E1158" s="43" t="s">
        <v>15</v>
      </c>
      <c r="F1158" s="8">
        <f>_xlfn.IFNA(INDEX('OSA | 3GB'!J:L,MATCH(DATA!D1158,'OSA | 3GB'!J:J,0),2),0)</f>
        <v>3</v>
      </c>
      <c r="G1158" s="8">
        <f>_xlfn.IFNA(INDEX('OSA | 3GB'!J:L,MATCH(DATA!D1158,'OSA | 3GB'!J:J,0),3),0)</f>
        <v>350000</v>
      </c>
      <c r="H1158" s="32" t="str">
        <f>_xlfn.IFNA(INDEX('OSA | 3GB'!A:C,MATCH(DATA!D1158,'OSA | 3GB'!A:A,0),2),0)</f>
        <v xml:space="preserve"> -   </v>
      </c>
      <c r="I1158" s="33" t="str">
        <f>_xlfn.IFNA(INDEX('OSA | 3GB'!A:C,MATCH(DATA!D1158,'OSA | 3GB'!A:A,0),3),0)</f>
        <v xml:space="preserve"> -   </v>
      </c>
      <c r="J1158" s="33">
        <f>INDEX('BIO WAHYU'!B:G,MATCH(DATA!D1158,'BIO WAHYU'!B:B,0),5)</f>
        <v>1</v>
      </c>
      <c r="K1158" s="34">
        <f>INDEX('BIO WAHYU'!B:G,MATCH(DATA!D1158,'BIO WAHYU'!B:B,0),6)</f>
        <v>1</v>
      </c>
      <c r="L1158" s="35">
        <f>INDEX('BIO WAHYU'!B:H,MATCH(DATA!D1158,'BIO WAHYU'!B:B,0),7)</f>
        <v>0</v>
      </c>
      <c r="M1158" s="34">
        <f>INDEX('BIO WAHYU'!B:H,MATCH(DATA!D1158,'BIO WAHYU'!B:B,0),4)</f>
        <v>0</v>
      </c>
    </row>
    <row r="1159" spans="1:13">
      <c r="A1159" s="43" t="s">
        <v>1674</v>
      </c>
      <c r="B1159" s="43">
        <v>2613052222</v>
      </c>
      <c r="C1159" s="43" t="s">
        <v>692</v>
      </c>
      <c r="D1159" s="10">
        <v>266549</v>
      </c>
      <c r="E1159" s="43" t="s">
        <v>10</v>
      </c>
      <c r="F1159" s="8">
        <f>_xlfn.IFNA(INDEX('OSA | 3GB'!J:L,MATCH(DATA!D1159,'OSA | 3GB'!J:J,0),2),0)</f>
        <v>3</v>
      </c>
      <c r="G1159" s="8">
        <f>_xlfn.IFNA(INDEX('OSA | 3GB'!J:L,MATCH(DATA!D1159,'OSA | 3GB'!J:J,0),3),0)</f>
        <v>2500000</v>
      </c>
      <c r="H1159" s="32" t="str">
        <f>_xlfn.IFNA(INDEX('OSA | 3GB'!A:C,MATCH(DATA!D1159,'OSA | 3GB'!A:A,0),2),0)</f>
        <v xml:space="preserve"> -   </v>
      </c>
      <c r="I1159" s="33">
        <f>_xlfn.IFNA(INDEX('OSA | 3GB'!A:C,MATCH(DATA!D1159,'OSA | 3GB'!A:A,0),3),0)</f>
        <v>1000000</v>
      </c>
      <c r="J1159" s="33">
        <f>INDEX('BIO WAHYU'!B:G,MATCH(DATA!D1159,'BIO WAHYU'!B:B,0),5)</f>
        <v>1</v>
      </c>
      <c r="K1159" s="34">
        <f>INDEX('BIO WAHYU'!B:G,MATCH(DATA!D1159,'BIO WAHYU'!B:B,0),6)</f>
        <v>2</v>
      </c>
      <c r="L1159" s="35">
        <f>INDEX('BIO WAHYU'!B:H,MATCH(DATA!D1159,'BIO WAHYU'!B:B,0),7)</f>
        <v>1</v>
      </c>
      <c r="M1159" s="34">
        <f>INDEX('BIO WAHYU'!B:H,MATCH(DATA!D1159,'BIO WAHYU'!B:B,0),4)</f>
        <v>0</v>
      </c>
    </row>
    <row r="1160" spans="1:13">
      <c r="A1160" s="43" t="s">
        <v>1672</v>
      </c>
      <c r="B1160" s="43">
        <v>2613051475</v>
      </c>
      <c r="C1160" s="43" t="s">
        <v>1147</v>
      </c>
      <c r="D1160" s="10">
        <v>62270</v>
      </c>
      <c r="E1160" s="43" t="s">
        <v>10</v>
      </c>
      <c r="F1160" s="8">
        <f>_xlfn.IFNA(INDEX('OSA | 3GB'!J:L,MATCH(DATA!D1160,'OSA | 3GB'!J:J,0),2),0)</f>
        <v>3</v>
      </c>
      <c r="G1160" s="8">
        <f>_xlfn.IFNA(INDEX('OSA | 3GB'!J:L,MATCH(DATA!D1160,'OSA | 3GB'!J:J,0),3),0)</f>
        <v>7500000</v>
      </c>
      <c r="H1160" s="32">
        <f>_xlfn.IFNA(INDEX('OSA | 3GB'!A:C,MATCH(DATA!D1160,'OSA | 3GB'!A:A,0),2),0)</f>
        <v>1</v>
      </c>
      <c r="I1160" s="33">
        <f>_xlfn.IFNA(INDEX('OSA | 3GB'!A:C,MATCH(DATA!D1160,'OSA | 3GB'!A:A,0),3),0)</f>
        <v>3400000</v>
      </c>
      <c r="J1160" s="33">
        <f>INDEX('BIO WAHYU'!B:G,MATCH(DATA!D1160,'BIO WAHYU'!B:B,0),5)</f>
        <v>4</v>
      </c>
      <c r="K1160" s="34">
        <f>INDEX('BIO WAHYU'!B:G,MATCH(DATA!D1160,'BIO WAHYU'!B:B,0),6)</f>
        <v>1</v>
      </c>
      <c r="L1160" s="35">
        <f>INDEX('BIO WAHYU'!B:H,MATCH(DATA!D1160,'BIO WAHYU'!B:B,0),7)</f>
        <v>0</v>
      </c>
      <c r="M1160" s="34">
        <f>INDEX('BIO WAHYU'!B:H,MATCH(DATA!D1160,'BIO WAHYU'!B:B,0),4)</f>
        <v>0</v>
      </c>
    </row>
    <row r="1161" spans="1:13">
      <c r="A1161" s="43" t="s">
        <v>1674</v>
      </c>
      <c r="B1161" s="43">
        <v>2613052222</v>
      </c>
      <c r="C1161" s="43" t="s">
        <v>700</v>
      </c>
      <c r="D1161" s="10">
        <v>535185</v>
      </c>
      <c r="E1161" s="43" t="s">
        <v>10</v>
      </c>
      <c r="F1161" s="8">
        <f>_xlfn.IFNA(INDEX('OSA | 3GB'!J:L,MATCH(DATA!D1161,'OSA | 3GB'!J:J,0),2),0)</f>
        <v>3</v>
      </c>
      <c r="G1161" s="8">
        <f>_xlfn.IFNA(INDEX('OSA | 3GB'!J:L,MATCH(DATA!D1161,'OSA | 3GB'!J:J,0),3),0)</f>
        <v>987000</v>
      </c>
      <c r="H1161" s="32" t="str">
        <f>_xlfn.IFNA(INDEX('OSA | 3GB'!A:C,MATCH(DATA!D1161,'OSA | 3GB'!A:A,0),2),0)</f>
        <v xml:space="preserve"> -   </v>
      </c>
      <c r="I1161" s="33">
        <f>_xlfn.IFNA(INDEX('OSA | 3GB'!A:C,MATCH(DATA!D1161,'OSA | 3GB'!A:A,0),3),0)</f>
        <v>800000</v>
      </c>
      <c r="J1161" s="33">
        <f>INDEX('BIO WAHYU'!B:G,MATCH(DATA!D1161,'BIO WAHYU'!B:B,0),5)</f>
        <v>0</v>
      </c>
      <c r="K1161" s="34">
        <f>INDEX('BIO WAHYU'!B:G,MATCH(DATA!D1161,'BIO WAHYU'!B:B,0),6)</f>
        <v>0</v>
      </c>
      <c r="L1161" s="35">
        <f>INDEX('BIO WAHYU'!B:H,MATCH(DATA!D1161,'BIO WAHYU'!B:B,0),7)</f>
        <v>0</v>
      </c>
      <c r="M1161" s="34">
        <f>INDEX('BIO WAHYU'!B:H,MATCH(DATA!D1161,'BIO WAHYU'!B:B,0),4)</f>
        <v>0</v>
      </c>
    </row>
    <row r="1162" spans="1:13">
      <c r="A1162" s="43" t="s">
        <v>1675</v>
      </c>
      <c r="B1162" s="43" t="s">
        <v>137</v>
      </c>
      <c r="C1162" s="43" t="s">
        <v>1505</v>
      </c>
      <c r="D1162" s="10">
        <v>12296303</v>
      </c>
      <c r="E1162" s="43" t="s">
        <v>15</v>
      </c>
      <c r="F1162" s="8">
        <f>_xlfn.IFNA(INDEX('OSA | 3GB'!J:L,MATCH(DATA!D1162,'OSA | 3GB'!J:J,0),2),0)</f>
        <v>0</v>
      </c>
      <c r="G1162" s="8">
        <f>_xlfn.IFNA(INDEX('OSA | 3GB'!J:L,MATCH(DATA!D1162,'OSA | 3GB'!J:J,0),3),0)</f>
        <v>300000</v>
      </c>
      <c r="H1162" s="32" t="str">
        <f>_xlfn.IFNA(INDEX('OSA | 3GB'!A:C,MATCH(DATA!D1162,'OSA | 3GB'!A:A,0),2),0)</f>
        <v xml:space="preserve"> -   </v>
      </c>
      <c r="I1162" s="33" t="str">
        <f>_xlfn.IFNA(INDEX('OSA | 3GB'!A:C,MATCH(DATA!D1162,'OSA | 3GB'!A:A,0),3),0)</f>
        <v xml:space="preserve"> -   </v>
      </c>
      <c r="J1162" s="33">
        <f>INDEX('BIO WAHYU'!B:G,MATCH(DATA!D1162,'BIO WAHYU'!B:B,0),5)</f>
        <v>3</v>
      </c>
      <c r="K1162" s="34">
        <f>INDEX('BIO WAHYU'!B:G,MATCH(DATA!D1162,'BIO WAHYU'!B:B,0),6)</f>
        <v>0</v>
      </c>
      <c r="L1162" s="35">
        <f>INDEX('BIO WAHYU'!B:H,MATCH(DATA!D1162,'BIO WAHYU'!B:B,0),7)</f>
        <v>0</v>
      </c>
      <c r="M1162" s="34">
        <f>INDEX('BIO WAHYU'!B:H,MATCH(DATA!D1162,'BIO WAHYU'!B:B,0),4)</f>
        <v>0</v>
      </c>
    </row>
    <row r="1163" spans="1:13">
      <c r="A1163" s="43" t="s">
        <v>1672</v>
      </c>
      <c r="B1163" s="43" t="s">
        <v>149</v>
      </c>
      <c r="C1163" s="43" t="s">
        <v>795</v>
      </c>
      <c r="D1163" s="10">
        <v>481887</v>
      </c>
      <c r="E1163" s="43" t="s">
        <v>15</v>
      </c>
      <c r="F1163" s="8">
        <f>_xlfn.IFNA(INDEX('OSA | 3GB'!J:L,MATCH(DATA!D1163,'OSA | 3GB'!J:J,0),2),0)</f>
        <v>1</v>
      </c>
      <c r="G1163" s="8">
        <f>_xlfn.IFNA(INDEX('OSA | 3GB'!J:L,MATCH(DATA!D1163,'OSA | 3GB'!J:J,0),3),0)</f>
        <v>1258000</v>
      </c>
      <c r="H1163" s="32">
        <f>_xlfn.IFNA(INDEX('OSA | 3GB'!A:C,MATCH(DATA!D1163,'OSA | 3GB'!A:A,0),2),0)</f>
        <v>2</v>
      </c>
      <c r="I1163" s="33">
        <f>_xlfn.IFNA(INDEX('OSA | 3GB'!A:C,MATCH(DATA!D1163,'OSA | 3GB'!A:A,0),3),0)</f>
        <v>558000</v>
      </c>
      <c r="J1163" s="33">
        <f>INDEX('BIO WAHYU'!B:G,MATCH(DATA!D1163,'BIO WAHYU'!B:B,0),5)</f>
        <v>1</v>
      </c>
      <c r="K1163" s="34">
        <f>INDEX('BIO WAHYU'!B:G,MATCH(DATA!D1163,'BIO WAHYU'!B:B,0),6)</f>
        <v>0</v>
      </c>
      <c r="L1163" s="35">
        <f>INDEX('BIO WAHYU'!B:H,MATCH(DATA!D1163,'BIO WAHYU'!B:B,0),7)</f>
        <v>0</v>
      </c>
      <c r="M1163" s="34">
        <f>INDEX('BIO WAHYU'!B:H,MATCH(DATA!D1163,'BIO WAHYU'!B:B,0),4)</f>
        <v>0</v>
      </c>
    </row>
    <row r="1164" spans="1:13">
      <c r="A1164" s="43" t="s">
        <v>1673</v>
      </c>
      <c r="B1164" s="43" t="s">
        <v>158</v>
      </c>
      <c r="C1164" s="43" t="s">
        <v>1506</v>
      </c>
      <c r="D1164" s="10">
        <v>236374</v>
      </c>
      <c r="E1164" s="43" t="s">
        <v>10</v>
      </c>
      <c r="F1164" s="8">
        <f>_xlfn.IFNA(INDEX('OSA | 3GB'!J:L,MATCH(DATA!D1164,'OSA | 3GB'!J:J,0),2),0)</f>
        <v>3</v>
      </c>
      <c r="G1164" s="8">
        <f>_xlfn.IFNA(INDEX('OSA | 3GB'!J:L,MATCH(DATA!D1164,'OSA | 3GB'!J:J,0),3),0)</f>
        <v>2800000</v>
      </c>
      <c r="H1164" s="32" t="str">
        <f>_xlfn.IFNA(INDEX('OSA | 3GB'!A:C,MATCH(DATA!D1164,'OSA | 3GB'!A:A,0),2),0)</f>
        <v xml:space="preserve"> -   </v>
      </c>
      <c r="I1164" s="33">
        <f>_xlfn.IFNA(INDEX('OSA | 3GB'!A:C,MATCH(DATA!D1164,'OSA | 3GB'!A:A,0),3),0)</f>
        <v>1100000</v>
      </c>
      <c r="J1164" s="33">
        <f>INDEX('BIO WAHYU'!B:G,MATCH(DATA!D1164,'BIO WAHYU'!B:B,0),5)</f>
        <v>5</v>
      </c>
      <c r="K1164" s="34">
        <f>INDEX('BIO WAHYU'!B:G,MATCH(DATA!D1164,'BIO WAHYU'!B:B,0),6)</f>
        <v>2</v>
      </c>
      <c r="L1164" s="35">
        <f>INDEX('BIO WAHYU'!B:H,MATCH(DATA!D1164,'BIO WAHYU'!B:B,0),7)</f>
        <v>0</v>
      </c>
      <c r="M1164" s="34">
        <f>INDEX('BIO WAHYU'!B:H,MATCH(DATA!D1164,'BIO WAHYU'!B:B,0),4)</f>
        <v>0</v>
      </c>
    </row>
    <row r="1165" spans="1:13">
      <c r="A1165" s="43" t="s">
        <v>1673</v>
      </c>
      <c r="B1165" s="43" t="s">
        <v>141</v>
      </c>
      <c r="C1165" s="43" t="s">
        <v>1507</v>
      </c>
      <c r="D1165" s="10">
        <v>12299378</v>
      </c>
      <c r="E1165" s="43" t="s">
        <v>15</v>
      </c>
      <c r="F1165" s="8">
        <f>_xlfn.IFNA(INDEX('OSA | 3GB'!J:L,MATCH(DATA!D1165,'OSA | 3GB'!J:J,0),2),0)</f>
        <v>6</v>
      </c>
      <c r="G1165" s="8">
        <f>_xlfn.IFNA(INDEX('OSA | 3GB'!J:L,MATCH(DATA!D1165,'OSA | 3GB'!J:J,0),3),0)</f>
        <v>50000</v>
      </c>
      <c r="H1165" s="32" t="str">
        <f>_xlfn.IFNA(INDEX('OSA | 3GB'!A:C,MATCH(DATA!D1165,'OSA | 3GB'!A:A,0),2),0)</f>
        <v xml:space="preserve"> -   </v>
      </c>
      <c r="I1165" s="33" t="str">
        <f>_xlfn.IFNA(INDEX('OSA | 3GB'!A:C,MATCH(DATA!D1165,'OSA | 3GB'!A:A,0),3),0)</f>
        <v xml:space="preserve"> -   </v>
      </c>
      <c r="J1165" s="33">
        <f>INDEX('BIO WAHYU'!B:G,MATCH(DATA!D1165,'BIO WAHYU'!B:B,0),5)</f>
        <v>6</v>
      </c>
      <c r="K1165" s="34">
        <f>INDEX('BIO WAHYU'!B:G,MATCH(DATA!D1165,'BIO WAHYU'!B:B,0),6)</f>
        <v>0</v>
      </c>
      <c r="L1165" s="35">
        <f>INDEX('BIO WAHYU'!B:H,MATCH(DATA!D1165,'BIO WAHYU'!B:B,0),7)</f>
        <v>0</v>
      </c>
      <c r="M1165" s="34">
        <f>INDEX('BIO WAHYU'!B:H,MATCH(DATA!D1165,'BIO WAHYU'!B:B,0),4)</f>
        <v>0</v>
      </c>
    </row>
    <row r="1166" spans="1:13">
      <c r="A1166" s="43" t="s">
        <v>1673</v>
      </c>
      <c r="B1166" s="43" t="s">
        <v>144</v>
      </c>
      <c r="C1166" s="43" t="s">
        <v>238</v>
      </c>
      <c r="D1166" s="10">
        <v>516651</v>
      </c>
      <c r="E1166" s="43" t="s">
        <v>15</v>
      </c>
      <c r="F1166" s="8">
        <f>_xlfn.IFNA(INDEX('OSA | 3GB'!J:L,MATCH(DATA!D1166,'OSA | 3GB'!J:J,0),2),0)</f>
        <v>0</v>
      </c>
      <c r="G1166" s="8">
        <f>_xlfn.IFNA(INDEX('OSA | 3GB'!J:L,MATCH(DATA!D1166,'OSA | 3GB'!J:J,0),3),0)</f>
        <v>0</v>
      </c>
      <c r="H1166" s="32" t="str">
        <f>_xlfn.IFNA(INDEX('OSA | 3GB'!A:C,MATCH(DATA!D1166,'OSA | 3GB'!A:A,0),2),0)</f>
        <v xml:space="preserve"> -   </v>
      </c>
      <c r="I1166" s="33" t="str">
        <f>_xlfn.IFNA(INDEX('OSA | 3GB'!A:C,MATCH(DATA!D1166,'OSA | 3GB'!A:A,0),3),0)</f>
        <v xml:space="preserve"> -   </v>
      </c>
      <c r="J1166" s="33">
        <f>INDEX('BIO WAHYU'!B:G,MATCH(DATA!D1166,'BIO WAHYU'!B:B,0),5)</f>
        <v>0</v>
      </c>
      <c r="K1166" s="34">
        <f>INDEX('BIO WAHYU'!B:G,MATCH(DATA!D1166,'BIO WAHYU'!B:B,0),6)</f>
        <v>0</v>
      </c>
      <c r="L1166" s="35">
        <f>INDEX('BIO WAHYU'!B:H,MATCH(DATA!D1166,'BIO WAHYU'!B:B,0),7)</f>
        <v>0</v>
      </c>
      <c r="M1166" s="34">
        <f>INDEX('BIO WAHYU'!B:H,MATCH(DATA!D1166,'BIO WAHYU'!B:B,0),4)</f>
        <v>0</v>
      </c>
    </row>
    <row r="1167" spans="1:13">
      <c r="A1167" s="43" t="s">
        <v>1673</v>
      </c>
      <c r="B1167" s="43" t="s">
        <v>144</v>
      </c>
      <c r="C1167" s="43" t="s">
        <v>1242</v>
      </c>
      <c r="D1167" s="10">
        <v>9707</v>
      </c>
      <c r="E1167" s="43" t="s">
        <v>10</v>
      </c>
      <c r="F1167" s="8">
        <f>_xlfn.IFNA(INDEX('OSA | 3GB'!J:L,MATCH(DATA!D1167,'OSA | 3GB'!J:J,0),2),0)</f>
        <v>5</v>
      </c>
      <c r="G1167" s="8">
        <f>_xlfn.IFNA(INDEX('OSA | 3GB'!J:L,MATCH(DATA!D1167,'OSA | 3GB'!J:J,0),3),0)</f>
        <v>650000</v>
      </c>
      <c r="H1167" s="32" t="str">
        <f>_xlfn.IFNA(INDEX('OSA | 3GB'!A:C,MATCH(DATA!D1167,'OSA | 3GB'!A:A,0),2),0)</f>
        <v xml:space="preserve"> -   </v>
      </c>
      <c r="I1167" s="33">
        <f>_xlfn.IFNA(INDEX('OSA | 3GB'!A:C,MATCH(DATA!D1167,'OSA | 3GB'!A:A,0),3),0)</f>
        <v>400000</v>
      </c>
      <c r="J1167" s="33">
        <f>INDEX('BIO WAHYU'!B:G,MATCH(DATA!D1167,'BIO WAHYU'!B:B,0),5)</f>
        <v>0</v>
      </c>
      <c r="K1167" s="34">
        <f>INDEX('BIO WAHYU'!B:G,MATCH(DATA!D1167,'BIO WAHYU'!B:B,0),6)</f>
        <v>0</v>
      </c>
      <c r="L1167" s="35">
        <f>INDEX('BIO WAHYU'!B:H,MATCH(DATA!D1167,'BIO WAHYU'!B:B,0),7)</f>
        <v>0</v>
      </c>
      <c r="M1167" s="34">
        <f>INDEX('BIO WAHYU'!B:H,MATCH(DATA!D1167,'BIO WAHYU'!B:B,0),4)</f>
        <v>0</v>
      </c>
    </row>
    <row r="1168" spans="1:13">
      <c r="A1168" s="43" t="s">
        <v>1673</v>
      </c>
      <c r="B1168" s="43" t="s">
        <v>143</v>
      </c>
      <c r="C1168" s="43" t="s">
        <v>1508</v>
      </c>
      <c r="D1168" s="10">
        <v>570466</v>
      </c>
      <c r="E1168" s="43" t="s">
        <v>15</v>
      </c>
      <c r="F1168" s="8">
        <f>_xlfn.IFNA(INDEX('OSA | 3GB'!J:L,MATCH(DATA!D1168,'OSA | 3GB'!J:J,0),2),0)</f>
        <v>4</v>
      </c>
      <c r="G1168" s="8">
        <f>_xlfn.IFNA(INDEX('OSA | 3GB'!J:L,MATCH(DATA!D1168,'OSA | 3GB'!J:J,0),3),0)</f>
        <v>1008000</v>
      </c>
      <c r="H1168" s="32">
        <f>_xlfn.IFNA(INDEX('OSA | 3GB'!A:C,MATCH(DATA!D1168,'OSA | 3GB'!A:A,0),2),0)</f>
        <v>2</v>
      </c>
      <c r="I1168" s="33">
        <f>_xlfn.IFNA(INDEX('OSA | 3GB'!A:C,MATCH(DATA!D1168,'OSA | 3GB'!A:A,0),3),0)</f>
        <v>600000</v>
      </c>
      <c r="J1168" s="33">
        <f>INDEX('BIO WAHYU'!B:G,MATCH(DATA!D1168,'BIO WAHYU'!B:B,0),5)</f>
        <v>3</v>
      </c>
      <c r="K1168" s="34">
        <f>INDEX('BIO WAHYU'!B:G,MATCH(DATA!D1168,'BIO WAHYU'!B:B,0),6)</f>
        <v>1</v>
      </c>
      <c r="L1168" s="35">
        <f>INDEX('BIO WAHYU'!B:H,MATCH(DATA!D1168,'BIO WAHYU'!B:B,0),7)</f>
        <v>0</v>
      </c>
      <c r="M1168" s="34">
        <f>INDEX('BIO WAHYU'!B:H,MATCH(DATA!D1168,'BIO WAHYU'!B:B,0),4)</f>
        <v>0</v>
      </c>
    </row>
    <row r="1169" spans="1:13">
      <c r="A1169" s="43" t="s">
        <v>1674</v>
      </c>
      <c r="B1169" s="43" t="s">
        <v>152</v>
      </c>
      <c r="C1169" s="43" t="s">
        <v>660</v>
      </c>
      <c r="D1169" s="10">
        <v>240123</v>
      </c>
      <c r="E1169" s="43" t="s">
        <v>10</v>
      </c>
      <c r="F1169" s="8">
        <f>_xlfn.IFNA(INDEX('OSA | 3GB'!J:L,MATCH(DATA!D1169,'OSA | 3GB'!J:J,0),2),0)</f>
        <v>3</v>
      </c>
      <c r="G1169" s="8">
        <f>_xlfn.IFNA(INDEX('OSA | 3GB'!J:L,MATCH(DATA!D1169,'OSA | 3GB'!J:J,0),3),0)</f>
        <v>1000000</v>
      </c>
      <c r="H1169" s="32" t="str">
        <f>_xlfn.IFNA(INDEX('OSA | 3GB'!A:C,MATCH(DATA!D1169,'OSA | 3GB'!A:A,0),2),0)</f>
        <v xml:space="preserve"> -   </v>
      </c>
      <c r="I1169" s="33">
        <f>_xlfn.IFNA(INDEX('OSA | 3GB'!A:C,MATCH(DATA!D1169,'OSA | 3GB'!A:A,0),3),0)</f>
        <v>100000</v>
      </c>
      <c r="J1169" s="33">
        <f>INDEX('BIO WAHYU'!B:G,MATCH(DATA!D1169,'BIO WAHYU'!B:B,0),5)</f>
        <v>0</v>
      </c>
      <c r="K1169" s="34">
        <f>INDEX('BIO WAHYU'!B:G,MATCH(DATA!D1169,'BIO WAHYU'!B:B,0),6)</f>
        <v>0</v>
      </c>
      <c r="L1169" s="35">
        <f>INDEX('BIO WAHYU'!B:H,MATCH(DATA!D1169,'BIO WAHYU'!B:B,0),7)</f>
        <v>0</v>
      </c>
      <c r="M1169" s="34">
        <f>INDEX('BIO WAHYU'!B:H,MATCH(DATA!D1169,'BIO WAHYU'!B:B,0),4)</f>
        <v>0</v>
      </c>
    </row>
    <row r="1170" spans="1:13">
      <c r="A1170" s="43" t="s">
        <v>1</v>
      </c>
      <c r="B1170" s="43" t="s">
        <v>4</v>
      </c>
      <c r="C1170" s="43" t="s">
        <v>66</v>
      </c>
      <c r="D1170" s="10">
        <v>560814</v>
      </c>
      <c r="E1170" s="43" t="s">
        <v>15</v>
      </c>
      <c r="F1170" s="8">
        <f>_xlfn.IFNA(INDEX('OSA | 3GB'!J:L,MATCH(DATA!D1170,'OSA | 3GB'!J:J,0),2),0)</f>
        <v>6</v>
      </c>
      <c r="G1170" s="8">
        <f>_xlfn.IFNA(INDEX('OSA | 3GB'!J:L,MATCH(DATA!D1170,'OSA | 3GB'!J:J,0),3),0)</f>
        <v>0</v>
      </c>
      <c r="H1170" s="32" t="str">
        <f>_xlfn.IFNA(INDEX('OSA | 3GB'!A:C,MATCH(DATA!D1170,'OSA | 3GB'!A:A,0),2),0)</f>
        <v xml:space="preserve"> -   </v>
      </c>
      <c r="I1170" s="33" t="str">
        <f>_xlfn.IFNA(INDEX('OSA | 3GB'!A:C,MATCH(DATA!D1170,'OSA | 3GB'!A:A,0),3),0)</f>
        <v xml:space="preserve"> -   </v>
      </c>
      <c r="J1170" s="33">
        <f>INDEX('BIO WAHYU'!B:G,MATCH(DATA!D1170,'BIO WAHYU'!B:B,0),5)</f>
        <v>5</v>
      </c>
      <c r="K1170" s="34">
        <f>INDEX('BIO WAHYU'!B:G,MATCH(DATA!D1170,'BIO WAHYU'!B:B,0),6)</f>
        <v>0</v>
      </c>
      <c r="L1170" s="35">
        <f>INDEX('BIO WAHYU'!B:H,MATCH(DATA!D1170,'BIO WAHYU'!B:B,0),7)</f>
        <v>0</v>
      </c>
      <c r="M1170" s="34">
        <f>INDEX('BIO WAHYU'!B:H,MATCH(DATA!D1170,'BIO WAHYU'!B:B,0),4)</f>
        <v>0</v>
      </c>
    </row>
    <row r="1171" spans="1:13">
      <c r="A1171" s="43" t="s">
        <v>1675</v>
      </c>
      <c r="B1171" s="43" t="s">
        <v>136</v>
      </c>
      <c r="C1171" s="43" t="s">
        <v>1509</v>
      </c>
      <c r="D1171" s="10">
        <v>439306</v>
      </c>
      <c r="E1171" s="43" t="s">
        <v>10</v>
      </c>
      <c r="F1171" s="8">
        <f>_xlfn.IFNA(INDEX('OSA | 3GB'!J:L,MATCH(DATA!D1171,'OSA | 3GB'!J:J,0),2),0)</f>
        <v>156</v>
      </c>
      <c r="G1171" s="8">
        <f>_xlfn.IFNA(INDEX('OSA | 3GB'!J:L,MATCH(DATA!D1171,'OSA | 3GB'!J:J,0),3),0)</f>
        <v>750000</v>
      </c>
      <c r="H1171" s="32">
        <f>_xlfn.IFNA(INDEX('OSA | 3GB'!A:C,MATCH(DATA!D1171,'OSA | 3GB'!A:A,0),2),0)</f>
        <v>10</v>
      </c>
      <c r="I1171" s="33" t="str">
        <f>_xlfn.IFNA(INDEX('OSA | 3GB'!A:C,MATCH(DATA!D1171,'OSA | 3GB'!A:A,0),3),0)</f>
        <v xml:space="preserve"> -   </v>
      </c>
      <c r="J1171" s="33">
        <f>INDEX('BIO WAHYU'!B:G,MATCH(DATA!D1171,'BIO WAHYU'!B:B,0),5)</f>
        <v>1</v>
      </c>
      <c r="K1171" s="34">
        <f>INDEX('BIO WAHYU'!B:G,MATCH(DATA!D1171,'BIO WAHYU'!B:B,0),6)</f>
        <v>0</v>
      </c>
      <c r="L1171" s="35">
        <f>INDEX('BIO WAHYU'!B:H,MATCH(DATA!D1171,'BIO WAHYU'!B:B,0),7)</f>
        <v>0</v>
      </c>
      <c r="M1171" s="34">
        <f>INDEX('BIO WAHYU'!B:H,MATCH(DATA!D1171,'BIO WAHYU'!B:B,0),4)</f>
        <v>0</v>
      </c>
    </row>
    <row r="1172" spans="1:13">
      <c r="A1172" s="43" t="s">
        <v>1673</v>
      </c>
      <c r="B1172" s="43" t="s">
        <v>143</v>
      </c>
      <c r="C1172" s="43" t="s">
        <v>276</v>
      </c>
      <c r="D1172" s="10">
        <v>570754</v>
      </c>
      <c r="E1172" s="43" t="s">
        <v>10</v>
      </c>
      <c r="F1172" s="8">
        <f>_xlfn.IFNA(INDEX('OSA | 3GB'!J:L,MATCH(DATA!D1172,'OSA | 3GB'!J:J,0),2),0)</f>
        <v>4</v>
      </c>
      <c r="G1172" s="8">
        <f>_xlfn.IFNA(INDEX('OSA | 3GB'!J:L,MATCH(DATA!D1172,'OSA | 3GB'!J:J,0),3),0)</f>
        <v>1308000</v>
      </c>
      <c r="H1172" s="32">
        <f>_xlfn.IFNA(INDEX('OSA | 3GB'!A:C,MATCH(DATA!D1172,'OSA | 3GB'!A:A,0),2),0)</f>
        <v>1</v>
      </c>
      <c r="I1172" s="33">
        <f>_xlfn.IFNA(INDEX('OSA | 3GB'!A:C,MATCH(DATA!D1172,'OSA | 3GB'!A:A,0),3),0)</f>
        <v>450000</v>
      </c>
      <c r="J1172" s="33">
        <f>INDEX('BIO WAHYU'!B:G,MATCH(DATA!D1172,'BIO WAHYU'!B:B,0),5)</f>
        <v>4</v>
      </c>
      <c r="K1172" s="34">
        <f>INDEX('BIO WAHYU'!B:G,MATCH(DATA!D1172,'BIO WAHYU'!B:B,0),6)</f>
        <v>2</v>
      </c>
      <c r="L1172" s="35">
        <f>INDEX('BIO WAHYU'!B:H,MATCH(DATA!D1172,'BIO WAHYU'!B:B,0),7)</f>
        <v>0</v>
      </c>
      <c r="M1172" s="34">
        <f>INDEX('BIO WAHYU'!B:H,MATCH(DATA!D1172,'BIO WAHYU'!B:B,0),4)</f>
        <v>0</v>
      </c>
    </row>
    <row r="1173" spans="1:13">
      <c r="A1173" s="43" t="s">
        <v>1673</v>
      </c>
      <c r="B1173" s="43" t="s">
        <v>1140</v>
      </c>
      <c r="C1173" s="43" t="s">
        <v>1510</v>
      </c>
      <c r="D1173" s="10">
        <v>406768</v>
      </c>
      <c r="E1173" s="43" t="s">
        <v>10</v>
      </c>
      <c r="F1173" s="8">
        <f>_xlfn.IFNA(INDEX('OSA | 3GB'!J:L,MATCH(DATA!D1173,'OSA | 3GB'!J:J,0),2),0)</f>
        <v>3</v>
      </c>
      <c r="G1173" s="8">
        <f>_xlfn.IFNA(INDEX('OSA | 3GB'!J:L,MATCH(DATA!D1173,'OSA | 3GB'!J:J,0),3),0)</f>
        <v>9500000</v>
      </c>
      <c r="H1173" s="32" t="str">
        <f>_xlfn.IFNA(INDEX('OSA | 3GB'!A:C,MATCH(DATA!D1173,'OSA | 3GB'!A:A,0),2),0)</f>
        <v xml:space="preserve"> -   </v>
      </c>
      <c r="I1173" s="33">
        <f>_xlfn.IFNA(INDEX('OSA | 3GB'!A:C,MATCH(DATA!D1173,'OSA | 3GB'!A:A,0),3),0)</f>
        <v>5500000</v>
      </c>
      <c r="J1173" s="33">
        <f>INDEX('BIO WAHYU'!B:G,MATCH(DATA!D1173,'BIO WAHYU'!B:B,0),5)</f>
        <v>3</v>
      </c>
      <c r="K1173" s="34">
        <f>INDEX('BIO WAHYU'!B:G,MATCH(DATA!D1173,'BIO WAHYU'!B:B,0),6)</f>
        <v>2</v>
      </c>
      <c r="L1173" s="35">
        <f>INDEX('BIO WAHYU'!B:H,MATCH(DATA!D1173,'BIO WAHYU'!B:B,0),7)</f>
        <v>0</v>
      </c>
      <c r="M1173" s="34">
        <f>INDEX('BIO WAHYU'!B:H,MATCH(DATA!D1173,'BIO WAHYU'!B:B,0),4)</f>
        <v>0</v>
      </c>
    </row>
    <row r="1174" spans="1:13">
      <c r="A1174" s="43" t="s">
        <v>1672</v>
      </c>
      <c r="B1174" s="43" t="s">
        <v>151</v>
      </c>
      <c r="C1174" s="43" t="s">
        <v>866</v>
      </c>
      <c r="D1174" s="10">
        <v>2722</v>
      </c>
      <c r="E1174" s="43" t="s">
        <v>10</v>
      </c>
      <c r="F1174" s="8">
        <f>_xlfn.IFNA(INDEX('OSA | 3GB'!J:L,MATCH(DATA!D1174,'OSA | 3GB'!J:J,0),2),0)</f>
        <v>6</v>
      </c>
      <c r="G1174" s="8">
        <f>_xlfn.IFNA(INDEX('OSA | 3GB'!J:L,MATCH(DATA!D1174,'OSA | 3GB'!J:J,0),3),0)</f>
        <v>900000</v>
      </c>
      <c r="H1174" s="32">
        <f>_xlfn.IFNA(INDEX('OSA | 3GB'!A:C,MATCH(DATA!D1174,'OSA | 3GB'!A:A,0),2),0)</f>
        <v>2</v>
      </c>
      <c r="I1174" s="33">
        <f>_xlfn.IFNA(INDEX('OSA | 3GB'!A:C,MATCH(DATA!D1174,'OSA | 3GB'!A:A,0),3),0)</f>
        <v>558000</v>
      </c>
      <c r="J1174" s="33">
        <f>INDEX('BIO WAHYU'!B:G,MATCH(DATA!D1174,'BIO WAHYU'!B:B,0),5)</f>
        <v>1</v>
      </c>
      <c r="K1174" s="34">
        <f>INDEX('BIO WAHYU'!B:G,MATCH(DATA!D1174,'BIO WAHYU'!B:B,0),6)</f>
        <v>0</v>
      </c>
      <c r="L1174" s="35">
        <f>INDEX('BIO WAHYU'!B:H,MATCH(DATA!D1174,'BIO WAHYU'!B:B,0),7)</f>
        <v>0</v>
      </c>
      <c r="M1174" s="34">
        <f>INDEX('BIO WAHYU'!B:H,MATCH(DATA!D1174,'BIO WAHYU'!B:B,0),4)</f>
        <v>0</v>
      </c>
    </row>
    <row r="1175" spans="1:13">
      <c r="A1175" s="43" t="s">
        <v>1674</v>
      </c>
      <c r="B1175" s="43" t="s">
        <v>153</v>
      </c>
      <c r="C1175" s="43" t="s">
        <v>1511</v>
      </c>
      <c r="D1175" s="10">
        <v>366777</v>
      </c>
      <c r="E1175" s="43" t="s">
        <v>10</v>
      </c>
      <c r="F1175" s="8">
        <f>_xlfn.IFNA(INDEX('OSA | 3GB'!J:L,MATCH(DATA!D1175,'OSA | 3GB'!J:J,0),2),0)</f>
        <v>1</v>
      </c>
      <c r="G1175" s="8">
        <f>_xlfn.IFNA(INDEX('OSA | 3GB'!J:L,MATCH(DATA!D1175,'OSA | 3GB'!J:J,0),3),0)</f>
        <v>12498000</v>
      </c>
      <c r="H1175" s="32" t="str">
        <f>_xlfn.IFNA(INDEX('OSA | 3GB'!A:C,MATCH(DATA!D1175,'OSA | 3GB'!A:A,0),2),0)</f>
        <v xml:space="preserve"> -   </v>
      </c>
      <c r="I1175" s="33">
        <f>_xlfn.IFNA(INDEX('OSA | 3GB'!A:C,MATCH(DATA!D1175,'OSA | 3GB'!A:A,0),3),0)</f>
        <v>4045000</v>
      </c>
      <c r="J1175" s="33">
        <f>INDEX('BIO WAHYU'!B:G,MATCH(DATA!D1175,'BIO WAHYU'!B:B,0),5)</f>
        <v>1</v>
      </c>
      <c r="K1175" s="34">
        <f>INDEX('BIO WAHYU'!B:G,MATCH(DATA!D1175,'BIO WAHYU'!B:B,0),6)</f>
        <v>0</v>
      </c>
      <c r="L1175" s="35">
        <f>INDEX('BIO WAHYU'!B:H,MATCH(DATA!D1175,'BIO WAHYU'!B:B,0),7)</f>
        <v>0</v>
      </c>
      <c r="M1175" s="34">
        <f>INDEX('BIO WAHYU'!B:H,MATCH(DATA!D1175,'BIO WAHYU'!B:B,0),4)</f>
        <v>0</v>
      </c>
    </row>
    <row r="1176" spans="1:13">
      <c r="A1176" s="43" t="s">
        <v>1672</v>
      </c>
      <c r="B1176" s="43">
        <v>2613051475</v>
      </c>
      <c r="C1176" s="43" t="s">
        <v>890</v>
      </c>
      <c r="D1176" s="10">
        <v>246748</v>
      </c>
      <c r="E1176" s="43" t="s">
        <v>10</v>
      </c>
      <c r="F1176" s="8">
        <f>_xlfn.IFNA(INDEX('OSA | 3GB'!J:L,MATCH(DATA!D1176,'OSA | 3GB'!J:J,0),2),0)</f>
        <v>3</v>
      </c>
      <c r="G1176" s="8">
        <f>_xlfn.IFNA(INDEX('OSA | 3GB'!J:L,MATCH(DATA!D1176,'OSA | 3GB'!J:J,0),3),0)</f>
        <v>9500000</v>
      </c>
      <c r="H1176" s="32" t="str">
        <f>_xlfn.IFNA(INDEX('OSA | 3GB'!A:C,MATCH(DATA!D1176,'OSA | 3GB'!A:A,0),2),0)</f>
        <v xml:space="preserve"> -   </v>
      </c>
      <c r="I1176" s="33">
        <f>_xlfn.IFNA(INDEX('OSA | 3GB'!A:C,MATCH(DATA!D1176,'OSA | 3GB'!A:A,0),3),0)</f>
        <v>3100000</v>
      </c>
      <c r="J1176" s="33">
        <f>INDEX('BIO WAHYU'!B:G,MATCH(DATA!D1176,'BIO WAHYU'!B:B,0),5)</f>
        <v>0</v>
      </c>
      <c r="K1176" s="34">
        <f>INDEX('BIO WAHYU'!B:G,MATCH(DATA!D1176,'BIO WAHYU'!B:B,0),6)</f>
        <v>0</v>
      </c>
      <c r="L1176" s="35">
        <f>INDEX('BIO WAHYU'!B:H,MATCH(DATA!D1176,'BIO WAHYU'!B:B,0),7)</f>
        <v>0</v>
      </c>
      <c r="M1176" s="34">
        <f>INDEX('BIO WAHYU'!B:H,MATCH(DATA!D1176,'BIO WAHYU'!B:B,0),4)</f>
        <v>0</v>
      </c>
    </row>
    <row r="1177" spans="1:13">
      <c r="A1177" s="43" t="s">
        <v>1</v>
      </c>
      <c r="B1177" s="43" t="s">
        <v>3</v>
      </c>
      <c r="C1177" s="43" t="s">
        <v>22</v>
      </c>
      <c r="D1177" s="10">
        <v>1661</v>
      </c>
      <c r="E1177" s="43" t="s">
        <v>10</v>
      </c>
      <c r="F1177" s="8">
        <f>_xlfn.IFNA(INDEX('OSA | 3GB'!J:L,MATCH(DATA!D1177,'OSA | 3GB'!J:J,0),2),0)</f>
        <v>6</v>
      </c>
      <c r="G1177" s="8">
        <f>_xlfn.IFNA(INDEX('OSA | 3GB'!J:L,MATCH(DATA!D1177,'OSA | 3GB'!J:J,0),3),0)</f>
        <v>1000</v>
      </c>
      <c r="H1177" s="32" t="str">
        <f>_xlfn.IFNA(INDEX('OSA | 3GB'!A:C,MATCH(DATA!D1177,'OSA | 3GB'!A:A,0),2),0)</f>
        <v xml:space="preserve"> -   </v>
      </c>
      <c r="I1177" s="33">
        <f>_xlfn.IFNA(INDEX('OSA | 3GB'!A:C,MATCH(DATA!D1177,'OSA | 3GB'!A:A,0),3),0)</f>
        <v>50000</v>
      </c>
      <c r="J1177" s="33">
        <f>INDEX('BIO WAHYU'!B:G,MATCH(DATA!D1177,'BIO WAHYU'!B:B,0),5)</f>
        <v>6</v>
      </c>
      <c r="K1177" s="34">
        <f>INDEX('BIO WAHYU'!B:G,MATCH(DATA!D1177,'BIO WAHYU'!B:B,0),6)</f>
        <v>0</v>
      </c>
      <c r="L1177" s="35">
        <f>INDEX('BIO WAHYU'!B:H,MATCH(DATA!D1177,'BIO WAHYU'!B:B,0),7)</f>
        <v>0</v>
      </c>
      <c r="M1177" s="34">
        <f>INDEX('BIO WAHYU'!B:H,MATCH(DATA!D1177,'BIO WAHYU'!B:B,0),4)</f>
        <v>0</v>
      </c>
    </row>
    <row r="1178" spans="1:13">
      <c r="A1178" s="43" t="s">
        <v>1674</v>
      </c>
      <c r="B1178" s="43" t="s">
        <v>153</v>
      </c>
      <c r="C1178" s="43" t="s">
        <v>1512</v>
      </c>
      <c r="D1178" s="10">
        <v>62325</v>
      </c>
      <c r="E1178" s="43" t="s">
        <v>23</v>
      </c>
      <c r="F1178" s="8">
        <f>_xlfn.IFNA(INDEX('OSA | 3GB'!J:L,MATCH(DATA!D1178,'OSA | 3GB'!J:J,0),2),0)</f>
        <v>0</v>
      </c>
      <c r="G1178" s="8">
        <f>_xlfn.IFNA(INDEX('OSA | 3GB'!J:L,MATCH(DATA!D1178,'OSA | 3GB'!J:J,0),3),0)</f>
        <v>0</v>
      </c>
      <c r="H1178" s="32" t="str">
        <f>_xlfn.IFNA(INDEX('OSA | 3GB'!A:C,MATCH(DATA!D1178,'OSA | 3GB'!A:A,0),2),0)</f>
        <v xml:space="preserve"> -   </v>
      </c>
      <c r="I1178" s="33">
        <f>_xlfn.IFNA(INDEX('OSA | 3GB'!A:C,MATCH(DATA!D1178,'OSA | 3GB'!A:A,0),3),0)</f>
        <v>23000000</v>
      </c>
      <c r="J1178" s="33">
        <f>INDEX('BIO WAHYU'!B:G,MATCH(DATA!D1178,'BIO WAHYU'!B:B,0),5)</f>
        <v>0</v>
      </c>
      <c r="K1178" s="34">
        <f>INDEX('BIO WAHYU'!B:G,MATCH(DATA!D1178,'BIO WAHYU'!B:B,0),6)</f>
        <v>23</v>
      </c>
      <c r="L1178" s="35">
        <f>INDEX('BIO WAHYU'!B:H,MATCH(DATA!D1178,'BIO WAHYU'!B:B,0),7)</f>
        <v>23</v>
      </c>
      <c r="M1178" s="34">
        <f>INDEX('BIO WAHYU'!B:H,MATCH(DATA!D1178,'BIO WAHYU'!B:B,0),4)</f>
        <v>0</v>
      </c>
    </row>
    <row r="1179" spans="1:13">
      <c r="A1179" s="43" t="s">
        <v>1673</v>
      </c>
      <c r="B1179" s="43" t="s">
        <v>158</v>
      </c>
      <c r="C1179" s="43" t="s">
        <v>1513</v>
      </c>
      <c r="D1179" s="10">
        <v>211621</v>
      </c>
      <c r="E1179" s="43" t="s">
        <v>10</v>
      </c>
      <c r="F1179" s="8">
        <f>_xlfn.IFNA(INDEX('OSA | 3GB'!J:L,MATCH(DATA!D1179,'OSA | 3GB'!J:J,0),2),0)</f>
        <v>3</v>
      </c>
      <c r="G1179" s="8">
        <f>_xlfn.IFNA(INDEX('OSA | 3GB'!J:L,MATCH(DATA!D1179,'OSA | 3GB'!J:J,0),3),0)</f>
        <v>1500000</v>
      </c>
      <c r="H1179" s="32">
        <f>_xlfn.IFNA(INDEX('OSA | 3GB'!A:C,MATCH(DATA!D1179,'OSA | 3GB'!A:A,0),2),0)</f>
        <v>1</v>
      </c>
      <c r="I1179" s="33">
        <f>_xlfn.IFNA(INDEX('OSA | 3GB'!A:C,MATCH(DATA!D1179,'OSA | 3GB'!A:A,0),3),0)</f>
        <v>1000000</v>
      </c>
      <c r="J1179" s="33">
        <f>INDEX('BIO WAHYU'!B:G,MATCH(DATA!D1179,'BIO WAHYU'!B:B,0),5)</f>
        <v>3</v>
      </c>
      <c r="K1179" s="34">
        <f>INDEX('BIO WAHYU'!B:G,MATCH(DATA!D1179,'BIO WAHYU'!B:B,0),6)</f>
        <v>1</v>
      </c>
      <c r="L1179" s="35">
        <f>INDEX('BIO WAHYU'!B:H,MATCH(DATA!D1179,'BIO WAHYU'!B:B,0),7)</f>
        <v>0</v>
      </c>
      <c r="M1179" s="34">
        <f>INDEX('BIO WAHYU'!B:H,MATCH(DATA!D1179,'BIO WAHYU'!B:B,0),4)</f>
        <v>0</v>
      </c>
    </row>
    <row r="1180" spans="1:13">
      <c r="A1180" s="43" t="s">
        <v>1672</v>
      </c>
      <c r="B1180" s="43" t="s">
        <v>151</v>
      </c>
      <c r="C1180" s="43" t="s">
        <v>857</v>
      </c>
      <c r="D1180" s="10">
        <v>126742</v>
      </c>
      <c r="E1180" s="43" t="s">
        <v>10</v>
      </c>
      <c r="F1180" s="8">
        <f>_xlfn.IFNA(INDEX('OSA | 3GB'!J:L,MATCH(DATA!D1180,'OSA | 3GB'!J:J,0),2),0)</f>
        <v>5</v>
      </c>
      <c r="G1180" s="8">
        <f>_xlfn.IFNA(INDEX('OSA | 3GB'!J:L,MATCH(DATA!D1180,'OSA | 3GB'!J:J,0),3),0)</f>
        <v>16427992</v>
      </c>
      <c r="H1180" s="32" t="str">
        <f>_xlfn.IFNA(INDEX('OSA | 3GB'!A:C,MATCH(DATA!D1180,'OSA | 3GB'!A:A,0),2),0)</f>
        <v xml:space="preserve"> -   </v>
      </c>
      <c r="I1180" s="33">
        <f>_xlfn.IFNA(INDEX('OSA | 3GB'!A:C,MATCH(DATA!D1180,'OSA | 3GB'!A:A,0),3),0)</f>
        <v>5075088</v>
      </c>
      <c r="J1180" s="33">
        <f>INDEX('BIO WAHYU'!B:G,MATCH(DATA!D1180,'BIO WAHYU'!B:B,0),5)</f>
        <v>5</v>
      </c>
      <c r="K1180" s="34">
        <f>INDEX('BIO WAHYU'!B:G,MATCH(DATA!D1180,'BIO WAHYU'!B:B,0),6)</f>
        <v>0</v>
      </c>
      <c r="L1180" s="35">
        <f>INDEX('BIO WAHYU'!B:H,MATCH(DATA!D1180,'BIO WAHYU'!B:B,0),7)</f>
        <v>0</v>
      </c>
      <c r="M1180" s="34">
        <f>INDEX('BIO WAHYU'!B:H,MATCH(DATA!D1180,'BIO WAHYU'!B:B,0),4)</f>
        <v>0</v>
      </c>
    </row>
    <row r="1181" spans="1:13">
      <c r="A1181" s="43" t="s">
        <v>1672</v>
      </c>
      <c r="B1181" s="43" t="s">
        <v>156</v>
      </c>
      <c r="C1181" s="43" t="s">
        <v>993</v>
      </c>
      <c r="D1181" s="10">
        <v>458950</v>
      </c>
      <c r="E1181" s="43" t="s">
        <v>15</v>
      </c>
      <c r="F1181" s="8">
        <f>_xlfn.IFNA(INDEX('OSA | 3GB'!J:L,MATCH(DATA!D1181,'OSA | 3GB'!J:J,0),2),0)</f>
        <v>0</v>
      </c>
      <c r="G1181" s="8">
        <f>_xlfn.IFNA(INDEX('OSA | 3GB'!J:L,MATCH(DATA!D1181,'OSA | 3GB'!J:J,0),3),0)</f>
        <v>750000</v>
      </c>
      <c r="H1181" s="32" t="str">
        <f>_xlfn.IFNA(INDEX('OSA | 3GB'!A:C,MATCH(DATA!D1181,'OSA | 3GB'!A:A,0),2),0)</f>
        <v xml:space="preserve"> -   </v>
      </c>
      <c r="I1181" s="33">
        <f>_xlfn.IFNA(INDEX('OSA | 3GB'!A:C,MATCH(DATA!D1181,'OSA | 3GB'!A:A,0),3),0)</f>
        <v>100000</v>
      </c>
      <c r="J1181" s="33">
        <f>INDEX('BIO WAHYU'!B:G,MATCH(DATA!D1181,'BIO WAHYU'!B:B,0),5)</f>
        <v>1</v>
      </c>
      <c r="K1181" s="34">
        <f>INDEX('BIO WAHYU'!B:G,MATCH(DATA!D1181,'BIO WAHYU'!B:B,0),6)</f>
        <v>0</v>
      </c>
      <c r="L1181" s="35">
        <f>INDEX('BIO WAHYU'!B:H,MATCH(DATA!D1181,'BIO WAHYU'!B:B,0),7)</f>
        <v>0</v>
      </c>
      <c r="M1181" s="34">
        <f>INDEX('BIO WAHYU'!B:H,MATCH(DATA!D1181,'BIO WAHYU'!B:B,0),4)</f>
        <v>0</v>
      </c>
    </row>
    <row r="1182" spans="1:13">
      <c r="A1182" s="43" t="s">
        <v>1670</v>
      </c>
      <c r="B1182" s="43" t="s">
        <v>146</v>
      </c>
      <c r="C1182" s="43" t="s">
        <v>525</v>
      </c>
      <c r="D1182" s="10">
        <v>12300486</v>
      </c>
      <c r="E1182" s="43" t="s">
        <v>10</v>
      </c>
      <c r="F1182" s="8">
        <f>_xlfn.IFNA(INDEX('OSA | 3GB'!J:L,MATCH(DATA!D1182,'OSA | 3GB'!J:J,0),2),0)</f>
        <v>5</v>
      </c>
      <c r="G1182" s="8">
        <f>_xlfn.IFNA(INDEX('OSA | 3GB'!J:L,MATCH(DATA!D1182,'OSA | 3GB'!J:J,0),3),0)</f>
        <v>0</v>
      </c>
      <c r="H1182" s="32">
        <f>_xlfn.IFNA(INDEX('OSA | 3GB'!A:C,MATCH(DATA!D1182,'OSA | 3GB'!A:A,0),2),0)</f>
        <v>5</v>
      </c>
      <c r="I1182" s="33" t="str">
        <f>_xlfn.IFNA(INDEX('OSA | 3GB'!A:C,MATCH(DATA!D1182,'OSA | 3GB'!A:A,0),3),0)</f>
        <v xml:space="preserve"> -   </v>
      </c>
      <c r="J1182" s="33">
        <f>INDEX('BIO WAHYU'!B:G,MATCH(DATA!D1182,'BIO WAHYU'!B:B,0),5)</f>
        <v>3</v>
      </c>
      <c r="K1182" s="34">
        <f>INDEX('BIO WAHYU'!B:G,MATCH(DATA!D1182,'BIO WAHYU'!B:B,0),6)</f>
        <v>5</v>
      </c>
      <c r="L1182" s="35">
        <f>INDEX('BIO WAHYU'!B:H,MATCH(DATA!D1182,'BIO WAHYU'!B:B,0),7)</f>
        <v>2</v>
      </c>
      <c r="M1182" s="34">
        <f>INDEX('BIO WAHYU'!B:H,MATCH(DATA!D1182,'BIO WAHYU'!B:B,0),4)</f>
        <v>0</v>
      </c>
    </row>
    <row r="1183" spans="1:13">
      <c r="A1183" s="43" t="s">
        <v>1672</v>
      </c>
      <c r="B1183" s="43">
        <v>2613051475</v>
      </c>
      <c r="C1183" s="43" t="s">
        <v>1514</v>
      </c>
      <c r="D1183" s="10">
        <v>251808</v>
      </c>
      <c r="E1183" s="43" t="s">
        <v>10</v>
      </c>
      <c r="F1183" s="8">
        <f>_xlfn.IFNA(INDEX('OSA | 3GB'!J:L,MATCH(DATA!D1183,'OSA | 3GB'!J:J,0),2),0)</f>
        <v>0</v>
      </c>
      <c r="G1183" s="8">
        <f>_xlfn.IFNA(INDEX('OSA | 3GB'!J:L,MATCH(DATA!D1183,'OSA | 3GB'!J:J,0),3),0)</f>
        <v>500000</v>
      </c>
      <c r="H1183" s="32" t="str">
        <f>_xlfn.IFNA(INDEX('OSA | 3GB'!A:C,MATCH(DATA!D1183,'OSA | 3GB'!A:A,0),2),0)</f>
        <v xml:space="preserve"> -   </v>
      </c>
      <c r="I1183" s="33">
        <f>_xlfn.IFNA(INDEX('OSA | 3GB'!A:C,MATCH(DATA!D1183,'OSA | 3GB'!A:A,0),3),0)</f>
        <v>200000</v>
      </c>
      <c r="J1183" s="33">
        <f>INDEX('BIO WAHYU'!B:G,MATCH(DATA!D1183,'BIO WAHYU'!B:B,0),5)</f>
        <v>0</v>
      </c>
      <c r="K1183" s="34">
        <f>INDEX('BIO WAHYU'!B:G,MATCH(DATA!D1183,'BIO WAHYU'!B:B,0),6)</f>
        <v>0</v>
      </c>
      <c r="L1183" s="35">
        <f>INDEX('BIO WAHYU'!B:H,MATCH(DATA!D1183,'BIO WAHYU'!B:B,0),7)</f>
        <v>0</v>
      </c>
      <c r="M1183" s="34">
        <f>INDEX('BIO WAHYU'!B:H,MATCH(DATA!D1183,'BIO WAHYU'!B:B,0),4)</f>
        <v>0</v>
      </c>
    </row>
    <row r="1184" spans="1:13">
      <c r="A1184" s="43" t="s">
        <v>1672</v>
      </c>
      <c r="B1184" s="43" t="s">
        <v>156</v>
      </c>
      <c r="C1184" s="43" t="s">
        <v>1515</v>
      </c>
      <c r="D1184" s="10">
        <v>222814</v>
      </c>
      <c r="E1184" s="43" t="s">
        <v>10</v>
      </c>
      <c r="F1184" s="8">
        <f>_xlfn.IFNA(INDEX('OSA | 3GB'!J:L,MATCH(DATA!D1184,'OSA | 3GB'!J:J,0),2),0)</f>
        <v>0</v>
      </c>
      <c r="G1184" s="8">
        <f>_xlfn.IFNA(INDEX('OSA | 3GB'!J:L,MATCH(DATA!D1184,'OSA | 3GB'!J:J,0),3),0)</f>
        <v>7500000</v>
      </c>
      <c r="H1184" s="32">
        <f>_xlfn.IFNA(INDEX('OSA | 3GB'!A:C,MATCH(DATA!D1184,'OSA | 3GB'!A:A,0),2),0)</f>
        <v>4</v>
      </c>
      <c r="I1184" s="33">
        <f>_xlfn.IFNA(INDEX('OSA | 3GB'!A:C,MATCH(DATA!D1184,'OSA | 3GB'!A:A,0),3),0)</f>
        <v>2500000</v>
      </c>
      <c r="J1184" s="33">
        <f>INDEX('BIO WAHYU'!B:G,MATCH(DATA!D1184,'BIO WAHYU'!B:B,0),5)</f>
        <v>4</v>
      </c>
      <c r="K1184" s="34">
        <f>INDEX('BIO WAHYU'!B:G,MATCH(DATA!D1184,'BIO WAHYU'!B:B,0),6)</f>
        <v>4</v>
      </c>
      <c r="L1184" s="35">
        <f>INDEX('BIO WAHYU'!B:H,MATCH(DATA!D1184,'BIO WAHYU'!B:B,0),7)</f>
        <v>0</v>
      </c>
      <c r="M1184" s="34">
        <f>INDEX('BIO WAHYU'!B:H,MATCH(DATA!D1184,'BIO WAHYU'!B:B,0),4)</f>
        <v>0</v>
      </c>
    </row>
    <row r="1185" spans="1:13">
      <c r="A1185" s="43" t="s">
        <v>1</v>
      </c>
      <c r="B1185" s="43" t="s">
        <v>3</v>
      </c>
      <c r="C1185" s="43" t="s">
        <v>1111</v>
      </c>
      <c r="D1185" s="10">
        <v>519286</v>
      </c>
      <c r="E1185" s="43" t="s">
        <v>10</v>
      </c>
      <c r="F1185" s="8">
        <f>_xlfn.IFNA(INDEX('OSA | 3GB'!J:L,MATCH(DATA!D1185,'OSA | 3GB'!J:J,0),2),0)</f>
        <v>3</v>
      </c>
      <c r="G1185" s="8">
        <f>_xlfn.IFNA(INDEX('OSA | 3GB'!J:L,MATCH(DATA!D1185,'OSA | 3GB'!J:J,0),3),0)</f>
        <v>1009000</v>
      </c>
      <c r="H1185" s="32" t="str">
        <f>_xlfn.IFNA(INDEX('OSA | 3GB'!A:C,MATCH(DATA!D1185,'OSA | 3GB'!A:A,0),2),0)</f>
        <v xml:space="preserve"> -   </v>
      </c>
      <c r="I1185" s="33">
        <f>_xlfn.IFNA(INDEX('OSA | 3GB'!A:C,MATCH(DATA!D1185,'OSA | 3GB'!A:A,0),3),0)</f>
        <v>5505000</v>
      </c>
      <c r="J1185" s="33">
        <f>INDEX('BIO WAHYU'!B:G,MATCH(DATA!D1185,'BIO WAHYU'!B:B,0),5)</f>
        <v>3</v>
      </c>
      <c r="K1185" s="34">
        <f>INDEX('BIO WAHYU'!B:G,MATCH(DATA!D1185,'BIO WAHYU'!B:B,0),6)</f>
        <v>0</v>
      </c>
      <c r="L1185" s="35">
        <f>INDEX('BIO WAHYU'!B:H,MATCH(DATA!D1185,'BIO WAHYU'!B:B,0),7)</f>
        <v>0</v>
      </c>
      <c r="M1185" s="34">
        <f>INDEX('BIO WAHYU'!B:H,MATCH(DATA!D1185,'BIO WAHYU'!B:B,0),4)</f>
        <v>0</v>
      </c>
    </row>
    <row r="1186" spans="1:13">
      <c r="A1186" s="43" t="s">
        <v>1671</v>
      </c>
      <c r="B1186" s="43" t="s">
        <v>142</v>
      </c>
      <c r="C1186" s="43" t="s">
        <v>183</v>
      </c>
      <c r="D1186" s="10">
        <v>211662</v>
      </c>
      <c r="E1186" s="43" t="s">
        <v>23</v>
      </c>
      <c r="F1186" s="8">
        <f>_xlfn.IFNA(INDEX('OSA | 3GB'!J:L,MATCH(DATA!D1186,'OSA | 3GB'!J:J,0),2),0)</f>
        <v>1</v>
      </c>
      <c r="G1186" s="8">
        <f>_xlfn.IFNA(INDEX('OSA | 3GB'!J:L,MATCH(DATA!D1186,'OSA | 3GB'!J:J,0),3),0)</f>
        <v>46600000</v>
      </c>
      <c r="H1186" s="32" t="str">
        <f>_xlfn.IFNA(INDEX('OSA | 3GB'!A:C,MATCH(DATA!D1186,'OSA | 3GB'!A:A,0),2),0)</f>
        <v xml:space="preserve"> -   </v>
      </c>
      <c r="I1186" s="33">
        <f>_xlfn.IFNA(INDEX('OSA | 3GB'!A:C,MATCH(DATA!D1186,'OSA | 3GB'!A:A,0),3),0)</f>
        <v>10050000</v>
      </c>
      <c r="J1186" s="33">
        <f>INDEX('BIO WAHYU'!B:G,MATCH(DATA!D1186,'BIO WAHYU'!B:B,0),5)</f>
        <v>1</v>
      </c>
      <c r="K1186" s="34">
        <f>INDEX('BIO WAHYU'!B:G,MATCH(DATA!D1186,'BIO WAHYU'!B:B,0),6)</f>
        <v>0</v>
      </c>
      <c r="L1186" s="35">
        <f>INDEX('BIO WAHYU'!B:H,MATCH(DATA!D1186,'BIO WAHYU'!B:B,0),7)</f>
        <v>0</v>
      </c>
      <c r="M1186" s="34">
        <f>INDEX('BIO WAHYU'!B:H,MATCH(DATA!D1186,'BIO WAHYU'!B:B,0),4)</f>
        <v>1</v>
      </c>
    </row>
    <row r="1187" spans="1:13">
      <c r="A1187" s="43" t="s">
        <v>1674</v>
      </c>
      <c r="B1187" s="43" t="s">
        <v>147</v>
      </c>
      <c r="C1187" s="43" t="s">
        <v>594</v>
      </c>
      <c r="D1187" s="10">
        <v>12319354</v>
      </c>
      <c r="E1187" s="43" t="s">
        <v>15</v>
      </c>
      <c r="F1187" s="8">
        <f>_xlfn.IFNA(INDEX('OSA | 3GB'!J:L,MATCH(DATA!D1187,'OSA | 3GB'!J:J,0),2),0)</f>
        <v>1</v>
      </c>
      <c r="G1187" s="8">
        <f>_xlfn.IFNA(INDEX('OSA | 3GB'!J:L,MATCH(DATA!D1187,'OSA | 3GB'!J:J,0),3),0)</f>
        <v>1500000</v>
      </c>
      <c r="H1187" s="32" t="str">
        <f>_xlfn.IFNA(INDEX('OSA | 3GB'!A:C,MATCH(DATA!D1187,'OSA | 3GB'!A:A,0),2),0)</f>
        <v xml:space="preserve"> -   </v>
      </c>
      <c r="I1187" s="33">
        <f>_xlfn.IFNA(INDEX('OSA | 3GB'!A:C,MATCH(DATA!D1187,'OSA | 3GB'!A:A,0),3),0)</f>
        <v>1000000</v>
      </c>
      <c r="J1187" s="33">
        <f>INDEX('BIO WAHYU'!B:G,MATCH(DATA!D1187,'BIO WAHYU'!B:B,0),5)</f>
        <v>3</v>
      </c>
      <c r="K1187" s="34">
        <f>INDEX('BIO WAHYU'!B:G,MATCH(DATA!D1187,'BIO WAHYU'!B:B,0),6)</f>
        <v>0</v>
      </c>
      <c r="L1187" s="35">
        <f>INDEX('BIO WAHYU'!B:H,MATCH(DATA!D1187,'BIO WAHYU'!B:B,0),7)</f>
        <v>0</v>
      </c>
      <c r="M1187" s="34">
        <f>INDEX('BIO WAHYU'!B:H,MATCH(DATA!D1187,'BIO WAHYU'!B:B,0),4)</f>
        <v>0</v>
      </c>
    </row>
    <row r="1188" spans="1:13">
      <c r="A1188" s="43" t="s">
        <v>1671</v>
      </c>
      <c r="B1188" s="43">
        <v>2613050886</v>
      </c>
      <c r="C1188" s="43" t="s">
        <v>339</v>
      </c>
      <c r="D1188" s="10">
        <v>569708</v>
      </c>
      <c r="E1188" s="43" t="s">
        <v>15</v>
      </c>
      <c r="F1188" s="8">
        <f>_xlfn.IFNA(INDEX('OSA | 3GB'!J:L,MATCH(DATA!D1188,'OSA | 3GB'!J:J,0),2),0)</f>
        <v>0</v>
      </c>
      <c r="G1188" s="8">
        <f>_xlfn.IFNA(INDEX('OSA | 3GB'!J:L,MATCH(DATA!D1188,'OSA | 3GB'!J:J,0),3),0)</f>
        <v>0</v>
      </c>
      <c r="H1188" s="32" t="str">
        <f>_xlfn.IFNA(INDEX('OSA | 3GB'!A:C,MATCH(DATA!D1188,'OSA | 3GB'!A:A,0),2),0)</f>
        <v xml:space="preserve"> -   </v>
      </c>
      <c r="I1188" s="33" t="str">
        <f>_xlfn.IFNA(INDEX('OSA | 3GB'!A:C,MATCH(DATA!D1188,'OSA | 3GB'!A:A,0),3),0)</f>
        <v xml:space="preserve"> -   </v>
      </c>
      <c r="J1188" s="33">
        <f>INDEX('BIO WAHYU'!B:G,MATCH(DATA!D1188,'BIO WAHYU'!B:B,0),5)</f>
        <v>0</v>
      </c>
      <c r="K1188" s="34">
        <f>INDEX('BIO WAHYU'!B:G,MATCH(DATA!D1188,'BIO WAHYU'!B:B,0),6)</f>
        <v>0</v>
      </c>
      <c r="L1188" s="35">
        <f>INDEX('BIO WAHYU'!B:H,MATCH(DATA!D1188,'BIO WAHYU'!B:B,0),7)</f>
        <v>0</v>
      </c>
      <c r="M1188" s="34">
        <f>INDEX('BIO WAHYU'!B:H,MATCH(DATA!D1188,'BIO WAHYU'!B:B,0),4)</f>
        <v>0</v>
      </c>
    </row>
    <row r="1189" spans="1:13">
      <c r="A1189" s="43" t="s">
        <v>1673</v>
      </c>
      <c r="B1189" s="43" t="s">
        <v>1140</v>
      </c>
      <c r="C1189" s="43" t="s">
        <v>1516</v>
      </c>
      <c r="D1189" s="10">
        <v>229932</v>
      </c>
      <c r="E1189" s="43" t="s">
        <v>15</v>
      </c>
      <c r="F1189" s="8">
        <f>_xlfn.IFNA(INDEX('OSA | 3GB'!J:L,MATCH(DATA!D1189,'OSA | 3GB'!J:J,0),2),0)</f>
        <v>3</v>
      </c>
      <c r="G1189" s="8">
        <f>_xlfn.IFNA(INDEX('OSA | 3GB'!J:L,MATCH(DATA!D1189,'OSA | 3GB'!J:J,0),3),0)</f>
        <v>1129000</v>
      </c>
      <c r="H1189" s="32" t="str">
        <f>_xlfn.IFNA(INDEX('OSA | 3GB'!A:C,MATCH(DATA!D1189,'OSA | 3GB'!A:A,0),2),0)</f>
        <v xml:space="preserve"> -   </v>
      </c>
      <c r="I1189" s="33">
        <f>_xlfn.IFNA(INDEX('OSA | 3GB'!A:C,MATCH(DATA!D1189,'OSA | 3GB'!A:A,0),3),0)</f>
        <v>100000</v>
      </c>
      <c r="J1189" s="33">
        <f>INDEX('BIO WAHYU'!B:G,MATCH(DATA!D1189,'BIO WAHYU'!B:B,0),5)</f>
        <v>1</v>
      </c>
      <c r="K1189" s="34">
        <f>INDEX('BIO WAHYU'!B:G,MATCH(DATA!D1189,'BIO WAHYU'!B:B,0),6)</f>
        <v>2</v>
      </c>
      <c r="L1189" s="35">
        <f>INDEX('BIO WAHYU'!B:H,MATCH(DATA!D1189,'BIO WAHYU'!B:B,0),7)</f>
        <v>1</v>
      </c>
      <c r="M1189" s="34">
        <f>INDEX('BIO WAHYU'!B:H,MATCH(DATA!D1189,'BIO WAHYU'!B:B,0),4)</f>
        <v>0</v>
      </c>
    </row>
    <row r="1190" spans="1:13">
      <c r="A1190" s="43" t="s">
        <v>1672</v>
      </c>
      <c r="B1190" s="43" t="s">
        <v>156</v>
      </c>
      <c r="C1190" s="43" t="s">
        <v>976</v>
      </c>
      <c r="D1190" s="10">
        <v>188114</v>
      </c>
      <c r="E1190" s="43" t="s">
        <v>23</v>
      </c>
      <c r="F1190" s="8">
        <f>_xlfn.IFNA(INDEX('OSA | 3GB'!J:L,MATCH(DATA!D1190,'OSA | 3GB'!J:J,0),2),0)</f>
        <v>4</v>
      </c>
      <c r="G1190" s="8">
        <f>_xlfn.IFNA(INDEX('OSA | 3GB'!J:L,MATCH(DATA!D1190,'OSA | 3GB'!J:J,0),3),0)</f>
        <v>29928372</v>
      </c>
      <c r="H1190" s="32">
        <f>_xlfn.IFNA(INDEX('OSA | 3GB'!A:C,MATCH(DATA!D1190,'OSA | 3GB'!A:A,0),2),0)</f>
        <v>4</v>
      </c>
      <c r="I1190" s="33">
        <f>_xlfn.IFNA(INDEX('OSA | 3GB'!A:C,MATCH(DATA!D1190,'OSA | 3GB'!A:A,0),3),0)</f>
        <v>8160633</v>
      </c>
      <c r="J1190" s="33">
        <f>INDEX('BIO WAHYU'!B:G,MATCH(DATA!D1190,'BIO WAHYU'!B:B,0),5)</f>
        <v>12</v>
      </c>
      <c r="K1190" s="34">
        <f>INDEX('BIO WAHYU'!B:G,MATCH(DATA!D1190,'BIO WAHYU'!B:B,0),6)</f>
        <v>2</v>
      </c>
      <c r="L1190" s="35">
        <f>INDEX('BIO WAHYU'!B:H,MATCH(DATA!D1190,'BIO WAHYU'!B:B,0),7)</f>
        <v>0</v>
      </c>
      <c r="M1190" s="34">
        <f>INDEX('BIO WAHYU'!B:H,MATCH(DATA!D1190,'BIO WAHYU'!B:B,0),4)</f>
        <v>0</v>
      </c>
    </row>
    <row r="1191" spans="1:13">
      <c r="A1191" s="43" t="s">
        <v>1672</v>
      </c>
      <c r="B1191" s="43" t="s">
        <v>149</v>
      </c>
      <c r="C1191" s="43" t="s">
        <v>779</v>
      </c>
      <c r="D1191" s="10">
        <v>308936</v>
      </c>
      <c r="E1191" s="43" t="s">
        <v>10</v>
      </c>
      <c r="F1191" s="8">
        <f>_xlfn.IFNA(INDEX('OSA | 3GB'!J:L,MATCH(DATA!D1191,'OSA | 3GB'!J:J,0),2),0)</f>
        <v>4</v>
      </c>
      <c r="G1191" s="8">
        <f>_xlfn.IFNA(INDEX('OSA | 3GB'!J:L,MATCH(DATA!D1191,'OSA | 3GB'!J:J,0),3),0)</f>
        <v>458000</v>
      </c>
      <c r="H1191" s="32">
        <f>_xlfn.IFNA(INDEX('OSA | 3GB'!A:C,MATCH(DATA!D1191,'OSA | 3GB'!A:A,0),2),0)</f>
        <v>2</v>
      </c>
      <c r="I1191" s="33">
        <f>_xlfn.IFNA(INDEX('OSA | 3GB'!A:C,MATCH(DATA!D1191,'OSA | 3GB'!A:A,0),3),0)</f>
        <v>558000</v>
      </c>
      <c r="J1191" s="33">
        <f>INDEX('BIO WAHYU'!B:G,MATCH(DATA!D1191,'BIO WAHYU'!B:B,0),5)</f>
        <v>3</v>
      </c>
      <c r="K1191" s="34">
        <f>INDEX('BIO WAHYU'!B:G,MATCH(DATA!D1191,'BIO WAHYU'!B:B,0),6)</f>
        <v>0</v>
      </c>
      <c r="L1191" s="35">
        <f>INDEX('BIO WAHYU'!B:H,MATCH(DATA!D1191,'BIO WAHYU'!B:B,0),7)</f>
        <v>0</v>
      </c>
      <c r="M1191" s="34">
        <f>INDEX('BIO WAHYU'!B:H,MATCH(DATA!D1191,'BIO WAHYU'!B:B,0),4)</f>
        <v>0</v>
      </c>
    </row>
    <row r="1192" spans="1:13">
      <c r="A1192" s="43" t="s">
        <v>1674</v>
      </c>
      <c r="B1192" s="43" t="s">
        <v>153</v>
      </c>
      <c r="C1192" s="43" t="s">
        <v>1517</v>
      </c>
      <c r="D1192" s="10">
        <v>231115</v>
      </c>
      <c r="E1192" s="43" t="s">
        <v>10</v>
      </c>
      <c r="F1192" s="8">
        <f>_xlfn.IFNA(INDEX('OSA | 3GB'!J:L,MATCH(DATA!D1192,'OSA | 3GB'!J:J,0),2),0)</f>
        <v>4</v>
      </c>
      <c r="G1192" s="8">
        <f>_xlfn.IFNA(INDEX('OSA | 3GB'!J:L,MATCH(DATA!D1192,'OSA | 3GB'!J:J,0),3),0)</f>
        <v>3029000</v>
      </c>
      <c r="H1192" s="32">
        <f>_xlfn.IFNA(INDEX('OSA | 3GB'!A:C,MATCH(DATA!D1192,'OSA | 3GB'!A:A,0),2),0)</f>
        <v>2</v>
      </c>
      <c r="I1192" s="33">
        <f>_xlfn.IFNA(INDEX('OSA | 3GB'!A:C,MATCH(DATA!D1192,'OSA | 3GB'!A:A,0),3),0)</f>
        <v>58000</v>
      </c>
      <c r="J1192" s="33">
        <f>INDEX('BIO WAHYU'!B:G,MATCH(DATA!D1192,'BIO WAHYU'!B:B,0),5)</f>
        <v>3</v>
      </c>
      <c r="K1192" s="34">
        <f>INDEX('BIO WAHYU'!B:G,MATCH(DATA!D1192,'BIO WAHYU'!B:B,0),6)</f>
        <v>1</v>
      </c>
      <c r="L1192" s="35">
        <f>INDEX('BIO WAHYU'!B:H,MATCH(DATA!D1192,'BIO WAHYU'!B:B,0),7)</f>
        <v>0</v>
      </c>
      <c r="M1192" s="34">
        <f>INDEX('BIO WAHYU'!B:H,MATCH(DATA!D1192,'BIO WAHYU'!B:B,0),4)</f>
        <v>0</v>
      </c>
    </row>
    <row r="1193" spans="1:13">
      <c r="A1193" s="43" t="s">
        <v>1673</v>
      </c>
      <c r="B1193" s="43" t="s">
        <v>1136</v>
      </c>
      <c r="C1193" s="43" t="s">
        <v>1518</v>
      </c>
      <c r="D1193" s="10">
        <v>383700</v>
      </c>
      <c r="E1193" s="43" t="s">
        <v>10</v>
      </c>
      <c r="F1193" s="8">
        <f>_xlfn.IFNA(INDEX('OSA | 3GB'!J:L,MATCH(DATA!D1193,'OSA | 3GB'!J:J,0),2),0)</f>
        <v>0</v>
      </c>
      <c r="G1193" s="8">
        <f>_xlfn.IFNA(INDEX('OSA | 3GB'!J:L,MATCH(DATA!D1193,'OSA | 3GB'!J:J,0),3),0)</f>
        <v>2200000</v>
      </c>
      <c r="H1193" s="32">
        <f>_xlfn.IFNA(INDEX('OSA | 3GB'!A:C,MATCH(DATA!D1193,'OSA | 3GB'!A:A,0),2),0)</f>
        <v>3</v>
      </c>
      <c r="I1193" s="33">
        <f>_xlfn.IFNA(INDEX('OSA | 3GB'!A:C,MATCH(DATA!D1193,'OSA | 3GB'!A:A,0),3),0)</f>
        <v>600000</v>
      </c>
      <c r="J1193" s="33">
        <f>INDEX('BIO WAHYU'!B:G,MATCH(DATA!D1193,'BIO WAHYU'!B:B,0),5)</f>
        <v>3</v>
      </c>
      <c r="K1193" s="34">
        <f>INDEX('BIO WAHYU'!B:G,MATCH(DATA!D1193,'BIO WAHYU'!B:B,0),6)</f>
        <v>1</v>
      </c>
      <c r="L1193" s="35">
        <f>INDEX('BIO WAHYU'!B:H,MATCH(DATA!D1193,'BIO WAHYU'!B:B,0),7)</f>
        <v>0</v>
      </c>
      <c r="M1193" s="34">
        <f>INDEX('BIO WAHYU'!B:H,MATCH(DATA!D1193,'BIO WAHYU'!B:B,0),4)</f>
        <v>0</v>
      </c>
    </row>
    <row r="1194" spans="1:13">
      <c r="A1194" s="43" t="s">
        <v>1673</v>
      </c>
      <c r="B1194" s="43" t="s">
        <v>143</v>
      </c>
      <c r="C1194" s="43" t="s">
        <v>250</v>
      </c>
      <c r="D1194" s="10">
        <v>12301709</v>
      </c>
      <c r="E1194" s="43" t="s">
        <v>10</v>
      </c>
      <c r="F1194" s="8">
        <f>_xlfn.IFNA(INDEX('OSA | 3GB'!J:L,MATCH(DATA!D1194,'OSA | 3GB'!J:J,0),2),0)</f>
        <v>6</v>
      </c>
      <c r="G1194" s="8">
        <f>_xlfn.IFNA(INDEX('OSA | 3GB'!J:L,MATCH(DATA!D1194,'OSA | 3GB'!J:J,0),3),0)</f>
        <v>2108000</v>
      </c>
      <c r="H1194" s="32">
        <f>_xlfn.IFNA(INDEX('OSA | 3GB'!A:C,MATCH(DATA!D1194,'OSA | 3GB'!A:A,0),2),0)</f>
        <v>2</v>
      </c>
      <c r="I1194" s="33">
        <f>_xlfn.IFNA(INDEX('OSA | 3GB'!A:C,MATCH(DATA!D1194,'OSA | 3GB'!A:A,0),3),0)</f>
        <v>620000</v>
      </c>
      <c r="J1194" s="33">
        <f>INDEX('BIO WAHYU'!B:G,MATCH(DATA!D1194,'BIO WAHYU'!B:B,0),5)</f>
        <v>3</v>
      </c>
      <c r="K1194" s="34">
        <f>INDEX('BIO WAHYU'!B:G,MATCH(DATA!D1194,'BIO WAHYU'!B:B,0),6)</f>
        <v>1</v>
      </c>
      <c r="L1194" s="35">
        <f>INDEX('BIO WAHYU'!B:H,MATCH(DATA!D1194,'BIO WAHYU'!B:B,0),7)</f>
        <v>0</v>
      </c>
      <c r="M1194" s="34">
        <f>INDEX('BIO WAHYU'!B:H,MATCH(DATA!D1194,'BIO WAHYU'!B:B,0),4)</f>
        <v>0</v>
      </c>
    </row>
    <row r="1195" spans="1:13">
      <c r="A1195" s="43" t="s">
        <v>1674</v>
      </c>
      <c r="B1195" s="43" t="s">
        <v>147</v>
      </c>
      <c r="C1195" s="43" t="s">
        <v>595</v>
      </c>
      <c r="D1195" s="10">
        <v>12320506</v>
      </c>
      <c r="E1195" s="43" t="s">
        <v>10</v>
      </c>
      <c r="F1195" s="8">
        <f>_xlfn.IFNA(INDEX('OSA | 3GB'!J:L,MATCH(DATA!D1195,'OSA | 3GB'!J:J,0),2),0)</f>
        <v>3</v>
      </c>
      <c r="G1195" s="8">
        <f>_xlfn.IFNA(INDEX('OSA | 3GB'!J:L,MATCH(DATA!D1195,'OSA | 3GB'!J:J,0),3),0)</f>
        <v>800000</v>
      </c>
      <c r="H1195" s="32" t="str">
        <f>_xlfn.IFNA(INDEX('OSA | 3GB'!A:C,MATCH(DATA!D1195,'OSA | 3GB'!A:A,0),2),0)</f>
        <v xml:space="preserve"> -   </v>
      </c>
      <c r="I1195" s="33">
        <f>_xlfn.IFNA(INDEX('OSA | 3GB'!A:C,MATCH(DATA!D1195,'OSA | 3GB'!A:A,0),3),0)</f>
        <v>500000</v>
      </c>
      <c r="J1195" s="33">
        <f>INDEX('BIO WAHYU'!B:G,MATCH(DATA!D1195,'BIO WAHYU'!B:B,0),5)</f>
        <v>2</v>
      </c>
      <c r="K1195" s="34">
        <f>INDEX('BIO WAHYU'!B:G,MATCH(DATA!D1195,'BIO WAHYU'!B:B,0),6)</f>
        <v>1</v>
      </c>
      <c r="L1195" s="35">
        <f>INDEX('BIO WAHYU'!B:H,MATCH(DATA!D1195,'BIO WAHYU'!B:B,0),7)</f>
        <v>0</v>
      </c>
      <c r="M1195" s="34">
        <f>INDEX('BIO WAHYU'!B:H,MATCH(DATA!D1195,'BIO WAHYU'!B:B,0),4)</f>
        <v>0</v>
      </c>
    </row>
    <row r="1196" spans="1:13">
      <c r="A1196" s="43" t="s">
        <v>1674</v>
      </c>
      <c r="B1196" s="43" t="s">
        <v>147</v>
      </c>
      <c r="C1196" s="43" t="s">
        <v>615</v>
      </c>
      <c r="D1196" s="10">
        <v>541001</v>
      </c>
      <c r="E1196" s="43" t="s">
        <v>10</v>
      </c>
      <c r="F1196" s="8">
        <f>_xlfn.IFNA(INDEX('OSA | 3GB'!J:L,MATCH(DATA!D1196,'OSA | 3GB'!J:J,0),2),0)</f>
        <v>4</v>
      </c>
      <c r="G1196" s="8">
        <f>_xlfn.IFNA(INDEX('OSA | 3GB'!J:L,MATCH(DATA!D1196,'OSA | 3GB'!J:J,0),3),0)</f>
        <v>3278000</v>
      </c>
      <c r="H1196" s="32" t="str">
        <f>_xlfn.IFNA(INDEX('OSA | 3GB'!A:C,MATCH(DATA!D1196,'OSA | 3GB'!A:A,0),2),0)</f>
        <v xml:space="preserve"> -   </v>
      </c>
      <c r="I1196" s="33">
        <f>_xlfn.IFNA(INDEX('OSA | 3GB'!A:C,MATCH(DATA!D1196,'OSA | 3GB'!A:A,0),3),0)</f>
        <v>1423000</v>
      </c>
      <c r="J1196" s="33">
        <f>INDEX('BIO WAHYU'!B:G,MATCH(DATA!D1196,'BIO WAHYU'!B:B,0),5)</f>
        <v>5</v>
      </c>
      <c r="K1196" s="34">
        <f>INDEX('BIO WAHYU'!B:G,MATCH(DATA!D1196,'BIO WAHYU'!B:B,0),6)</f>
        <v>3</v>
      </c>
      <c r="L1196" s="35">
        <f>INDEX('BIO WAHYU'!B:H,MATCH(DATA!D1196,'BIO WAHYU'!B:B,0),7)</f>
        <v>0</v>
      </c>
      <c r="M1196" s="34">
        <f>INDEX('BIO WAHYU'!B:H,MATCH(DATA!D1196,'BIO WAHYU'!B:B,0),4)</f>
        <v>0</v>
      </c>
    </row>
    <row r="1197" spans="1:13">
      <c r="A1197" s="43" t="s">
        <v>1</v>
      </c>
      <c r="B1197" s="43" t="s">
        <v>3</v>
      </c>
      <c r="C1197" s="43" t="s">
        <v>1112</v>
      </c>
      <c r="D1197" s="10">
        <v>385575</v>
      </c>
      <c r="E1197" s="43" t="s">
        <v>10</v>
      </c>
      <c r="F1197" s="8">
        <f>_xlfn.IFNA(INDEX('OSA | 3GB'!J:L,MATCH(DATA!D1197,'OSA | 3GB'!J:J,0),2),0)</f>
        <v>0</v>
      </c>
      <c r="G1197" s="8">
        <f>_xlfn.IFNA(INDEX('OSA | 3GB'!J:L,MATCH(DATA!D1197,'OSA | 3GB'!J:J,0),3),0)</f>
        <v>1000</v>
      </c>
      <c r="H1197" s="32" t="str">
        <f>_xlfn.IFNA(INDEX('OSA | 3GB'!A:C,MATCH(DATA!D1197,'OSA | 3GB'!A:A,0),2),0)</f>
        <v xml:space="preserve"> -   </v>
      </c>
      <c r="I1197" s="33" t="str">
        <f>_xlfn.IFNA(INDEX('OSA | 3GB'!A:C,MATCH(DATA!D1197,'OSA | 3GB'!A:A,0),3),0)</f>
        <v xml:space="preserve"> -   </v>
      </c>
      <c r="J1197" s="33">
        <f>INDEX('BIO WAHYU'!B:G,MATCH(DATA!D1197,'BIO WAHYU'!B:B,0),5)</f>
        <v>0</v>
      </c>
      <c r="K1197" s="34">
        <f>INDEX('BIO WAHYU'!B:G,MATCH(DATA!D1197,'BIO WAHYU'!B:B,0),6)</f>
        <v>0</v>
      </c>
      <c r="L1197" s="35">
        <f>INDEX('BIO WAHYU'!B:H,MATCH(DATA!D1197,'BIO WAHYU'!B:B,0),7)</f>
        <v>0</v>
      </c>
      <c r="M1197" s="34">
        <f>INDEX('BIO WAHYU'!B:H,MATCH(DATA!D1197,'BIO WAHYU'!B:B,0),4)</f>
        <v>0</v>
      </c>
    </row>
    <row r="1198" spans="1:13">
      <c r="A1198" s="43" t="s">
        <v>1672</v>
      </c>
      <c r="B1198" s="43">
        <v>2613051475</v>
      </c>
      <c r="C1198" s="43" t="s">
        <v>899</v>
      </c>
      <c r="D1198" s="10">
        <v>330571</v>
      </c>
      <c r="E1198" s="43" t="s">
        <v>10</v>
      </c>
      <c r="F1198" s="8">
        <f>_xlfn.IFNA(INDEX('OSA | 3GB'!J:L,MATCH(DATA!D1198,'OSA | 3GB'!J:J,0),2),0)</f>
        <v>0</v>
      </c>
      <c r="G1198" s="8">
        <f>_xlfn.IFNA(INDEX('OSA | 3GB'!J:L,MATCH(DATA!D1198,'OSA | 3GB'!J:J,0),3),0)</f>
        <v>200000</v>
      </c>
      <c r="H1198" s="32" t="str">
        <f>_xlfn.IFNA(INDEX('OSA | 3GB'!A:C,MATCH(DATA!D1198,'OSA | 3GB'!A:A,0),2),0)</f>
        <v xml:space="preserve"> -   </v>
      </c>
      <c r="I1198" s="33">
        <f>_xlfn.IFNA(INDEX('OSA | 3GB'!A:C,MATCH(DATA!D1198,'OSA | 3GB'!A:A,0),3),0)</f>
        <v>50000</v>
      </c>
      <c r="J1198" s="33">
        <f>INDEX('BIO WAHYU'!B:G,MATCH(DATA!D1198,'BIO WAHYU'!B:B,0),5)</f>
        <v>1</v>
      </c>
      <c r="K1198" s="34">
        <f>INDEX('BIO WAHYU'!B:G,MATCH(DATA!D1198,'BIO WAHYU'!B:B,0),6)</f>
        <v>0</v>
      </c>
      <c r="L1198" s="35">
        <f>INDEX('BIO WAHYU'!B:H,MATCH(DATA!D1198,'BIO WAHYU'!B:B,0),7)</f>
        <v>0</v>
      </c>
      <c r="M1198" s="34">
        <f>INDEX('BIO WAHYU'!B:H,MATCH(DATA!D1198,'BIO WAHYU'!B:B,0),4)</f>
        <v>0</v>
      </c>
    </row>
    <row r="1199" spans="1:13">
      <c r="A1199" s="43" t="s">
        <v>1672</v>
      </c>
      <c r="B1199" s="43" t="s">
        <v>156</v>
      </c>
      <c r="C1199" s="43" t="s">
        <v>982</v>
      </c>
      <c r="D1199" s="10">
        <v>295027</v>
      </c>
      <c r="E1199" s="43" t="s">
        <v>15</v>
      </c>
      <c r="F1199" s="8">
        <f>_xlfn.IFNA(INDEX('OSA | 3GB'!J:L,MATCH(DATA!D1199,'OSA | 3GB'!J:J,0),2),0)</f>
        <v>0</v>
      </c>
      <c r="G1199" s="8">
        <f>_xlfn.IFNA(INDEX('OSA | 3GB'!J:L,MATCH(DATA!D1199,'OSA | 3GB'!J:J,0),3),0)</f>
        <v>50000</v>
      </c>
      <c r="H1199" s="32" t="str">
        <f>_xlfn.IFNA(INDEX('OSA | 3GB'!A:C,MATCH(DATA!D1199,'OSA | 3GB'!A:A,0),2),0)</f>
        <v xml:space="preserve"> -   </v>
      </c>
      <c r="I1199" s="33" t="str">
        <f>_xlfn.IFNA(INDEX('OSA | 3GB'!A:C,MATCH(DATA!D1199,'OSA | 3GB'!A:A,0),3),0)</f>
        <v xml:space="preserve"> -   </v>
      </c>
      <c r="J1199" s="33">
        <f>INDEX('BIO WAHYU'!B:G,MATCH(DATA!D1199,'BIO WAHYU'!B:B,0),5)</f>
        <v>1</v>
      </c>
      <c r="K1199" s="34">
        <f>INDEX('BIO WAHYU'!B:G,MATCH(DATA!D1199,'BIO WAHYU'!B:B,0),6)</f>
        <v>0</v>
      </c>
      <c r="L1199" s="35">
        <f>INDEX('BIO WAHYU'!B:H,MATCH(DATA!D1199,'BIO WAHYU'!B:B,0),7)</f>
        <v>0</v>
      </c>
      <c r="M1199" s="34">
        <f>INDEX('BIO WAHYU'!B:H,MATCH(DATA!D1199,'BIO WAHYU'!B:B,0),4)</f>
        <v>0</v>
      </c>
    </row>
    <row r="1200" spans="1:13">
      <c r="A1200" s="43" t="s">
        <v>1671</v>
      </c>
      <c r="B1200" s="43" t="s">
        <v>142</v>
      </c>
      <c r="C1200" s="43" t="s">
        <v>353</v>
      </c>
      <c r="D1200" s="10">
        <v>400027</v>
      </c>
      <c r="E1200" s="43" t="s">
        <v>15</v>
      </c>
      <c r="F1200" s="8">
        <f>_xlfn.IFNA(INDEX('OSA | 3GB'!J:L,MATCH(DATA!D1200,'OSA | 3GB'!J:J,0),2),0)</f>
        <v>0</v>
      </c>
      <c r="G1200" s="8">
        <f>_xlfn.IFNA(INDEX('OSA | 3GB'!J:L,MATCH(DATA!D1200,'OSA | 3GB'!J:J,0),3),0)</f>
        <v>3500000</v>
      </c>
      <c r="H1200" s="32" t="str">
        <f>_xlfn.IFNA(INDEX('OSA | 3GB'!A:C,MATCH(DATA!D1200,'OSA | 3GB'!A:A,0),2),0)</f>
        <v xml:space="preserve"> -   </v>
      </c>
      <c r="I1200" s="33">
        <f>_xlfn.IFNA(INDEX('OSA | 3GB'!A:C,MATCH(DATA!D1200,'OSA | 3GB'!A:A,0),3),0)</f>
        <v>1500000</v>
      </c>
      <c r="J1200" s="33">
        <f>INDEX('BIO WAHYU'!B:G,MATCH(DATA!D1200,'BIO WAHYU'!B:B,0),5)</f>
        <v>0</v>
      </c>
      <c r="K1200" s="34">
        <f>INDEX('BIO WAHYU'!B:G,MATCH(DATA!D1200,'BIO WAHYU'!B:B,0),6)</f>
        <v>3</v>
      </c>
      <c r="L1200" s="35">
        <f>INDEX('BIO WAHYU'!B:H,MATCH(DATA!D1200,'BIO WAHYU'!B:B,0),7)</f>
        <v>3</v>
      </c>
      <c r="M1200" s="34">
        <f>INDEX('BIO WAHYU'!B:H,MATCH(DATA!D1200,'BIO WAHYU'!B:B,0),4)</f>
        <v>0</v>
      </c>
    </row>
    <row r="1201" spans="1:13">
      <c r="A1201" s="43" t="s">
        <v>1673</v>
      </c>
      <c r="B1201" s="43" t="s">
        <v>1136</v>
      </c>
      <c r="C1201" s="43" t="s">
        <v>1519</v>
      </c>
      <c r="D1201" s="10">
        <v>12295842</v>
      </c>
      <c r="E1201" s="43" t="s">
        <v>10</v>
      </c>
      <c r="F1201" s="8">
        <f>_xlfn.IFNA(INDEX('OSA | 3GB'!J:L,MATCH(DATA!D1201,'OSA | 3GB'!J:J,0),2),0)</f>
        <v>144</v>
      </c>
      <c r="G1201" s="8">
        <f>_xlfn.IFNA(INDEX('OSA | 3GB'!J:L,MATCH(DATA!D1201,'OSA | 3GB'!J:J,0),3),0)</f>
        <v>2170000</v>
      </c>
      <c r="H1201" s="32" t="str">
        <f>_xlfn.IFNA(INDEX('OSA | 3GB'!A:C,MATCH(DATA!D1201,'OSA | 3GB'!A:A,0),2),0)</f>
        <v xml:space="preserve"> -   </v>
      </c>
      <c r="I1201" s="33">
        <f>_xlfn.IFNA(INDEX('OSA | 3GB'!A:C,MATCH(DATA!D1201,'OSA | 3GB'!A:A,0),3),0)</f>
        <v>100000</v>
      </c>
      <c r="J1201" s="33">
        <f>INDEX('BIO WAHYU'!B:G,MATCH(DATA!D1201,'BIO WAHYU'!B:B,0),5)</f>
        <v>11</v>
      </c>
      <c r="K1201" s="34">
        <f>INDEX('BIO WAHYU'!B:G,MATCH(DATA!D1201,'BIO WAHYU'!B:B,0),6)</f>
        <v>9</v>
      </c>
      <c r="L1201" s="35">
        <f>INDEX('BIO WAHYU'!B:H,MATCH(DATA!D1201,'BIO WAHYU'!B:B,0),7)</f>
        <v>0</v>
      </c>
      <c r="M1201" s="34">
        <f>INDEX('BIO WAHYU'!B:H,MATCH(DATA!D1201,'BIO WAHYU'!B:B,0),4)</f>
        <v>0</v>
      </c>
    </row>
    <row r="1202" spans="1:13">
      <c r="A1202" s="43" t="s">
        <v>1670</v>
      </c>
      <c r="B1202" s="43" t="s">
        <v>140</v>
      </c>
      <c r="C1202" s="43" t="s">
        <v>471</v>
      </c>
      <c r="D1202" s="10">
        <v>392044</v>
      </c>
      <c r="E1202" s="43" t="s">
        <v>10</v>
      </c>
      <c r="F1202" s="8">
        <f>_xlfn.IFNA(INDEX('OSA | 3GB'!J:L,MATCH(DATA!D1202,'OSA | 3GB'!J:J,0),2),0)</f>
        <v>4</v>
      </c>
      <c r="G1202" s="8">
        <f>_xlfn.IFNA(INDEX('OSA | 3GB'!J:L,MATCH(DATA!D1202,'OSA | 3GB'!J:J,0),3),0)</f>
        <v>0</v>
      </c>
      <c r="H1202" s="32" t="str">
        <f>_xlfn.IFNA(INDEX('OSA | 3GB'!A:C,MATCH(DATA!D1202,'OSA | 3GB'!A:A,0),2),0)</f>
        <v xml:space="preserve"> -   </v>
      </c>
      <c r="I1202" s="33">
        <f>_xlfn.IFNA(INDEX('OSA | 3GB'!A:C,MATCH(DATA!D1202,'OSA | 3GB'!A:A,0),3),0)</f>
        <v>250000</v>
      </c>
      <c r="J1202" s="33">
        <f>INDEX('BIO WAHYU'!B:G,MATCH(DATA!D1202,'BIO WAHYU'!B:B,0),5)</f>
        <v>0</v>
      </c>
      <c r="K1202" s="34">
        <f>INDEX('BIO WAHYU'!B:G,MATCH(DATA!D1202,'BIO WAHYU'!B:B,0),6)</f>
        <v>4</v>
      </c>
      <c r="L1202" s="35">
        <f>INDEX('BIO WAHYU'!B:H,MATCH(DATA!D1202,'BIO WAHYU'!B:B,0),7)</f>
        <v>4</v>
      </c>
      <c r="M1202" s="34">
        <f>INDEX('BIO WAHYU'!B:H,MATCH(DATA!D1202,'BIO WAHYU'!B:B,0),4)</f>
        <v>0</v>
      </c>
    </row>
    <row r="1203" spans="1:13">
      <c r="A1203" s="43" t="s">
        <v>1672</v>
      </c>
      <c r="B1203" s="43" t="s">
        <v>157</v>
      </c>
      <c r="C1203" s="43" t="s">
        <v>1038</v>
      </c>
      <c r="D1203" s="10">
        <v>328661</v>
      </c>
      <c r="E1203" s="43" t="s">
        <v>10</v>
      </c>
      <c r="F1203" s="8">
        <f>_xlfn.IFNA(INDEX('OSA | 3GB'!J:L,MATCH(DATA!D1203,'OSA | 3GB'!J:J,0),2),0)</f>
        <v>0</v>
      </c>
      <c r="G1203" s="8">
        <f>_xlfn.IFNA(INDEX('OSA | 3GB'!J:L,MATCH(DATA!D1203,'OSA | 3GB'!J:J,0),3),0)</f>
        <v>50000</v>
      </c>
      <c r="H1203" s="32" t="str">
        <f>_xlfn.IFNA(INDEX('OSA | 3GB'!A:C,MATCH(DATA!D1203,'OSA | 3GB'!A:A,0),2),0)</f>
        <v xml:space="preserve"> -   </v>
      </c>
      <c r="I1203" s="33" t="str">
        <f>_xlfn.IFNA(INDEX('OSA | 3GB'!A:C,MATCH(DATA!D1203,'OSA | 3GB'!A:A,0),3),0)</f>
        <v xml:space="preserve"> -   </v>
      </c>
      <c r="J1203" s="33">
        <f>INDEX('BIO WAHYU'!B:G,MATCH(DATA!D1203,'BIO WAHYU'!B:B,0),5)</f>
        <v>0</v>
      </c>
      <c r="K1203" s="34">
        <f>INDEX('BIO WAHYU'!B:G,MATCH(DATA!D1203,'BIO WAHYU'!B:B,0),6)</f>
        <v>0</v>
      </c>
      <c r="L1203" s="35">
        <f>INDEX('BIO WAHYU'!B:H,MATCH(DATA!D1203,'BIO WAHYU'!B:B,0),7)</f>
        <v>0</v>
      </c>
      <c r="M1203" s="34">
        <f>INDEX('BIO WAHYU'!B:H,MATCH(DATA!D1203,'BIO WAHYU'!B:B,0),4)</f>
        <v>0</v>
      </c>
    </row>
    <row r="1204" spans="1:13">
      <c r="A1204" s="43" t="s">
        <v>1674</v>
      </c>
      <c r="B1204" s="43" t="s">
        <v>152</v>
      </c>
      <c r="C1204" s="43" t="s">
        <v>669</v>
      </c>
      <c r="D1204" s="10">
        <v>342246</v>
      </c>
      <c r="E1204" s="43" t="s">
        <v>10</v>
      </c>
      <c r="F1204" s="8">
        <f>_xlfn.IFNA(INDEX('OSA | 3GB'!J:L,MATCH(DATA!D1204,'OSA | 3GB'!J:J,0),2),0)</f>
        <v>9</v>
      </c>
      <c r="G1204" s="8">
        <f>_xlfn.IFNA(INDEX('OSA | 3GB'!J:L,MATCH(DATA!D1204,'OSA | 3GB'!J:J,0),3),0)</f>
        <v>1450000</v>
      </c>
      <c r="H1204" s="32" t="str">
        <f>_xlfn.IFNA(INDEX('OSA | 3GB'!A:C,MATCH(DATA!D1204,'OSA | 3GB'!A:A,0),2),0)</f>
        <v xml:space="preserve"> -   </v>
      </c>
      <c r="I1204" s="33" t="str">
        <f>_xlfn.IFNA(INDEX('OSA | 3GB'!A:C,MATCH(DATA!D1204,'OSA | 3GB'!A:A,0),3),0)</f>
        <v xml:space="preserve"> -   </v>
      </c>
      <c r="J1204" s="33">
        <f>INDEX('BIO WAHYU'!B:G,MATCH(DATA!D1204,'BIO WAHYU'!B:B,0),5)</f>
        <v>10</v>
      </c>
      <c r="K1204" s="34">
        <f>INDEX('BIO WAHYU'!B:G,MATCH(DATA!D1204,'BIO WAHYU'!B:B,0),6)</f>
        <v>9</v>
      </c>
      <c r="L1204" s="35">
        <f>INDEX('BIO WAHYU'!B:H,MATCH(DATA!D1204,'BIO WAHYU'!B:B,0),7)</f>
        <v>0</v>
      </c>
      <c r="M1204" s="34">
        <f>INDEX('BIO WAHYU'!B:H,MATCH(DATA!D1204,'BIO WAHYU'!B:B,0),4)</f>
        <v>0</v>
      </c>
    </row>
    <row r="1205" spans="1:13">
      <c r="A1205" s="43" t="s">
        <v>1675</v>
      </c>
      <c r="B1205" s="43" t="s">
        <v>136</v>
      </c>
      <c r="C1205" s="43" t="s">
        <v>1272</v>
      </c>
      <c r="D1205" s="10">
        <v>63886</v>
      </c>
      <c r="E1205" s="43" t="s">
        <v>10</v>
      </c>
      <c r="F1205" s="8">
        <f>_xlfn.IFNA(INDEX('OSA | 3GB'!J:L,MATCH(DATA!D1205,'OSA | 3GB'!J:J,0),2),0)</f>
        <v>5</v>
      </c>
      <c r="G1205" s="8">
        <f>_xlfn.IFNA(INDEX('OSA | 3GB'!J:L,MATCH(DATA!D1205,'OSA | 3GB'!J:J,0),3),0)</f>
        <v>1700000</v>
      </c>
      <c r="H1205" s="32" t="str">
        <f>_xlfn.IFNA(INDEX('OSA | 3GB'!A:C,MATCH(DATA!D1205,'OSA | 3GB'!A:A,0),2),0)</f>
        <v xml:space="preserve"> -   </v>
      </c>
      <c r="I1205" s="33">
        <f>_xlfn.IFNA(INDEX('OSA | 3GB'!A:C,MATCH(DATA!D1205,'OSA | 3GB'!A:A,0),3),0)</f>
        <v>800000</v>
      </c>
      <c r="J1205" s="33">
        <f>INDEX('BIO WAHYU'!B:G,MATCH(DATA!D1205,'BIO WAHYU'!B:B,0),5)</f>
        <v>1</v>
      </c>
      <c r="K1205" s="34">
        <f>INDEX('BIO WAHYU'!B:G,MATCH(DATA!D1205,'BIO WAHYU'!B:B,0),6)</f>
        <v>0</v>
      </c>
      <c r="L1205" s="35">
        <f>INDEX('BIO WAHYU'!B:H,MATCH(DATA!D1205,'BIO WAHYU'!B:B,0),7)</f>
        <v>0</v>
      </c>
      <c r="M1205" s="34">
        <f>INDEX('BIO WAHYU'!B:H,MATCH(DATA!D1205,'BIO WAHYU'!B:B,0),4)</f>
        <v>0</v>
      </c>
    </row>
    <row r="1206" spans="1:13">
      <c r="A1206" s="43" t="s">
        <v>1671</v>
      </c>
      <c r="B1206" s="43" t="s">
        <v>142</v>
      </c>
      <c r="C1206" s="43" t="s">
        <v>1520</v>
      </c>
      <c r="D1206" s="10">
        <v>538731</v>
      </c>
      <c r="E1206" s="43" t="s">
        <v>10</v>
      </c>
      <c r="F1206" s="8">
        <f>_xlfn.IFNA(INDEX('OSA | 3GB'!J:L,MATCH(DATA!D1206,'OSA | 3GB'!J:J,0),2),0)</f>
        <v>11</v>
      </c>
      <c r="G1206" s="8">
        <f>_xlfn.IFNA(INDEX('OSA | 3GB'!J:L,MATCH(DATA!D1206,'OSA | 3GB'!J:J,0),3),0)</f>
        <v>5879000</v>
      </c>
      <c r="H1206" s="32" t="str">
        <f>_xlfn.IFNA(INDEX('OSA | 3GB'!A:C,MATCH(DATA!D1206,'OSA | 3GB'!A:A,0),2),0)</f>
        <v xml:space="preserve"> -   </v>
      </c>
      <c r="I1206" s="33">
        <f>_xlfn.IFNA(INDEX('OSA | 3GB'!A:C,MATCH(DATA!D1206,'OSA | 3GB'!A:A,0),3),0)</f>
        <v>2400000</v>
      </c>
      <c r="J1206" s="33">
        <f>INDEX('BIO WAHYU'!B:G,MATCH(DATA!D1206,'BIO WAHYU'!B:B,0),5)</f>
        <v>12</v>
      </c>
      <c r="K1206" s="34">
        <f>INDEX('BIO WAHYU'!B:G,MATCH(DATA!D1206,'BIO WAHYU'!B:B,0),6)</f>
        <v>5</v>
      </c>
      <c r="L1206" s="35">
        <f>INDEX('BIO WAHYU'!B:H,MATCH(DATA!D1206,'BIO WAHYU'!B:B,0),7)</f>
        <v>0</v>
      </c>
      <c r="M1206" s="34">
        <f>INDEX('BIO WAHYU'!B:H,MATCH(DATA!D1206,'BIO WAHYU'!B:B,0),4)</f>
        <v>0</v>
      </c>
    </row>
    <row r="1207" spans="1:13">
      <c r="A1207" s="43" t="s">
        <v>1674</v>
      </c>
      <c r="B1207" s="43" t="s">
        <v>154</v>
      </c>
      <c r="C1207" s="43" t="s">
        <v>751</v>
      </c>
      <c r="D1207" s="10">
        <v>530400</v>
      </c>
      <c r="E1207" s="43" t="s">
        <v>10</v>
      </c>
      <c r="F1207" s="8">
        <f>_xlfn.IFNA(INDEX('OSA | 3GB'!J:L,MATCH(DATA!D1207,'OSA | 3GB'!J:J,0),2),0)</f>
        <v>3</v>
      </c>
      <c r="G1207" s="8">
        <f>_xlfn.IFNA(INDEX('OSA | 3GB'!J:L,MATCH(DATA!D1207,'OSA | 3GB'!J:J,0),3),0)</f>
        <v>1500000</v>
      </c>
      <c r="H1207" s="32" t="str">
        <f>_xlfn.IFNA(INDEX('OSA | 3GB'!A:C,MATCH(DATA!D1207,'OSA | 3GB'!A:A,0),2),0)</f>
        <v xml:space="preserve"> -   </v>
      </c>
      <c r="I1207" s="33">
        <f>_xlfn.IFNA(INDEX('OSA | 3GB'!A:C,MATCH(DATA!D1207,'OSA | 3GB'!A:A,0),3),0)</f>
        <v>407000</v>
      </c>
      <c r="J1207" s="33">
        <f>INDEX('BIO WAHYU'!B:G,MATCH(DATA!D1207,'BIO WAHYU'!B:B,0),5)</f>
        <v>1</v>
      </c>
      <c r="K1207" s="34">
        <f>INDEX('BIO WAHYU'!B:G,MATCH(DATA!D1207,'BIO WAHYU'!B:B,0),6)</f>
        <v>0</v>
      </c>
      <c r="L1207" s="35">
        <f>INDEX('BIO WAHYU'!B:H,MATCH(DATA!D1207,'BIO WAHYU'!B:B,0),7)</f>
        <v>0</v>
      </c>
      <c r="M1207" s="34">
        <f>INDEX('BIO WAHYU'!B:H,MATCH(DATA!D1207,'BIO WAHYU'!B:B,0),4)</f>
        <v>0</v>
      </c>
    </row>
    <row r="1208" spans="1:13">
      <c r="A1208" s="43" t="s">
        <v>1673</v>
      </c>
      <c r="B1208" s="43" t="s">
        <v>144</v>
      </c>
      <c r="C1208" s="43" t="s">
        <v>1521</v>
      </c>
      <c r="D1208" s="10">
        <v>2845</v>
      </c>
      <c r="E1208" s="43" t="s">
        <v>10</v>
      </c>
      <c r="F1208" s="8">
        <f>_xlfn.IFNA(INDEX('OSA | 3GB'!J:L,MATCH(DATA!D1208,'OSA | 3GB'!J:J,0),2),0)</f>
        <v>19</v>
      </c>
      <c r="G1208" s="8">
        <f>_xlfn.IFNA(INDEX('OSA | 3GB'!J:L,MATCH(DATA!D1208,'OSA | 3GB'!J:J,0),3),0)</f>
        <v>1900000</v>
      </c>
      <c r="H1208" s="32" t="str">
        <f>_xlfn.IFNA(INDEX('OSA | 3GB'!A:C,MATCH(DATA!D1208,'OSA | 3GB'!A:A,0),2),0)</f>
        <v xml:space="preserve"> -   </v>
      </c>
      <c r="I1208" s="33">
        <f>_xlfn.IFNA(INDEX('OSA | 3GB'!A:C,MATCH(DATA!D1208,'OSA | 3GB'!A:A,0),3),0)</f>
        <v>1000000</v>
      </c>
      <c r="J1208" s="33">
        <f>INDEX('BIO WAHYU'!B:G,MATCH(DATA!D1208,'BIO WAHYU'!B:B,0),5)</f>
        <v>1</v>
      </c>
      <c r="K1208" s="34">
        <f>INDEX('BIO WAHYU'!B:G,MATCH(DATA!D1208,'BIO WAHYU'!B:B,0),6)</f>
        <v>1</v>
      </c>
      <c r="L1208" s="35">
        <f>INDEX('BIO WAHYU'!B:H,MATCH(DATA!D1208,'BIO WAHYU'!B:B,0),7)</f>
        <v>0</v>
      </c>
      <c r="M1208" s="34">
        <f>INDEX('BIO WAHYU'!B:H,MATCH(DATA!D1208,'BIO WAHYU'!B:B,0),4)</f>
        <v>0</v>
      </c>
    </row>
    <row r="1209" spans="1:13">
      <c r="A1209" s="43" t="s">
        <v>1674</v>
      </c>
      <c r="B1209" s="43" t="s">
        <v>154</v>
      </c>
      <c r="C1209" s="43" t="s">
        <v>1522</v>
      </c>
      <c r="D1209" s="10">
        <v>579774</v>
      </c>
      <c r="E1209" s="43" t="s">
        <v>10</v>
      </c>
      <c r="F1209" s="8">
        <f>_xlfn.IFNA(INDEX('OSA | 3GB'!J:L,MATCH(DATA!D1209,'OSA | 3GB'!J:J,0),2),0)</f>
        <v>0</v>
      </c>
      <c r="G1209" s="8">
        <f>_xlfn.IFNA(INDEX('OSA | 3GB'!J:L,MATCH(DATA!D1209,'OSA | 3GB'!J:J,0),3),0)</f>
        <v>0</v>
      </c>
      <c r="H1209" s="32" t="str">
        <f>_xlfn.IFNA(INDEX('OSA | 3GB'!A:C,MATCH(DATA!D1209,'OSA | 3GB'!A:A,0),2),0)</f>
        <v xml:space="preserve"> -   </v>
      </c>
      <c r="I1209" s="33" t="str">
        <f>_xlfn.IFNA(INDEX('OSA | 3GB'!A:C,MATCH(DATA!D1209,'OSA | 3GB'!A:A,0),3),0)</f>
        <v xml:space="preserve"> -   </v>
      </c>
      <c r="J1209" s="33">
        <f>INDEX('BIO WAHYU'!B:G,MATCH(DATA!D1209,'BIO WAHYU'!B:B,0),5)</f>
        <v>0</v>
      </c>
      <c r="K1209" s="34">
        <f>INDEX('BIO WAHYU'!B:G,MATCH(DATA!D1209,'BIO WAHYU'!B:B,0),6)</f>
        <v>0</v>
      </c>
      <c r="L1209" s="35">
        <f>INDEX('BIO WAHYU'!B:H,MATCH(DATA!D1209,'BIO WAHYU'!B:B,0),7)</f>
        <v>0</v>
      </c>
      <c r="M1209" s="34">
        <f>INDEX('BIO WAHYU'!B:H,MATCH(DATA!D1209,'BIO WAHYU'!B:B,0),4)</f>
        <v>0</v>
      </c>
    </row>
    <row r="1210" spans="1:13">
      <c r="A1210" s="43" t="s">
        <v>1673</v>
      </c>
      <c r="B1210" s="43" t="s">
        <v>143</v>
      </c>
      <c r="C1210" s="43" t="s">
        <v>275</v>
      </c>
      <c r="D1210" s="10">
        <v>570685</v>
      </c>
      <c r="E1210" s="43" t="s">
        <v>10</v>
      </c>
      <c r="F1210" s="8">
        <f>_xlfn.IFNA(INDEX('OSA | 3GB'!J:L,MATCH(DATA!D1210,'OSA | 3GB'!J:J,0),2),0)</f>
        <v>3</v>
      </c>
      <c r="G1210" s="8">
        <f>_xlfn.IFNA(INDEX('OSA | 3GB'!J:L,MATCH(DATA!D1210,'OSA | 3GB'!J:J,0),3),0)</f>
        <v>1158000</v>
      </c>
      <c r="H1210" s="32">
        <f>_xlfn.IFNA(INDEX('OSA | 3GB'!A:C,MATCH(DATA!D1210,'OSA | 3GB'!A:A,0),2),0)</f>
        <v>2</v>
      </c>
      <c r="I1210" s="33">
        <f>_xlfn.IFNA(INDEX('OSA | 3GB'!A:C,MATCH(DATA!D1210,'OSA | 3GB'!A:A,0),3),0)</f>
        <v>600000</v>
      </c>
      <c r="J1210" s="33">
        <f>INDEX('BIO WAHYU'!B:G,MATCH(DATA!D1210,'BIO WAHYU'!B:B,0),5)</f>
        <v>2</v>
      </c>
      <c r="K1210" s="34">
        <f>INDEX('BIO WAHYU'!B:G,MATCH(DATA!D1210,'BIO WAHYU'!B:B,0),6)</f>
        <v>1</v>
      </c>
      <c r="L1210" s="35">
        <f>INDEX('BIO WAHYU'!B:H,MATCH(DATA!D1210,'BIO WAHYU'!B:B,0),7)</f>
        <v>0</v>
      </c>
      <c r="M1210" s="34">
        <f>INDEX('BIO WAHYU'!B:H,MATCH(DATA!D1210,'BIO WAHYU'!B:B,0),4)</f>
        <v>0</v>
      </c>
    </row>
    <row r="1211" spans="1:13">
      <c r="A1211" s="43" t="s">
        <v>1673</v>
      </c>
      <c r="B1211" s="43" t="s">
        <v>158</v>
      </c>
      <c r="C1211" s="43" t="s">
        <v>1523</v>
      </c>
      <c r="D1211" s="10">
        <v>540514</v>
      </c>
      <c r="E1211" s="43" t="s">
        <v>15</v>
      </c>
      <c r="F1211" s="8">
        <f>_xlfn.IFNA(INDEX('OSA | 3GB'!J:L,MATCH(DATA!D1211,'OSA | 3GB'!J:J,0),2),0)</f>
        <v>103</v>
      </c>
      <c r="G1211" s="8">
        <f>_xlfn.IFNA(INDEX('OSA | 3GB'!J:L,MATCH(DATA!D1211,'OSA | 3GB'!J:J,0),3),0)</f>
        <v>903000</v>
      </c>
      <c r="H1211" s="32" t="str">
        <f>_xlfn.IFNA(INDEX('OSA | 3GB'!A:C,MATCH(DATA!D1211,'OSA | 3GB'!A:A,0),2),0)</f>
        <v xml:space="preserve"> -   </v>
      </c>
      <c r="I1211" s="33">
        <f>_xlfn.IFNA(INDEX('OSA | 3GB'!A:C,MATCH(DATA!D1211,'OSA | 3GB'!A:A,0),3),0)</f>
        <v>170000</v>
      </c>
      <c r="J1211" s="33">
        <f>INDEX('BIO WAHYU'!B:G,MATCH(DATA!D1211,'BIO WAHYU'!B:B,0),5)</f>
        <v>5</v>
      </c>
      <c r="K1211" s="34">
        <f>INDEX('BIO WAHYU'!B:G,MATCH(DATA!D1211,'BIO WAHYU'!B:B,0),6)</f>
        <v>0</v>
      </c>
      <c r="L1211" s="35">
        <f>INDEX('BIO WAHYU'!B:H,MATCH(DATA!D1211,'BIO WAHYU'!B:B,0),7)</f>
        <v>0</v>
      </c>
      <c r="M1211" s="34">
        <f>INDEX('BIO WAHYU'!B:H,MATCH(DATA!D1211,'BIO WAHYU'!B:B,0),4)</f>
        <v>0</v>
      </c>
    </row>
    <row r="1212" spans="1:13">
      <c r="A1212" s="43" t="s">
        <v>1674</v>
      </c>
      <c r="B1212" s="43">
        <v>2613052222</v>
      </c>
      <c r="C1212" s="43" t="s">
        <v>690</v>
      </c>
      <c r="D1212" s="10">
        <v>237458</v>
      </c>
      <c r="E1212" s="43" t="s">
        <v>10</v>
      </c>
      <c r="F1212" s="8">
        <f>_xlfn.IFNA(INDEX('OSA | 3GB'!J:L,MATCH(DATA!D1212,'OSA | 3GB'!J:J,0),2),0)</f>
        <v>3</v>
      </c>
      <c r="G1212" s="8">
        <f>_xlfn.IFNA(INDEX('OSA | 3GB'!J:L,MATCH(DATA!D1212,'OSA | 3GB'!J:J,0),3),0)</f>
        <v>7150000</v>
      </c>
      <c r="H1212" s="32" t="str">
        <f>_xlfn.IFNA(INDEX('OSA | 3GB'!A:C,MATCH(DATA!D1212,'OSA | 3GB'!A:A,0),2),0)</f>
        <v xml:space="preserve"> -   </v>
      </c>
      <c r="I1212" s="33">
        <f>_xlfn.IFNA(INDEX('OSA | 3GB'!A:C,MATCH(DATA!D1212,'OSA | 3GB'!A:A,0),3),0)</f>
        <v>2050000</v>
      </c>
      <c r="J1212" s="33">
        <f>INDEX('BIO WAHYU'!B:G,MATCH(DATA!D1212,'BIO WAHYU'!B:B,0),5)</f>
        <v>9</v>
      </c>
      <c r="K1212" s="34">
        <f>INDEX('BIO WAHYU'!B:G,MATCH(DATA!D1212,'BIO WAHYU'!B:B,0),6)</f>
        <v>2</v>
      </c>
      <c r="L1212" s="35">
        <f>INDEX('BIO WAHYU'!B:H,MATCH(DATA!D1212,'BIO WAHYU'!B:B,0),7)</f>
        <v>0</v>
      </c>
      <c r="M1212" s="34">
        <f>INDEX('BIO WAHYU'!B:H,MATCH(DATA!D1212,'BIO WAHYU'!B:B,0),4)</f>
        <v>0</v>
      </c>
    </row>
    <row r="1213" spans="1:13">
      <c r="A1213" s="43" t="s">
        <v>1674</v>
      </c>
      <c r="B1213" s="43" t="s">
        <v>153</v>
      </c>
      <c r="C1213" s="43" t="s">
        <v>716</v>
      </c>
      <c r="D1213" s="10">
        <v>229775</v>
      </c>
      <c r="E1213" s="43" t="s">
        <v>10</v>
      </c>
      <c r="F1213" s="8">
        <f>_xlfn.IFNA(INDEX('OSA | 3GB'!J:L,MATCH(DATA!D1213,'OSA | 3GB'!J:J,0),2),0)</f>
        <v>5</v>
      </c>
      <c r="G1213" s="8">
        <f>_xlfn.IFNA(INDEX('OSA | 3GB'!J:L,MATCH(DATA!D1213,'OSA | 3GB'!J:J,0),3),0)</f>
        <v>3237000</v>
      </c>
      <c r="H1213" s="32" t="str">
        <f>_xlfn.IFNA(INDEX('OSA | 3GB'!A:C,MATCH(DATA!D1213,'OSA | 3GB'!A:A,0),2),0)</f>
        <v xml:space="preserve"> -   </v>
      </c>
      <c r="I1213" s="33">
        <f>_xlfn.IFNA(INDEX('OSA | 3GB'!A:C,MATCH(DATA!D1213,'OSA | 3GB'!A:A,0),3),0)</f>
        <v>200000</v>
      </c>
      <c r="J1213" s="33">
        <f>INDEX('BIO WAHYU'!B:G,MATCH(DATA!D1213,'BIO WAHYU'!B:B,0),5)</f>
        <v>3</v>
      </c>
      <c r="K1213" s="34">
        <f>INDEX('BIO WAHYU'!B:G,MATCH(DATA!D1213,'BIO WAHYU'!B:B,0),6)</f>
        <v>3</v>
      </c>
      <c r="L1213" s="35">
        <f>INDEX('BIO WAHYU'!B:H,MATCH(DATA!D1213,'BIO WAHYU'!B:B,0),7)</f>
        <v>0</v>
      </c>
      <c r="M1213" s="34">
        <f>INDEX('BIO WAHYU'!B:H,MATCH(DATA!D1213,'BIO WAHYU'!B:B,0),4)</f>
        <v>0</v>
      </c>
    </row>
    <row r="1214" spans="1:13">
      <c r="A1214" s="43" t="s">
        <v>1673</v>
      </c>
      <c r="B1214" s="43" t="s">
        <v>141</v>
      </c>
      <c r="C1214" s="43" t="s">
        <v>189</v>
      </c>
      <c r="D1214" s="10">
        <v>12319319</v>
      </c>
      <c r="E1214" s="43" t="s">
        <v>10</v>
      </c>
      <c r="F1214" s="8">
        <f>_xlfn.IFNA(INDEX('OSA | 3GB'!J:L,MATCH(DATA!D1214,'OSA | 3GB'!J:J,0),2),0)</f>
        <v>3</v>
      </c>
      <c r="G1214" s="8">
        <f>_xlfn.IFNA(INDEX('OSA | 3GB'!J:L,MATCH(DATA!D1214,'OSA | 3GB'!J:J,0),3),0)</f>
        <v>0</v>
      </c>
      <c r="H1214" s="32" t="str">
        <f>_xlfn.IFNA(INDEX('OSA | 3GB'!A:C,MATCH(DATA!D1214,'OSA | 3GB'!A:A,0),2),0)</f>
        <v xml:space="preserve"> -   </v>
      </c>
      <c r="I1214" s="33" t="str">
        <f>_xlfn.IFNA(INDEX('OSA | 3GB'!A:C,MATCH(DATA!D1214,'OSA | 3GB'!A:A,0),3),0)</f>
        <v xml:space="preserve"> -   </v>
      </c>
      <c r="J1214" s="33">
        <f>INDEX('BIO WAHYU'!B:G,MATCH(DATA!D1214,'BIO WAHYU'!B:B,0),5)</f>
        <v>1</v>
      </c>
      <c r="K1214" s="34">
        <f>INDEX('BIO WAHYU'!B:G,MATCH(DATA!D1214,'BIO WAHYU'!B:B,0),6)</f>
        <v>0</v>
      </c>
      <c r="L1214" s="35">
        <f>INDEX('BIO WAHYU'!B:H,MATCH(DATA!D1214,'BIO WAHYU'!B:B,0),7)</f>
        <v>0</v>
      </c>
      <c r="M1214" s="34">
        <f>INDEX('BIO WAHYU'!B:H,MATCH(DATA!D1214,'BIO WAHYU'!B:B,0),4)</f>
        <v>0</v>
      </c>
    </row>
    <row r="1215" spans="1:13">
      <c r="A1215" s="43" t="s">
        <v>1672</v>
      </c>
      <c r="B1215" s="43" t="s">
        <v>150</v>
      </c>
      <c r="C1215" s="43" t="s">
        <v>809</v>
      </c>
      <c r="D1215" s="10">
        <v>12325132</v>
      </c>
      <c r="E1215" s="43" t="s">
        <v>10</v>
      </c>
      <c r="F1215" s="8">
        <f>_xlfn.IFNA(INDEX('OSA | 3GB'!J:L,MATCH(DATA!D1215,'OSA | 3GB'!J:J,0),2),0)</f>
        <v>4</v>
      </c>
      <c r="G1215" s="8">
        <f>_xlfn.IFNA(INDEX('OSA | 3GB'!J:L,MATCH(DATA!D1215,'OSA | 3GB'!J:J,0),3),0)</f>
        <v>1200000</v>
      </c>
      <c r="H1215" s="32" t="str">
        <f>_xlfn.IFNA(INDEX('OSA | 3GB'!A:C,MATCH(DATA!D1215,'OSA | 3GB'!A:A,0),2),0)</f>
        <v xml:space="preserve"> -   </v>
      </c>
      <c r="I1215" s="33">
        <f>_xlfn.IFNA(INDEX('OSA | 3GB'!A:C,MATCH(DATA!D1215,'OSA | 3GB'!A:A,0),3),0)</f>
        <v>300000</v>
      </c>
      <c r="J1215" s="33">
        <f>INDEX('BIO WAHYU'!B:G,MATCH(DATA!D1215,'BIO WAHYU'!B:B,0),5)</f>
        <v>2</v>
      </c>
      <c r="K1215" s="34">
        <f>INDEX('BIO WAHYU'!B:G,MATCH(DATA!D1215,'BIO WAHYU'!B:B,0),6)</f>
        <v>0</v>
      </c>
      <c r="L1215" s="35">
        <f>INDEX('BIO WAHYU'!B:H,MATCH(DATA!D1215,'BIO WAHYU'!B:B,0),7)</f>
        <v>0</v>
      </c>
      <c r="M1215" s="34">
        <f>INDEX('BIO WAHYU'!B:H,MATCH(DATA!D1215,'BIO WAHYU'!B:B,0),4)</f>
        <v>0</v>
      </c>
    </row>
    <row r="1216" spans="1:13">
      <c r="A1216" s="43" t="s">
        <v>1</v>
      </c>
      <c r="B1216" s="43" t="s">
        <v>5</v>
      </c>
      <c r="C1216" s="43" t="s">
        <v>111</v>
      </c>
      <c r="D1216" s="10">
        <v>569298</v>
      </c>
      <c r="E1216" s="43" t="s">
        <v>10</v>
      </c>
      <c r="F1216" s="8">
        <f>_xlfn.IFNA(INDEX('OSA | 3GB'!J:L,MATCH(DATA!D1216,'OSA | 3GB'!J:J,0),2),0)</f>
        <v>5</v>
      </c>
      <c r="G1216" s="8">
        <f>_xlfn.IFNA(INDEX('OSA | 3GB'!J:L,MATCH(DATA!D1216,'OSA | 3GB'!J:J,0),3),0)</f>
        <v>116000</v>
      </c>
      <c r="H1216" s="32">
        <f>_xlfn.IFNA(INDEX('OSA | 3GB'!A:C,MATCH(DATA!D1216,'OSA | 3GB'!A:A,0),2),0)</f>
        <v>24</v>
      </c>
      <c r="I1216" s="33">
        <f>_xlfn.IFNA(INDEX('OSA | 3GB'!A:C,MATCH(DATA!D1216,'OSA | 3GB'!A:A,0),3),0)</f>
        <v>13000000</v>
      </c>
      <c r="J1216" s="33">
        <f>INDEX('BIO WAHYU'!B:G,MATCH(DATA!D1216,'BIO WAHYU'!B:B,0),5)</f>
        <v>3</v>
      </c>
      <c r="K1216" s="34">
        <f>INDEX('BIO WAHYU'!B:G,MATCH(DATA!D1216,'BIO WAHYU'!B:B,0),6)</f>
        <v>5</v>
      </c>
      <c r="L1216" s="35">
        <f>INDEX('BIO WAHYU'!B:H,MATCH(DATA!D1216,'BIO WAHYU'!B:B,0),7)</f>
        <v>2</v>
      </c>
      <c r="M1216" s="34">
        <f>INDEX('BIO WAHYU'!B:H,MATCH(DATA!D1216,'BIO WAHYU'!B:B,0),4)</f>
        <v>0</v>
      </c>
    </row>
    <row r="1217" spans="1:13">
      <c r="A1217" s="43" t="s">
        <v>1670</v>
      </c>
      <c r="B1217" s="43" t="s">
        <v>140</v>
      </c>
      <c r="C1217" s="43" t="s">
        <v>473</v>
      </c>
      <c r="D1217" s="10">
        <v>408081</v>
      </c>
      <c r="E1217" s="43" t="s">
        <v>10</v>
      </c>
      <c r="F1217" s="8">
        <f>_xlfn.IFNA(INDEX('OSA | 3GB'!J:L,MATCH(DATA!D1217,'OSA | 3GB'!J:J,0),2),0)</f>
        <v>0</v>
      </c>
      <c r="G1217" s="8">
        <f>_xlfn.IFNA(INDEX('OSA | 3GB'!J:L,MATCH(DATA!D1217,'OSA | 3GB'!J:J,0),3),0)</f>
        <v>1800000</v>
      </c>
      <c r="H1217" s="32" t="str">
        <f>_xlfn.IFNA(INDEX('OSA | 3GB'!A:C,MATCH(DATA!D1217,'OSA | 3GB'!A:A,0),2),0)</f>
        <v xml:space="preserve"> -   </v>
      </c>
      <c r="I1217" s="33">
        <f>_xlfn.IFNA(INDEX('OSA | 3GB'!A:C,MATCH(DATA!D1217,'OSA | 3GB'!A:A,0),3),0)</f>
        <v>300000</v>
      </c>
      <c r="J1217" s="33">
        <f>INDEX('BIO WAHYU'!B:G,MATCH(DATA!D1217,'BIO WAHYU'!B:B,0),5)</f>
        <v>1</v>
      </c>
      <c r="K1217" s="34">
        <f>INDEX('BIO WAHYU'!B:G,MATCH(DATA!D1217,'BIO WAHYU'!B:B,0),6)</f>
        <v>0</v>
      </c>
      <c r="L1217" s="35">
        <f>INDEX('BIO WAHYU'!B:H,MATCH(DATA!D1217,'BIO WAHYU'!B:B,0),7)</f>
        <v>0</v>
      </c>
      <c r="M1217" s="34">
        <f>INDEX('BIO WAHYU'!B:H,MATCH(DATA!D1217,'BIO WAHYU'!B:B,0),4)</f>
        <v>0</v>
      </c>
    </row>
    <row r="1218" spans="1:13">
      <c r="A1218" s="43" t="s">
        <v>1673</v>
      </c>
      <c r="B1218" s="43" t="s">
        <v>143</v>
      </c>
      <c r="C1218" s="43" t="s">
        <v>1154</v>
      </c>
      <c r="D1218" s="10">
        <v>545397</v>
      </c>
      <c r="E1218" s="43" t="s">
        <v>10</v>
      </c>
      <c r="F1218" s="8">
        <f>_xlfn.IFNA(INDEX('OSA | 3GB'!J:L,MATCH(DATA!D1218,'OSA | 3GB'!J:J,0),2),0)</f>
        <v>3</v>
      </c>
      <c r="G1218" s="8">
        <f>_xlfn.IFNA(INDEX('OSA | 3GB'!J:L,MATCH(DATA!D1218,'OSA | 3GB'!J:J,0),3),0)</f>
        <v>1225000</v>
      </c>
      <c r="H1218" s="32" t="str">
        <f>_xlfn.IFNA(INDEX('OSA | 3GB'!A:C,MATCH(DATA!D1218,'OSA | 3GB'!A:A,0),2),0)</f>
        <v xml:space="preserve"> -   </v>
      </c>
      <c r="I1218" s="33">
        <f>_xlfn.IFNA(INDEX('OSA | 3GB'!A:C,MATCH(DATA!D1218,'OSA | 3GB'!A:A,0),3),0)</f>
        <v>1000000</v>
      </c>
      <c r="J1218" s="33">
        <f>INDEX('BIO WAHYU'!B:G,MATCH(DATA!D1218,'BIO WAHYU'!B:B,0),5)</f>
        <v>3</v>
      </c>
      <c r="K1218" s="34">
        <f>INDEX('BIO WAHYU'!B:G,MATCH(DATA!D1218,'BIO WAHYU'!B:B,0),6)</f>
        <v>0</v>
      </c>
      <c r="L1218" s="35">
        <f>INDEX('BIO WAHYU'!B:H,MATCH(DATA!D1218,'BIO WAHYU'!B:B,0),7)</f>
        <v>0</v>
      </c>
      <c r="M1218" s="34">
        <f>INDEX('BIO WAHYU'!B:H,MATCH(DATA!D1218,'BIO WAHYU'!B:B,0),4)</f>
        <v>0</v>
      </c>
    </row>
    <row r="1219" spans="1:13">
      <c r="A1219" s="43" t="s">
        <v>1670</v>
      </c>
      <c r="B1219" s="43">
        <v>2613051412</v>
      </c>
      <c r="C1219" s="43" t="s">
        <v>1524</v>
      </c>
      <c r="D1219" s="10">
        <v>407415</v>
      </c>
      <c r="E1219" s="43" t="s">
        <v>10</v>
      </c>
      <c r="F1219" s="8">
        <f>_xlfn.IFNA(INDEX('OSA | 3GB'!J:L,MATCH(DATA!D1219,'OSA | 3GB'!J:J,0),2),0)</f>
        <v>3</v>
      </c>
      <c r="G1219" s="8">
        <f>_xlfn.IFNA(INDEX('OSA | 3GB'!J:L,MATCH(DATA!D1219,'OSA | 3GB'!J:J,0),3),0)</f>
        <v>6485000</v>
      </c>
      <c r="H1219" s="32">
        <f>_xlfn.IFNA(INDEX('OSA | 3GB'!A:C,MATCH(DATA!D1219,'OSA | 3GB'!A:A,0),2),0)</f>
        <v>3</v>
      </c>
      <c r="I1219" s="33">
        <f>_xlfn.IFNA(INDEX('OSA | 3GB'!A:C,MATCH(DATA!D1219,'OSA | 3GB'!A:A,0),3),0)</f>
        <v>1000000</v>
      </c>
      <c r="J1219" s="33">
        <f>INDEX('BIO WAHYU'!B:G,MATCH(DATA!D1219,'BIO WAHYU'!B:B,0),5)</f>
        <v>3</v>
      </c>
      <c r="K1219" s="34">
        <f>INDEX('BIO WAHYU'!B:G,MATCH(DATA!D1219,'BIO WAHYU'!B:B,0),6)</f>
        <v>1</v>
      </c>
      <c r="L1219" s="35">
        <f>INDEX('BIO WAHYU'!B:H,MATCH(DATA!D1219,'BIO WAHYU'!B:B,0),7)</f>
        <v>0</v>
      </c>
      <c r="M1219" s="34">
        <f>INDEX('BIO WAHYU'!B:H,MATCH(DATA!D1219,'BIO WAHYU'!B:B,0),4)</f>
        <v>0</v>
      </c>
    </row>
    <row r="1220" spans="1:13">
      <c r="A1220" s="43" t="s">
        <v>1</v>
      </c>
      <c r="B1220" s="43" t="s">
        <v>4</v>
      </c>
      <c r="C1220" s="43" t="s">
        <v>1113</v>
      </c>
      <c r="D1220" s="10">
        <v>199217</v>
      </c>
      <c r="E1220" s="43" t="s">
        <v>10</v>
      </c>
      <c r="F1220" s="8">
        <f>_xlfn.IFNA(INDEX('OSA | 3GB'!J:L,MATCH(DATA!D1220,'OSA | 3GB'!J:J,0),2),0)</f>
        <v>17</v>
      </c>
      <c r="G1220" s="8">
        <f>_xlfn.IFNA(INDEX('OSA | 3GB'!J:L,MATCH(DATA!D1220,'OSA | 3GB'!J:J,0),3),0)</f>
        <v>5699000</v>
      </c>
      <c r="H1220" s="32">
        <f>_xlfn.IFNA(INDEX('OSA | 3GB'!A:C,MATCH(DATA!D1220,'OSA | 3GB'!A:A,0),2),0)</f>
        <v>12</v>
      </c>
      <c r="I1220" s="33">
        <f>_xlfn.IFNA(INDEX('OSA | 3GB'!A:C,MATCH(DATA!D1220,'OSA | 3GB'!A:A,0),3),0)</f>
        <v>779000</v>
      </c>
      <c r="J1220" s="33">
        <f>INDEX('BIO WAHYU'!B:G,MATCH(DATA!D1220,'BIO WAHYU'!B:B,0),5)</f>
        <v>9</v>
      </c>
      <c r="K1220" s="34">
        <f>INDEX('BIO WAHYU'!B:G,MATCH(DATA!D1220,'BIO WAHYU'!B:B,0),6)</f>
        <v>13</v>
      </c>
      <c r="L1220" s="35">
        <f>INDEX('BIO WAHYU'!B:H,MATCH(DATA!D1220,'BIO WAHYU'!B:B,0),7)</f>
        <v>4</v>
      </c>
      <c r="M1220" s="34">
        <f>INDEX('BIO WAHYU'!B:H,MATCH(DATA!D1220,'BIO WAHYU'!B:B,0),4)</f>
        <v>0</v>
      </c>
    </row>
    <row r="1221" spans="1:13">
      <c r="A1221" s="43" t="s">
        <v>1674</v>
      </c>
      <c r="B1221" s="43" t="s">
        <v>153</v>
      </c>
      <c r="C1221" s="43" t="s">
        <v>726</v>
      </c>
      <c r="D1221" s="10">
        <v>357812</v>
      </c>
      <c r="E1221" s="43" t="s">
        <v>10</v>
      </c>
      <c r="F1221" s="8">
        <f>_xlfn.IFNA(INDEX('OSA | 3GB'!J:L,MATCH(DATA!D1221,'OSA | 3GB'!J:J,0),2),0)</f>
        <v>19</v>
      </c>
      <c r="G1221" s="8">
        <f>_xlfn.IFNA(INDEX('OSA | 3GB'!J:L,MATCH(DATA!D1221,'OSA | 3GB'!J:J,0),3),0)</f>
        <v>3000000</v>
      </c>
      <c r="H1221" s="32" t="str">
        <f>_xlfn.IFNA(INDEX('OSA | 3GB'!A:C,MATCH(DATA!D1221,'OSA | 3GB'!A:A,0),2),0)</f>
        <v xml:space="preserve"> -   </v>
      </c>
      <c r="I1221" s="33" t="str">
        <f>_xlfn.IFNA(INDEX('OSA | 3GB'!A:C,MATCH(DATA!D1221,'OSA | 3GB'!A:A,0),3),0)</f>
        <v xml:space="preserve"> -   </v>
      </c>
      <c r="J1221" s="33">
        <f>INDEX('BIO WAHYU'!B:G,MATCH(DATA!D1221,'BIO WAHYU'!B:B,0),5)</f>
        <v>3</v>
      </c>
      <c r="K1221" s="34">
        <f>INDEX('BIO WAHYU'!B:G,MATCH(DATA!D1221,'BIO WAHYU'!B:B,0),6)</f>
        <v>3</v>
      </c>
      <c r="L1221" s="35">
        <f>INDEX('BIO WAHYU'!B:H,MATCH(DATA!D1221,'BIO WAHYU'!B:B,0),7)</f>
        <v>0</v>
      </c>
      <c r="M1221" s="34">
        <f>INDEX('BIO WAHYU'!B:H,MATCH(DATA!D1221,'BIO WAHYU'!B:B,0),4)</f>
        <v>0</v>
      </c>
    </row>
    <row r="1222" spans="1:13">
      <c r="A1222" s="43" t="s">
        <v>1672</v>
      </c>
      <c r="B1222" s="43" t="s">
        <v>157</v>
      </c>
      <c r="C1222" s="43" t="s">
        <v>1035</v>
      </c>
      <c r="D1222" s="10">
        <v>293971</v>
      </c>
      <c r="E1222" s="43" t="s">
        <v>10</v>
      </c>
      <c r="F1222" s="8">
        <f>_xlfn.IFNA(INDEX('OSA | 3GB'!J:L,MATCH(DATA!D1222,'OSA | 3GB'!J:J,0),2),0)</f>
        <v>1</v>
      </c>
      <c r="G1222" s="8">
        <f>_xlfn.IFNA(INDEX('OSA | 3GB'!J:L,MATCH(DATA!D1222,'OSA | 3GB'!J:J,0),3),0)</f>
        <v>100000</v>
      </c>
      <c r="H1222" s="32" t="str">
        <f>_xlfn.IFNA(INDEX('OSA | 3GB'!A:C,MATCH(DATA!D1222,'OSA | 3GB'!A:A,0),2),0)</f>
        <v xml:space="preserve"> -   </v>
      </c>
      <c r="I1222" s="33" t="str">
        <f>_xlfn.IFNA(INDEX('OSA | 3GB'!A:C,MATCH(DATA!D1222,'OSA | 3GB'!A:A,0),3),0)</f>
        <v xml:space="preserve"> -   </v>
      </c>
      <c r="J1222" s="33">
        <f>INDEX('BIO WAHYU'!B:G,MATCH(DATA!D1222,'BIO WAHYU'!B:B,0),5)</f>
        <v>1</v>
      </c>
      <c r="K1222" s="34">
        <f>INDEX('BIO WAHYU'!B:G,MATCH(DATA!D1222,'BIO WAHYU'!B:B,0),6)</f>
        <v>0</v>
      </c>
      <c r="L1222" s="35">
        <f>INDEX('BIO WAHYU'!B:H,MATCH(DATA!D1222,'BIO WAHYU'!B:B,0),7)</f>
        <v>0</v>
      </c>
      <c r="M1222" s="34">
        <f>INDEX('BIO WAHYU'!B:H,MATCH(DATA!D1222,'BIO WAHYU'!B:B,0),4)</f>
        <v>0</v>
      </c>
    </row>
    <row r="1223" spans="1:13">
      <c r="A1223" s="43" t="s">
        <v>1674</v>
      </c>
      <c r="B1223" s="43" t="s">
        <v>154</v>
      </c>
      <c r="C1223" s="43" t="s">
        <v>1525</v>
      </c>
      <c r="D1223" s="10">
        <v>12320250</v>
      </c>
      <c r="E1223" s="43" t="s">
        <v>15</v>
      </c>
      <c r="F1223" s="8">
        <f>_xlfn.IFNA(INDEX('OSA | 3GB'!J:L,MATCH(DATA!D1223,'OSA | 3GB'!J:J,0),2),0)</f>
        <v>3</v>
      </c>
      <c r="G1223" s="8">
        <f>_xlfn.IFNA(INDEX('OSA | 3GB'!J:L,MATCH(DATA!D1223,'OSA | 3GB'!J:J,0),3),0)</f>
        <v>3550000</v>
      </c>
      <c r="H1223" s="32" t="str">
        <f>_xlfn.IFNA(INDEX('OSA | 3GB'!A:C,MATCH(DATA!D1223,'OSA | 3GB'!A:A,0),2),0)</f>
        <v xml:space="preserve"> -   </v>
      </c>
      <c r="I1223" s="33">
        <f>_xlfn.IFNA(INDEX('OSA | 3GB'!A:C,MATCH(DATA!D1223,'OSA | 3GB'!A:A,0),3),0)</f>
        <v>1500000</v>
      </c>
      <c r="J1223" s="33">
        <f>INDEX('BIO WAHYU'!B:G,MATCH(DATA!D1223,'BIO WAHYU'!B:B,0),5)</f>
        <v>1</v>
      </c>
      <c r="K1223" s="34">
        <f>INDEX('BIO WAHYU'!B:G,MATCH(DATA!D1223,'BIO WAHYU'!B:B,0),6)</f>
        <v>0</v>
      </c>
      <c r="L1223" s="35">
        <f>INDEX('BIO WAHYU'!B:H,MATCH(DATA!D1223,'BIO WAHYU'!B:B,0),7)</f>
        <v>0</v>
      </c>
      <c r="M1223" s="34">
        <f>INDEX('BIO WAHYU'!B:H,MATCH(DATA!D1223,'BIO WAHYU'!B:B,0),4)</f>
        <v>0</v>
      </c>
    </row>
    <row r="1224" spans="1:13">
      <c r="A1224" s="43" t="s">
        <v>1672</v>
      </c>
      <c r="B1224" s="43" t="s">
        <v>149</v>
      </c>
      <c r="C1224" s="43" t="s">
        <v>777</v>
      </c>
      <c r="D1224" s="10">
        <v>288799</v>
      </c>
      <c r="E1224" s="43" t="s">
        <v>10</v>
      </c>
      <c r="F1224" s="8">
        <f>_xlfn.IFNA(INDEX('OSA | 3GB'!J:L,MATCH(DATA!D1224,'OSA | 3GB'!J:J,0),2),0)</f>
        <v>0</v>
      </c>
      <c r="G1224" s="8">
        <f>_xlfn.IFNA(INDEX('OSA | 3GB'!J:L,MATCH(DATA!D1224,'OSA | 3GB'!J:J,0),3),0)</f>
        <v>700000</v>
      </c>
      <c r="H1224" s="32">
        <f>_xlfn.IFNA(INDEX('OSA | 3GB'!A:C,MATCH(DATA!D1224,'OSA | 3GB'!A:A,0),2),0)</f>
        <v>4</v>
      </c>
      <c r="I1224" s="33">
        <f>_xlfn.IFNA(INDEX('OSA | 3GB'!A:C,MATCH(DATA!D1224,'OSA | 3GB'!A:A,0),3),0)</f>
        <v>716000</v>
      </c>
      <c r="J1224" s="33">
        <f>INDEX('BIO WAHYU'!B:G,MATCH(DATA!D1224,'BIO WAHYU'!B:B,0),5)</f>
        <v>0</v>
      </c>
      <c r="K1224" s="34">
        <f>INDEX('BIO WAHYU'!B:G,MATCH(DATA!D1224,'BIO WAHYU'!B:B,0),6)</f>
        <v>0</v>
      </c>
      <c r="L1224" s="35">
        <f>INDEX('BIO WAHYU'!B:H,MATCH(DATA!D1224,'BIO WAHYU'!B:B,0),7)</f>
        <v>0</v>
      </c>
      <c r="M1224" s="34">
        <f>INDEX('BIO WAHYU'!B:H,MATCH(DATA!D1224,'BIO WAHYU'!B:B,0),4)</f>
        <v>0</v>
      </c>
    </row>
    <row r="1225" spans="1:13">
      <c r="A1225" s="43" t="s">
        <v>1673</v>
      </c>
      <c r="B1225" s="43" t="s">
        <v>144</v>
      </c>
      <c r="C1225" s="43" t="s">
        <v>1526</v>
      </c>
      <c r="D1225" s="10">
        <v>555965</v>
      </c>
      <c r="E1225" s="43" t="s">
        <v>15</v>
      </c>
      <c r="F1225" s="8">
        <f>_xlfn.IFNA(INDEX('OSA | 3GB'!J:L,MATCH(DATA!D1225,'OSA | 3GB'!J:J,0),2),0)</f>
        <v>3</v>
      </c>
      <c r="G1225" s="8">
        <f>_xlfn.IFNA(INDEX('OSA | 3GB'!J:L,MATCH(DATA!D1225,'OSA | 3GB'!J:J,0),3),0)</f>
        <v>150000</v>
      </c>
      <c r="H1225" s="32">
        <f>_xlfn.IFNA(INDEX('OSA | 3GB'!A:C,MATCH(DATA!D1225,'OSA | 3GB'!A:A,0),2),0)</f>
        <v>4</v>
      </c>
      <c r="I1225" s="33">
        <f>_xlfn.IFNA(INDEX('OSA | 3GB'!A:C,MATCH(DATA!D1225,'OSA | 3GB'!A:A,0),3),0)</f>
        <v>116000</v>
      </c>
      <c r="J1225" s="33">
        <f>INDEX('BIO WAHYU'!B:G,MATCH(DATA!D1225,'BIO WAHYU'!B:B,0),5)</f>
        <v>6</v>
      </c>
      <c r="K1225" s="34">
        <f>INDEX('BIO WAHYU'!B:G,MATCH(DATA!D1225,'BIO WAHYU'!B:B,0),6)</f>
        <v>5</v>
      </c>
      <c r="L1225" s="35">
        <f>INDEX('BIO WAHYU'!B:H,MATCH(DATA!D1225,'BIO WAHYU'!B:B,0),7)</f>
        <v>0</v>
      </c>
      <c r="M1225" s="34">
        <f>INDEX('BIO WAHYU'!B:H,MATCH(DATA!D1225,'BIO WAHYU'!B:B,0),4)</f>
        <v>0</v>
      </c>
    </row>
    <row r="1226" spans="1:13">
      <c r="A1226" s="43" t="s">
        <v>1672</v>
      </c>
      <c r="B1226" s="43" t="s">
        <v>150</v>
      </c>
      <c r="C1226" s="43" t="s">
        <v>814</v>
      </c>
      <c r="D1226" s="10">
        <v>246053</v>
      </c>
      <c r="E1226" s="43" t="s">
        <v>10</v>
      </c>
      <c r="F1226" s="8">
        <f>_xlfn.IFNA(INDEX('OSA | 3GB'!J:L,MATCH(DATA!D1226,'OSA | 3GB'!J:J,0),2),0)</f>
        <v>3</v>
      </c>
      <c r="G1226" s="8">
        <f>_xlfn.IFNA(INDEX('OSA | 3GB'!J:L,MATCH(DATA!D1226,'OSA | 3GB'!J:J,0),3),0)</f>
        <v>400000</v>
      </c>
      <c r="H1226" s="32" t="str">
        <f>_xlfn.IFNA(INDEX('OSA | 3GB'!A:C,MATCH(DATA!D1226,'OSA | 3GB'!A:A,0),2),0)</f>
        <v xml:space="preserve"> -   </v>
      </c>
      <c r="I1226" s="33" t="str">
        <f>_xlfn.IFNA(INDEX('OSA | 3GB'!A:C,MATCH(DATA!D1226,'OSA | 3GB'!A:A,0),3),0)</f>
        <v xml:space="preserve"> -   </v>
      </c>
      <c r="J1226" s="33">
        <f>INDEX('BIO WAHYU'!B:G,MATCH(DATA!D1226,'BIO WAHYU'!B:B,0),5)</f>
        <v>0</v>
      </c>
      <c r="K1226" s="34">
        <f>INDEX('BIO WAHYU'!B:G,MATCH(DATA!D1226,'BIO WAHYU'!B:B,0),6)</f>
        <v>0</v>
      </c>
      <c r="L1226" s="35">
        <f>INDEX('BIO WAHYU'!B:H,MATCH(DATA!D1226,'BIO WAHYU'!B:B,0),7)</f>
        <v>0</v>
      </c>
      <c r="M1226" s="34">
        <f>INDEX('BIO WAHYU'!B:H,MATCH(DATA!D1226,'BIO WAHYU'!B:B,0),4)</f>
        <v>0</v>
      </c>
    </row>
    <row r="1227" spans="1:13">
      <c r="A1227" s="43" t="s">
        <v>1672</v>
      </c>
      <c r="B1227" s="43" t="s">
        <v>157</v>
      </c>
      <c r="C1227" s="43" t="s">
        <v>1043</v>
      </c>
      <c r="D1227" s="10">
        <v>390</v>
      </c>
      <c r="E1227" s="43" t="s">
        <v>10</v>
      </c>
      <c r="F1227" s="8">
        <f>_xlfn.IFNA(INDEX('OSA | 3GB'!J:L,MATCH(DATA!D1227,'OSA | 3GB'!J:J,0),2),0)</f>
        <v>61</v>
      </c>
      <c r="G1227" s="8">
        <f>_xlfn.IFNA(INDEX('OSA | 3GB'!J:L,MATCH(DATA!D1227,'OSA | 3GB'!J:J,0),3),0)</f>
        <v>44000</v>
      </c>
      <c r="H1227" s="32" t="str">
        <f>_xlfn.IFNA(INDEX('OSA | 3GB'!A:C,MATCH(DATA!D1227,'OSA | 3GB'!A:A,0),2),0)</f>
        <v xml:space="preserve"> -   </v>
      </c>
      <c r="I1227" s="33" t="str">
        <f>_xlfn.IFNA(INDEX('OSA | 3GB'!A:C,MATCH(DATA!D1227,'OSA | 3GB'!A:A,0),3),0)</f>
        <v xml:space="preserve"> -   </v>
      </c>
      <c r="J1227" s="33">
        <f>INDEX('BIO WAHYU'!B:G,MATCH(DATA!D1227,'BIO WAHYU'!B:B,0),5)</f>
        <v>17</v>
      </c>
      <c r="K1227" s="34">
        <f>INDEX('BIO WAHYU'!B:G,MATCH(DATA!D1227,'BIO WAHYU'!B:B,0),6)</f>
        <v>2</v>
      </c>
      <c r="L1227" s="35">
        <f>INDEX('BIO WAHYU'!B:H,MATCH(DATA!D1227,'BIO WAHYU'!B:B,0),7)</f>
        <v>0</v>
      </c>
      <c r="M1227" s="34">
        <f>INDEX('BIO WAHYU'!B:H,MATCH(DATA!D1227,'BIO WAHYU'!B:B,0),4)</f>
        <v>0</v>
      </c>
    </row>
    <row r="1228" spans="1:13">
      <c r="A1228" s="43" t="s">
        <v>1670</v>
      </c>
      <c r="B1228" s="43" t="s">
        <v>146</v>
      </c>
      <c r="C1228" s="43" t="s">
        <v>540</v>
      </c>
      <c r="D1228" s="10">
        <v>240721</v>
      </c>
      <c r="E1228" s="43" t="s">
        <v>10</v>
      </c>
      <c r="F1228" s="8">
        <f>_xlfn.IFNA(INDEX('OSA | 3GB'!J:L,MATCH(DATA!D1228,'OSA | 3GB'!J:J,0),2),0)</f>
        <v>5</v>
      </c>
      <c r="G1228" s="8">
        <f>_xlfn.IFNA(INDEX('OSA | 3GB'!J:L,MATCH(DATA!D1228,'OSA | 3GB'!J:J,0),3),0)</f>
        <v>1600000</v>
      </c>
      <c r="H1228" s="32" t="str">
        <f>_xlfn.IFNA(INDEX('OSA | 3GB'!A:C,MATCH(DATA!D1228,'OSA | 3GB'!A:A,0),2),0)</f>
        <v xml:space="preserve"> -   </v>
      </c>
      <c r="I1228" s="33">
        <f>_xlfn.IFNA(INDEX('OSA | 3GB'!A:C,MATCH(DATA!D1228,'OSA | 3GB'!A:A,0),3),0)</f>
        <v>600000</v>
      </c>
      <c r="J1228" s="33">
        <f>INDEX('BIO WAHYU'!B:G,MATCH(DATA!D1228,'BIO WAHYU'!B:B,0),5)</f>
        <v>4</v>
      </c>
      <c r="K1228" s="34">
        <f>INDEX('BIO WAHYU'!B:G,MATCH(DATA!D1228,'BIO WAHYU'!B:B,0),6)</f>
        <v>4</v>
      </c>
      <c r="L1228" s="35">
        <f>INDEX('BIO WAHYU'!B:H,MATCH(DATA!D1228,'BIO WAHYU'!B:B,0),7)</f>
        <v>0</v>
      </c>
      <c r="M1228" s="34">
        <f>INDEX('BIO WAHYU'!B:H,MATCH(DATA!D1228,'BIO WAHYU'!B:B,0),4)</f>
        <v>0</v>
      </c>
    </row>
    <row r="1229" spans="1:13">
      <c r="A1229" s="43" t="s">
        <v>1673</v>
      </c>
      <c r="B1229" s="43" t="s">
        <v>1140</v>
      </c>
      <c r="C1229" s="43" t="s">
        <v>1527</v>
      </c>
      <c r="D1229" s="10">
        <v>311393</v>
      </c>
      <c r="E1229" s="43" t="s">
        <v>10</v>
      </c>
      <c r="F1229" s="8">
        <f>_xlfn.IFNA(INDEX('OSA | 3GB'!J:L,MATCH(DATA!D1229,'OSA | 3GB'!J:J,0),2),0)</f>
        <v>104</v>
      </c>
      <c r="G1229" s="8">
        <f>_xlfn.IFNA(INDEX('OSA | 3GB'!J:L,MATCH(DATA!D1229,'OSA | 3GB'!J:J,0),3),0)</f>
        <v>3027750</v>
      </c>
      <c r="H1229" s="32">
        <f>_xlfn.IFNA(INDEX('OSA | 3GB'!A:C,MATCH(DATA!D1229,'OSA | 3GB'!A:A,0),2),0)</f>
        <v>1</v>
      </c>
      <c r="I1229" s="33">
        <f>_xlfn.IFNA(INDEX('OSA | 3GB'!A:C,MATCH(DATA!D1229,'OSA | 3GB'!A:A,0),3),0)</f>
        <v>800000</v>
      </c>
      <c r="J1229" s="33">
        <f>INDEX('BIO WAHYU'!B:G,MATCH(DATA!D1229,'BIO WAHYU'!B:B,0),5)</f>
        <v>6</v>
      </c>
      <c r="K1229" s="34">
        <f>INDEX('BIO WAHYU'!B:G,MATCH(DATA!D1229,'BIO WAHYU'!B:B,0),6)</f>
        <v>6</v>
      </c>
      <c r="L1229" s="35">
        <f>INDEX('BIO WAHYU'!B:H,MATCH(DATA!D1229,'BIO WAHYU'!B:B,0),7)</f>
        <v>0</v>
      </c>
      <c r="M1229" s="34">
        <f>INDEX('BIO WAHYU'!B:H,MATCH(DATA!D1229,'BIO WAHYU'!B:B,0),4)</f>
        <v>0</v>
      </c>
    </row>
    <row r="1230" spans="1:13">
      <c r="A1230" s="43" t="s">
        <v>1674</v>
      </c>
      <c r="B1230" s="43" t="s">
        <v>152</v>
      </c>
      <c r="C1230" s="43" t="s">
        <v>1528</v>
      </c>
      <c r="D1230" s="10">
        <v>478865</v>
      </c>
      <c r="E1230" s="43" t="s">
        <v>10</v>
      </c>
      <c r="F1230" s="8">
        <f>_xlfn.IFNA(INDEX('OSA | 3GB'!J:L,MATCH(DATA!D1230,'OSA | 3GB'!J:J,0),2),0)</f>
        <v>0</v>
      </c>
      <c r="G1230" s="8">
        <f>_xlfn.IFNA(INDEX('OSA | 3GB'!J:L,MATCH(DATA!D1230,'OSA | 3GB'!J:J,0),3),0)</f>
        <v>0</v>
      </c>
      <c r="H1230" s="32" t="str">
        <f>_xlfn.IFNA(INDEX('OSA | 3GB'!A:C,MATCH(DATA!D1230,'OSA | 3GB'!A:A,0),2),0)</f>
        <v xml:space="preserve"> -   </v>
      </c>
      <c r="I1230" s="33" t="str">
        <f>_xlfn.IFNA(INDEX('OSA | 3GB'!A:C,MATCH(DATA!D1230,'OSA | 3GB'!A:A,0),3),0)</f>
        <v xml:space="preserve"> -   </v>
      </c>
      <c r="J1230" s="33">
        <f>INDEX('BIO WAHYU'!B:G,MATCH(DATA!D1230,'BIO WAHYU'!B:B,0),5)</f>
        <v>0</v>
      </c>
      <c r="K1230" s="34">
        <f>INDEX('BIO WAHYU'!B:G,MATCH(DATA!D1230,'BIO WAHYU'!B:B,0),6)</f>
        <v>0</v>
      </c>
      <c r="L1230" s="35">
        <f>INDEX('BIO WAHYU'!B:H,MATCH(DATA!D1230,'BIO WAHYU'!B:B,0),7)</f>
        <v>0</v>
      </c>
      <c r="M1230" s="34">
        <f>INDEX('BIO WAHYU'!B:H,MATCH(DATA!D1230,'BIO WAHYU'!B:B,0),4)</f>
        <v>0</v>
      </c>
    </row>
    <row r="1231" spans="1:13">
      <c r="A1231" s="43" t="s">
        <v>1674</v>
      </c>
      <c r="B1231" s="43" t="s">
        <v>148</v>
      </c>
      <c r="C1231" s="43" t="s">
        <v>637</v>
      </c>
      <c r="D1231" s="10">
        <v>253772</v>
      </c>
      <c r="E1231" s="43" t="s">
        <v>10</v>
      </c>
      <c r="F1231" s="8">
        <f>_xlfn.IFNA(INDEX('OSA | 3GB'!J:L,MATCH(DATA!D1231,'OSA | 3GB'!J:J,0),2),0)</f>
        <v>2</v>
      </c>
      <c r="G1231" s="8">
        <f>_xlfn.IFNA(INDEX('OSA | 3GB'!J:L,MATCH(DATA!D1231,'OSA | 3GB'!J:J,0),3),0)</f>
        <v>250000</v>
      </c>
      <c r="H1231" s="32" t="str">
        <f>_xlfn.IFNA(INDEX('OSA | 3GB'!A:C,MATCH(DATA!D1231,'OSA | 3GB'!A:A,0),2),0)</f>
        <v xml:space="preserve"> -   </v>
      </c>
      <c r="I1231" s="33" t="str">
        <f>_xlfn.IFNA(INDEX('OSA | 3GB'!A:C,MATCH(DATA!D1231,'OSA | 3GB'!A:A,0),3),0)</f>
        <v xml:space="preserve"> -   </v>
      </c>
      <c r="J1231" s="33">
        <f>INDEX('BIO WAHYU'!B:G,MATCH(DATA!D1231,'BIO WAHYU'!B:B,0),5)</f>
        <v>3</v>
      </c>
      <c r="K1231" s="34">
        <f>INDEX('BIO WAHYU'!B:G,MATCH(DATA!D1231,'BIO WAHYU'!B:B,0),6)</f>
        <v>0</v>
      </c>
      <c r="L1231" s="35">
        <f>INDEX('BIO WAHYU'!B:H,MATCH(DATA!D1231,'BIO WAHYU'!B:B,0),7)</f>
        <v>0</v>
      </c>
      <c r="M1231" s="34">
        <f>INDEX('BIO WAHYU'!B:H,MATCH(DATA!D1231,'BIO WAHYU'!B:B,0),4)</f>
        <v>0</v>
      </c>
    </row>
    <row r="1232" spans="1:13">
      <c r="A1232" s="43" t="s">
        <v>1673</v>
      </c>
      <c r="B1232" s="43" t="s">
        <v>144</v>
      </c>
      <c r="C1232" s="43" t="s">
        <v>237</v>
      </c>
      <c r="D1232" s="10">
        <v>516570</v>
      </c>
      <c r="E1232" s="43" t="s">
        <v>15</v>
      </c>
      <c r="F1232" s="8">
        <f>_xlfn.IFNA(INDEX('OSA | 3GB'!J:L,MATCH(DATA!D1232,'OSA | 3GB'!J:J,0),2),0)</f>
        <v>0</v>
      </c>
      <c r="G1232" s="8">
        <f>_xlfn.IFNA(INDEX('OSA | 3GB'!J:L,MATCH(DATA!D1232,'OSA | 3GB'!J:J,0),3),0)</f>
        <v>0</v>
      </c>
      <c r="H1232" s="32" t="str">
        <f>_xlfn.IFNA(INDEX('OSA | 3GB'!A:C,MATCH(DATA!D1232,'OSA | 3GB'!A:A,0),2),0)</f>
        <v xml:space="preserve"> -   </v>
      </c>
      <c r="I1232" s="33">
        <f>_xlfn.IFNA(INDEX('OSA | 3GB'!A:C,MATCH(DATA!D1232,'OSA | 3GB'!A:A,0),3),0)</f>
        <v>50000</v>
      </c>
      <c r="J1232" s="33">
        <f>INDEX('BIO WAHYU'!B:G,MATCH(DATA!D1232,'BIO WAHYU'!B:B,0),5)</f>
        <v>5</v>
      </c>
      <c r="K1232" s="34">
        <f>INDEX('BIO WAHYU'!B:G,MATCH(DATA!D1232,'BIO WAHYU'!B:B,0),6)</f>
        <v>0</v>
      </c>
      <c r="L1232" s="35">
        <f>INDEX('BIO WAHYU'!B:H,MATCH(DATA!D1232,'BIO WAHYU'!B:B,0),7)</f>
        <v>0</v>
      </c>
      <c r="M1232" s="34">
        <f>INDEX('BIO WAHYU'!B:H,MATCH(DATA!D1232,'BIO WAHYU'!B:B,0),4)</f>
        <v>0</v>
      </c>
    </row>
    <row r="1233" spans="1:13">
      <c r="A1233" s="43" t="s">
        <v>1672</v>
      </c>
      <c r="B1233" s="43" t="s">
        <v>157</v>
      </c>
      <c r="C1233" s="43" t="s">
        <v>1529</v>
      </c>
      <c r="D1233" s="10">
        <v>531869</v>
      </c>
      <c r="E1233" s="43" t="s">
        <v>10</v>
      </c>
      <c r="F1233" s="8">
        <f>_xlfn.IFNA(INDEX('OSA | 3GB'!J:L,MATCH(DATA!D1233,'OSA | 3GB'!J:J,0),2),0)</f>
        <v>0</v>
      </c>
      <c r="G1233" s="8">
        <f>_xlfn.IFNA(INDEX('OSA | 3GB'!J:L,MATCH(DATA!D1233,'OSA | 3GB'!J:J,0),3),0)</f>
        <v>0</v>
      </c>
      <c r="H1233" s="32" t="str">
        <f>_xlfn.IFNA(INDEX('OSA | 3GB'!A:C,MATCH(DATA!D1233,'OSA | 3GB'!A:A,0),2),0)</f>
        <v xml:space="preserve"> -   </v>
      </c>
      <c r="I1233" s="33" t="str">
        <f>_xlfn.IFNA(INDEX('OSA | 3GB'!A:C,MATCH(DATA!D1233,'OSA | 3GB'!A:A,0),3),0)</f>
        <v xml:space="preserve"> -   </v>
      </c>
      <c r="J1233" s="33">
        <f>INDEX('BIO WAHYU'!B:G,MATCH(DATA!D1233,'BIO WAHYU'!B:B,0),5)</f>
        <v>0</v>
      </c>
      <c r="K1233" s="34">
        <f>INDEX('BIO WAHYU'!B:G,MATCH(DATA!D1233,'BIO WAHYU'!B:B,0),6)</f>
        <v>0</v>
      </c>
      <c r="L1233" s="35">
        <f>INDEX('BIO WAHYU'!B:H,MATCH(DATA!D1233,'BIO WAHYU'!B:B,0),7)</f>
        <v>0</v>
      </c>
      <c r="M1233" s="34">
        <f>INDEX('BIO WAHYU'!B:H,MATCH(DATA!D1233,'BIO WAHYU'!B:B,0),4)</f>
        <v>0</v>
      </c>
    </row>
    <row r="1234" spans="1:13">
      <c r="A1234" s="43" t="s">
        <v>1674</v>
      </c>
      <c r="B1234" s="43" t="s">
        <v>152</v>
      </c>
      <c r="C1234" s="43" t="s">
        <v>658</v>
      </c>
      <c r="D1234" s="10">
        <v>199156</v>
      </c>
      <c r="E1234" s="43" t="s">
        <v>10</v>
      </c>
      <c r="F1234" s="8">
        <f>_xlfn.IFNA(INDEX('OSA | 3GB'!J:L,MATCH(DATA!D1234,'OSA | 3GB'!J:J,0),2),0)</f>
        <v>179</v>
      </c>
      <c r="G1234" s="8">
        <f>_xlfn.IFNA(INDEX('OSA | 3GB'!J:L,MATCH(DATA!D1234,'OSA | 3GB'!J:J,0),3),0)</f>
        <v>19218300</v>
      </c>
      <c r="H1234" s="32">
        <f>_xlfn.IFNA(INDEX('OSA | 3GB'!A:C,MATCH(DATA!D1234,'OSA | 3GB'!A:A,0),2),0)</f>
        <v>1</v>
      </c>
      <c r="I1234" s="33">
        <f>_xlfn.IFNA(INDEX('OSA | 3GB'!A:C,MATCH(DATA!D1234,'OSA | 3GB'!A:A,0),3),0)</f>
        <v>4785000</v>
      </c>
      <c r="J1234" s="33">
        <f>INDEX('BIO WAHYU'!B:G,MATCH(DATA!D1234,'BIO WAHYU'!B:B,0),5)</f>
        <v>78</v>
      </c>
      <c r="K1234" s="34">
        <f>INDEX('BIO WAHYU'!B:G,MATCH(DATA!D1234,'BIO WAHYU'!B:B,0),6)</f>
        <v>51</v>
      </c>
      <c r="L1234" s="35">
        <f>INDEX('BIO WAHYU'!B:H,MATCH(DATA!D1234,'BIO WAHYU'!B:B,0),7)</f>
        <v>0</v>
      </c>
      <c r="M1234" s="34">
        <f>INDEX('BIO WAHYU'!B:H,MATCH(DATA!D1234,'BIO WAHYU'!B:B,0),4)</f>
        <v>1</v>
      </c>
    </row>
    <row r="1235" spans="1:13">
      <c r="A1235" s="43" t="s">
        <v>1672</v>
      </c>
      <c r="B1235" s="43" t="s">
        <v>149</v>
      </c>
      <c r="C1235" s="43" t="s">
        <v>772</v>
      </c>
      <c r="D1235" s="10">
        <v>238925</v>
      </c>
      <c r="E1235" s="43" t="s">
        <v>10</v>
      </c>
      <c r="F1235" s="8">
        <f>_xlfn.IFNA(INDEX('OSA | 3GB'!J:L,MATCH(DATA!D1235,'OSA | 3GB'!J:J,0),2),0)</f>
        <v>5</v>
      </c>
      <c r="G1235" s="8">
        <f>_xlfn.IFNA(INDEX('OSA | 3GB'!J:L,MATCH(DATA!D1235,'OSA | 3GB'!J:J,0),3),0)</f>
        <v>1050000</v>
      </c>
      <c r="H1235" s="32">
        <f>_xlfn.IFNA(INDEX('OSA | 3GB'!A:C,MATCH(DATA!D1235,'OSA | 3GB'!A:A,0),2),0)</f>
        <v>2</v>
      </c>
      <c r="I1235" s="33">
        <f>_xlfn.IFNA(INDEX('OSA | 3GB'!A:C,MATCH(DATA!D1235,'OSA | 3GB'!A:A,0),3),0)</f>
        <v>258000</v>
      </c>
      <c r="J1235" s="33">
        <f>INDEX('BIO WAHYU'!B:G,MATCH(DATA!D1235,'BIO WAHYU'!B:B,0),5)</f>
        <v>3</v>
      </c>
      <c r="K1235" s="34">
        <f>INDEX('BIO WAHYU'!B:G,MATCH(DATA!D1235,'BIO WAHYU'!B:B,0),6)</f>
        <v>0</v>
      </c>
      <c r="L1235" s="35">
        <f>INDEX('BIO WAHYU'!B:H,MATCH(DATA!D1235,'BIO WAHYU'!B:B,0),7)</f>
        <v>0</v>
      </c>
      <c r="M1235" s="34">
        <f>INDEX('BIO WAHYU'!B:H,MATCH(DATA!D1235,'BIO WAHYU'!B:B,0),4)</f>
        <v>0</v>
      </c>
    </row>
    <row r="1236" spans="1:13">
      <c r="A1236" s="43" t="s">
        <v>1</v>
      </c>
      <c r="B1236" s="43" t="s">
        <v>3</v>
      </c>
      <c r="C1236" s="43" t="s">
        <v>11</v>
      </c>
      <c r="D1236" s="10">
        <v>12295592</v>
      </c>
      <c r="E1236" s="43" t="s">
        <v>10</v>
      </c>
      <c r="F1236" s="8">
        <f>_xlfn.IFNA(INDEX('OSA | 3GB'!J:L,MATCH(DATA!D1236,'OSA | 3GB'!J:J,0),2),0)</f>
        <v>16</v>
      </c>
      <c r="G1236" s="8">
        <f>_xlfn.IFNA(INDEX('OSA | 3GB'!J:L,MATCH(DATA!D1236,'OSA | 3GB'!J:J,0),3),0)</f>
        <v>3106000</v>
      </c>
      <c r="H1236" s="32" t="str">
        <f>_xlfn.IFNA(INDEX('OSA | 3GB'!A:C,MATCH(DATA!D1236,'OSA | 3GB'!A:A,0),2),0)</f>
        <v xml:space="preserve"> -   </v>
      </c>
      <c r="I1236" s="33" t="str">
        <f>_xlfn.IFNA(INDEX('OSA | 3GB'!A:C,MATCH(DATA!D1236,'OSA | 3GB'!A:A,0),3),0)</f>
        <v xml:space="preserve"> -   </v>
      </c>
      <c r="J1236" s="33">
        <f>INDEX('BIO WAHYU'!B:G,MATCH(DATA!D1236,'BIO WAHYU'!B:B,0),5)</f>
        <v>22</v>
      </c>
      <c r="K1236" s="34">
        <f>INDEX('BIO WAHYU'!B:G,MATCH(DATA!D1236,'BIO WAHYU'!B:B,0),6)</f>
        <v>1</v>
      </c>
      <c r="L1236" s="35">
        <f>INDEX('BIO WAHYU'!B:H,MATCH(DATA!D1236,'BIO WAHYU'!B:B,0),7)</f>
        <v>0</v>
      </c>
      <c r="M1236" s="34">
        <f>INDEX('BIO WAHYU'!B:H,MATCH(DATA!D1236,'BIO WAHYU'!B:B,0),4)</f>
        <v>0</v>
      </c>
    </row>
    <row r="1237" spans="1:13">
      <c r="A1237" s="43" t="s">
        <v>1670</v>
      </c>
      <c r="B1237" s="43">
        <v>2613051412</v>
      </c>
      <c r="C1237" s="43" t="s">
        <v>1530</v>
      </c>
      <c r="D1237" s="10">
        <v>12321946</v>
      </c>
      <c r="E1237" s="43" t="s">
        <v>10</v>
      </c>
      <c r="F1237" s="8">
        <f>_xlfn.IFNA(INDEX('OSA | 3GB'!J:L,MATCH(DATA!D1237,'OSA | 3GB'!J:J,0),2),0)</f>
        <v>1</v>
      </c>
      <c r="G1237" s="8">
        <f>_xlfn.IFNA(INDEX('OSA | 3GB'!J:L,MATCH(DATA!D1237,'OSA | 3GB'!J:J,0),3),0)</f>
        <v>100000</v>
      </c>
      <c r="H1237" s="32">
        <f>_xlfn.IFNA(INDEX('OSA | 3GB'!A:C,MATCH(DATA!D1237,'OSA | 3GB'!A:A,0),2),0)</f>
        <v>3</v>
      </c>
      <c r="I1237" s="33">
        <f>_xlfn.IFNA(INDEX('OSA | 3GB'!A:C,MATCH(DATA!D1237,'OSA | 3GB'!A:A,0),3),0)</f>
        <v>50000</v>
      </c>
      <c r="J1237" s="33">
        <f>INDEX('BIO WAHYU'!B:G,MATCH(DATA!D1237,'BIO WAHYU'!B:B,0),5)</f>
        <v>0</v>
      </c>
      <c r="K1237" s="34">
        <f>INDEX('BIO WAHYU'!B:G,MATCH(DATA!D1237,'BIO WAHYU'!B:B,0),6)</f>
        <v>0</v>
      </c>
      <c r="L1237" s="35">
        <f>INDEX('BIO WAHYU'!B:H,MATCH(DATA!D1237,'BIO WAHYU'!B:B,0),7)</f>
        <v>0</v>
      </c>
      <c r="M1237" s="34">
        <f>INDEX('BIO WAHYU'!B:H,MATCH(DATA!D1237,'BIO WAHYU'!B:B,0),4)</f>
        <v>0</v>
      </c>
    </row>
    <row r="1238" spans="1:13">
      <c r="A1238" s="43" t="s">
        <v>1673</v>
      </c>
      <c r="B1238" s="43" t="s">
        <v>143</v>
      </c>
      <c r="C1238" s="43" t="s">
        <v>1531</v>
      </c>
      <c r="D1238" s="10">
        <v>241320</v>
      </c>
      <c r="E1238" s="43" t="s">
        <v>10</v>
      </c>
      <c r="F1238" s="8">
        <f>_xlfn.IFNA(INDEX('OSA | 3GB'!J:L,MATCH(DATA!D1238,'OSA | 3GB'!J:J,0),2),0)</f>
        <v>0</v>
      </c>
      <c r="G1238" s="8">
        <f>_xlfn.IFNA(INDEX('OSA | 3GB'!J:L,MATCH(DATA!D1238,'OSA | 3GB'!J:J,0),3),0)</f>
        <v>0</v>
      </c>
      <c r="H1238" s="32" t="str">
        <f>_xlfn.IFNA(INDEX('OSA | 3GB'!A:C,MATCH(DATA!D1238,'OSA | 3GB'!A:A,0),2),0)</f>
        <v xml:space="preserve"> -   </v>
      </c>
      <c r="I1238" s="33" t="str">
        <f>_xlfn.IFNA(INDEX('OSA | 3GB'!A:C,MATCH(DATA!D1238,'OSA | 3GB'!A:A,0),3),0)</f>
        <v xml:space="preserve"> -   </v>
      </c>
      <c r="J1238" s="33">
        <f>INDEX('BIO WAHYU'!B:G,MATCH(DATA!D1238,'BIO WAHYU'!B:B,0),5)</f>
        <v>0</v>
      </c>
      <c r="K1238" s="34">
        <f>INDEX('BIO WAHYU'!B:G,MATCH(DATA!D1238,'BIO WAHYU'!B:B,0),6)</f>
        <v>0</v>
      </c>
      <c r="L1238" s="35">
        <f>INDEX('BIO WAHYU'!B:H,MATCH(DATA!D1238,'BIO WAHYU'!B:B,0),7)</f>
        <v>0</v>
      </c>
      <c r="M1238" s="34">
        <f>INDEX('BIO WAHYU'!B:H,MATCH(DATA!D1238,'BIO WAHYU'!B:B,0),4)</f>
        <v>0</v>
      </c>
    </row>
    <row r="1239" spans="1:13">
      <c r="A1239" s="43" t="s">
        <v>1674</v>
      </c>
      <c r="B1239" s="43" t="s">
        <v>154</v>
      </c>
      <c r="C1239" s="43" t="s">
        <v>735</v>
      </c>
      <c r="D1239" s="10">
        <v>12296482</v>
      </c>
      <c r="E1239" s="43" t="s">
        <v>10</v>
      </c>
      <c r="F1239" s="8">
        <f>_xlfn.IFNA(INDEX('OSA | 3GB'!J:L,MATCH(DATA!D1239,'OSA | 3GB'!J:J,0),2),0)</f>
        <v>0</v>
      </c>
      <c r="G1239" s="8">
        <f>_xlfn.IFNA(INDEX('OSA | 3GB'!J:L,MATCH(DATA!D1239,'OSA | 3GB'!J:J,0),3),0)</f>
        <v>900000</v>
      </c>
      <c r="H1239" s="32" t="str">
        <f>_xlfn.IFNA(INDEX('OSA | 3GB'!A:C,MATCH(DATA!D1239,'OSA | 3GB'!A:A,0),2),0)</f>
        <v xml:space="preserve"> -   </v>
      </c>
      <c r="I1239" s="33">
        <f>_xlfn.IFNA(INDEX('OSA | 3GB'!A:C,MATCH(DATA!D1239,'OSA | 3GB'!A:A,0),3),0)</f>
        <v>250000</v>
      </c>
      <c r="J1239" s="33">
        <f>INDEX('BIO WAHYU'!B:G,MATCH(DATA!D1239,'BIO WAHYU'!B:B,0),5)</f>
        <v>2</v>
      </c>
      <c r="K1239" s="34">
        <f>INDEX('BIO WAHYU'!B:G,MATCH(DATA!D1239,'BIO WAHYU'!B:B,0),6)</f>
        <v>0</v>
      </c>
      <c r="L1239" s="35">
        <f>INDEX('BIO WAHYU'!B:H,MATCH(DATA!D1239,'BIO WAHYU'!B:B,0),7)</f>
        <v>0</v>
      </c>
      <c r="M1239" s="34">
        <f>INDEX('BIO WAHYU'!B:H,MATCH(DATA!D1239,'BIO WAHYU'!B:B,0),4)</f>
        <v>0</v>
      </c>
    </row>
    <row r="1240" spans="1:13">
      <c r="A1240" s="43" t="s">
        <v>1674</v>
      </c>
      <c r="B1240" s="43" t="s">
        <v>153</v>
      </c>
      <c r="C1240" s="43" t="s">
        <v>711</v>
      </c>
      <c r="D1240" s="10">
        <v>199257</v>
      </c>
      <c r="E1240" s="43" t="s">
        <v>10</v>
      </c>
      <c r="F1240" s="8">
        <f>_xlfn.IFNA(INDEX('OSA | 3GB'!J:L,MATCH(DATA!D1240,'OSA | 3GB'!J:J,0),2),0)</f>
        <v>3</v>
      </c>
      <c r="G1240" s="8">
        <f>_xlfn.IFNA(INDEX('OSA | 3GB'!J:L,MATCH(DATA!D1240,'OSA | 3GB'!J:J,0),3),0)</f>
        <v>3100000</v>
      </c>
      <c r="H1240" s="32" t="str">
        <f>_xlfn.IFNA(INDEX('OSA | 3GB'!A:C,MATCH(DATA!D1240,'OSA | 3GB'!A:A,0),2),0)</f>
        <v xml:space="preserve"> -   </v>
      </c>
      <c r="I1240" s="33">
        <f>_xlfn.IFNA(INDEX('OSA | 3GB'!A:C,MATCH(DATA!D1240,'OSA | 3GB'!A:A,0),3),0)</f>
        <v>958000</v>
      </c>
      <c r="J1240" s="33">
        <f>INDEX('BIO WAHYU'!B:G,MATCH(DATA!D1240,'BIO WAHYU'!B:B,0),5)</f>
        <v>3</v>
      </c>
      <c r="K1240" s="34">
        <f>INDEX('BIO WAHYU'!B:G,MATCH(DATA!D1240,'BIO WAHYU'!B:B,0),6)</f>
        <v>3</v>
      </c>
      <c r="L1240" s="35">
        <f>INDEX('BIO WAHYU'!B:H,MATCH(DATA!D1240,'BIO WAHYU'!B:B,0),7)</f>
        <v>0</v>
      </c>
      <c r="M1240" s="34">
        <f>INDEX('BIO WAHYU'!B:H,MATCH(DATA!D1240,'BIO WAHYU'!B:B,0),4)</f>
        <v>0</v>
      </c>
    </row>
    <row r="1241" spans="1:13">
      <c r="A1241" s="43" t="s">
        <v>1670</v>
      </c>
      <c r="B1241" s="43">
        <v>2613051412</v>
      </c>
      <c r="C1241" s="43" t="s">
        <v>557</v>
      </c>
      <c r="D1241" s="10">
        <v>336564</v>
      </c>
      <c r="E1241" s="43" t="s">
        <v>10</v>
      </c>
      <c r="F1241" s="8">
        <f>_xlfn.IFNA(INDEX('OSA | 3GB'!J:L,MATCH(DATA!D1241,'OSA | 3GB'!J:J,0),2),0)</f>
        <v>0</v>
      </c>
      <c r="G1241" s="8">
        <f>_xlfn.IFNA(INDEX('OSA | 3GB'!J:L,MATCH(DATA!D1241,'OSA | 3GB'!J:J,0),3),0)</f>
        <v>950000</v>
      </c>
      <c r="H1241" s="32" t="str">
        <f>_xlfn.IFNA(INDEX('OSA | 3GB'!A:C,MATCH(DATA!D1241,'OSA | 3GB'!A:A,0),2),0)</f>
        <v xml:space="preserve"> -   </v>
      </c>
      <c r="I1241" s="33">
        <f>_xlfn.IFNA(INDEX('OSA | 3GB'!A:C,MATCH(DATA!D1241,'OSA | 3GB'!A:A,0),3),0)</f>
        <v>150000</v>
      </c>
      <c r="J1241" s="33">
        <f>INDEX('BIO WAHYU'!B:G,MATCH(DATA!D1241,'BIO WAHYU'!B:B,0),5)</f>
        <v>1</v>
      </c>
      <c r="K1241" s="34">
        <f>INDEX('BIO WAHYU'!B:G,MATCH(DATA!D1241,'BIO WAHYU'!B:B,0),6)</f>
        <v>0</v>
      </c>
      <c r="L1241" s="35">
        <f>INDEX('BIO WAHYU'!B:H,MATCH(DATA!D1241,'BIO WAHYU'!B:B,0),7)</f>
        <v>0</v>
      </c>
      <c r="M1241" s="34">
        <f>INDEX('BIO WAHYU'!B:H,MATCH(DATA!D1241,'BIO WAHYU'!B:B,0),4)</f>
        <v>0</v>
      </c>
    </row>
    <row r="1242" spans="1:13">
      <c r="A1242" s="43" t="s">
        <v>1672</v>
      </c>
      <c r="B1242" s="43" t="s">
        <v>151</v>
      </c>
      <c r="C1242" s="43" t="s">
        <v>246</v>
      </c>
      <c r="D1242" s="10">
        <v>565681</v>
      </c>
      <c r="E1242" s="43" t="s">
        <v>10</v>
      </c>
      <c r="F1242" s="8">
        <f>_xlfn.IFNA(INDEX('OSA | 3GB'!J:L,MATCH(DATA!D1242,'OSA | 3GB'!J:J,0),2),0)</f>
        <v>2</v>
      </c>
      <c r="G1242" s="8">
        <f>_xlfn.IFNA(INDEX('OSA | 3GB'!J:L,MATCH(DATA!D1242,'OSA | 3GB'!J:J,0),3),0)</f>
        <v>2100000</v>
      </c>
      <c r="H1242" s="32" t="str">
        <f>_xlfn.IFNA(INDEX('OSA | 3GB'!A:C,MATCH(DATA!D1242,'OSA | 3GB'!A:A,0),2),0)</f>
        <v xml:space="preserve"> -   </v>
      </c>
      <c r="I1242" s="33">
        <f>_xlfn.IFNA(INDEX('OSA | 3GB'!A:C,MATCH(DATA!D1242,'OSA | 3GB'!A:A,0),3),0)</f>
        <v>900000</v>
      </c>
      <c r="J1242" s="33">
        <f>INDEX('BIO WAHYU'!B:G,MATCH(DATA!D1242,'BIO WAHYU'!B:B,0),5)</f>
        <v>3</v>
      </c>
      <c r="K1242" s="34">
        <f>INDEX('BIO WAHYU'!B:G,MATCH(DATA!D1242,'BIO WAHYU'!B:B,0),6)</f>
        <v>0</v>
      </c>
      <c r="L1242" s="35">
        <f>INDEX('BIO WAHYU'!B:H,MATCH(DATA!D1242,'BIO WAHYU'!B:B,0),7)</f>
        <v>0</v>
      </c>
      <c r="M1242" s="34">
        <f>INDEX('BIO WAHYU'!B:H,MATCH(DATA!D1242,'BIO WAHYU'!B:B,0),4)</f>
        <v>0</v>
      </c>
    </row>
    <row r="1243" spans="1:13">
      <c r="A1243" s="43" t="s">
        <v>1674</v>
      </c>
      <c r="B1243" s="43">
        <v>2613052222</v>
      </c>
      <c r="C1243" s="43" t="s">
        <v>1532</v>
      </c>
      <c r="D1243" s="10">
        <v>199033</v>
      </c>
      <c r="E1243" s="43" t="s">
        <v>23</v>
      </c>
      <c r="F1243" s="8">
        <f>_xlfn.IFNA(INDEX('OSA | 3GB'!J:L,MATCH(DATA!D1243,'OSA | 3GB'!J:J,0),2),0)</f>
        <v>0</v>
      </c>
      <c r="G1243" s="8">
        <f>_xlfn.IFNA(INDEX('OSA | 3GB'!J:L,MATCH(DATA!D1243,'OSA | 3GB'!J:J,0),3),0)</f>
        <v>0</v>
      </c>
      <c r="H1243" s="32" t="str">
        <f>_xlfn.IFNA(INDEX('OSA | 3GB'!A:C,MATCH(DATA!D1243,'OSA | 3GB'!A:A,0),2),0)</f>
        <v xml:space="preserve"> -   </v>
      </c>
      <c r="I1243" s="33">
        <f>_xlfn.IFNA(INDEX('OSA | 3GB'!A:C,MATCH(DATA!D1243,'OSA | 3GB'!A:A,0),3),0)</f>
        <v>2500000</v>
      </c>
      <c r="J1243" s="33">
        <f>INDEX('BIO WAHYU'!B:G,MATCH(DATA!D1243,'BIO WAHYU'!B:B,0),5)</f>
        <v>0</v>
      </c>
      <c r="K1243" s="34">
        <f>INDEX('BIO WAHYU'!B:G,MATCH(DATA!D1243,'BIO WAHYU'!B:B,0),6)</f>
        <v>12</v>
      </c>
      <c r="L1243" s="35">
        <f>INDEX('BIO WAHYU'!B:H,MATCH(DATA!D1243,'BIO WAHYU'!B:B,0),7)</f>
        <v>12</v>
      </c>
      <c r="M1243" s="34">
        <f>INDEX('BIO WAHYU'!B:H,MATCH(DATA!D1243,'BIO WAHYU'!B:B,0),4)</f>
        <v>0</v>
      </c>
    </row>
    <row r="1244" spans="1:13">
      <c r="A1244" s="43" t="s">
        <v>1670</v>
      </c>
      <c r="B1244" s="43">
        <v>2613051412</v>
      </c>
      <c r="C1244" s="43" t="s">
        <v>550</v>
      </c>
      <c r="D1244" s="10">
        <v>12323855</v>
      </c>
      <c r="E1244" s="43" t="s">
        <v>10</v>
      </c>
      <c r="F1244" s="8">
        <f>_xlfn.IFNA(INDEX('OSA | 3GB'!J:L,MATCH(DATA!D1244,'OSA | 3GB'!J:J,0),2),0)</f>
        <v>0</v>
      </c>
      <c r="G1244" s="8">
        <f>_xlfn.IFNA(INDEX('OSA | 3GB'!J:L,MATCH(DATA!D1244,'OSA | 3GB'!J:J,0),3),0)</f>
        <v>250000</v>
      </c>
      <c r="H1244" s="32" t="str">
        <f>_xlfn.IFNA(INDEX('OSA | 3GB'!A:C,MATCH(DATA!D1244,'OSA | 3GB'!A:A,0),2),0)</f>
        <v xml:space="preserve"> -   </v>
      </c>
      <c r="I1244" s="33">
        <f>_xlfn.IFNA(INDEX('OSA | 3GB'!A:C,MATCH(DATA!D1244,'OSA | 3GB'!A:A,0),3),0)</f>
        <v>350000</v>
      </c>
      <c r="J1244" s="33">
        <f>INDEX('BIO WAHYU'!B:G,MATCH(DATA!D1244,'BIO WAHYU'!B:B,0),5)</f>
        <v>0</v>
      </c>
      <c r="K1244" s="34">
        <f>INDEX('BIO WAHYU'!B:G,MATCH(DATA!D1244,'BIO WAHYU'!B:B,0),6)</f>
        <v>0</v>
      </c>
      <c r="L1244" s="35">
        <f>INDEX('BIO WAHYU'!B:H,MATCH(DATA!D1244,'BIO WAHYU'!B:B,0),7)</f>
        <v>0</v>
      </c>
      <c r="M1244" s="34">
        <f>INDEX('BIO WAHYU'!B:H,MATCH(DATA!D1244,'BIO WAHYU'!B:B,0),4)</f>
        <v>0</v>
      </c>
    </row>
    <row r="1245" spans="1:13">
      <c r="A1245" s="43" t="s">
        <v>1</v>
      </c>
      <c r="B1245" s="43" t="s">
        <v>3</v>
      </c>
      <c r="C1245" s="43" t="s">
        <v>24</v>
      </c>
      <c r="D1245" s="10">
        <v>287403</v>
      </c>
      <c r="E1245" s="43" t="s">
        <v>10</v>
      </c>
      <c r="F1245" s="8">
        <f>_xlfn.IFNA(INDEX('OSA | 3GB'!J:L,MATCH(DATA!D1245,'OSA | 3GB'!J:J,0),2),0)</f>
        <v>4</v>
      </c>
      <c r="G1245" s="8">
        <f>_xlfn.IFNA(INDEX('OSA | 3GB'!J:L,MATCH(DATA!D1245,'OSA | 3GB'!J:J,0),3),0)</f>
        <v>2616600</v>
      </c>
      <c r="H1245" s="32" t="str">
        <f>_xlfn.IFNA(INDEX('OSA | 3GB'!A:C,MATCH(DATA!D1245,'OSA | 3GB'!A:A,0),2),0)</f>
        <v xml:space="preserve"> -   </v>
      </c>
      <c r="I1245" s="33">
        <f>_xlfn.IFNA(INDEX('OSA | 3GB'!A:C,MATCH(DATA!D1245,'OSA | 3GB'!A:A,0),3),0)</f>
        <v>70500</v>
      </c>
      <c r="J1245" s="33">
        <f>INDEX('BIO WAHYU'!B:G,MATCH(DATA!D1245,'BIO WAHYU'!B:B,0),5)</f>
        <v>4</v>
      </c>
      <c r="K1245" s="34">
        <f>INDEX('BIO WAHYU'!B:G,MATCH(DATA!D1245,'BIO WAHYU'!B:B,0),6)</f>
        <v>3</v>
      </c>
      <c r="L1245" s="35">
        <f>INDEX('BIO WAHYU'!B:H,MATCH(DATA!D1245,'BIO WAHYU'!B:B,0),7)</f>
        <v>0</v>
      </c>
      <c r="M1245" s="34">
        <f>INDEX('BIO WAHYU'!B:H,MATCH(DATA!D1245,'BIO WAHYU'!B:B,0),4)</f>
        <v>0</v>
      </c>
    </row>
    <row r="1246" spans="1:13">
      <c r="A1246" s="43" t="s">
        <v>1</v>
      </c>
      <c r="B1246" s="43" t="s">
        <v>3</v>
      </c>
      <c r="C1246" s="43" t="s">
        <v>1114</v>
      </c>
      <c r="D1246" s="10">
        <v>486638</v>
      </c>
      <c r="E1246" s="43" t="s">
        <v>10</v>
      </c>
      <c r="F1246" s="8">
        <f>_xlfn.IFNA(INDEX('OSA | 3GB'!J:L,MATCH(DATA!D1246,'OSA | 3GB'!J:J,0),2),0)</f>
        <v>0</v>
      </c>
      <c r="G1246" s="8">
        <f>_xlfn.IFNA(INDEX('OSA | 3GB'!J:L,MATCH(DATA!D1246,'OSA | 3GB'!J:J,0),3),0)</f>
        <v>3400000</v>
      </c>
      <c r="H1246" s="32" t="str">
        <f>_xlfn.IFNA(INDEX('OSA | 3GB'!A:C,MATCH(DATA!D1246,'OSA | 3GB'!A:A,0),2),0)</f>
        <v xml:space="preserve"> -   </v>
      </c>
      <c r="I1246" s="33">
        <f>_xlfn.IFNA(INDEX('OSA | 3GB'!A:C,MATCH(DATA!D1246,'OSA | 3GB'!A:A,0),3),0)</f>
        <v>1700000</v>
      </c>
      <c r="J1246" s="33">
        <f>INDEX('BIO WAHYU'!B:G,MATCH(DATA!D1246,'BIO WAHYU'!B:B,0),5)</f>
        <v>1</v>
      </c>
      <c r="K1246" s="34">
        <f>INDEX('BIO WAHYU'!B:G,MATCH(DATA!D1246,'BIO WAHYU'!B:B,0),6)</f>
        <v>0</v>
      </c>
      <c r="L1246" s="35">
        <f>INDEX('BIO WAHYU'!B:H,MATCH(DATA!D1246,'BIO WAHYU'!B:B,0),7)</f>
        <v>0</v>
      </c>
      <c r="M1246" s="34">
        <f>INDEX('BIO WAHYU'!B:H,MATCH(DATA!D1246,'BIO WAHYU'!B:B,0),4)</f>
        <v>0</v>
      </c>
    </row>
    <row r="1247" spans="1:13">
      <c r="A1247" s="43" t="s">
        <v>1671</v>
      </c>
      <c r="B1247" s="43" t="s">
        <v>142</v>
      </c>
      <c r="C1247" s="43" t="s">
        <v>1533</v>
      </c>
      <c r="D1247" s="10">
        <v>458986</v>
      </c>
      <c r="E1247" s="43" t="s">
        <v>15</v>
      </c>
      <c r="F1247" s="8">
        <f>_xlfn.IFNA(INDEX('OSA | 3GB'!J:L,MATCH(DATA!D1247,'OSA | 3GB'!J:J,0),2),0)</f>
        <v>0</v>
      </c>
      <c r="G1247" s="8">
        <f>_xlfn.IFNA(INDEX('OSA | 3GB'!J:L,MATCH(DATA!D1247,'OSA | 3GB'!J:J,0),3),0)</f>
        <v>0</v>
      </c>
      <c r="H1247" s="32" t="str">
        <f>_xlfn.IFNA(INDEX('OSA | 3GB'!A:C,MATCH(DATA!D1247,'OSA | 3GB'!A:A,0),2),0)</f>
        <v xml:space="preserve"> -   </v>
      </c>
      <c r="I1247" s="33">
        <f>_xlfn.IFNA(INDEX('OSA | 3GB'!A:C,MATCH(DATA!D1247,'OSA | 3GB'!A:A,0),3),0)</f>
        <v>300000</v>
      </c>
      <c r="J1247" s="33">
        <f>INDEX('BIO WAHYU'!B:G,MATCH(DATA!D1247,'BIO WAHYU'!B:B,0),5)</f>
        <v>1</v>
      </c>
      <c r="K1247" s="34">
        <f>INDEX('BIO WAHYU'!B:G,MATCH(DATA!D1247,'BIO WAHYU'!B:B,0),6)</f>
        <v>1</v>
      </c>
      <c r="L1247" s="35">
        <f>INDEX('BIO WAHYU'!B:H,MATCH(DATA!D1247,'BIO WAHYU'!B:B,0),7)</f>
        <v>0</v>
      </c>
      <c r="M1247" s="34">
        <f>INDEX('BIO WAHYU'!B:H,MATCH(DATA!D1247,'BIO WAHYU'!B:B,0),4)</f>
        <v>0</v>
      </c>
    </row>
    <row r="1248" spans="1:13">
      <c r="A1248" s="43" t="s">
        <v>1670</v>
      </c>
      <c r="B1248" s="43" t="s">
        <v>140</v>
      </c>
      <c r="C1248" s="43" t="s">
        <v>472</v>
      </c>
      <c r="D1248" s="10">
        <v>407654</v>
      </c>
      <c r="E1248" s="43" t="s">
        <v>15</v>
      </c>
      <c r="F1248" s="8">
        <f>_xlfn.IFNA(INDEX('OSA | 3GB'!J:L,MATCH(DATA!D1248,'OSA | 3GB'!J:J,0),2),0)</f>
        <v>0</v>
      </c>
      <c r="G1248" s="8">
        <f>_xlfn.IFNA(INDEX('OSA | 3GB'!J:L,MATCH(DATA!D1248,'OSA | 3GB'!J:J,0),3),0)</f>
        <v>300000</v>
      </c>
      <c r="H1248" s="32" t="str">
        <f>_xlfn.IFNA(INDEX('OSA | 3GB'!A:C,MATCH(DATA!D1248,'OSA | 3GB'!A:A,0),2),0)</f>
        <v xml:space="preserve"> -   </v>
      </c>
      <c r="I1248" s="33">
        <f>_xlfn.IFNA(INDEX('OSA | 3GB'!A:C,MATCH(DATA!D1248,'OSA | 3GB'!A:A,0),3),0)</f>
        <v>250000</v>
      </c>
      <c r="J1248" s="33">
        <f>INDEX('BIO WAHYU'!B:G,MATCH(DATA!D1248,'BIO WAHYU'!B:B,0),5)</f>
        <v>0</v>
      </c>
      <c r="K1248" s="34">
        <f>INDEX('BIO WAHYU'!B:G,MATCH(DATA!D1248,'BIO WAHYU'!B:B,0),6)</f>
        <v>0</v>
      </c>
      <c r="L1248" s="35">
        <f>INDEX('BIO WAHYU'!B:H,MATCH(DATA!D1248,'BIO WAHYU'!B:B,0),7)</f>
        <v>0</v>
      </c>
      <c r="M1248" s="34">
        <f>INDEX('BIO WAHYU'!B:H,MATCH(DATA!D1248,'BIO WAHYU'!B:B,0),4)</f>
        <v>0</v>
      </c>
    </row>
    <row r="1249" spans="1:13">
      <c r="A1249" s="43" t="s">
        <v>1</v>
      </c>
      <c r="B1249" s="43" t="s">
        <v>4</v>
      </c>
      <c r="C1249" s="43" t="s">
        <v>1115</v>
      </c>
      <c r="D1249" s="10">
        <v>195514</v>
      </c>
      <c r="E1249" s="43" t="s">
        <v>10</v>
      </c>
      <c r="F1249" s="8">
        <f>_xlfn.IFNA(INDEX('OSA | 3GB'!J:L,MATCH(DATA!D1249,'OSA | 3GB'!J:J,0),2),0)</f>
        <v>3</v>
      </c>
      <c r="G1249" s="8">
        <f>_xlfn.IFNA(INDEX('OSA | 3GB'!J:L,MATCH(DATA!D1249,'OSA | 3GB'!J:J,0),3),0)</f>
        <v>86502</v>
      </c>
      <c r="H1249" s="32">
        <f>_xlfn.IFNA(INDEX('OSA | 3GB'!A:C,MATCH(DATA!D1249,'OSA | 3GB'!A:A,0),2),0)</f>
        <v>5</v>
      </c>
      <c r="I1249" s="33" t="str">
        <f>_xlfn.IFNA(INDEX('OSA | 3GB'!A:C,MATCH(DATA!D1249,'OSA | 3GB'!A:A,0),3),0)</f>
        <v xml:space="preserve"> -   </v>
      </c>
      <c r="J1249" s="33">
        <f>INDEX('BIO WAHYU'!B:G,MATCH(DATA!D1249,'BIO WAHYU'!B:B,0),5)</f>
        <v>5</v>
      </c>
      <c r="K1249" s="34">
        <f>INDEX('BIO WAHYU'!B:G,MATCH(DATA!D1249,'BIO WAHYU'!B:B,0),6)</f>
        <v>5</v>
      </c>
      <c r="L1249" s="35">
        <f>INDEX('BIO WAHYU'!B:H,MATCH(DATA!D1249,'BIO WAHYU'!B:B,0),7)</f>
        <v>0</v>
      </c>
      <c r="M1249" s="34">
        <f>INDEX('BIO WAHYU'!B:H,MATCH(DATA!D1249,'BIO WAHYU'!B:B,0),4)</f>
        <v>0</v>
      </c>
    </row>
    <row r="1250" spans="1:13">
      <c r="A1250" s="43" t="s">
        <v>1671</v>
      </c>
      <c r="B1250" s="43" t="s">
        <v>142</v>
      </c>
      <c r="C1250" s="43" t="s">
        <v>369</v>
      </c>
      <c r="D1250" s="10">
        <v>547197</v>
      </c>
      <c r="E1250" s="43" t="s">
        <v>10</v>
      </c>
      <c r="F1250" s="8">
        <f>_xlfn.IFNA(INDEX('OSA | 3GB'!J:L,MATCH(DATA!D1250,'OSA | 3GB'!J:J,0),2),0)</f>
        <v>2</v>
      </c>
      <c r="G1250" s="8">
        <f>_xlfn.IFNA(INDEX('OSA | 3GB'!J:L,MATCH(DATA!D1250,'OSA | 3GB'!J:J,0),3),0)</f>
        <v>1550000</v>
      </c>
      <c r="H1250" s="32" t="str">
        <f>_xlfn.IFNA(INDEX('OSA | 3GB'!A:C,MATCH(DATA!D1250,'OSA | 3GB'!A:A,0),2),0)</f>
        <v xml:space="preserve"> -   </v>
      </c>
      <c r="I1250" s="33">
        <f>_xlfn.IFNA(INDEX('OSA | 3GB'!A:C,MATCH(DATA!D1250,'OSA | 3GB'!A:A,0),3),0)</f>
        <v>300000</v>
      </c>
      <c r="J1250" s="33">
        <f>INDEX('BIO WAHYU'!B:G,MATCH(DATA!D1250,'BIO WAHYU'!B:B,0),5)</f>
        <v>3</v>
      </c>
      <c r="K1250" s="34">
        <f>INDEX('BIO WAHYU'!B:G,MATCH(DATA!D1250,'BIO WAHYU'!B:B,0),6)</f>
        <v>2</v>
      </c>
      <c r="L1250" s="35">
        <f>INDEX('BIO WAHYU'!B:H,MATCH(DATA!D1250,'BIO WAHYU'!B:B,0),7)</f>
        <v>0</v>
      </c>
      <c r="M1250" s="34">
        <f>INDEX('BIO WAHYU'!B:H,MATCH(DATA!D1250,'BIO WAHYU'!B:B,0),4)</f>
        <v>0</v>
      </c>
    </row>
    <row r="1251" spans="1:13">
      <c r="A1251" s="43" t="s">
        <v>1673</v>
      </c>
      <c r="B1251" s="43" t="s">
        <v>141</v>
      </c>
      <c r="C1251" s="43" t="s">
        <v>1534</v>
      </c>
      <c r="D1251" s="10">
        <v>347687</v>
      </c>
      <c r="E1251" s="43" t="s">
        <v>10</v>
      </c>
      <c r="F1251" s="8">
        <f>_xlfn.IFNA(INDEX('OSA | 3GB'!J:L,MATCH(DATA!D1251,'OSA | 3GB'!J:J,0),2),0)</f>
        <v>25</v>
      </c>
      <c r="G1251" s="8">
        <f>_xlfn.IFNA(INDEX('OSA | 3GB'!J:L,MATCH(DATA!D1251,'OSA | 3GB'!J:J,0),3),0)</f>
        <v>1787000</v>
      </c>
      <c r="H1251" s="32" t="str">
        <f>_xlfn.IFNA(INDEX('OSA | 3GB'!A:C,MATCH(DATA!D1251,'OSA | 3GB'!A:A,0),2),0)</f>
        <v xml:space="preserve"> -   </v>
      </c>
      <c r="I1251" s="33">
        <f>_xlfn.IFNA(INDEX('OSA | 3GB'!A:C,MATCH(DATA!D1251,'OSA | 3GB'!A:A,0),3),0)</f>
        <v>500000</v>
      </c>
      <c r="J1251" s="33">
        <f>INDEX('BIO WAHYU'!B:G,MATCH(DATA!D1251,'BIO WAHYU'!B:B,0),5)</f>
        <v>8</v>
      </c>
      <c r="K1251" s="34">
        <f>INDEX('BIO WAHYU'!B:G,MATCH(DATA!D1251,'BIO WAHYU'!B:B,0),6)</f>
        <v>0</v>
      </c>
      <c r="L1251" s="35">
        <f>INDEX('BIO WAHYU'!B:H,MATCH(DATA!D1251,'BIO WAHYU'!B:B,0),7)</f>
        <v>0</v>
      </c>
      <c r="M1251" s="34">
        <f>INDEX('BIO WAHYU'!B:H,MATCH(DATA!D1251,'BIO WAHYU'!B:B,0),4)</f>
        <v>0</v>
      </c>
    </row>
    <row r="1252" spans="1:13">
      <c r="A1252" s="43" t="s">
        <v>1670</v>
      </c>
      <c r="B1252" s="43" t="s">
        <v>140</v>
      </c>
      <c r="C1252" s="43" t="s">
        <v>1535</v>
      </c>
      <c r="D1252" s="10">
        <v>199082</v>
      </c>
      <c r="E1252" s="43" t="s">
        <v>10</v>
      </c>
      <c r="F1252" s="8">
        <f>_xlfn.IFNA(INDEX('OSA | 3GB'!J:L,MATCH(DATA!D1252,'OSA | 3GB'!J:J,0),2),0)</f>
        <v>0</v>
      </c>
      <c r="G1252" s="8">
        <f>_xlfn.IFNA(INDEX('OSA | 3GB'!J:L,MATCH(DATA!D1252,'OSA | 3GB'!J:J,0),3),0)</f>
        <v>200000</v>
      </c>
      <c r="H1252" s="32" t="str">
        <f>_xlfn.IFNA(INDEX('OSA | 3GB'!A:C,MATCH(DATA!D1252,'OSA | 3GB'!A:A,0),2),0)</f>
        <v xml:space="preserve"> -   </v>
      </c>
      <c r="I1252" s="33">
        <f>_xlfn.IFNA(INDEX('OSA | 3GB'!A:C,MATCH(DATA!D1252,'OSA | 3GB'!A:A,0),3),0)</f>
        <v>100000</v>
      </c>
      <c r="J1252" s="33">
        <f>INDEX('BIO WAHYU'!B:G,MATCH(DATA!D1252,'BIO WAHYU'!B:B,0),5)</f>
        <v>2</v>
      </c>
      <c r="K1252" s="34">
        <f>INDEX('BIO WAHYU'!B:G,MATCH(DATA!D1252,'BIO WAHYU'!B:B,0),6)</f>
        <v>0</v>
      </c>
      <c r="L1252" s="35">
        <f>INDEX('BIO WAHYU'!B:H,MATCH(DATA!D1252,'BIO WAHYU'!B:B,0),7)</f>
        <v>0</v>
      </c>
      <c r="M1252" s="34">
        <f>INDEX('BIO WAHYU'!B:H,MATCH(DATA!D1252,'BIO WAHYU'!B:B,0),4)</f>
        <v>0</v>
      </c>
    </row>
    <row r="1253" spans="1:13">
      <c r="A1253" s="43" t="s">
        <v>1674</v>
      </c>
      <c r="B1253" s="43" t="s">
        <v>153</v>
      </c>
      <c r="C1253" s="43" t="s">
        <v>721</v>
      </c>
      <c r="D1253" s="10">
        <v>277093</v>
      </c>
      <c r="E1253" s="43" t="s">
        <v>10</v>
      </c>
      <c r="F1253" s="8">
        <f>_xlfn.IFNA(INDEX('OSA | 3GB'!J:L,MATCH(DATA!D1253,'OSA | 3GB'!J:J,0),2),0)</f>
        <v>3</v>
      </c>
      <c r="G1253" s="8">
        <f>_xlfn.IFNA(INDEX('OSA | 3GB'!J:L,MATCH(DATA!D1253,'OSA | 3GB'!J:J,0),3),0)</f>
        <v>1500000</v>
      </c>
      <c r="H1253" s="32" t="str">
        <f>_xlfn.IFNA(INDEX('OSA | 3GB'!A:C,MATCH(DATA!D1253,'OSA | 3GB'!A:A,0),2),0)</f>
        <v xml:space="preserve"> -   </v>
      </c>
      <c r="I1253" s="33">
        <f>_xlfn.IFNA(INDEX('OSA | 3GB'!A:C,MATCH(DATA!D1253,'OSA | 3GB'!A:A,0),3),0)</f>
        <v>200000</v>
      </c>
      <c r="J1253" s="33">
        <f>INDEX('BIO WAHYU'!B:G,MATCH(DATA!D1253,'BIO WAHYU'!B:B,0),5)</f>
        <v>4</v>
      </c>
      <c r="K1253" s="34">
        <f>INDEX('BIO WAHYU'!B:G,MATCH(DATA!D1253,'BIO WAHYU'!B:B,0),6)</f>
        <v>0</v>
      </c>
      <c r="L1253" s="35">
        <f>INDEX('BIO WAHYU'!B:H,MATCH(DATA!D1253,'BIO WAHYU'!B:B,0),7)</f>
        <v>0</v>
      </c>
      <c r="M1253" s="34">
        <f>INDEX('BIO WAHYU'!B:H,MATCH(DATA!D1253,'BIO WAHYU'!B:B,0),4)</f>
        <v>0</v>
      </c>
    </row>
    <row r="1254" spans="1:13">
      <c r="A1254" s="43" t="s">
        <v>1670</v>
      </c>
      <c r="B1254" s="43" t="s">
        <v>146</v>
      </c>
      <c r="C1254" s="43" t="s">
        <v>1536</v>
      </c>
      <c r="D1254" s="10">
        <v>61917</v>
      </c>
      <c r="E1254" s="43" t="s">
        <v>10</v>
      </c>
      <c r="F1254" s="8">
        <f>_xlfn.IFNA(INDEX('OSA | 3GB'!J:L,MATCH(DATA!D1254,'OSA | 3GB'!J:J,0),2),0)</f>
        <v>3</v>
      </c>
      <c r="G1254" s="8">
        <f>_xlfn.IFNA(INDEX('OSA | 3GB'!J:L,MATCH(DATA!D1254,'OSA | 3GB'!J:J,0),3),0)</f>
        <v>15819000</v>
      </c>
      <c r="H1254" s="32">
        <f>_xlfn.IFNA(INDEX('OSA | 3GB'!A:C,MATCH(DATA!D1254,'OSA | 3GB'!A:A,0),2),0)</f>
        <v>5</v>
      </c>
      <c r="I1254" s="33">
        <f>_xlfn.IFNA(INDEX('OSA | 3GB'!A:C,MATCH(DATA!D1254,'OSA | 3GB'!A:A,0),3),0)</f>
        <v>6145000</v>
      </c>
      <c r="J1254" s="33">
        <f>INDEX('BIO WAHYU'!B:G,MATCH(DATA!D1254,'BIO WAHYU'!B:B,0),5)</f>
        <v>9</v>
      </c>
      <c r="K1254" s="34">
        <f>INDEX('BIO WAHYU'!B:G,MATCH(DATA!D1254,'BIO WAHYU'!B:B,0),6)</f>
        <v>5</v>
      </c>
      <c r="L1254" s="35">
        <f>INDEX('BIO WAHYU'!B:H,MATCH(DATA!D1254,'BIO WAHYU'!B:B,0),7)</f>
        <v>0</v>
      </c>
      <c r="M1254" s="34">
        <f>INDEX('BIO WAHYU'!B:H,MATCH(DATA!D1254,'BIO WAHYU'!B:B,0),4)</f>
        <v>0</v>
      </c>
    </row>
    <row r="1255" spans="1:13">
      <c r="A1255" s="43" t="s">
        <v>1674</v>
      </c>
      <c r="B1255" s="43" t="s">
        <v>152</v>
      </c>
      <c r="C1255" s="43" t="s">
        <v>1537</v>
      </c>
      <c r="D1255" s="10">
        <v>535514</v>
      </c>
      <c r="E1255" s="43" t="s">
        <v>10</v>
      </c>
      <c r="F1255" s="8">
        <f>_xlfn.IFNA(INDEX('OSA | 3GB'!J:L,MATCH(DATA!D1255,'OSA | 3GB'!J:J,0),2),0)</f>
        <v>0</v>
      </c>
      <c r="G1255" s="8">
        <f>_xlfn.IFNA(INDEX('OSA | 3GB'!J:L,MATCH(DATA!D1255,'OSA | 3GB'!J:J,0),3),0)</f>
        <v>0</v>
      </c>
      <c r="H1255" s="32">
        <f>_xlfn.IFNA(INDEX('OSA | 3GB'!A:C,MATCH(DATA!D1255,'OSA | 3GB'!A:A,0),2),0)</f>
        <v>6</v>
      </c>
      <c r="I1255" s="33">
        <f>_xlfn.IFNA(INDEX('OSA | 3GB'!A:C,MATCH(DATA!D1255,'OSA | 3GB'!A:A,0),3),0)</f>
        <v>174000</v>
      </c>
      <c r="J1255" s="33">
        <f>INDEX('BIO WAHYU'!B:G,MATCH(DATA!D1255,'BIO WAHYU'!B:B,0),5)</f>
        <v>0</v>
      </c>
      <c r="K1255" s="34">
        <f>INDEX('BIO WAHYU'!B:G,MATCH(DATA!D1255,'BIO WAHYU'!B:B,0),6)</f>
        <v>3</v>
      </c>
      <c r="L1255" s="35">
        <f>INDEX('BIO WAHYU'!B:H,MATCH(DATA!D1255,'BIO WAHYU'!B:B,0),7)</f>
        <v>3</v>
      </c>
      <c r="M1255" s="34">
        <f>INDEX('BIO WAHYU'!B:H,MATCH(DATA!D1255,'BIO WAHYU'!B:B,0),4)</f>
        <v>1</v>
      </c>
    </row>
    <row r="1256" spans="1:13">
      <c r="A1256" s="43" t="s">
        <v>1672</v>
      </c>
      <c r="B1256" s="43" t="s">
        <v>155</v>
      </c>
      <c r="C1256" s="43" t="s">
        <v>1538</v>
      </c>
      <c r="D1256" s="10">
        <v>61788</v>
      </c>
      <c r="E1256" s="43" t="s">
        <v>10</v>
      </c>
      <c r="F1256" s="8">
        <f>_xlfn.IFNA(INDEX('OSA | 3GB'!J:L,MATCH(DATA!D1256,'OSA | 3GB'!J:J,0),2),0)</f>
        <v>4</v>
      </c>
      <c r="G1256" s="8">
        <f>_xlfn.IFNA(INDEX('OSA | 3GB'!J:L,MATCH(DATA!D1256,'OSA | 3GB'!J:J,0),3),0)</f>
        <v>300000</v>
      </c>
      <c r="H1256" s="32" t="str">
        <f>_xlfn.IFNA(INDEX('OSA | 3GB'!A:C,MATCH(DATA!D1256,'OSA | 3GB'!A:A,0),2),0)</f>
        <v xml:space="preserve"> -   </v>
      </c>
      <c r="I1256" s="33" t="str">
        <f>_xlfn.IFNA(INDEX('OSA | 3GB'!A:C,MATCH(DATA!D1256,'OSA | 3GB'!A:A,0),3),0)</f>
        <v xml:space="preserve"> -   </v>
      </c>
      <c r="J1256" s="33">
        <f>INDEX('BIO WAHYU'!B:G,MATCH(DATA!D1256,'BIO WAHYU'!B:B,0),5)</f>
        <v>0</v>
      </c>
      <c r="K1256" s="34">
        <f>INDEX('BIO WAHYU'!B:G,MATCH(DATA!D1256,'BIO WAHYU'!B:B,0),6)</f>
        <v>0</v>
      </c>
      <c r="L1256" s="35">
        <f>INDEX('BIO WAHYU'!B:H,MATCH(DATA!D1256,'BIO WAHYU'!B:B,0),7)</f>
        <v>0</v>
      </c>
      <c r="M1256" s="34">
        <f>INDEX('BIO WAHYU'!B:H,MATCH(DATA!D1256,'BIO WAHYU'!B:B,0),4)</f>
        <v>0</v>
      </c>
    </row>
    <row r="1257" spans="1:13">
      <c r="A1257" s="43" t="s">
        <v>1</v>
      </c>
      <c r="B1257" s="43" t="s">
        <v>5</v>
      </c>
      <c r="C1257" s="43" t="s">
        <v>105</v>
      </c>
      <c r="D1257" s="10">
        <v>530334</v>
      </c>
      <c r="E1257" s="43" t="s">
        <v>10</v>
      </c>
      <c r="F1257" s="8">
        <f>_xlfn.IFNA(INDEX('OSA | 3GB'!J:L,MATCH(DATA!D1257,'OSA | 3GB'!J:J,0),2),0)</f>
        <v>0</v>
      </c>
      <c r="G1257" s="8">
        <f>_xlfn.IFNA(INDEX('OSA | 3GB'!J:L,MATCH(DATA!D1257,'OSA | 3GB'!J:J,0),3),0)</f>
        <v>1250000</v>
      </c>
      <c r="H1257" s="32" t="str">
        <f>_xlfn.IFNA(INDEX('OSA | 3GB'!A:C,MATCH(DATA!D1257,'OSA | 3GB'!A:A,0),2),0)</f>
        <v xml:space="preserve"> -   </v>
      </c>
      <c r="I1257" s="33">
        <f>_xlfn.IFNA(INDEX('OSA | 3GB'!A:C,MATCH(DATA!D1257,'OSA | 3GB'!A:A,0),3),0)</f>
        <v>350000</v>
      </c>
      <c r="J1257" s="33">
        <f>INDEX('BIO WAHYU'!B:G,MATCH(DATA!D1257,'BIO WAHYU'!B:B,0),5)</f>
        <v>4</v>
      </c>
      <c r="K1257" s="34">
        <f>INDEX('BIO WAHYU'!B:G,MATCH(DATA!D1257,'BIO WAHYU'!B:B,0),6)</f>
        <v>1</v>
      </c>
      <c r="L1257" s="35">
        <f>INDEX('BIO WAHYU'!B:H,MATCH(DATA!D1257,'BIO WAHYU'!B:B,0),7)</f>
        <v>0</v>
      </c>
      <c r="M1257" s="34">
        <f>INDEX('BIO WAHYU'!B:H,MATCH(DATA!D1257,'BIO WAHYU'!B:B,0),4)</f>
        <v>0</v>
      </c>
    </row>
    <row r="1258" spans="1:13">
      <c r="A1258" s="43" t="s">
        <v>1672</v>
      </c>
      <c r="B1258" s="43" t="s">
        <v>156</v>
      </c>
      <c r="C1258" s="43" t="s">
        <v>987</v>
      </c>
      <c r="D1258" s="10">
        <v>404185</v>
      </c>
      <c r="E1258" s="43" t="s">
        <v>10</v>
      </c>
      <c r="F1258" s="8">
        <f>_xlfn.IFNA(INDEX('OSA | 3GB'!J:L,MATCH(DATA!D1258,'OSA | 3GB'!J:J,0),2),0)</f>
        <v>0</v>
      </c>
      <c r="G1258" s="8">
        <f>_xlfn.IFNA(INDEX('OSA | 3GB'!J:L,MATCH(DATA!D1258,'OSA | 3GB'!J:J,0),3),0)</f>
        <v>1000000</v>
      </c>
      <c r="H1258" s="32" t="str">
        <f>_xlfn.IFNA(INDEX('OSA | 3GB'!A:C,MATCH(DATA!D1258,'OSA | 3GB'!A:A,0),2),0)</f>
        <v xml:space="preserve"> -   </v>
      </c>
      <c r="I1258" s="33" t="str">
        <f>_xlfn.IFNA(INDEX('OSA | 3GB'!A:C,MATCH(DATA!D1258,'OSA | 3GB'!A:A,0),3),0)</f>
        <v xml:space="preserve"> -   </v>
      </c>
      <c r="J1258" s="33">
        <f>INDEX('BIO WAHYU'!B:G,MATCH(DATA!D1258,'BIO WAHYU'!B:B,0),5)</f>
        <v>0</v>
      </c>
      <c r="K1258" s="34">
        <f>INDEX('BIO WAHYU'!B:G,MATCH(DATA!D1258,'BIO WAHYU'!B:B,0),6)</f>
        <v>0</v>
      </c>
      <c r="L1258" s="35">
        <f>INDEX('BIO WAHYU'!B:H,MATCH(DATA!D1258,'BIO WAHYU'!B:B,0),7)</f>
        <v>0</v>
      </c>
      <c r="M1258" s="34">
        <f>INDEX('BIO WAHYU'!B:H,MATCH(DATA!D1258,'BIO WAHYU'!B:B,0),4)</f>
        <v>0</v>
      </c>
    </row>
    <row r="1259" spans="1:13">
      <c r="A1259" s="43" t="s">
        <v>1671</v>
      </c>
      <c r="B1259" s="43" t="s">
        <v>142</v>
      </c>
      <c r="C1259" s="43" t="s">
        <v>1539</v>
      </c>
      <c r="D1259" s="10">
        <v>62403</v>
      </c>
      <c r="E1259" s="43" t="s">
        <v>15</v>
      </c>
      <c r="F1259" s="8">
        <f>_xlfn.IFNA(INDEX('OSA | 3GB'!J:L,MATCH(DATA!D1259,'OSA | 3GB'!J:J,0),2),0)</f>
        <v>1</v>
      </c>
      <c r="G1259" s="8">
        <f>_xlfn.IFNA(INDEX('OSA | 3GB'!J:L,MATCH(DATA!D1259,'OSA | 3GB'!J:J,0),3),0)</f>
        <v>30129000</v>
      </c>
      <c r="H1259" s="32" t="str">
        <f>_xlfn.IFNA(INDEX('OSA | 3GB'!A:C,MATCH(DATA!D1259,'OSA | 3GB'!A:A,0),2),0)</f>
        <v xml:space="preserve"> -   </v>
      </c>
      <c r="I1259" s="33">
        <f>_xlfn.IFNA(INDEX('OSA | 3GB'!A:C,MATCH(DATA!D1259,'OSA | 3GB'!A:A,0),3),0)</f>
        <v>5250000</v>
      </c>
      <c r="J1259" s="33">
        <f>INDEX('BIO WAHYU'!B:G,MATCH(DATA!D1259,'BIO WAHYU'!B:B,0),5)</f>
        <v>2</v>
      </c>
      <c r="K1259" s="34">
        <f>INDEX('BIO WAHYU'!B:G,MATCH(DATA!D1259,'BIO WAHYU'!B:B,0),6)</f>
        <v>1</v>
      </c>
      <c r="L1259" s="35">
        <f>INDEX('BIO WAHYU'!B:H,MATCH(DATA!D1259,'BIO WAHYU'!B:B,0),7)</f>
        <v>0</v>
      </c>
      <c r="M1259" s="34">
        <f>INDEX('BIO WAHYU'!B:H,MATCH(DATA!D1259,'BIO WAHYU'!B:B,0),4)</f>
        <v>0</v>
      </c>
    </row>
    <row r="1260" spans="1:13">
      <c r="A1260" s="43" t="s">
        <v>1672</v>
      </c>
      <c r="B1260" s="43" t="s">
        <v>157</v>
      </c>
      <c r="C1260" s="43" t="s">
        <v>159</v>
      </c>
      <c r="D1260" s="10">
        <v>12314920</v>
      </c>
      <c r="E1260" s="43" t="s">
        <v>10</v>
      </c>
      <c r="F1260" s="8">
        <f>_xlfn.IFNA(INDEX('OSA | 3GB'!J:L,MATCH(DATA!D1260,'OSA | 3GB'!J:J,0),2),0)</f>
        <v>2</v>
      </c>
      <c r="G1260" s="8">
        <f>_xlfn.IFNA(INDEX('OSA | 3GB'!J:L,MATCH(DATA!D1260,'OSA | 3GB'!J:J,0),3),0)</f>
        <v>1950000</v>
      </c>
      <c r="H1260" s="32" t="str">
        <f>_xlfn.IFNA(INDEX('OSA | 3GB'!A:C,MATCH(DATA!D1260,'OSA | 3GB'!A:A,0),2),0)</f>
        <v xml:space="preserve"> -   </v>
      </c>
      <c r="I1260" s="33">
        <f>_xlfn.IFNA(INDEX('OSA | 3GB'!A:C,MATCH(DATA!D1260,'OSA | 3GB'!A:A,0),3),0)</f>
        <v>450000</v>
      </c>
      <c r="J1260" s="33">
        <f>INDEX('BIO WAHYU'!B:G,MATCH(DATA!D1260,'BIO WAHYU'!B:B,0),5)</f>
        <v>4</v>
      </c>
      <c r="K1260" s="34">
        <f>INDEX('BIO WAHYU'!B:G,MATCH(DATA!D1260,'BIO WAHYU'!B:B,0),6)</f>
        <v>3</v>
      </c>
      <c r="L1260" s="35">
        <f>INDEX('BIO WAHYU'!B:H,MATCH(DATA!D1260,'BIO WAHYU'!B:B,0),7)</f>
        <v>0</v>
      </c>
      <c r="M1260" s="34">
        <f>INDEX('BIO WAHYU'!B:H,MATCH(DATA!D1260,'BIO WAHYU'!B:B,0),4)</f>
        <v>0</v>
      </c>
    </row>
    <row r="1261" spans="1:13">
      <c r="A1261" s="43" t="s">
        <v>1672</v>
      </c>
      <c r="B1261" s="43" t="s">
        <v>156</v>
      </c>
      <c r="C1261" s="43" t="s">
        <v>1540</v>
      </c>
      <c r="D1261" s="10">
        <v>281759</v>
      </c>
      <c r="E1261" s="43" t="s">
        <v>10</v>
      </c>
      <c r="F1261" s="8">
        <f>_xlfn.IFNA(INDEX('OSA | 3GB'!J:L,MATCH(DATA!D1261,'OSA | 3GB'!J:J,0),2),0)</f>
        <v>0</v>
      </c>
      <c r="G1261" s="8">
        <f>_xlfn.IFNA(INDEX('OSA | 3GB'!J:L,MATCH(DATA!D1261,'OSA | 3GB'!J:J,0),3),0)</f>
        <v>13350000</v>
      </c>
      <c r="H1261" s="32" t="str">
        <f>_xlfn.IFNA(INDEX('OSA | 3GB'!A:C,MATCH(DATA!D1261,'OSA | 3GB'!A:A,0),2),0)</f>
        <v xml:space="preserve"> -   </v>
      </c>
      <c r="I1261" s="33">
        <f>_xlfn.IFNA(INDEX('OSA | 3GB'!A:C,MATCH(DATA!D1261,'OSA | 3GB'!A:A,0),3),0)</f>
        <v>3500000</v>
      </c>
      <c r="J1261" s="33">
        <f>INDEX('BIO WAHYU'!B:G,MATCH(DATA!D1261,'BIO WAHYU'!B:B,0),5)</f>
        <v>4</v>
      </c>
      <c r="K1261" s="34">
        <f>INDEX('BIO WAHYU'!B:G,MATCH(DATA!D1261,'BIO WAHYU'!B:B,0),6)</f>
        <v>1</v>
      </c>
      <c r="L1261" s="35">
        <f>INDEX('BIO WAHYU'!B:H,MATCH(DATA!D1261,'BIO WAHYU'!B:B,0),7)</f>
        <v>0</v>
      </c>
      <c r="M1261" s="34">
        <f>INDEX('BIO WAHYU'!B:H,MATCH(DATA!D1261,'BIO WAHYU'!B:B,0),4)</f>
        <v>0</v>
      </c>
    </row>
    <row r="1262" spans="1:13">
      <c r="A1262" s="43" t="s">
        <v>1670</v>
      </c>
      <c r="B1262" s="43" t="s">
        <v>145</v>
      </c>
      <c r="C1262" s="43" t="s">
        <v>486</v>
      </c>
      <c r="D1262" s="10">
        <v>12320367</v>
      </c>
      <c r="E1262" s="43" t="s">
        <v>10</v>
      </c>
      <c r="F1262" s="8">
        <f>_xlfn.IFNA(INDEX('OSA | 3GB'!J:L,MATCH(DATA!D1262,'OSA | 3GB'!J:J,0),2),0)</f>
        <v>2</v>
      </c>
      <c r="G1262" s="8">
        <f>_xlfn.IFNA(INDEX('OSA | 3GB'!J:L,MATCH(DATA!D1262,'OSA | 3GB'!J:J,0),3),0)</f>
        <v>1500000</v>
      </c>
      <c r="H1262" s="32" t="str">
        <f>_xlfn.IFNA(INDEX('OSA | 3GB'!A:C,MATCH(DATA!D1262,'OSA | 3GB'!A:A,0),2),0)</f>
        <v xml:space="preserve"> -   </v>
      </c>
      <c r="I1262" s="33">
        <f>_xlfn.IFNA(INDEX('OSA | 3GB'!A:C,MATCH(DATA!D1262,'OSA | 3GB'!A:A,0),3),0)</f>
        <v>400000</v>
      </c>
      <c r="J1262" s="33">
        <f>INDEX('BIO WAHYU'!B:G,MATCH(DATA!D1262,'BIO WAHYU'!B:B,0),5)</f>
        <v>3</v>
      </c>
      <c r="K1262" s="34">
        <f>INDEX('BIO WAHYU'!B:G,MATCH(DATA!D1262,'BIO WAHYU'!B:B,0),6)</f>
        <v>0</v>
      </c>
      <c r="L1262" s="35">
        <f>INDEX('BIO WAHYU'!B:H,MATCH(DATA!D1262,'BIO WAHYU'!B:B,0),7)</f>
        <v>0</v>
      </c>
      <c r="M1262" s="34">
        <f>INDEX('BIO WAHYU'!B:H,MATCH(DATA!D1262,'BIO WAHYU'!B:B,0),4)</f>
        <v>0</v>
      </c>
    </row>
    <row r="1263" spans="1:13">
      <c r="A1263" s="43" t="s">
        <v>1</v>
      </c>
      <c r="B1263" s="43" t="s">
        <v>5</v>
      </c>
      <c r="C1263" s="43" t="s">
        <v>89</v>
      </c>
      <c r="D1263" s="10">
        <v>199020</v>
      </c>
      <c r="E1263" s="43" t="s">
        <v>10</v>
      </c>
      <c r="F1263" s="8">
        <f>_xlfn.IFNA(INDEX('OSA | 3GB'!J:L,MATCH(DATA!D1263,'OSA | 3GB'!J:J,0),2),0)</f>
        <v>0</v>
      </c>
      <c r="G1263" s="8">
        <f>_xlfn.IFNA(INDEX('OSA | 3GB'!J:L,MATCH(DATA!D1263,'OSA | 3GB'!J:J,0),3),0)</f>
        <v>900000</v>
      </c>
      <c r="H1263" s="32" t="str">
        <f>_xlfn.IFNA(INDEX('OSA | 3GB'!A:C,MATCH(DATA!D1263,'OSA | 3GB'!A:A,0),2),0)</f>
        <v xml:space="preserve"> -   </v>
      </c>
      <c r="I1263" s="33">
        <f>_xlfn.IFNA(INDEX('OSA | 3GB'!A:C,MATCH(DATA!D1263,'OSA | 3GB'!A:A,0),3),0)</f>
        <v>200000</v>
      </c>
      <c r="J1263" s="33">
        <f>INDEX('BIO WAHYU'!B:G,MATCH(DATA!D1263,'BIO WAHYU'!B:B,0),5)</f>
        <v>1</v>
      </c>
      <c r="K1263" s="34">
        <f>INDEX('BIO WAHYU'!B:G,MATCH(DATA!D1263,'BIO WAHYU'!B:B,0),6)</f>
        <v>1</v>
      </c>
      <c r="L1263" s="35">
        <f>INDEX('BIO WAHYU'!B:H,MATCH(DATA!D1263,'BIO WAHYU'!B:B,0),7)</f>
        <v>0</v>
      </c>
      <c r="M1263" s="34">
        <f>INDEX('BIO WAHYU'!B:H,MATCH(DATA!D1263,'BIO WAHYU'!B:B,0),4)</f>
        <v>0</v>
      </c>
    </row>
    <row r="1264" spans="1:13">
      <c r="A1264" s="43" t="s">
        <v>1673</v>
      </c>
      <c r="B1264" s="43" t="s">
        <v>1136</v>
      </c>
      <c r="C1264" s="43" t="s">
        <v>1541</v>
      </c>
      <c r="D1264" s="10">
        <v>12327841</v>
      </c>
      <c r="E1264" s="43" t="s">
        <v>10</v>
      </c>
      <c r="F1264" s="8">
        <f>_xlfn.IFNA(INDEX('OSA | 3GB'!J:L,MATCH(DATA!D1264,'OSA | 3GB'!J:J,0),2),0)</f>
        <v>3</v>
      </c>
      <c r="G1264" s="8">
        <f>_xlfn.IFNA(INDEX('OSA | 3GB'!J:L,MATCH(DATA!D1264,'OSA | 3GB'!J:J,0),3),0)</f>
        <v>250000</v>
      </c>
      <c r="H1264" s="32" t="str">
        <f>_xlfn.IFNA(INDEX('OSA | 3GB'!A:C,MATCH(DATA!D1264,'OSA | 3GB'!A:A,0),2),0)</f>
        <v xml:space="preserve"> -   </v>
      </c>
      <c r="I1264" s="33">
        <f>_xlfn.IFNA(INDEX('OSA | 3GB'!A:C,MATCH(DATA!D1264,'OSA | 3GB'!A:A,0),3),0)</f>
        <v>200000</v>
      </c>
      <c r="J1264" s="33">
        <f>INDEX('BIO WAHYU'!B:G,MATCH(DATA!D1264,'BIO WAHYU'!B:B,0),5)</f>
        <v>3</v>
      </c>
      <c r="K1264" s="34">
        <f>INDEX('BIO WAHYU'!B:G,MATCH(DATA!D1264,'BIO WAHYU'!B:B,0),6)</f>
        <v>1</v>
      </c>
      <c r="L1264" s="35">
        <f>INDEX('BIO WAHYU'!B:H,MATCH(DATA!D1264,'BIO WAHYU'!B:B,0),7)</f>
        <v>0</v>
      </c>
      <c r="M1264" s="34">
        <f>INDEX('BIO WAHYU'!B:H,MATCH(DATA!D1264,'BIO WAHYU'!B:B,0),4)</f>
        <v>0</v>
      </c>
    </row>
    <row r="1265" spans="1:13">
      <c r="A1265" s="43" t="s">
        <v>1675</v>
      </c>
      <c r="B1265" s="43">
        <v>2613051451</v>
      </c>
      <c r="C1265" s="43" t="s">
        <v>378</v>
      </c>
      <c r="D1265" s="10">
        <v>12300880</v>
      </c>
      <c r="E1265" s="43" t="s">
        <v>10</v>
      </c>
      <c r="F1265" s="8">
        <f>_xlfn.IFNA(INDEX('OSA | 3GB'!J:L,MATCH(DATA!D1265,'OSA | 3GB'!J:J,0),2),0)</f>
        <v>3</v>
      </c>
      <c r="G1265" s="8">
        <f>_xlfn.IFNA(INDEX('OSA | 3GB'!J:L,MATCH(DATA!D1265,'OSA | 3GB'!J:J,0),3),0)</f>
        <v>1000000</v>
      </c>
      <c r="H1265" s="32">
        <f>_xlfn.IFNA(INDEX('OSA | 3GB'!A:C,MATCH(DATA!D1265,'OSA | 3GB'!A:A,0),2),0)</f>
        <v>226</v>
      </c>
      <c r="I1265" s="33">
        <f>_xlfn.IFNA(INDEX('OSA | 3GB'!A:C,MATCH(DATA!D1265,'OSA | 3GB'!A:A,0),3),0)</f>
        <v>1179000</v>
      </c>
      <c r="J1265" s="33">
        <f>INDEX('BIO WAHYU'!B:G,MATCH(DATA!D1265,'BIO WAHYU'!B:B,0),5)</f>
        <v>3</v>
      </c>
      <c r="K1265" s="34">
        <f>INDEX('BIO WAHYU'!B:G,MATCH(DATA!D1265,'BIO WAHYU'!B:B,0),6)</f>
        <v>2</v>
      </c>
      <c r="L1265" s="35">
        <f>INDEX('BIO WAHYU'!B:H,MATCH(DATA!D1265,'BIO WAHYU'!B:B,0),7)</f>
        <v>0</v>
      </c>
      <c r="M1265" s="34">
        <f>INDEX('BIO WAHYU'!B:H,MATCH(DATA!D1265,'BIO WAHYU'!B:B,0),4)</f>
        <v>0</v>
      </c>
    </row>
    <row r="1266" spans="1:13">
      <c r="A1266" s="43" t="s">
        <v>1672</v>
      </c>
      <c r="B1266" s="43" t="s">
        <v>157</v>
      </c>
      <c r="C1266" s="43" t="s">
        <v>1042</v>
      </c>
      <c r="D1266" s="10">
        <v>350476</v>
      </c>
      <c r="E1266" s="43" t="s">
        <v>10</v>
      </c>
      <c r="F1266" s="8">
        <f>_xlfn.IFNA(INDEX('OSA | 3GB'!J:L,MATCH(DATA!D1266,'OSA | 3GB'!J:J,0),2),0)</f>
        <v>0</v>
      </c>
      <c r="G1266" s="8">
        <f>_xlfn.IFNA(INDEX('OSA | 3GB'!J:L,MATCH(DATA!D1266,'OSA | 3GB'!J:J,0),3),0)</f>
        <v>400000</v>
      </c>
      <c r="H1266" s="32">
        <f>_xlfn.IFNA(INDEX('OSA | 3GB'!A:C,MATCH(DATA!D1266,'OSA | 3GB'!A:A,0),2),0)</f>
        <v>3</v>
      </c>
      <c r="I1266" s="33">
        <f>_xlfn.IFNA(INDEX('OSA | 3GB'!A:C,MATCH(DATA!D1266,'OSA | 3GB'!A:A,0),3),0)</f>
        <v>287000</v>
      </c>
      <c r="J1266" s="33">
        <f>INDEX('BIO WAHYU'!B:G,MATCH(DATA!D1266,'BIO WAHYU'!B:B,0),5)</f>
        <v>0</v>
      </c>
      <c r="K1266" s="34">
        <f>INDEX('BIO WAHYU'!B:G,MATCH(DATA!D1266,'BIO WAHYU'!B:B,0),6)</f>
        <v>0</v>
      </c>
      <c r="L1266" s="35">
        <f>INDEX('BIO WAHYU'!B:H,MATCH(DATA!D1266,'BIO WAHYU'!B:B,0),7)</f>
        <v>0</v>
      </c>
      <c r="M1266" s="34">
        <f>INDEX('BIO WAHYU'!B:H,MATCH(DATA!D1266,'BIO WAHYU'!B:B,0),4)</f>
        <v>0</v>
      </c>
    </row>
    <row r="1267" spans="1:13">
      <c r="A1267" s="43" t="s">
        <v>1672</v>
      </c>
      <c r="B1267" s="43" t="s">
        <v>157</v>
      </c>
      <c r="C1267" s="43" t="s">
        <v>1021</v>
      </c>
      <c r="D1267" s="10">
        <v>12304208</v>
      </c>
      <c r="E1267" s="43" t="s">
        <v>10</v>
      </c>
      <c r="F1267" s="8">
        <f>_xlfn.IFNA(INDEX('OSA | 3GB'!J:L,MATCH(DATA!D1267,'OSA | 3GB'!J:J,0),2),0)</f>
        <v>3</v>
      </c>
      <c r="G1267" s="8">
        <f>_xlfn.IFNA(INDEX('OSA | 3GB'!J:L,MATCH(DATA!D1267,'OSA | 3GB'!J:J,0),3),0)</f>
        <v>1600000</v>
      </c>
      <c r="H1267" s="32" t="str">
        <f>_xlfn.IFNA(INDEX('OSA | 3GB'!A:C,MATCH(DATA!D1267,'OSA | 3GB'!A:A,0),2),0)</f>
        <v xml:space="preserve"> -   </v>
      </c>
      <c r="I1267" s="33">
        <f>_xlfn.IFNA(INDEX('OSA | 3GB'!A:C,MATCH(DATA!D1267,'OSA | 3GB'!A:A,0),3),0)</f>
        <v>800000</v>
      </c>
      <c r="J1267" s="33">
        <f>INDEX('BIO WAHYU'!B:G,MATCH(DATA!D1267,'BIO WAHYU'!B:B,0),5)</f>
        <v>1</v>
      </c>
      <c r="K1267" s="34">
        <f>INDEX('BIO WAHYU'!B:G,MATCH(DATA!D1267,'BIO WAHYU'!B:B,0),6)</f>
        <v>0</v>
      </c>
      <c r="L1267" s="35">
        <f>INDEX('BIO WAHYU'!B:H,MATCH(DATA!D1267,'BIO WAHYU'!B:B,0),7)</f>
        <v>0</v>
      </c>
      <c r="M1267" s="34">
        <f>INDEX('BIO WAHYU'!B:H,MATCH(DATA!D1267,'BIO WAHYU'!B:B,0),4)</f>
        <v>0</v>
      </c>
    </row>
    <row r="1268" spans="1:13">
      <c r="A1268" s="43" t="s">
        <v>1670</v>
      </c>
      <c r="B1268" s="43" t="s">
        <v>145</v>
      </c>
      <c r="C1268" s="43" t="s">
        <v>1542</v>
      </c>
      <c r="D1268" s="10">
        <v>496200</v>
      </c>
      <c r="E1268" s="43" t="s">
        <v>15</v>
      </c>
      <c r="F1268" s="8">
        <f>_xlfn.IFNA(INDEX('OSA | 3GB'!J:L,MATCH(DATA!D1268,'OSA | 3GB'!J:J,0),2),0)</f>
        <v>0</v>
      </c>
      <c r="G1268" s="8">
        <f>_xlfn.IFNA(INDEX('OSA | 3GB'!J:L,MATCH(DATA!D1268,'OSA | 3GB'!J:J,0),3),0)</f>
        <v>700000</v>
      </c>
      <c r="H1268" s="32">
        <f>_xlfn.IFNA(INDEX('OSA | 3GB'!A:C,MATCH(DATA!D1268,'OSA | 3GB'!A:A,0),2),0)</f>
        <v>3</v>
      </c>
      <c r="I1268" s="33">
        <f>_xlfn.IFNA(INDEX('OSA | 3GB'!A:C,MATCH(DATA!D1268,'OSA | 3GB'!A:A,0),3),0)</f>
        <v>550000</v>
      </c>
      <c r="J1268" s="33">
        <f>INDEX('BIO WAHYU'!B:G,MATCH(DATA!D1268,'BIO WAHYU'!B:B,0),5)</f>
        <v>3</v>
      </c>
      <c r="K1268" s="34">
        <f>INDEX('BIO WAHYU'!B:G,MATCH(DATA!D1268,'BIO WAHYU'!B:B,0),6)</f>
        <v>0</v>
      </c>
      <c r="L1268" s="35">
        <f>INDEX('BIO WAHYU'!B:H,MATCH(DATA!D1268,'BIO WAHYU'!B:B,0),7)</f>
        <v>0</v>
      </c>
      <c r="M1268" s="34">
        <f>INDEX('BIO WAHYU'!B:H,MATCH(DATA!D1268,'BIO WAHYU'!B:B,0),4)</f>
        <v>1</v>
      </c>
    </row>
    <row r="1269" spans="1:13">
      <c r="A1269" s="43" t="s">
        <v>1670</v>
      </c>
      <c r="B1269" s="43" t="s">
        <v>145</v>
      </c>
      <c r="C1269" s="43" t="s">
        <v>1543</v>
      </c>
      <c r="D1269" s="10">
        <v>256637</v>
      </c>
      <c r="E1269" s="43" t="s">
        <v>10</v>
      </c>
      <c r="F1269" s="8">
        <f>_xlfn.IFNA(INDEX('OSA | 3GB'!J:L,MATCH(DATA!D1269,'OSA | 3GB'!J:J,0),2),0)</f>
        <v>9</v>
      </c>
      <c r="G1269" s="8">
        <f>_xlfn.IFNA(INDEX('OSA | 3GB'!J:L,MATCH(DATA!D1269,'OSA | 3GB'!J:J,0),3),0)</f>
        <v>2300000</v>
      </c>
      <c r="H1269" s="32">
        <f>_xlfn.IFNA(INDEX('OSA | 3GB'!A:C,MATCH(DATA!D1269,'OSA | 3GB'!A:A,0),2),0)</f>
        <v>3</v>
      </c>
      <c r="I1269" s="33">
        <f>_xlfn.IFNA(INDEX('OSA | 3GB'!A:C,MATCH(DATA!D1269,'OSA | 3GB'!A:A,0),3),0)</f>
        <v>800000</v>
      </c>
      <c r="J1269" s="33">
        <f>INDEX('BIO WAHYU'!B:G,MATCH(DATA!D1269,'BIO WAHYU'!B:B,0),5)</f>
        <v>3</v>
      </c>
      <c r="K1269" s="34">
        <f>INDEX('BIO WAHYU'!B:G,MATCH(DATA!D1269,'BIO WAHYU'!B:B,0),6)</f>
        <v>0</v>
      </c>
      <c r="L1269" s="35">
        <f>INDEX('BIO WAHYU'!B:H,MATCH(DATA!D1269,'BIO WAHYU'!B:B,0),7)</f>
        <v>0</v>
      </c>
      <c r="M1269" s="34">
        <f>INDEX('BIO WAHYU'!B:H,MATCH(DATA!D1269,'BIO WAHYU'!B:B,0),4)</f>
        <v>0</v>
      </c>
    </row>
    <row r="1270" spans="1:13">
      <c r="A1270" s="43" t="s">
        <v>1672</v>
      </c>
      <c r="B1270" s="43" t="s">
        <v>149</v>
      </c>
      <c r="C1270" s="43" t="s">
        <v>1544</v>
      </c>
      <c r="D1270" s="10">
        <v>344674</v>
      </c>
      <c r="E1270" s="43" t="s">
        <v>10</v>
      </c>
      <c r="F1270" s="8">
        <f>_xlfn.IFNA(INDEX('OSA | 3GB'!J:L,MATCH(DATA!D1270,'OSA | 3GB'!J:J,0),2),0)</f>
        <v>1</v>
      </c>
      <c r="G1270" s="8">
        <f>_xlfn.IFNA(INDEX('OSA | 3GB'!J:L,MATCH(DATA!D1270,'OSA | 3GB'!J:J,0),3),0)</f>
        <v>5058000</v>
      </c>
      <c r="H1270" s="32">
        <f>_xlfn.IFNA(INDEX('OSA | 3GB'!A:C,MATCH(DATA!D1270,'OSA | 3GB'!A:A,0),2),0)</f>
        <v>4</v>
      </c>
      <c r="I1270" s="33">
        <f>_xlfn.IFNA(INDEX('OSA | 3GB'!A:C,MATCH(DATA!D1270,'OSA | 3GB'!A:A,0),3),0)</f>
        <v>3116000</v>
      </c>
      <c r="J1270" s="33">
        <f>INDEX('BIO WAHYU'!B:G,MATCH(DATA!D1270,'BIO WAHYU'!B:B,0),5)</f>
        <v>0</v>
      </c>
      <c r="K1270" s="34">
        <f>INDEX('BIO WAHYU'!B:G,MATCH(DATA!D1270,'BIO WAHYU'!B:B,0),6)</f>
        <v>0</v>
      </c>
      <c r="L1270" s="35">
        <f>INDEX('BIO WAHYU'!B:H,MATCH(DATA!D1270,'BIO WAHYU'!B:B,0),7)</f>
        <v>0</v>
      </c>
      <c r="M1270" s="34">
        <f>INDEX('BIO WAHYU'!B:H,MATCH(DATA!D1270,'BIO WAHYU'!B:B,0),4)</f>
        <v>0</v>
      </c>
    </row>
    <row r="1271" spans="1:13">
      <c r="A1271" s="43" t="s">
        <v>1673</v>
      </c>
      <c r="B1271" s="43" t="s">
        <v>158</v>
      </c>
      <c r="C1271" s="43" t="s">
        <v>1545</v>
      </c>
      <c r="D1271" s="10">
        <v>343974</v>
      </c>
      <c r="E1271" s="43" t="s">
        <v>10</v>
      </c>
      <c r="F1271" s="8">
        <f>_xlfn.IFNA(INDEX('OSA | 3GB'!J:L,MATCH(DATA!D1271,'OSA | 3GB'!J:J,0),2),0)</f>
        <v>3</v>
      </c>
      <c r="G1271" s="8">
        <f>_xlfn.IFNA(INDEX('OSA | 3GB'!J:L,MATCH(DATA!D1271,'OSA | 3GB'!J:J,0),3),0)</f>
        <v>1400000</v>
      </c>
      <c r="H1271" s="32" t="str">
        <f>_xlfn.IFNA(INDEX('OSA | 3GB'!A:C,MATCH(DATA!D1271,'OSA | 3GB'!A:A,0),2),0)</f>
        <v xml:space="preserve"> -   </v>
      </c>
      <c r="I1271" s="33">
        <f>_xlfn.IFNA(INDEX('OSA | 3GB'!A:C,MATCH(DATA!D1271,'OSA | 3GB'!A:A,0),3),0)</f>
        <v>750000</v>
      </c>
      <c r="J1271" s="33">
        <f>INDEX('BIO WAHYU'!B:G,MATCH(DATA!D1271,'BIO WAHYU'!B:B,0),5)</f>
        <v>2</v>
      </c>
      <c r="K1271" s="34">
        <f>INDEX('BIO WAHYU'!B:G,MATCH(DATA!D1271,'BIO WAHYU'!B:B,0),6)</f>
        <v>1</v>
      </c>
      <c r="L1271" s="35">
        <f>INDEX('BIO WAHYU'!B:H,MATCH(DATA!D1271,'BIO WAHYU'!B:B,0),7)</f>
        <v>0</v>
      </c>
      <c r="M1271" s="34">
        <f>INDEX('BIO WAHYU'!B:H,MATCH(DATA!D1271,'BIO WAHYU'!B:B,0),4)</f>
        <v>0</v>
      </c>
    </row>
    <row r="1272" spans="1:13">
      <c r="A1272" s="43" t="s">
        <v>1</v>
      </c>
      <c r="B1272" s="43" t="s">
        <v>3</v>
      </c>
      <c r="C1272" s="43" t="s">
        <v>1116</v>
      </c>
      <c r="D1272" s="10">
        <v>240048</v>
      </c>
      <c r="E1272" s="43" t="s">
        <v>23</v>
      </c>
      <c r="F1272" s="8">
        <f>_xlfn.IFNA(INDEX('OSA | 3GB'!J:L,MATCH(DATA!D1272,'OSA | 3GB'!J:J,0),2),0)</f>
        <v>15</v>
      </c>
      <c r="G1272" s="8">
        <f>_xlfn.IFNA(INDEX('OSA | 3GB'!J:L,MATCH(DATA!D1272,'OSA | 3GB'!J:J,0),3),0)</f>
        <v>400000</v>
      </c>
      <c r="H1272" s="32">
        <f>_xlfn.IFNA(INDEX('OSA | 3GB'!A:C,MATCH(DATA!D1272,'OSA | 3GB'!A:A,0),2),0)</f>
        <v>50</v>
      </c>
      <c r="I1272" s="33">
        <f>_xlfn.IFNA(INDEX('OSA | 3GB'!A:C,MATCH(DATA!D1272,'OSA | 3GB'!A:A,0),3),0)</f>
        <v>700000</v>
      </c>
      <c r="J1272" s="33">
        <f>INDEX('BIO WAHYU'!B:G,MATCH(DATA!D1272,'BIO WAHYU'!B:B,0),5)</f>
        <v>7</v>
      </c>
      <c r="K1272" s="34">
        <f>INDEX('BIO WAHYU'!B:G,MATCH(DATA!D1272,'BIO WAHYU'!B:B,0),6)</f>
        <v>4</v>
      </c>
      <c r="L1272" s="35">
        <f>INDEX('BIO WAHYU'!B:H,MATCH(DATA!D1272,'BIO WAHYU'!B:B,0),7)</f>
        <v>0</v>
      </c>
      <c r="M1272" s="34">
        <f>INDEX('BIO WAHYU'!B:H,MATCH(DATA!D1272,'BIO WAHYU'!B:B,0),4)</f>
        <v>0</v>
      </c>
    </row>
    <row r="1273" spans="1:13">
      <c r="A1273" s="43" t="s">
        <v>1672</v>
      </c>
      <c r="B1273" s="43" t="s">
        <v>157</v>
      </c>
      <c r="C1273" s="43" t="s">
        <v>1028</v>
      </c>
      <c r="D1273" s="10">
        <v>240416</v>
      </c>
      <c r="E1273" s="43" t="s">
        <v>10</v>
      </c>
      <c r="F1273" s="8">
        <f>_xlfn.IFNA(INDEX('OSA | 3GB'!J:L,MATCH(DATA!D1273,'OSA | 3GB'!J:J,0),2),0)</f>
        <v>3</v>
      </c>
      <c r="G1273" s="8">
        <f>_xlfn.IFNA(INDEX('OSA | 3GB'!J:L,MATCH(DATA!D1273,'OSA | 3GB'!J:J,0),3),0)</f>
        <v>658000</v>
      </c>
      <c r="H1273" s="32" t="str">
        <f>_xlfn.IFNA(INDEX('OSA | 3GB'!A:C,MATCH(DATA!D1273,'OSA | 3GB'!A:A,0),2),0)</f>
        <v xml:space="preserve"> -   </v>
      </c>
      <c r="I1273" s="33">
        <f>_xlfn.IFNA(INDEX('OSA | 3GB'!A:C,MATCH(DATA!D1273,'OSA | 3GB'!A:A,0),3),0)</f>
        <v>200000</v>
      </c>
      <c r="J1273" s="33">
        <f>INDEX('BIO WAHYU'!B:G,MATCH(DATA!D1273,'BIO WAHYU'!B:B,0),5)</f>
        <v>3</v>
      </c>
      <c r="K1273" s="34">
        <f>INDEX('BIO WAHYU'!B:G,MATCH(DATA!D1273,'BIO WAHYU'!B:B,0),6)</f>
        <v>3</v>
      </c>
      <c r="L1273" s="35">
        <f>INDEX('BIO WAHYU'!B:H,MATCH(DATA!D1273,'BIO WAHYU'!B:B,0),7)</f>
        <v>0</v>
      </c>
      <c r="M1273" s="34">
        <f>INDEX('BIO WAHYU'!B:H,MATCH(DATA!D1273,'BIO WAHYU'!B:B,0),4)</f>
        <v>0</v>
      </c>
    </row>
    <row r="1274" spans="1:13">
      <c r="A1274" s="43" t="s">
        <v>1672</v>
      </c>
      <c r="B1274" s="43" t="s">
        <v>156</v>
      </c>
      <c r="C1274" s="43" t="s">
        <v>971</v>
      </c>
      <c r="D1274" s="10">
        <v>12304884</v>
      </c>
      <c r="E1274" s="43" t="s">
        <v>10</v>
      </c>
      <c r="F1274" s="8">
        <f>_xlfn.IFNA(INDEX('OSA | 3GB'!J:L,MATCH(DATA!D1274,'OSA | 3GB'!J:J,0),2),0)</f>
        <v>1</v>
      </c>
      <c r="G1274" s="8">
        <f>_xlfn.IFNA(INDEX('OSA | 3GB'!J:L,MATCH(DATA!D1274,'OSA | 3GB'!J:J,0),3),0)</f>
        <v>100000</v>
      </c>
      <c r="H1274" s="32" t="str">
        <f>_xlfn.IFNA(INDEX('OSA | 3GB'!A:C,MATCH(DATA!D1274,'OSA | 3GB'!A:A,0),2),0)</f>
        <v xml:space="preserve"> -   </v>
      </c>
      <c r="I1274" s="33">
        <f>_xlfn.IFNA(INDEX('OSA | 3GB'!A:C,MATCH(DATA!D1274,'OSA | 3GB'!A:A,0),3),0)</f>
        <v>300000</v>
      </c>
      <c r="J1274" s="33">
        <f>INDEX('BIO WAHYU'!B:G,MATCH(DATA!D1274,'BIO WAHYU'!B:B,0),5)</f>
        <v>3</v>
      </c>
      <c r="K1274" s="34">
        <f>INDEX('BIO WAHYU'!B:G,MATCH(DATA!D1274,'BIO WAHYU'!B:B,0),6)</f>
        <v>0</v>
      </c>
      <c r="L1274" s="35">
        <f>INDEX('BIO WAHYU'!B:H,MATCH(DATA!D1274,'BIO WAHYU'!B:B,0),7)</f>
        <v>0</v>
      </c>
      <c r="M1274" s="34">
        <f>INDEX('BIO WAHYU'!B:H,MATCH(DATA!D1274,'BIO WAHYU'!B:B,0),4)</f>
        <v>0</v>
      </c>
    </row>
    <row r="1275" spans="1:13">
      <c r="A1275" s="43" t="s">
        <v>1674</v>
      </c>
      <c r="B1275" s="43" t="s">
        <v>154</v>
      </c>
      <c r="C1275" s="43" t="s">
        <v>749</v>
      </c>
      <c r="D1275" s="10">
        <v>509473</v>
      </c>
      <c r="E1275" s="43" t="s">
        <v>10</v>
      </c>
      <c r="F1275" s="8">
        <f>_xlfn.IFNA(INDEX('OSA | 3GB'!J:L,MATCH(DATA!D1275,'OSA | 3GB'!J:J,0),2),0)</f>
        <v>0</v>
      </c>
      <c r="G1275" s="8">
        <f>_xlfn.IFNA(INDEX('OSA | 3GB'!J:L,MATCH(DATA!D1275,'OSA | 3GB'!J:J,0),3),0)</f>
        <v>200000</v>
      </c>
      <c r="H1275" s="32" t="str">
        <f>_xlfn.IFNA(INDEX('OSA | 3GB'!A:C,MATCH(DATA!D1275,'OSA | 3GB'!A:A,0),2),0)</f>
        <v xml:space="preserve"> -   </v>
      </c>
      <c r="I1275" s="33" t="str">
        <f>_xlfn.IFNA(INDEX('OSA | 3GB'!A:C,MATCH(DATA!D1275,'OSA | 3GB'!A:A,0),3),0)</f>
        <v xml:space="preserve"> -   </v>
      </c>
      <c r="J1275" s="33">
        <f>INDEX('BIO WAHYU'!B:G,MATCH(DATA!D1275,'BIO WAHYU'!B:B,0),5)</f>
        <v>0</v>
      </c>
      <c r="K1275" s="34">
        <f>INDEX('BIO WAHYU'!B:G,MATCH(DATA!D1275,'BIO WAHYU'!B:B,0),6)</f>
        <v>0</v>
      </c>
      <c r="L1275" s="35">
        <f>INDEX('BIO WAHYU'!B:H,MATCH(DATA!D1275,'BIO WAHYU'!B:B,0),7)</f>
        <v>0</v>
      </c>
      <c r="M1275" s="34">
        <f>INDEX('BIO WAHYU'!B:H,MATCH(DATA!D1275,'BIO WAHYU'!B:B,0),4)</f>
        <v>0</v>
      </c>
    </row>
    <row r="1276" spans="1:13">
      <c r="A1276" s="43" t="s">
        <v>1671</v>
      </c>
      <c r="B1276" s="43">
        <v>2613050886</v>
      </c>
      <c r="C1276" s="43" t="s">
        <v>314</v>
      </c>
      <c r="D1276" s="10">
        <v>12296204</v>
      </c>
      <c r="E1276" s="43" t="s">
        <v>15</v>
      </c>
      <c r="F1276" s="8">
        <f>_xlfn.IFNA(INDEX('OSA | 3GB'!J:L,MATCH(DATA!D1276,'OSA | 3GB'!J:J,0),2),0)</f>
        <v>4</v>
      </c>
      <c r="G1276" s="8">
        <f>_xlfn.IFNA(INDEX('OSA | 3GB'!J:L,MATCH(DATA!D1276,'OSA | 3GB'!J:J,0),3),0)</f>
        <v>250000</v>
      </c>
      <c r="H1276" s="32" t="str">
        <f>_xlfn.IFNA(INDEX('OSA | 3GB'!A:C,MATCH(DATA!D1276,'OSA | 3GB'!A:A,0),2),0)</f>
        <v xml:space="preserve"> -   </v>
      </c>
      <c r="I1276" s="33">
        <f>_xlfn.IFNA(INDEX('OSA | 3GB'!A:C,MATCH(DATA!D1276,'OSA | 3GB'!A:A,0),3),0)</f>
        <v>100000</v>
      </c>
      <c r="J1276" s="33">
        <f>INDEX('BIO WAHYU'!B:G,MATCH(DATA!D1276,'BIO WAHYU'!B:B,0),5)</f>
        <v>1</v>
      </c>
      <c r="K1276" s="34">
        <f>INDEX('BIO WAHYU'!B:G,MATCH(DATA!D1276,'BIO WAHYU'!B:B,0),6)</f>
        <v>0</v>
      </c>
      <c r="L1276" s="35">
        <f>INDEX('BIO WAHYU'!B:H,MATCH(DATA!D1276,'BIO WAHYU'!B:B,0),7)</f>
        <v>0</v>
      </c>
      <c r="M1276" s="34">
        <f>INDEX('BIO WAHYU'!B:H,MATCH(DATA!D1276,'BIO WAHYU'!B:B,0),4)</f>
        <v>0</v>
      </c>
    </row>
    <row r="1277" spans="1:13">
      <c r="A1277" s="43" t="s">
        <v>1674</v>
      </c>
      <c r="B1277" s="43" t="s">
        <v>154</v>
      </c>
      <c r="C1277" s="43" t="s">
        <v>745</v>
      </c>
      <c r="D1277" s="10">
        <v>312931</v>
      </c>
      <c r="E1277" s="43" t="s">
        <v>10</v>
      </c>
      <c r="F1277" s="8">
        <f>_xlfn.IFNA(INDEX('OSA | 3GB'!J:L,MATCH(DATA!D1277,'OSA | 3GB'!J:J,0),2),0)</f>
        <v>0</v>
      </c>
      <c r="G1277" s="8">
        <f>_xlfn.IFNA(INDEX('OSA | 3GB'!J:L,MATCH(DATA!D1277,'OSA | 3GB'!J:J,0),3),0)</f>
        <v>0</v>
      </c>
      <c r="H1277" s="32" t="str">
        <f>_xlfn.IFNA(INDEX('OSA | 3GB'!A:C,MATCH(DATA!D1277,'OSA | 3GB'!A:A,0),2),0)</f>
        <v xml:space="preserve"> -   </v>
      </c>
      <c r="I1277" s="33" t="str">
        <f>_xlfn.IFNA(INDEX('OSA | 3GB'!A:C,MATCH(DATA!D1277,'OSA | 3GB'!A:A,0),3),0)</f>
        <v xml:space="preserve"> -   </v>
      </c>
      <c r="J1277" s="33">
        <f>INDEX('BIO WAHYU'!B:G,MATCH(DATA!D1277,'BIO WAHYU'!B:B,0),5)</f>
        <v>1</v>
      </c>
      <c r="K1277" s="34">
        <f>INDEX('BIO WAHYU'!B:G,MATCH(DATA!D1277,'BIO WAHYU'!B:B,0),6)</f>
        <v>1</v>
      </c>
      <c r="L1277" s="35">
        <f>INDEX('BIO WAHYU'!B:H,MATCH(DATA!D1277,'BIO WAHYU'!B:B,0),7)</f>
        <v>0</v>
      </c>
      <c r="M1277" s="34">
        <f>INDEX('BIO WAHYU'!B:H,MATCH(DATA!D1277,'BIO WAHYU'!B:B,0),4)</f>
        <v>0</v>
      </c>
    </row>
    <row r="1278" spans="1:13">
      <c r="A1278" s="43" t="s">
        <v>1671</v>
      </c>
      <c r="B1278" s="43">
        <v>2613050886</v>
      </c>
      <c r="C1278" s="43" t="s">
        <v>1546</v>
      </c>
      <c r="D1278" s="10">
        <v>511938</v>
      </c>
      <c r="E1278" s="43" t="s">
        <v>15</v>
      </c>
      <c r="F1278" s="8">
        <f>_xlfn.IFNA(INDEX('OSA | 3GB'!J:L,MATCH(DATA!D1278,'OSA | 3GB'!J:J,0),2),0)</f>
        <v>7</v>
      </c>
      <c r="G1278" s="8">
        <f>_xlfn.IFNA(INDEX('OSA | 3GB'!J:L,MATCH(DATA!D1278,'OSA | 3GB'!J:J,0),3),0)</f>
        <v>400000</v>
      </c>
      <c r="H1278" s="32" t="str">
        <f>_xlfn.IFNA(INDEX('OSA | 3GB'!A:C,MATCH(DATA!D1278,'OSA | 3GB'!A:A,0),2),0)</f>
        <v xml:space="preserve"> -   </v>
      </c>
      <c r="I1278" s="33">
        <f>_xlfn.IFNA(INDEX('OSA | 3GB'!A:C,MATCH(DATA!D1278,'OSA | 3GB'!A:A,0),3),0)</f>
        <v>300000</v>
      </c>
      <c r="J1278" s="33">
        <f>INDEX('BIO WAHYU'!B:G,MATCH(DATA!D1278,'BIO WAHYU'!B:B,0),5)</f>
        <v>3</v>
      </c>
      <c r="K1278" s="34">
        <f>INDEX('BIO WAHYU'!B:G,MATCH(DATA!D1278,'BIO WAHYU'!B:B,0),6)</f>
        <v>0</v>
      </c>
      <c r="L1278" s="35">
        <f>INDEX('BIO WAHYU'!B:H,MATCH(DATA!D1278,'BIO WAHYU'!B:B,0),7)</f>
        <v>0</v>
      </c>
      <c r="M1278" s="34">
        <f>INDEX('BIO WAHYU'!B:H,MATCH(DATA!D1278,'BIO WAHYU'!B:B,0),4)</f>
        <v>0</v>
      </c>
    </row>
    <row r="1279" spans="1:13">
      <c r="A1279" s="43" t="s">
        <v>1674</v>
      </c>
      <c r="B1279" s="43" t="s">
        <v>153</v>
      </c>
      <c r="C1279" s="43" t="s">
        <v>1547</v>
      </c>
      <c r="D1279" s="10">
        <v>545391</v>
      </c>
      <c r="E1279" s="43" t="s">
        <v>10</v>
      </c>
      <c r="F1279" s="8">
        <f>_xlfn.IFNA(INDEX('OSA | 3GB'!J:L,MATCH(DATA!D1279,'OSA | 3GB'!J:J,0),2),0)</f>
        <v>85</v>
      </c>
      <c r="G1279" s="8">
        <f>_xlfn.IFNA(INDEX('OSA | 3GB'!J:L,MATCH(DATA!D1279,'OSA | 3GB'!J:J,0),3),0)</f>
        <v>7004500</v>
      </c>
      <c r="H1279" s="32" t="str">
        <f>_xlfn.IFNA(INDEX('OSA | 3GB'!A:C,MATCH(DATA!D1279,'OSA | 3GB'!A:A,0),2),0)</f>
        <v xml:space="preserve"> -   </v>
      </c>
      <c r="I1279" s="33">
        <f>_xlfn.IFNA(INDEX('OSA | 3GB'!A:C,MATCH(DATA!D1279,'OSA | 3GB'!A:A,0),3),0)</f>
        <v>2954600</v>
      </c>
      <c r="J1279" s="33">
        <f>INDEX('BIO WAHYU'!B:G,MATCH(DATA!D1279,'BIO WAHYU'!B:B,0),5)</f>
        <v>3</v>
      </c>
      <c r="K1279" s="34">
        <f>INDEX('BIO WAHYU'!B:G,MATCH(DATA!D1279,'BIO WAHYU'!B:B,0),6)</f>
        <v>4</v>
      </c>
      <c r="L1279" s="35">
        <f>INDEX('BIO WAHYU'!B:H,MATCH(DATA!D1279,'BIO WAHYU'!B:B,0),7)</f>
        <v>1</v>
      </c>
      <c r="M1279" s="34">
        <f>INDEX('BIO WAHYU'!B:H,MATCH(DATA!D1279,'BIO WAHYU'!B:B,0),4)</f>
        <v>3</v>
      </c>
    </row>
    <row r="1280" spans="1:13">
      <c r="A1280" s="43" t="s">
        <v>1673</v>
      </c>
      <c r="B1280" s="43" t="s">
        <v>1136</v>
      </c>
      <c r="C1280" s="43" t="s">
        <v>1548</v>
      </c>
      <c r="D1280" s="10">
        <v>344532</v>
      </c>
      <c r="E1280" s="43" t="s">
        <v>10</v>
      </c>
      <c r="F1280" s="8">
        <f>_xlfn.IFNA(INDEX('OSA | 3GB'!J:L,MATCH(DATA!D1280,'OSA | 3GB'!J:J,0),2),0)</f>
        <v>3</v>
      </c>
      <c r="G1280" s="8">
        <f>_xlfn.IFNA(INDEX('OSA | 3GB'!J:L,MATCH(DATA!D1280,'OSA | 3GB'!J:J,0),3),0)</f>
        <v>1000000</v>
      </c>
      <c r="H1280" s="32" t="str">
        <f>_xlfn.IFNA(INDEX('OSA | 3GB'!A:C,MATCH(DATA!D1280,'OSA | 3GB'!A:A,0),2),0)</f>
        <v xml:space="preserve"> -   </v>
      </c>
      <c r="I1280" s="33">
        <f>_xlfn.IFNA(INDEX('OSA | 3GB'!A:C,MATCH(DATA!D1280,'OSA | 3GB'!A:A,0),3),0)</f>
        <v>300000</v>
      </c>
      <c r="J1280" s="33">
        <f>INDEX('BIO WAHYU'!B:G,MATCH(DATA!D1280,'BIO WAHYU'!B:B,0),5)</f>
        <v>1</v>
      </c>
      <c r="K1280" s="34">
        <f>INDEX('BIO WAHYU'!B:G,MATCH(DATA!D1280,'BIO WAHYU'!B:B,0),6)</f>
        <v>3</v>
      </c>
      <c r="L1280" s="35">
        <f>INDEX('BIO WAHYU'!B:H,MATCH(DATA!D1280,'BIO WAHYU'!B:B,0),7)</f>
        <v>2</v>
      </c>
      <c r="M1280" s="34">
        <f>INDEX('BIO WAHYU'!B:H,MATCH(DATA!D1280,'BIO WAHYU'!B:B,0),4)</f>
        <v>0</v>
      </c>
    </row>
    <row r="1281" spans="1:13">
      <c r="A1281" s="43" t="s">
        <v>1674</v>
      </c>
      <c r="B1281" s="43" t="s">
        <v>153</v>
      </c>
      <c r="C1281" s="43" t="s">
        <v>723</v>
      </c>
      <c r="D1281" s="10">
        <v>3088</v>
      </c>
      <c r="E1281" s="43" t="s">
        <v>10</v>
      </c>
      <c r="F1281" s="8">
        <f>_xlfn.IFNA(INDEX('OSA | 3GB'!J:L,MATCH(DATA!D1281,'OSA | 3GB'!J:J,0),2),0)</f>
        <v>0</v>
      </c>
      <c r="G1281" s="8">
        <f>_xlfn.IFNA(INDEX('OSA | 3GB'!J:L,MATCH(DATA!D1281,'OSA | 3GB'!J:J,0),3),0)</f>
        <v>500000</v>
      </c>
      <c r="H1281" s="32" t="str">
        <f>_xlfn.IFNA(INDEX('OSA | 3GB'!A:C,MATCH(DATA!D1281,'OSA | 3GB'!A:A,0),2),0)</f>
        <v xml:space="preserve"> -   </v>
      </c>
      <c r="I1281" s="33">
        <f>_xlfn.IFNA(INDEX('OSA | 3GB'!A:C,MATCH(DATA!D1281,'OSA | 3GB'!A:A,0),3),0)</f>
        <v>500000</v>
      </c>
      <c r="J1281" s="33">
        <f>INDEX('BIO WAHYU'!B:G,MATCH(DATA!D1281,'BIO WAHYU'!B:B,0),5)</f>
        <v>0</v>
      </c>
      <c r="K1281" s="34">
        <f>INDEX('BIO WAHYU'!B:G,MATCH(DATA!D1281,'BIO WAHYU'!B:B,0),6)</f>
        <v>0</v>
      </c>
      <c r="L1281" s="35">
        <f>INDEX('BIO WAHYU'!B:H,MATCH(DATA!D1281,'BIO WAHYU'!B:B,0),7)</f>
        <v>0</v>
      </c>
      <c r="M1281" s="34">
        <f>INDEX('BIO WAHYU'!B:H,MATCH(DATA!D1281,'BIO WAHYU'!B:B,0),4)</f>
        <v>0</v>
      </c>
    </row>
    <row r="1282" spans="1:13">
      <c r="A1282" s="43" t="s">
        <v>1672</v>
      </c>
      <c r="B1282" s="43" t="s">
        <v>150</v>
      </c>
      <c r="C1282" s="43" t="s">
        <v>821</v>
      </c>
      <c r="D1282" s="10">
        <v>274521</v>
      </c>
      <c r="E1282" s="43" t="s">
        <v>10</v>
      </c>
      <c r="F1282" s="8">
        <f>_xlfn.IFNA(INDEX('OSA | 3GB'!J:L,MATCH(DATA!D1282,'OSA | 3GB'!J:J,0),2),0)</f>
        <v>4</v>
      </c>
      <c r="G1282" s="8">
        <f>_xlfn.IFNA(INDEX('OSA | 3GB'!J:L,MATCH(DATA!D1282,'OSA | 3GB'!J:J,0),3),0)</f>
        <v>1758000</v>
      </c>
      <c r="H1282" s="32" t="str">
        <f>_xlfn.IFNA(INDEX('OSA | 3GB'!A:C,MATCH(DATA!D1282,'OSA | 3GB'!A:A,0),2),0)</f>
        <v xml:space="preserve"> -   </v>
      </c>
      <c r="I1282" s="33" t="str">
        <f>_xlfn.IFNA(INDEX('OSA | 3GB'!A:C,MATCH(DATA!D1282,'OSA | 3GB'!A:A,0),3),0)</f>
        <v xml:space="preserve"> -   </v>
      </c>
      <c r="J1282" s="33">
        <f>INDEX('BIO WAHYU'!B:G,MATCH(DATA!D1282,'BIO WAHYU'!B:B,0),5)</f>
        <v>0</v>
      </c>
      <c r="K1282" s="34">
        <f>INDEX('BIO WAHYU'!B:G,MATCH(DATA!D1282,'BIO WAHYU'!B:B,0),6)</f>
        <v>0</v>
      </c>
      <c r="L1282" s="35">
        <f>INDEX('BIO WAHYU'!B:H,MATCH(DATA!D1282,'BIO WAHYU'!B:B,0),7)</f>
        <v>0</v>
      </c>
      <c r="M1282" s="34">
        <f>INDEX('BIO WAHYU'!B:H,MATCH(DATA!D1282,'BIO WAHYU'!B:B,0),4)</f>
        <v>0</v>
      </c>
    </row>
    <row r="1283" spans="1:13">
      <c r="A1283" s="43" t="s">
        <v>1673</v>
      </c>
      <c r="B1283" s="43" t="s">
        <v>143</v>
      </c>
      <c r="C1283" s="43" t="s">
        <v>265</v>
      </c>
      <c r="D1283" s="10">
        <v>468349</v>
      </c>
      <c r="E1283" s="43" t="s">
        <v>10</v>
      </c>
      <c r="F1283" s="8">
        <f>_xlfn.IFNA(INDEX('OSA | 3GB'!J:L,MATCH(DATA!D1283,'OSA | 3GB'!J:J,0),2),0)</f>
        <v>3</v>
      </c>
      <c r="G1283" s="8">
        <f>_xlfn.IFNA(INDEX('OSA | 3GB'!J:L,MATCH(DATA!D1283,'OSA | 3GB'!J:J,0),3),0)</f>
        <v>1300000</v>
      </c>
      <c r="H1283" s="32" t="str">
        <f>_xlfn.IFNA(INDEX('OSA | 3GB'!A:C,MATCH(DATA!D1283,'OSA | 3GB'!A:A,0),2),0)</f>
        <v xml:space="preserve"> -   </v>
      </c>
      <c r="I1283" s="33">
        <f>_xlfn.IFNA(INDEX('OSA | 3GB'!A:C,MATCH(DATA!D1283,'OSA | 3GB'!A:A,0),3),0)</f>
        <v>300000</v>
      </c>
      <c r="J1283" s="33">
        <f>INDEX('BIO WAHYU'!B:G,MATCH(DATA!D1283,'BIO WAHYU'!B:B,0),5)</f>
        <v>1</v>
      </c>
      <c r="K1283" s="34">
        <f>INDEX('BIO WAHYU'!B:G,MATCH(DATA!D1283,'BIO WAHYU'!B:B,0),6)</f>
        <v>2</v>
      </c>
      <c r="L1283" s="35">
        <f>INDEX('BIO WAHYU'!B:H,MATCH(DATA!D1283,'BIO WAHYU'!B:B,0),7)</f>
        <v>1</v>
      </c>
      <c r="M1283" s="34">
        <f>INDEX('BIO WAHYU'!B:H,MATCH(DATA!D1283,'BIO WAHYU'!B:B,0),4)</f>
        <v>0</v>
      </c>
    </row>
    <row r="1284" spans="1:13">
      <c r="A1284" s="43" t="s">
        <v>1671</v>
      </c>
      <c r="B1284" s="43" t="s">
        <v>142</v>
      </c>
      <c r="C1284" s="43" t="s">
        <v>358</v>
      </c>
      <c r="D1284" s="10">
        <v>514871</v>
      </c>
      <c r="E1284" s="43" t="s">
        <v>10</v>
      </c>
      <c r="F1284" s="8">
        <f>_xlfn.IFNA(INDEX('OSA | 3GB'!J:L,MATCH(DATA!D1284,'OSA | 3GB'!J:J,0),2),0)</f>
        <v>7</v>
      </c>
      <c r="G1284" s="8">
        <f>_xlfn.IFNA(INDEX('OSA | 3GB'!J:L,MATCH(DATA!D1284,'OSA | 3GB'!J:J,0),3),0)</f>
        <v>11379000</v>
      </c>
      <c r="H1284" s="32">
        <f>_xlfn.IFNA(INDEX('OSA | 3GB'!A:C,MATCH(DATA!D1284,'OSA | 3GB'!A:A,0),2),0)</f>
        <v>18</v>
      </c>
      <c r="I1284" s="33">
        <f>_xlfn.IFNA(INDEX('OSA | 3GB'!A:C,MATCH(DATA!D1284,'OSA | 3GB'!A:A,0),3),0)</f>
        <v>1287000</v>
      </c>
      <c r="J1284" s="33">
        <f>INDEX('BIO WAHYU'!B:G,MATCH(DATA!D1284,'BIO WAHYU'!B:B,0),5)</f>
        <v>3</v>
      </c>
      <c r="K1284" s="34">
        <f>INDEX('BIO WAHYU'!B:G,MATCH(DATA!D1284,'BIO WAHYU'!B:B,0),6)</f>
        <v>2</v>
      </c>
      <c r="L1284" s="35">
        <f>INDEX('BIO WAHYU'!B:H,MATCH(DATA!D1284,'BIO WAHYU'!B:B,0),7)</f>
        <v>0</v>
      </c>
      <c r="M1284" s="34">
        <f>INDEX('BIO WAHYU'!B:H,MATCH(DATA!D1284,'BIO WAHYU'!B:B,0),4)</f>
        <v>0</v>
      </c>
    </row>
    <row r="1285" spans="1:13">
      <c r="A1285" s="43" t="s">
        <v>1</v>
      </c>
      <c r="B1285" s="43" t="s">
        <v>5</v>
      </c>
      <c r="C1285" s="43" t="s">
        <v>108</v>
      </c>
      <c r="D1285" s="10">
        <v>546446</v>
      </c>
      <c r="E1285" s="43" t="s">
        <v>15</v>
      </c>
      <c r="F1285" s="8">
        <f>_xlfn.IFNA(INDEX('OSA | 3GB'!J:L,MATCH(DATA!D1285,'OSA | 3GB'!J:J,0),2),0)</f>
        <v>0</v>
      </c>
      <c r="G1285" s="8">
        <f>_xlfn.IFNA(INDEX('OSA | 3GB'!J:L,MATCH(DATA!D1285,'OSA | 3GB'!J:J,0),3),0)</f>
        <v>300000</v>
      </c>
      <c r="H1285" s="32" t="str">
        <f>_xlfn.IFNA(INDEX('OSA | 3GB'!A:C,MATCH(DATA!D1285,'OSA | 3GB'!A:A,0),2),0)</f>
        <v xml:space="preserve"> -   </v>
      </c>
      <c r="I1285" s="33">
        <f>_xlfn.IFNA(INDEX('OSA | 3GB'!A:C,MATCH(DATA!D1285,'OSA | 3GB'!A:A,0),3),0)</f>
        <v>300000</v>
      </c>
      <c r="J1285" s="33">
        <f>INDEX('BIO WAHYU'!B:G,MATCH(DATA!D1285,'BIO WAHYU'!B:B,0),5)</f>
        <v>3</v>
      </c>
      <c r="K1285" s="34">
        <f>INDEX('BIO WAHYU'!B:G,MATCH(DATA!D1285,'BIO WAHYU'!B:B,0),6)</f>
        <v>0</v>
      </c>
      <c r="L1285" s="35">
        <f>INDEX('BIO WAHYU'!B:H,MATCH(DATA!D1285,'BIO WAHYU'!B:B,0),7)</f>
        <v>0</v>
      </c>
      <c r="M1285" s="34">
        <f>INDEX('BIO WAHYU'!B:H,MATCH(DATA!D1285,'BIO WAHYU'!B:B,0),4)</f>
        <v>0</v>
      </c>
    </row>
    <row r="1286" spans="1:13">
      <c r="A1286" s="43" t="s">
        <v>1674</v>
      </c>
      <c r="B1286" s="43" t="s">
        <v>152</v>
      </c>
      <c r="C1286" s="43" t="s">
        <v>1549</v>
      </c>
      <c r="D1286" s="10">
        <v>544831</v>
      </c>
      <c r="E1286" s="43" t="s">
        <v>10</v>
      </c>
      <c r="F1286" s="8">
        <f>_xlfn.IFNA(INDEX('OSA | 3GB'!J:L,MATCH(DATA!D1286,'OSA | 3GB'!J:J,0),2),0)</f>
        <v>185</v>
      </c>
      <c r="G1286" s="8">
        <f>_xlfn.IFNA(INDEX('OSA | 3GB'!J:L,MATCH(DATA!D1286,'OSA | 3GB'!J:J,0),3),0)</f>
        <v>13586000</v>
      </c>
      <c r="H1286" s="32">
        <f>_xlfn.IFNA(INDEX('OSA | 3GB'!A:C,MATCH(DATA!D1286,'OSA | 3GB'!A:A,0),2),0)</f>
        <v>5</v>
      </c>
      <c r="I1286" s="33">
        <f>_xlfn.IFNA(INDEX('OSA | 3GB'!A:C,MATCH(DATA!D1286,'OSA | 3GB'!A:A,0),3),0)</f>
        <v>87000</v>
      </c>
      <c r="J1286" s="33">
        <f>INDEX('BIO WAHYU'!B:G,MATCH(DATA!D1286,'BIO WAHYU'!B:B,0),5)</f>
        <v>110</v>
      </c>
      <c r="K1286" s="34">
        <f>INDEX('BIO WAHYU'!B:G,MATCH(DATA!D1286,'BIO WAHYU'!B:B,0),6)</f>
        <v>49</v>
      </c>
      <c r="L1286" s="35">
        <f>INDEX('BIO WAHYU'!B:H,MATCH(DATA!D1286,'BIO WAHYU'!B:B,0),7)</f>
        <v>0</v>
      </c>
      <c r="M1286" s="34">
        <f>INDEX('BIO WAHYU'!B:H,MATCH(DATA!D1286,'BIO WAHYU'!B:B,0),4)</f>
        <v>1</v>
      </c>
    </row>
    <row r="1287" spans="1:13">
      <c r="A1287" s="43" t="s">
        <v>1673</v>
      </c>
      <c r="B1287" s="43" t="s">
        <v>1140</v>
      </c>
      <c r="C1287" s="43" t="s">
        <v>1550</v>
      </c>
      <c r="D1287" s="10">
        <v>364537</v>
      </c>
      <c r="E1287" s="43" t="s">
        <v>15</v>
      </c>
      <c r="F1287" s="8">
        <f>_xlfn.IFNA(INDEX('OSA | 3GB'!J:L,MATCH(DATA!D1287,'OSA | 3GB'!J:J,0),2),0)</f>
        <v>4</v>
      </c>
      <c r="G1287" s="8">
        <f>_xlfn.IFNA(INDEX('OSA | 3GB'!J:L,MATCH(DATA!D1287,'OSA | 3GB'!J:J,0),3),0)</f>
        <v>1800000</v>
      </c>
      <c r="H1287" s="32" t="str">
        <f>_xlfn.IFNA(INDEX('OSA | 3GB'!A:C,MATCH(DATA!D1287,'OSA | 3GB'!A:A,0),2),0)</f>
        <v xml:space="preserve"> -   </v>
      </c>
      <c r="I1287" s="33" t="str">
        <f>_xlfn.IFNA(INDEX('OSA | 3GB'!A:C,MATCH(DATA!D1287,'OSA | 3GB'!A:A,0),3),0)</f>
        <v xml:space="preserve"> -   </v>
      </c>
      <c r="J1287" s="33">
        <f>INDEX('BIO WAHYU'!B:G,MATCH(DATA!D1287,'BIO WAHYU'!B:B,0),5)</f>
        <v>4</v>
      </c>
      <c r="K1287" s="34">
        <f>INDEX('BIO WAHYU'!B:G,MATCH(DATA!D1287,'BIO WAHYU'!B:B,0),6)</f>
        <v>0</v>
      </c>
      <c r="L1287" s="35">
        <f>INDEX('BIO WAHYU'!B:H,MATCH(DATA!D1287,'BIO WAHYU'!B:B,0),7)</f>
        <v>0</v>
      </c>
      <c r="M1287" s="34">
        <f>INDEX('BIO WAHYU'!B:H,MATCH(DATA!D1287,'BIO WAHYU'!B:B,0),4)</f>
        <v>0</v>
      </c>
    </row>
    <row r="1288" spans="1:13">
      <c r="A1288" s="43" t="s">
        <v>1672</v>
      </c>
      <c r="B1288" s="43" t="s">
        <v>151</v>
      </c>
      <c r="C1288" s="43" t="s">
        <v>868</v>
      </c>
      <c r="D1288" s="10">
        <v>339315</v>
      </c>
      <c r="E1288" s="43" t="s">
        <v>10</v>
      </c>
      <c r="F1288" s="8">
        <f>_xlfn.IFNA(INDEX('OSA | 3GB'!J:L,MATCH(DATA!D1288,'OSA | 3GB'!J:J,0),2),0)</f>
        <v>5</v>
      </c>
      <c r="G1288" s="8">
        <f>_xlfn.IFNA(INDEX('OSA | 3GB'!J:L,MATCH(DATA!D1288,'OSA | 3GB'!J:J,0),3),0)</f>
        <v>4500000</v>
      </c>
      <c r="H1288" s="32">
        <f>_xlfn.IFNA(INDEX('OSA | 3GB'!A:C,MATCH(DATA!D1288,'OSA | 3GB'!A:A,0),2),0)</f>
        <v>5</v>
      </c>
      <c r="I1288" s="33">
        <f>_xlfn.IFNA(INDEX('OSA | 3GB'!A:C,MATCH(DATA!D1288,'OSA | 3GB'!A:A,0),3),0)</f>
        <v>558000</v>
      </c>
      <c r="J1288" s="33">
        <f>INDEX('BIO WAHYU'!B:G,MATCH(DATA!D1288,'BIO WAHYU'!B:B,0),5)</f>
        <v>3</v>
      </c>
      <c r="K1288" s="34">
        <f>INDEX('BIO WAHYU'!B:G,MATCH(DATA!D1288,'BIO WAHYU'!B:B,0),6)</f>
        <v>0</v>
      </c>
      <c r="L1288" s="35">
        <f>INDEX('BIO WAHYU'!B:H,MATCH(DATA!D1288,'BIO WAHYU'!B:B,0),7)</f>
        <v>0</v>
      </c>
      <c r="M1288" s="34">
        <f>INDEX('BIO WAHYU'!B:H,MATCH(DATA!D1288,'BIO WAHYU'!B:B,0),4)</f>
        <v>0</v>
      </c>
    </row>
    <row r="1289" spans="1:13">
      <c r="A1289" s="43" t="s">
        <v>1674</v>
      </c>
      <c r="B1289" s="43" t="s">
        <v>154</v>
      </c>
      <c r="C1289" s="43" t="s">
        <v>754</v>
      </c>
      <c r="D1289" s="10">
        <v>575012</v>
      </c>
      <c r="E1289" s="43" t="s">
        <v>10</v>
      </c>
      <c r="F1289" s="8">
        <f>_xlfn.IFNA(INDEX('OSA | 3GB'!J:L,MATCH(DATA!D1289,'OSA | 3GB'!J:J,0),2),0)</f>
        <v>220</v>
      </c>
      <c r="G1289" s="8">
        <f>_xlfn.IFNA(INDEX('OSA | 3GB'!J:L,MATCH(DATA!D1289,'OSA | 3GB'!J:J,0),3),0)</f>
        <v>1200000</v>
      </c>
      <c r="H1289" s="32" t="str">
        <f>_xlfn.IFNA(INDEX('OSA | 3GB'!A:C,MATCH(DATA!D1289,'OSA | 3GB'!A:A,0),2),0)</f>
        <v xml:space="preserve"> -   </v>
      </c>
      <c r="I1289" s="33">
        <f>_xlfn.IFNA(INDEX('OSA | 3GB'!A:C,MATCH(DATA!D1289,'OSA | 3GB'!A:A,0),3),0)</f>
        <v>1860000</v>
      </c>
      <c r="J1289" s="33">
        <f>INDEX('BIO WAHYU'!B:G,MATCH(DATA!D1289,'BIO WAHYU'!B:B,0),5)</f>
        <v>27</v>
      </c>
      <c r="K1289" s="34">
        <f>INDEX('BIO WAHYU'!B:G,MATCH(DATA!D1289,'BIO WAHYU'!B:B,0),6)</f>
        <v>14</v>
      </c>
      <c r="L1289" s="35">
        <f>INDEX('BIO WAHYU'!B:H,MATCH(DATA!D1289,'BIO WAHYU'!B:B,0),7)</f>
        <v>0</v>
      </c>
      <c r="M1289" s="34">
        <f>INDEX('BIO WAHYU'!B:H,MATCH(DATA!D1289,'BIO WAHYU'!B:B,0),4)</f>
        <v>0</v>
      </c>
    </row>
    <row r="1290" spans="1:13">
      <c r="A1290" s="43" t="s">
        <v>1670</v>
      </c>
      <c r="B1290" s="43">
        <v>2613051412</v>
      </c>
      <c r="C1290" s="43" t="s">
        <v>565</v>
      </c>
      <c r="D1290" s="10">
        <v>545500</v>
      </c>
      <c r="E1290" s="43" t="s">
        <v>10</v>
      </c>
      <c r="F1290" s="8">
        <f>_xlfn.IFNA(INDEX('OSA | 3GB'!J:L,MATCH(DATA!D1290,'OSA | 3GB'!J:J,0),2),0)</f>
        <v>35</v>
      </c>
      <c r="G1290" s="8">
        <f>_xlfn.IFNA(INDEX('OSA | 3GB'!J:L,MATCH(DATA!D1290,'OSA | 3GB'!J:J,0),3),0)</f>
        <v>200000</v>
      </c>
      <c r="H1290" s="32">
        <f>_xlfn.IFNA(INDEX('OSA | 3GB'!A:C,MATCH(DATA!D1290,'OSA | 3GB'!A:A,0),2),0)</f>
        <v>5</v>
      </c>
      <c r="I1290" s="33" t="str">
        <f>_xlfn.IFNA(INDEX('OSA | 3GB'!A:C,MATCH(DATA!D1290,'OSA | 3GB'!A:A,0),3),0)</f>
        <v xml:space="preserve"> -   </v>
      </c>
      <c r="J1290" s="33">
        <f>INDEX('BIO WAHYU'!B:G,MATCH(DATA!D1290,'BIO WAHYU'!B:B,0),5)</f>
        <v>10</v>
      </c>
      <c r="K1290" s="34">
        <f>INDEX('BIO WAHYU'!B:G,MATCH(DATA!D1290,'BIO WAHYU'!B:B,0),6)</f>
        <v>7</v>
      </c>
      <c r="L1290" s="35">
        <f>INDEX('BIO WAHYU'!B:H,MATCH(DATA!D1290,'BIO WAHYU'!B:B,0),7)</f>
        <v>0</v>
      </c>
      <c r="M1290" s="34">
        <f>INDEX('BIO WAHYU'!B:H,MATCH(DATA!D1290,'BIO WAHYU'!B:B,0),4)</f>
        <v>0</v>
      </c>
    </row>
    <row r="1291" spans="1:13">
      <c r="A1291" s="43" t="s">
        <v>1672</v>
      </c>
      <c r="B1291" s="43" t="s">
        <v>155</v>
      </c>
      <c r="C1291" s="43" t="s">
        <v>83</v>
      </c>
      <c r="D1291" s="10">
        <v>12304225</v>
      </c>
      <c r="E1291" s="43" t="s">
        <v>10</v>
      </c>
      <c r="F1291" s="8">
        <f>_xlfn.IFNA(INDEX('OSA | 3GB'!J:L,MATCH(DATA!D1291,'OSA | 3GB'!J:J,0),2),0)</f>
        <v>0</v>
      </c>
      <c r="G1291" s="8">
        <f>_xlfn.IFNA(INDEX('OSA | 3GB'!J:L,MATCH(DATA!D1291,'OSA | 3GB'!J:J,0),3),0)</f>
        <v>0</v>
      </c>
      <c r="H1291" s="32" t="str">
        <f>_xlfn.IFNA(INDEX('OSA | 3GB'!A:C,MATCH(DATA!D1291,'OSA | 3GB'!A:A,0),2),0)</f>
        <v xml:space="preserve"> -   </v>
      </c>
      <c r="I1291" s="33" t="str">
        <f>_xlfn.IFNA(INDEX('OSA | 3GB'!A:C,MATCH(DATA!D1291,'OSA | 3GB'!A:A,0),3),0)</f>
        <v xml:space="preserve"> -   </v>
      </c>
      <c r="J1291" s="33">
        <f>INDEX('BIO WAHYU'!B:G,MATCH(DATA!D1291,'BIO WAHYU'!B:B,0),5)</f>
        <v>0</v>
      </c>
      <c r="K1291" s="34">
        <f>INDEX('BIO WAHYU'!B:G,MATCH(DATA!D1291,'BIO WAHYU'!B:B,0),6)</f>
        <v>0</v>
      </c>
      <c r="L1291" s="35">
        <f>INDEX('BIO WAHYU'!B:H,MATCH(DATA!D1291,'BIO WAHYU'!B:B,0),7)</f>
        <v>0</v>
      </c>
      <c r="M1291" s="34">
        <f>INDEX('BIO WAHYU'!B:H,MATCH(DATA!D1291,'BIO WAHYU'!B:B,0),4)</f>
        <v>0</v>
      </c>
    </row>
    <row r="1292" spans="1:13">
      <c r="A1292" s="43" t="s">
        <v>1672</v>
      </c>
      <c r="B1292" s="43" t="s">
        <v>150</v>
      </c>
      <c r="C1292" s="43" t="s">
        <v>842</v>
      </c>
      <c r="D1292" s="10">
        <v>63851</v>
      </c>
      <c r="E1292" s="43" t="s">
        <v>10</v>
      </c>
      <c r="F1292" s="8">
        <f>_xlfn.IFNA(INDEX('OSA | 3GB'!J:L,MATCH(DATA!D1292,'OSA | 3GB'!J:J,0),2),0)</f>
        <v>64</v>
      </c>
      <c r="G1292" s="8">
        <f>_xlfn.IFNA(INDEX('OSA | 3GB'!J:L,MATCH(DATA!D1292,'OSA | 3GB'!J:J,0),3),0)</f>
        <v>178500</v>
      </c>
      <c r="H1292" s="32">
        <f>_xlfn.IFNA(INDEX('OSA | 3GB'!A:C,MATCH(DATA!D1292,'OSA | 3GB'!A:A,0),2),0)</f>
        <v>15</v>
      </c>
      <c r="I1292" s="33">
        <f>_xlfn.IFNA(INDEX('OSA | 3GB'!A:C,MATCH(DATA!D1292,'OSA | 3GB'!A:A,0),3),0)</f>
        <v>100000</v>
      </c>
      <c r="J1292" s="33">
        <f>INDEX('BIO WAHYU'!B:G,MATCH(DATA!D1292,'BIO WAHYU'!B:B,0),5)</f>
        <v>26</v>
      </c>
      <c r="K1292" s="34">
        <f>INDEX('BIO WAHYU'!B:G,MATCH(DATA!D1292,'BIO WAHYU'!B:B,0),6)</f>
        <v>17</v>
      </c>
      <c r="L1292" s="35">
        <f>INDEX('BIO WAHYU'!B:H,MATCH(DATA!D1292,'BIO WAHYU'!B:B,0),7)</f>
        <v>0</v>
      </c>
      <c r="M1292" s="34">
        <f>INDEX('BIO WAHYU'!B:H,MATCH(DATA!D1292,'BIO WAHYU'!B:B,0),4)</f>
        <v>0</v>
      </c>
    </row>
    <row r="1293" spans="1:13">
      <c r="A1293" s="43" t="s">
        <v>1672</v>
      </c>
      <c r="B1293" s="43" t="s">
        <v>151</v>
      </c>
      <c r="C1293" s="43" t="s">
        <v>881</v>
      </c>
      <c r="D1293" s="10">
        <v>61890</v>
      </c>
      <c r="E1293" s="43" t="s">
        <v>10</v>
      </c>
      <c r="F1293" s="8">
        <f>_xlfn.IFNA(INDEX('OSA | 3GB'!J:L,MATCH(DATA!D1293,'OSA | 3GB'!J:J,0),2),0)</f>
        <v>3</v>
      </c>
      <c r="G1293" s="8">
        <f>_xlfn.IFNA(INDEX('OSA | 3GB'!J:L,MATCH(DATA!D1293,'OSA | 3GB'!J:J,0),3),0)</f>
        <v>800000</v>
      </c>
      <c r="H1293" s="32">
        <f>_xlfn.IFNA(INDEX('OSA | 3GB'!A:C,MATCH(DATA!D1293,'OSA | 3GB'!A:A,0),2),0)</f>
        <v>2</v>
      </c>
      <c r="I1293" s="33">
        <f>_xlfn.IFNA(INDEX('OSA | 3GB'!A:C,MATCH(DATA!D1293,'OSA | 3GB'!A:A,0),3),0)</f>
        <v>58000</v>
      </c>
      <c r="J1293" s="33">
        <f>INDEX('BIO WAHYU'!B:G,MATCH(DATA!D1293,'BIO WAHYU'!B:B,0),5)</f>
        <v>0</v>
      </c>
      <c r="K1293" s="34">
        <f>INDEX('BIO WAHYU'!B:G,MATCH(DATA!D1293,'BIO WAHYU'!B:B,0),6)</f>
        <v>1</v>
      </c>
      <c r="L1293" s="35">
        <f>INDEX('BIO WAHYU'!B:H,MATCH(DATA!D1293,'BIO WAHYU'!B:B,0),7)</f>
        <v>1</v>
      </c>
      <c r="M1293" s="34">
        <f>INDEX('BIO WAHYU'!B:H,MATCH(DATA!D1293,'BIO WAHYU'!B:B,0),4)</f>
        <v>0</v>
      </c>
    </row>
    <row r="1294" spans="1:13">
      <c r="A1294" s="43" t="s">
        <v>1673</v>
      </c>
      <c r="B1294" s="43" t="s">
        <v>143</v>
      </c>
      <c r="C1294" s="43" t="s">
        <v>252</v>
      </c>
      <c r="D1294" s="10">
        <v>126926</v>
      </c>
      <c r="E1294" s="43" t="s">
        <v>10</v>
      </c>
      <c r="F1294" s="8">
        <f>_xlfn.IFNA(INDEX('OSA | 3GB'!J:L,MATCH(DATA!D1294,'OSA | 3GB'!J:J,0),2),0)</f>
        <v>4</v>
      </c>
      <c r="G1294" s="8">
        <f>_xlfn.IFNA(INDEX('OSA | 3GB'!J:L,MATCH(DATA!D1294,'OSA | 3GB'!J:J,0),3),0)</f>
        <v>18500000</v>
      </c>
      <c r="H1294" s="32" t="str">
        <f>_xlfn.IFNA(INDEX('OSA | 3GB'!A:C,MATCH(DATA!D1294,'OSA | 3GB'!A:A,0),2),0)</f>
        <v xml:space="preserve"> -   </v>
      </c>
      <c r="I1294" s="33">
        <f>_xlfn.IFNA(INDEX('OSA | 3GB'!A:C,MATCH(DATA!D1294,'OSA | 3GB'!A:A,0),3),0)</f>
        <v>7015000</v>
      </c>
      <c r="J1294" s="33">
        <f>INDEX('BIO WAHYU'!B:G,MATCH(DATA!D1294,'BIO WAHYU'!B:B,0),5)</f>
        <v>3</v>
      </c>
      <c r="K1294" s="34">
        <f>INDEX('BIO WAHYU'!B:G,MATCH(DATA!D1294,'BIO WAHYU'!B:B,0),6)</f>
        <v>4</v>
      </c>
      <c r="L1294" s="35">
        <f>INDEX('BIO WAHYU'!B:H,MATCH(DATA!D1294,'BIO WAHYU'!B:B,0),7)</f>
        <v>1</v>
      </c>
      <c r="M1294" s="34">
        <f>INDEX('BIO WAHYU'!B:H,MATCH(DATA!D1294,'BIO WAHYU'!B:B,0),4)</f>
        <v>2</v>
      </c>
    </row>
    <row r="1295" spans="1:13">
      <c r="A1295" s="43" t="s">
        <v>1674</v>
      </c>
      <c r="B1295" s="43" t="s">
        <v>147</v>
      </c>
      <c r="C1295" s="43" t="s">
        <v>610</v>
      </c>
      <c r="D1295" s="10">
        <v>336129</v>
      </c>
      <c r="E1295" s="43" t="s">
        <v>10</v>
      </c>
      <c r="F1295" s="8">
        <f>_xlfn.IFNA(INDEX('OSA | 3GB'!J:L,MATCH(DATA!D1295,'OSA | 3GB'!J:J,0),2),0)</f>
        <v>33</v>
      </c>
      <c r="G1295" s="8">
        <f>_xlfn.IFNA(INDEX('OSA | 3GB'!J:L,MATCH(DATA!D1295,'OSA | 3GB'!J:J,0),3),0)</f>
        <v>33400000</v>
      </c>
      <c r="H1295" s="32" t="str">
        <f>_xlfn.IFNA(INDEX('OSA | 3GB'!A:C,MATCH(DATA!D1295,'OSA | 3GB'!A:A,0),2),0)</f>
        <v xml:space="preserve"> -   </v>
      </c>
      <c r="I1295" s="33">
        <f>_xlfn.IFNA(INDEX('OSA | 3GB'!A:C,MATCH(DATA!D1295,'OSA | 3GB'!A:A,0),3),0)</f>
        <v>8550000</v>
      </c>
      <c r="J1295" s="33">
        <f>INDEX('BIO WAHYU'!B:G,MATCH(DATA!D1295,'BIO WAHYU'!B:B,0),5)</f>
        <v>15</v>
      </c>
      <c r="K1295" s="34">
        <f>INDEX('BIO WAHYU'!B:G,MATCH(DATA!D1295,'BIO WAHYU'!B:B,0),6)</f>
        <v>6</v>
      </c>
      <c r="L1295" s="35">
        <f>INDEX('BIO WAHYU'!B:H,MATCH(DATA!D1295,'BIO WAHYU'!B:B,0),7)</f>
        <v>0</v>
      </c>
      <c r="M1295" s="34">
        <f>INDEX('BIO WAHYU'!B:H,MATCH(DATA!D1295,'BIO WAHYU'!B:B,0),4)</f>
        <v>0</v>
      </c>
    </row>
    <row r="1296" spans="1:13">
      <c r="A1296" s="43" t="s">
        <v>1672</v>
      </c>
      <c r="B1296" s="43" t="s">
        <v>157</v>
      </c>
      <c r="C1296" s="43" t="s">
        <v>218</v>
      </c>
      <c r="D1296" s="10">
        <v>61892</v>
      </c>
      <c r="E1296" s="43" t="s">
        <v>10</v>
      </c>
      <c r="F1296" s="8">
        <f>_xlfn.IFNA(INDEX('OSA | 3GB'!J:L,MATCH(DATA!D1296,'OSA | 3GB'!J:J,0),2),0)</f>
        <v>5</v>
      </c>
      <c r="G1296" s="8">
        <f>_xlfn.IFNA(INDEX('OSA | 3GB'!J:L,MATCH(DATA!D1296,'OSA | 3GB'!J:J,0),3),0)</f>
        <v>2687000</v>
      </c>
      <c r="H1296" s="32" t="str">
        <f>_xlfn.IFNA(INDEX('OSA | 3GB'!A:C,MATCH(DATA!D1296,'OSA | 3GB'!A:A,0),2),0)</f>
        <v xml:space="preserve"> -   </v>
      </c>
      <c r="I1296" s="33">
        <f>_xlfn.IFNA(INDEX('OSA | 3GB'!A:C,MATCH(DATA!D1296,'OSA | 3GB'!A:A,0),3),0)</f>
        <v>500000</v>
      </c>
      <c r="J1296" s="33">
        <f>INDEX('BIO WAHYU'!B:G,MATCH(DATA!D1296,'BIO WAHYU'!B:B,0),5)</f>
        <v>3</v>
      </c>
      <c r="K1296" s="34">
        <f>INDEX('BIO WAHYU'!B:G,MATCH(DATA!D1296,'BIO WAHYU'!B:B,0),6)</f>
        <v>0</v>
      </c>
      <c r="L1296" s="35">
        <f>INDEX('BIO WAHYU'!B:H,MATCH(DATA!D1296,'BIO WAHYU'!B:B,0),7)</f>
        <v>0</v>
      </c>
      <c r="M1296" s="34">
        <f>INDEX('BIO WAHYU'!B:H,MATCH(DATA!D1296,'BIO WAHYU'!B:B,0),4)</f>
        <v>0</v>
      </c>
    </row>
    <row r="1297" spans="1:13">
      <c r="A1297" s="43" t="s">
        <v>1673</v>
      </c>
      <c r="B1297" s="43" t="s">
        <v>141</v>
      </c>
      <c r="C1297" s="43" t="s">
        <v>181</v>
      </c>
      <c r="D1297" s="10">
        <v>12295864</v>
      </c>
      <c r="E1297" s="43" t="s">
        <v>15</v>
      </c>
      <c r="F1297" s="8">
        <f>_xlfn.IFNA(INDEX('OSA | 3GB'!J:L,MATCH(DATA!D1297,'OSA | 3GB'!J:J,0),2),0)</f>
        <v>3</v>
      </c>
      <c r="G1297" s="8">
        <f>_xlfn.IFNA(INDEX('OSA | 3GB'!J:L,MATCH(DATA!D1297,'OSA | 3GB'!J:J,0),3),0)</f>
        <v>400000</v>
      </c>
      <c r="H1297" s="32" t="str">
        <f>_xlfn.IFNA(INDEX('OSA | 3GB'!A:C,MATCH(DATA!D1297,'OSA | 3GB'!A:A,0),2),0)</f>
        <v xml:space="preserve"> -   </v>
      </c>
      <c r="I1297" s="33">
        <f>_xlfn.IFNA(INDEX('OSA | 3GB'!A:C,MATCH(DATA!D1297,'OSA | 3GB'!A:A,0),3),0)</f>
        <v>200000</v>
      </c>
      <c r="J1297" s="33">
        <f>INDEX('BIO WAHYU'!B:G,MATCH(DATA!D1297,'BIO WAHYU'!B:B,0),5)</f>
        <v>4</v>
      </c>
      <c r="K1297" s="34">
        <f>INDEX('BIO WAHYU'!B:G,MATCH(DATA!D1297,'BIO WAHYU'!B:B,0),6)</f>
        <v>1</v>
      </c>
      <c r="L1297" s="35">
        <f>INDEX('BIO WAHYU'!B:H,MATCH(DATA!D1297,'BIO WAHYU'!B:B,0),7)</f>
        <v>0</v>
      </c>
      <c r="M1297" s="34">
        <f>INDEX('BIO WAHYU'!B:H,MATCH(DATA!D1297,'BIO WAHYU'!B:B,0),4)</f>
        <v>0</v>
      </c>
    </row>
    <row r="1298" spans="1:13">
      <c r="A1298" s="43" t="s">
        <v>1670</v>
      </c>
      <c r="B1298" s="43" t="s">
        <v>145</v>
      </c>
      <c r="C1298" s="43" t="s">
        <v>508</v>
      </c>
      <c r="D1298" s="10">
        <v>404929</v>
      </c>
      <c r="E1298" s="43" t="s">
        <v>10</v>
      </c>
      <c r="F1298" s="8">
        <f>_xlfn.IFNA(INDEX('OSA | 3GB'!J:L,MATCH(DATA!D1298,'OSA | 3GB'!J:J,0),2),0)</f>
        <v>6</v>
      </c>
      <c r="G1298" s="8">
        <f>_xlfn.IFNA(INDEX('OSA | 3GB'!J:L,MATCH(DATA!D1298,'OSA | 3GB'!J:J,0),3),0)</f>
        <v>2680000</v>
      </c>
      <c r="H1298" s="32">
        <f>_xlfn.IFNA(INDEX('OSA | 3GB'!A:C,MATCH(DATA!D1298,'OSA | 3GB'!A:A,0),2),0)</f>
        <v>3</v>
      </c>
      <c r="I1298" s="33">
        <f>_xlfn.IFNA(INDEX('OSA | 3GB'!A:C,MATCH(DATA!D1298,'OSA | 3GB'!A:A,0),3),0)</f>
        <v>1150000</v>
      </c>
      <c r="J1298" s="33">
        <f>INDEX('BIO WAHYU'!B:G,MATCH(DATA!D1298,'BIO WAHYU'!B:B,0),5)</f>
        <v>3</v>
      </c>
      <c r="K1298" s="34">
        <f>INDEX('BIO WAHYU'!B:G,MATCH(DATA!D1298,'BIO WAHYU'!B:B,0),6)</f>
        <v>0</v>
      </c>
      <c r="L1298" s="35">
        <f>INDEX('BIO WAHYU'!B:H,MATCH(DATA!D1298,'BIO WAHYU'!B:B,0),7)</f>
        <v>0</v>
      </c>
      <c r="M1298" s="34">
        <f>INDEX('BIO WAHYU'!B:H,MATCH(DATA!D1298,'BIO WAHYU'!B:B,0),4)</f>
        <v>0</v>
      </c>
    </row>
    <row r="1299" spans="1:13">
      <c r="A1299" s="43" t="s">
        <v>1674</v>
      </c>
      <c r="B1299" s="43" t="s">
        <v>148</v>
      </c>
      <c r="C1299" s="43" t="s">
        <v>1551</v>
      </c>
      <c r="D1299" s="10">
        <v>211739</v>
      </c>
      <c r="E1299" s="43" t="s">
        <v>10</v>
      </c>
      <c r="F1299" s="8">
        <f>_xlfn.IFNA(INDEX('OSA | 3GB'!J:L,MATCH(DATA!D1299,'OSA | 3GB'!J:J,0),2),0)</f>
        <v>3</v>
      </c>
      <c r="G1299" s="8">
        <f>_xlfn.IFNA(INDEX('OSA | 3GB'!J:L,MATCH(DATA!D1299,'OSA | 3GB'!J:J,0),3),0)</f>
        <v>800000</v>
      </c>
      <c r="H1299" s="32" t="str">
        <f>_xlfn.IFNA(INDEX('OSA | 3GB'!A:C,MATCH(DATA!D1299,'OSA | 3GB'!A:A,0),2),0)</f>
        <v xml:space="preserve"> -   </v>
      </c>
      <c r="I1299" s="33">
        <f>_xlfn.IFNA(INDEX('OSA | 3GB'!A:C,MATCH(DATA!D1299,'OSA | 3GB'!A:A,0),3),0)</f>
        <v>700000</v>
      </c>
      <c r="J1299" s="33">
        <f>INDEX('BIO WAHYU'!B:G,MATCH(DATA!D1299,'BIO WAHYU'!B:B,0),5)</f>
        <v>1</v>
      </c>
      <c r="K1299" s="34">
        <f>INDEX('BIO WAHYU'!B:G,MATCH(DATA!D1299,'BIO WAHYU'!B:B,0),6)</f>
        <v>0</v>
      </c>
      <c r="L1299" s="35">
        <f>INDEX('BIO WAHYU'!B:H,MATCH(DATA!D1299,'BIO WAHYU'!B:B,0),7)</f>
        <v>0</v>
      </c>
      <c r="M1299" s="34">
        <f>INDEX('BIO WAHYU'!B:H,MATCH(DATA!D1299,'BIO WAHYU'!B:B,0),4)</f>
        <v>0</v>
      </c>
    </row>
    <row r="1300" spans="1:13">
      <c r="A1300" s="43" t="s">
        <v>1672</v>
      </c>
      <c r="B1300" s="43" t="s">
        <v>150</v>
      </c>
      <c r="C1300" s="43" t="s">
        <v>816</v>
      </c>
      <c r="D1300" s="10">
        <v>260298</v>
      </c>
      <c r="E1300" s="43" t="s">
        <v>10</v>
      </c>
      <c r="F1300" s="8">
        <f>_xlfn.IFNA(INDEX('OSA | 3GB'!J:L,MATCH(DATA!D1300,'OSA | 3GB'!J:J,0),2),0)</f>
        <v>4</v>
      </c>
      <c r="G1300" s="8">
        <f>_xlfn.IFNA(INDEX('OSA | 3GB'!J:L,MATCH(DATA!D1300,'OSA | 3GB'!J:J,0),3),0)</f>
        <v>1150000</v>
      </c>
      <c r="H1300" s="32">
        <f>_xlfn.IFNA(INDEX('OSA | 3GB'!A:C,MATCH(DATA!D1300,'OSA | 3GB'!A:A,0),2),0)</f>
        <v>3</v>
      </c>
      <c r="I1300" s="33">
        <f>_xlfn.IFNA(INDEX('OSA | 3GB'!A:C,MATCH(DATA!D1300,'OSA | 3GB'!A:A,0),3),0)</f>
        <v>300000</v>
      </c>
      <c r="J1300" s="33">
        <f>INDEX('BIO WAHYU'!B:G,MATCH(DATA!D1300,'BIO WAHYU'!B:B,0),5)</f>
        <v>3</v>
      </c>
      <c r="K1300" s="34">
        <f>INDEX('BIO WAHYU'!B:G,MATCH(DATA!D1300,'BIO WAHYU'!B:B,0),6)</f>
        <v>1</v>
      </c>
      <c r="L1300" s="35">
        <f>INDEX('BIO WAHYU'!B:H,MATCH(DATA!D1300,'BIO WAHYU'!B:B,0),7)</f>
        <v>0</v>
      </c>
      <c r="M1300" s="34">
        <f>INDEX('BIO WAHYU'!B:H,MATCH(DATA!D1300,'BIO WAHYU'!B:B,0),4)</f>
        <v>0</v>
      </c>
    </row>
    <row r="1301" spans="1:13">
      <c r="A1301" s="43" t="s">
        <v>1673</v>
      </c>
      <c r="B1301" s="43" t="s">
        <v>1140</v>
      </c>
      <c r="C1301" s="43" t="s">
        <v>1552</v>
      </c>
      <c r="D1301" s="10">
        <v>61526</v>
      </c>
      <c r="E1301" s="43" t="s">
        <v>23</v>
      </c>
      <c r="F1301" s="8">
        <f>_xlfn.IFNA(INDEX('OSA | 3GB'!J:L,MATCH(DATA!D1301,'OSA | 3GB'!J:J,0),2),0)</f>
        <v>36</v>
      </c>
      <c r="G1301" s="8">
        <f>_xlfn.IFNA(INDEX('OSA | 3GB'!J:L,MATCH(DATA!D1301,'OSA | 3GB'!J:J,0),3),0)</f>
        <v>7729000</v>
      </c>
      <c r="H1301" s="32" t="str">
        <f>_xlfn.IFNA(INDEX('OSA | 3GB'!A:C,MATCH(DATA!D1301,'OSA | 3GB'!A:A,0),2),0)</f>
        <v xml:space="preserve"> -   </v>
      </c>
      <c r="I1301" s="33">
        <f>_xlfn.IFNA(INDEX('OSA | 3GB'!A:C,MATCH(DATA!D1301,'OSA | 3GB'!A:A,0),3),0)</f>
        <v>3000000</v>
      </c>
      <c r="J1301" s="33">
        <f>INDEX('BIO WAHYU'!B:G,MATCH(DATA!D1301,'BIO WAHYU'!B:B,0),5)</f>
        <v>23</v>
      </c>
      <c r="K1301" s="34">
        <f>INDEX('BIO WAHYU'!B:G,MATCH(DATA!D1301,'BIO WAHYU'!B:B,0),6)</f>
        <v>10</v>
      </c>
      <c r="L1301" s="35">
        <f>INDEX('BIO WAHYU'!B:H,MATCH(DATA!D1301,'BIO WAHYU'!B:B,0),7)</f>
        <v>0</v>
      </c>
      <c r="M1301" s="34">
        <f>INDEX('BIO WAHYU'!B:H,MATCH(DATA!D1301,'BIO WAHYU'!B:B,0),4)</f>
        <v>0</v>
      </c>
    </row>
    <row r="1302" spans="1:13">
      <c r="A1302" s="43" t="s">
        <v>1675</v>
      </c>
      <c r="B1302" s="43">
        <v>2613051043</v>
      </c>
      <c r="C1302" s="43" t="s">
        <v>1553</v>
      </c>
      <c r="D1302" s="10">
        <v>12327271</v>
      </c>
      <c r="E1302" s="43" t="s">
        <v>10</v>
      </c>
      <c r="F1302" s="8">
        <f>_xlfn.IFNA(INDEX('OSA | 3GB'!J:L,MATCH(DATA!D1302,'OSA | 3GB'!J:J,0),2),0)</f>
        <v>0</v>
      </c>
      <c r="G1302" s="8">
        <f>_xlfn.IFNA(INDEX('OSA | 3GB'!J:L,MATCH(DATA!D1302,'OSA | 3GB'!J:J,0),3),0)</f>
        <v>0</v>
      </c>
      <c r="H1302" s="32" t="str">
        <f>_xlfn.IFNA(INDEX('OSA | 3GB'!A:C,MATCH(DATA!D1302,'OSA | 3GB'!A:A,0),2),0)</f>
        <v xml:space="preserve"> -   </v>
      </c>
      <c r="I1302" s="33" t="str">
        <f>_xlfn.IFNA(INDEX('OSA | 3GB'!A:C,MATCH(DATA!D1302,'OSA | 3GB'!A:A,0),3),0)</f>
        <v xml:space="preserve"> -   </v>
      </c>
      <c r="J1302" s="33">
        <f>INDEX('BIO WAHYU'!B:G,MATCH(DATA!D1302,'BIO WAHYU'!B:B,0),5)</f>
        <v>0</v>
      </c>
      <c r="K1302" s="34">
        <f>INDEX('BIO WAHYU'!B:G,MATCH(DATA!D1302,'BIO WAHYU'!B:B,0),6)</f>
        <v>0</v>
      </c>
      <c r="L1302" s="35">
        <f>INDEX('BIO WAHYU'!B:H,MATCH(DATA!D1302,'BIO WAHYU'!B:B,0),7)</f>
        <v>0</v>
      </c>
      <c r="M1302" s="34">
        <f>INDEX('BIO WAHYU'!B:H,MATCH(DATA!D1302,'BIO WAHYU'!B:B,0),4)</f>
        <v>0</v>
      </c>
    </row>
    <row r="1303" spans="1:13">
      <c r="A1303" s="43" t="s">
        <v>1674</v>
      </c>
      <c r="B1303" s="43" t="s">
        <v>154</v>
      </c>
      <c r="C1303" s="43" t="s">
        <v>1554</v>
      </c>
      <c r="D1303" s="10">
        <v>458917</v>
      </c>
      <c r="E1303" s="43" t="s">
        <v>10</v>
      </c>
      <c r="F1303" s="8">
        <f>_xlfn.IFNA(INDEX('OSA | 3GB'!J:L,MATCH(DATA!D1303,'OSA | 3GB'!J:J,0),2),0)</f>
        <v>1</v>
      </c>
      <c r="G1303" s="8">
        <f>_xlfn.IFNA(INDEX('OSA | 3GB'!J:L,MATCH(DATA!D1303,'OSA | 3GB'!J:J,0),3),0)</f>
        <v>1200000</v>
      </c>
      <c r="H1303" s="32" t="str">
        <f>_xlfn.IFNA(INDEX('OSA | 3GB'!A:C,MATCH(DATA!D1303,'OSA | 3GB'!A:A,0),2),0)</f>
        <v xml:space="preserve"> -   </v>
      </c>
      <c r="I1303" s="33">
        <f>_xlfn.IFNA(INDEX('OSA | 3GB'!A:C,MATCH(DATA!D1303,'OSA | 3GB'!A:A,0),3),0)</f>
        <v>700000</v>
      </c>
      <c r="J1303" s="33">
        <f>INDEX('BIO WAHYU'!B:G,MATCH(DATA!D1303,'BIO WAHYU'!B:B,0),5)</f>
        <v>1</v>
      </c>
      <c r="K1303" s="34">
        <f>INDEX('BIO WAHYU'!B:G,MATCH(DATA!D1303,'BIO WAHYU'!B:B,0),6)</f>
        <v>0</v>
      </c>
      <c r="L1303" s="35">
        <f>INDEX('BIO WAHYU'!B:H,MATCH(DATA!D1303,'BIO WAHYU'!B:B,0),7)</f>
        <v>0</v>
      </c>
      <c r="M1303" s="34">
        <f>INDEX('BIO WAHYU'!B:H,MATCH(DATA!D1303,'BIO WAHYU'!B:B,0),4)</f>
        <v>0</v>
      </c>
    </row>
    <row r="1304" spans="1:13">
      <c r="A1304" s="43" t="s">
        <v>1672</v>
      </c>
      <c r="B1304" s="43" t="s">
        <v>157</v>
      </c>
      <c r="C1304" s="43" t="s">
        <v>1026</v>
      </c>
      <c r="D1304" s="10">
        <v>127542</v>
      </c>
      <c r="E1304" s="43" t="s">
        <v>10</v>
      </c>
      <c r="F1304" s="8">
        <f>_xlfn.IFNA(INDEX('OSA | 3GB'!J:L,MATCH(DATA!D1304,'OSA | 3GB'!J:J,0),2),0)</f>
        <v>3</v>
      </c>
      <c r="G1304" s="8">
        <f>_xlfn.IFNA(INDEX('OSA | 3GB'!J:L,MATCH(DATA!D1304,'OSA | 3GB'!J:J,0),3),0)</f>
        <v>2200000</v>
      </c>
      <c r="H1304" s="32">
        <f>_xlfn.IFNA(INDEX('OSA | 3GB'!A:C,MATCH(DATA!D1304,'OSA | 3GB'!A:A,0),2),0)</f>
        <v>5</v>
      </c>
      <c r="I1304" s="33">
        <f>_xlfn.IFNA(INDEX('OSA | 3GB'!A:C,MATCH(DATA!D1304,'OSA | 3GB'!A:A,0),3),0)</f>
        <v>1345000</v>
      </c>
      <c r="J1304" s="33">
        <f>INDEX('BIO WAHYU'!B:G,MATCH(DATA!D1304,'BIO WAHYU'!B:B,0),5)</f>
        <v>4</v>
      </c>
      <c r="K1304" s="34">
        <f>INDEX('BIO WAHYU'!B:G,MATCH(DATA!D1304,'BIO WAHYU'!B:B,0),6)</f>
        <v>0</v>
      </c>
      <c r="L1304" s="35">
        <f>INDEX('BIO WAHYU'!B:H,MATCH(DATA!D1304,'BIO WAHYU'!B:B,0),7)</f>
        <v>0</v>
      </c>
      <c r="M1304" s="34">
        <f>INDEX('BIO WAHYU'!B:H,MATCH(DATA!D1304,'BIO WAHYU'!B:B,0),4)</f>
        <v>0</v>
      </c>
    </row>
    <row r="1305" spans="1:13">
      <c r="A1305" s="43" t="s">
        <v>1673</v>
      </c>
      <c r="B1305" s="43" t="s">
        <v>141</v>
      </c>
      <c r="C1305" s="43" t="s">
        <v>178</v>
      </c>
      <c r="D1305" s="10">
        <v>12295813</v>
      </c>
      <c r="E1305" s="43" t="s">
        <v>15</v>
      </c>
      <c r="F1305" s="8">
        <f>_xlfn.IFNA(INDEX('OSA | 3GB'!J:L,MATCH(DATA!D1305,'OSA | 3GB'!J:J,0),2),0)</f>
        <v>5</v>
      </c>
      <c r="G1305" s="8">
        <f>_xlfn.IFNA(INDEX('OSA | 3GB'!J:L,MATCH(DATA!D1305,'OSA | 3GB'!J:J,0),3),0)</f>
        <v>900000</v>
      </c>
      <c r="H1305" s="32" t="str">
        <f>_xlfn.IFNA(INDEX('OSA | 3GB'!A:C,MATCH(DATA!D1305,'OSA | 3GB'!A:A,0),2),0)</f>
        <v xml:space="preserve"> -   </v>
      </c>
      <c r="I1305" s="33">
        <f>_xlfn.IFNA(INDEX('OSA | 3GB'!A:C,MATCH(DATA!D1305,'OSA | 3GB'!A:A,0),3),0)</f>
        <v>300000</v>
      </c>
      <c r="J1305" s="33">
        <f>INDEX('BIO WAHYU'!B:G,MATCH(DATA!D1305,'BIO WAHYU'!B:B,0),5)</f>
        <v>1</v>
      </c>
      <c r="K1305" s="34">
        <f>INDEX('BIO WAHYU'!B:G,MATCH(DATA!D1305,'BIO WAHYU'!B:B,0),6)</f>
        <v>0</v>
      </c>
      <c r="L1305" s="35">
        <f>INDEX('BIO WAHYU'!B:H,MATCH(DATA!D1305,'BIO WAHYU'!B:B,0),7)</f>
        <v>0</v>
      </c>
      <c r="M1305" s="34">
        <f>INDEX('BIO WAHYU'!B:H,MATCH(DATA!D1305,'BIO WAHYU'!B:B,0),4)</f>
        <v>0</v>
      </c>
    </row>
    <row r="1306" spans="1:13">
      <c r="A1306" s="43" t="s">
        <v>1</v>
      </c>
      <c r="B1306" s="43" t="s">
        <v>5</v>
      </c>
      <c r="C1306" s="43" t="s">
        <v>78</v>
      </c>
      <c r="D1306" s="10">
        <v>12321230</v>
      </c>
      <c r="E1306" s="43" t="s">
        <v>10</v>
      </c>
      <c r="F1306" s="8">
        <f>_xlfn.IFNA(INDEX('OSA | 3GB'!J:L,MATCH(DATA!D1306,'OSA | 3GB'!J:J,0),2),0)</f>
        <v>6</v>
      </c>
      <c r="G1306" s="8">
        <f>_xlfn.IFNA(INDEX('OSA | 3GB'!J:L,MATCH(DATA!D1306,'OSA | 3GB'!J:J,0),3),0)</f>
        <v>0</v>
      </c>
      <c r="H1306" s="32">
        <f>_xlfn.IFNA(INDEX('OSA | 3GB'!A:C,MATCH(DATA!D1306,'OSA | 3GB'!A:A,0),2),0)</f>
        <v>5</v>
      </c>
      <c r="I1306" s="33" t="str">
        <f>_xlfn.IFNA(INDEX('OSA | 3GB'!A:C,MATCH(DATA!D1306,'OSA | 3GB'!A:A,0),3),0)</f>
        <v xml:space="preserve"> -   </v>
      </c>
      <c r="J1306" s="33">
        <f>INDEX('BIO WAHYU'!B:G,MATCH(DATA!D1306,'BIO WAHYU'!B:B,0),5)</f>
        <v>6</v>
      </c>
      <c r="K1306" s="34">
        <f>INDEX('BIO WAHYU'!B:G,MATCH(DATA!D1306,'BIO WAHYU'!B:B,0),6)</f>
        <v>8</v>
      </c>
      <c r="L1306" s="35">
        <f>INDEX('BIO WAHYU'!B:H,MATCH(DATA!D1306,'BIO WAHYU'!B:B,0),7)</f>
        <v>2</v>
      </c>
      <c r="M1306" s="34">
        <f>INDEX('BIO WAHYU'!B:H,MATCH(DATA!D1306,'BIO WAHYU'!B:B,0),4)</f>
        <v>0</v>
      </c>
    </row>
    <row r="1307" spans="1:13">
      <c r="A1307" s="43" t="s">
        <v>1672</v>
      </c>
      <c r="B1307" s="43" t="s">
        <v>156</v>
      </c>
      <c r="C1307" s="43" t="s">
        <v>979</v>
      </c>
      <c r="D1307" s="10">
        <v>257042</v>
      </c>
      <c r="E1307" s="43" t="s">
        <v>10</v>
      </c>
      <c r="F1307" s="8">
        <f>_xlfn.IFNA(INDEX('OSA | 3GB'!J:L,MATCH(DATA!D1307,'OSA | 3GB'!J:J,0),2),0)</f>
        <v>0</v>
      </c>
      <c r="G1307" s="8">
        <f>_xlfn.IFNA(INDEX('OSA | 3GB'!J:L,MATCH(DATA!D1307,'OSA | 3GB'!J:J,0),3),0)</f>
        <v>0</v>
      </c>
      <c r="H1307" s="32" t="str">
        <f>_xlfn.IFNA(INDEX('OSA | 3GB'!A:C,MATCH(DATA!D1307,'OSA | 3GB'!A:A,0),2),0)</f>
        <v xml:space="preserve"> -   </v>
      </c>
      <c r="I1307" s="33" t="str">
        <f>_xlfn.IFNA(INDEX('OSA | 3GB'!A:C,MATCH(DATA!D1307,'OSA | 3GB'!A:A,0),3),0)</f>
        <v xml:space="preserve"> -   </v>
      </c>
      <c r="J1307" s="33">
        <f>INDEX('BIO WAHYU'!B:G,MATCH(DATA!D1307,'BIO WAHYU'!B:B,0),5)</f>
        <v>0</v>
      </c>
      <c r="K1307" s="34">
        <f>INDEX('BIO WAHYU'!B:G,MATCH(DATA!D1307,'BIO WAHYU'!B:B,0),6)</f>
        <v>0</v>
      </c>
      <c r="L1307" s="35">
        <f>INDEX('BIO WAHYU'!B:H,MATCH(DATA!D1307,'BIO WAHYU'!B:B,0),7)</f>
        <v>0</v>
      </c>
      <c r="M1307" s="34">
        <f>INDEX('BIO WAHYU'!B:H,MATCH(DATA!D1307,'BIO WAHYU'!B:B,0),4)</f>
        <v>0</v>
      </c>
    </row>
    <row r="1308" spans="1:13">
      <c r="A1308" s="43" t="s">
        <v>1674</v>
      </c>
      <c r="B1308" s="43">
        <v>2613052222</v>
      </c>
      <c r="C1308" s="43" t="s">
        <v>694</v>
      </c>
      <c r="D1308" s="10">
        <v>340429</v>
      </c>
      <c r="E1308" s="43" t="s">
        <v>10</v>
      </c>
      <c r="F1308" s="8">
        <f>_xlfn.IFNA(INDEX('OSA | 3GB'!J:L,MATCH(DATA!D1308,'OSA | 3GB'!J:J,0),2),0)</f>
        <v>3</v>
      </c>
      <c r="G1308" s="8">
        <f>_xlfn.IFNA(INDEX('OSA | 3GB'!J:L,MATCH(DATA!D1308,'OSA | 3GB'!J:J,0),3),0)</f>
        <v>287000</v>
      </c>
      <c r="H1308" s="32" t="str">
        <f>_xlfn.IFNA(INDEX('OSA | 3GB'!A:C,MATCH(DATA!D1308,'OSA | 3GB'!A:A,0),2),0)</f>
        <v xml:space="preserve"> -   </v>
      </c>
      <c r="I1308" s="33" t="str">
        <f>_xlfn.IFNA(INDEX('OSA | 3GB'!A:C,MATCH(DATA!D1308,'OSA | 3GB'!A:A,0),3),0)</f>
        <v xml:space="preserve"> -   </v>
      </c>
      <c r="J1308" s="33">
        <f>INDEX('BIO WAHYU'!B:G,MATCH(DATA!D1308,'BIO WAHYU'!B:B,0),5)</f>
        <v>0</v>
      </c>
      <c r="K1308" s="34">
        <f>INDEX('BIO WAHYU'!B:G,MATCH(DATA!D1308,'BIO WAHYU'!B:B,0),6)</f>
        <v>0</v>
      </c>
      <c r="L1308" s="35">
        <f>INDEX('BIO WAHYU'!B:H,MATCH(DATA!D1308,'BIO WAHYU'!B:B,0),7)</f>
        <v>0</v>
      </c>
      <c r="M1308" s="34">
        <f>INDEX('BIO WAHYU'!B:H,MATCH(DATA!D1308,'BIO WAHYU'!B:B,0),4)</f>
        <v>0</v>
      </c>
    </row>
    <row r="1309" spans="1:13">
      <c r="A1309" s="43" t="s">
        <v>1673</v>
      </c>
      <c r="B1309" s="43" t="s">
        <v>144</v>
      </c>
      <c r="C1309" s="43" t="s">
        <v>232</v>
      </c>
      <c r="D1309" s="10">
        <v>512404</v>
      </c>
      <c r="E1309" s="43" t="s">
        <v>10</v>
      </c>
      <c r="F1309" s="8">
        <f>_xlfn.IFNA(INDEX('OSA | 3GB'!J:L,MATCH(DATA!D1309,'OSA | 3GB'!J:J,0),2),0)</f>
        <v>8</v>
      </c>
      <c r="G1309" s="8">
        <f>_xlfn.IFNA(INDEX('OSA | 3GB'!J:L,MATCH(DATA!D1309,'OSA | 3GB'!J:J,0),3),0)</f>
        <v>3708000</v>
      </c>
      <c r="H1309" s="32" t="str">
        <f>_xlfn.IFNA(INDEX('OSA | 3GB'!A:C,MATCH(DATA!D1309,'OSA | 3GB'!A:A,0),2),0)</f>
        <v xml:space="preserve"> -   </v>
      </c>
      <c r="I1309" s="33">
        <f>_xlfn.IFNA(INDEX('OSA | 3GB'!A:C,MATCH(DATA!D1309,'OSA | 3GB'!A:A,0),3),0)</f>
        <v>1500000</v>
      </c>
      <c r="J1309" s="33">
        <f>INDEX('BIO WAHYU'!B:G,MATCH(DATA!D1309,'BIO WAHYU'!B:B,0),5)</f>
        <v>5</v>
      </c>
      <c r="K1309" s="34">
        <f>INDEX('BIO WAHYU'!B:G,MATCH(DATA!D1309,'BIO WAHYU'!B:B,0),6)</f>
        <v>2</v>
      </c>
      <c r="L1309" s="35">
        <f>INDEX('BIO WAHYU'!B:H,MATCH(DATA!D1309,'BIO WAHYU'!B:B,0),7)</f>
        <v>0</v>
      </c>
      <c r="M1309" s="34">
        <f>INDEX('BIO WAHYU'!B:H,MATCH(DATA!D1309,'BIO WAHYU'!B:B,0),4)</f>
        <v>0</v>
      </c>
    </row>
    <row r="1310" spans="1:13">
      <c r="A1310" s="43" t="s">
        <v>1673</v>
      </c>
      <c r="B1310" s="43" t="s">
        <v>141</v>
      </c>
      <c r="C1310" s="43" t="s">
        <v>1555</v>
      </c>
      <c r="D1310" s="10">
        <v>515338</v>
      </c>
      <c r="E1310" s="43" t="s">
        <v>10</v>
      </c>
      <c r="F1310" s="8">
        <f>_xlfn.IFNA(INDEX('OSA | 3GB'!J:L,MATCH(DATA!D1310,'OSA | 3GB'!J:J,0),2),0)</f>
        <v>4</v>
      </c>
      <c r="G1310" s="8">
        <f>_xlfn.IFNA(INDEX('OSA | 3GB'!J:L,MATCH(DATA!D1310,'OSA | 3GB'!J:J,0),3),0)</f>
        <v>4648000</v>
      </c>
      <c r="H1310" s="32">
        <f>_xlfn.IFNA(INDEX('OSA | 3GB'!A:C,MATCH(DATA!D1310,'OSA | 3GB'!A:A,0),2),0)</f>
        <v>1</v>
      </c>
      <c r="I1310" s="33">
        <f>_xlfn.IFNA(INDEX('OSA | 3GB'!A:C,MATCH(DATA!D1310,'OSA | 3GB'!A:A,0),3),0)</f>
        <v>2179000</v>
      </c>
      <c r="J1310" s="33">
        <f>INDEX('BIO WAHYU'!B:G,MATCH(DATA!D1310,'BIO WAHYU'!B:B,0),5)</f>
        <v>30</v>
      </c>
      <c r="K1310" s="34">
        <f>INDEX('BIO WAHYU'!B:G,MATCH(DATA!D1310,'BIO WAHYU'!B:B,0),6)</f>
        <v>1</v>
      </c>
      <c r="L1310" s="35">
        <f>INDEX('BIO WAHYU'!B:H,MATCH(DATA!D1310,'BIO WAHYU'!B:B,0),7)</f>
        <v>0</v>
      </c>
      <c r="M1310" s="34">
        <f>INDEX('BIO WAHYU'!B:H,MATCH(DATA!D1310,'BIO WAHYU'!B:B,0),4)</f>
        <v>0</v>
      </c>
    </row>
    <row r="1311" spans="1:13">
      <c r="A1311" s="43" t="s">
        <v>1</v>
      </c>
      <c r="B1311" s="43" t="s">
        <v>4</v>
      </c>
      <c r="C1311" s="43" t="s">
        <v>1117</v>
      </c>
      <c r="D1311" s="10">
        <v>126952</v>
      </c>
      <c r="E1311" s="43" t="s">
        <v>15</v>
      </c>
      <c r="F1311" s="8">
        <f>_xlfn.IFNA(INDEX('OSA | 3GB'!J:L,MATCH(DATA!D1311,'OSA | 3GB'!J:J,0),2),0)</f>
        <v>7</v>
      </c>
      <c r="G1311" s="8">
        <f>_xlfn.IFNA(INDEX('OSA | 3GB'!J:L,MATCH(DATA!D1311,'OSA | 3GB'!J:J,0),3),0)</f>
        <v>1291000</v>
      </c>
      <c r="H1311" s="32">
        <f>_xlfn.IFNA(INDEX('OSA | 3GB'!A:C,MATCH(DATA!D1311,'OSA | 3GB'!A:A,0),2),0)</f>
        <v>10</v>
      </c>
      <c r="I1311" s="33">
        <f>_xlfn.IFNA(INDEX('OSA | 3GB'!A:C,MATCH(DATA!D1311,'OSA | 3GB'!A:A,0),3),0)</f>
        <v>250000</v>
      </c>
      <c r="J1311" s="33">
        <f>INDEX('BIO WAHYU'!B:G,MATCH(DATA!D1311,'BIO WAHYU'!B:B,0),5)</f>
        <v>10</v>
      </c>
      <c r="K1311" s="34">
        <f>INDEX('BIO WAHYU'!B:G,MATCH(DATA!D1311,'BIO WAHYU'!B:B,0),6)</f>
        <v>5</v>
      </c>
      <c r="L1311" s="35">
        <f>INDEX('BIO WAHYU'!B:H,MATCH(DATA!D1311,'BIO WAHYU'!B:B,0),7)</f>
        <v>0</v>
      </c>
      <c r="M1311" s="34">
        <f>INDEX('BIO WAHYU'!B:H,MATCH(DATA!D1311,'BIO WAHYU'!B:B,0),4)</f>
        <v>0</v>
      </c>
    </row>
    <row r="1312" spans="1:13">
      <c r="A1312" s="43" t="s">
        <v>1670</v>
      </c>
      <c r="B1312" s="43">
        <v>2613052584</v>
      </c>
      <c r="C1312" s="43" t="s">
        <v>589</v>
      </c>
      <c r="D1312" s="10">
        <v>475081</v>
      </c>
      <c r="E1312" s="43" t="s">
        <v>10</v>
      </c>
      <c r="F1312" s="8">
        <f>_xlfn.IFNA(INDEX('OSA | 3GB'!J:L,MATCH(DATA!D1312,'OSA | 3GB'!J:J,0),2),0)</f>
        <v>3</v>
      </c>
      <c r="G1312" s="8">
        <f>_xlfn.IFNA(INDEX('OSA | 3GB'!J:L,MATCH(DATA!D1312,'OSA | 3GB'!J:J,0),3),0)</f>
        <v>0</v>
      </c>
      <c r="H1312" s="32">
        <f>_xlfn.IFNA(INDEX('OSA | 3GB'!A:C,MATCH(DATA!D1312,'OSA | 3GB'!A:A,0),2),0)</f>
        <v>5</v>
      </c>
      <c r="I1312" s="33" t="str">
        <f>_xlfn.IFNA(INDEX('OSA | 3GB'!A:C,MATCH(DATA!D1312,'OSA | 3GB'!A:A,0),3),0)</f>
        <v xml:space="preserve"> -   </v>
      </c>
      <c r="J1312" s="33">
        <f>INDEX('BIO WAHYU'!B:G,MATCH(DATA!D1312,'BIO WAHYU'!B:B,0),5)</f>
        <v>0</v>
      </c>
      <c r="K1312" s="34">
        <f>INDEX('BIO WAHYU'!B:G,MATCH(DATA!D1312,'BIO WAHYU'!B:B,0),6)</f>
        <v>4</v>
      </c>
      <c r="L1312" s="35">
        <f>INDEX('BIO WAHYU'!B:H,MATCH(DATA!D1312,'BIO WAHYU'!B:B,0),7)</f>
        <v>4</v>
      </c>
      <c r="M1312" s="34">
        <f>INDEX('BIO WAHYU'!B:H,MATCH(DATA!D1312,'BIO WAHYU'!B:B,0),4)</f>
        <v>0</v>
      </c>
    </row>
    <row r="1313" spans="1:13">
      <c r="A1313" s="43" t="s">
        <v>1670</v>
      </c>
      <c r="B1313" s="43" t="s">
        <v>145</v>
      </c>
      <c r="C1313" s="43" t="s">
        <v>505</v>
      </c>
      <c r="D1313" s="10">
        <v>399087</v>
      </c>
      <c r="E1313" s="43" t="s">
        <v>10</v>
      </c>
      <c r="F1313" s="8">
        <f>_xlfn.IFNA(INDEX('OSA | 3GB'!J:L,MATCH(DATA!D1313,'OSA | 3GB'!J:J,0),2),0)</f>
        <v>5</v>
      </c>
      <c r="G1313" s="8">
        <f>_xlfn.IFNA(INDEX('OSA | 3GB'!J:L,MATCH(DATA!D1313,'OSA | 3GB'!J:J,0),3),0)</f>
        <v>1745000</v>
      </c>
      <c r="H1313" s="32">
        <f>_xlfn.IFNA(INDEX('OSA | 3GB'!A:C,MATCH(DATA!D1313,'OSA | 3GB'!A:A,0),2),0)</f>
        <v>3</v>
      </c>
      <c r="I1313" s="33" t="str">
        <f>_xlfn.IFNA(INDEX('OSA | 3GB'!A:C,MATCH(DATA!D1313,'OSA | 3GB'!A:A,0),3),0)</f>
        <v xml:space="preserve"> -   </v>
      </c>
      <c r="J1313" s="33">
        <f>INDEX('BIO WAHYU'!B:G,MATCH(DATA!D1313,'BIO WAHYU'!B:B,0),5)</f>
        <v>3</v>
      </c>
      <c r="K1313" s="34">
        <f>INDEX('BIO WAHYU'!B:G,MATCH(DATA!D1313,'BIO WAHYU'!B:B,0),6)</f>
        <v>1</v>
      </c>
      <c r="L1313" s="35">
        <f>INDEX('BIO WAHYU'!B:H,MATCH(DATA!D1313,'BIO WAHYU'!B:B,0),7)</f>
        <v>0</v>
      </c>
      <c r="M1313" s="34">
        <f>INDEX('BIO WAHYU'!B:H,MATCH(DATA!D1313,'BIO WAHYU'!B:B,0),4)</f>
        <v>0</v>
      </c>
    </row>
    <row r="1314" spans="1:13">
      <c r="A1314" s="43" t="s">
        <v>1</v>
      </c>
      <c r="B1314" s="43" t="s">
        <v>5</v>
      </c>
      <c r="C1314" s="43" t="s">
        <v>1118</v>
      </c>
      <c r="D1314" s="10">
        <v>240084</v>
      </c>
      <c r="E1314" s="43" t="s">
        <v>10</v>
      </c>
      <c r="F1314" s="8">
        <f>_xlfn.IFNA(INDEX('OSA | 3GB'!J:L,MATCH(DATA!D1314,'OSA | 3GB'!J:J,0),2),0)</f>
        <v>0</v>
      </c>
      <c r="G1314" s="8">
        <f>_xlfn.IFNA(INDEX('OSA | 3GB'!J:L,MATCH(DATA!D1314,'OSA | 3GB'!J:J,0),3),0)</f>
        <v>13000000</v>
      </c>
      <c r="H1314" s="32" t="str">
        <f>_xlfn.IFNA(INDEX('OSA | 3GB'!A:C,MATCH(DATA!D1314,'OSA | 3GB'!A:A,0),2),0)</f>
        <v xml:space="preserve"> -   </v>
      </c>
      <c r="I1314" s="33">
        <f>_xlfn.IFNA(INDEX('OSA | 3GB'!A:C,MATCH(DATA!D1314,'OSA | 3GB'!A:A,0),3),0)</f>
        <v>7000000</v>
      </c>
      <c r="J1314" s="33">
        <f>INDEX('BIO WAHYU'!B:G,MATCH(DATA!D1314,'BIO WAHYU'!B:B,0),5)</f>
        <v>4</v>
      </c>
      <c r="K1314" s="34">
        <f>INDEX('BIO WAHYU'!B:G,MATCH(DATA!D1314,'BIO WAHYU'!B:B,0),6)</f>
        <v>0</v>
      </c>
      <c r="L1314" s="35">
        <f>INDEX('BIO WAHYU'!B:H,MATCH(DATA!D1314,'BIO WAHYU'!B:B,0),7)</f>
        <v>0</v>
      </c>
      <c r="M1314" s="34">
        <f>INDEX('BIO WAHYU'!B:H,MATCH(DATA!D1314,'BIO WAHYU'!B:B,0),4)</f>
        <v>0</v>
      </c>
    </row>
    <row r="1315" spans="1:13">
      <c r="A1315" s="43" t="s">
        <v>1670</v>
      </c>
      <c r="B1315" s="43" t="s">
        <v>145</v>
      </c>
      <c r="C1315" s="43" t="s">
        <v>491</v>
      </c>
      <c r="D1315" s="10">
        <v>186394</v>
      </c>
      <c r="E1315" s="43" t="s">
        <v>10</v>
      </c>
      <c r="F1315" s="8">
        <f>_xlfn.IFNA(INDEX('OSA | 3GB'!J:L,MATCH(DATA!D1315,'OSA | 3GB'!J:J,0),2),0)</f>
        <v>3</v>
      </c>
      <c r="G1315" s="8">
        <f>_xlfn.IFNA(INDEX('OSA | 3GB'!J:L,MATCH(DATA!D1315,'OSA | 3GB'!J:J,0),3),0)</f>
        <v>11290000</v>
      </c>
      <c r="H1315" s="32">
        <f>_xlfn.IFNA(INDEX('OSA | 3GB'!A:C,MATCH(DATA!D1315,'OSA | 3GB'!A:A,0),2),0)</f>
        <v>3</v>
      </c>
      <c r="I1315" s="33">
        <f>_xlfn.IFNA(INDEX('OSA | 3GB'!A:C,MATCH(DATA!D1315,'OSA | 3GB'!A:A,0),3),0)</f>
        <v>4000000</v>
      </c>
      <c r="J1315" s="33">
        <f>INDEX('BIO WAHYU'!B:G,MATCH(DATA!D1315,'BIO WAHYU'!B:B,0),5)</f>
        <v>3</v>
      </c>
      <c r="K1315" s="34">
        <f>INDEX('BIO WAHYU'!B:G,MATCH(DATA!D1315,'BIO WAHYU'!B:B,0),6)</f>
        <v>5</v>
      </c>
      <c r="L1315" s="35">
        <f>INDEX('BIO WAHYU'!B:H,MATCH(DATA!D1315,'BIO WAHYU'!B:B,0),7)</f>
        <v>2</v>
      </c>
      <c r="M1315" s="34">
        <f>INDEX('BIO WAHYU'!B:H,MATCH(DATA!D1315,'BIO WAHYU'!B:B,0),4)</f>
        <v>0</v>
      </c>
    </row>
    <row r="1316" spans="1:13">
      <c r="A1316" s="43" t="s">
        <v>1670</v>
      </c>
      <c r="B1316" s="43">
        <v>2613051412</v>
      </c>
      <c r="C1316" s="43" t="s">
        <v>92</v>
      </c>
      <c r="D1316" s="10">
        <v>12322496</v>
      </c>
      <c r="E1316" s="43" t="s">
        <v>10</v>
      </c>
      <c r="F1316" s="8">
        <f>_xlfn.IFNA(INDEX('OSA | 3GB'!J:L,MATCH(DATA!D1316,'OSA | 3GB'!J:J,0),2),0)</f>
        <v>0</v>
      </c>
      <c r="G1316" s="8">
        <f>_xlfn.IFNA(INDEX('OSA | 3GB'!J:L,MATCH(DATA!D1316,'OSA | 3GB'!J:J,0),3),0)</f>
        <v>2700000</v>
      </c>
      <c r="H1316" s="32" t="str">
        <f>_xlfn.IFNA(INDEX('OSA | 3GB'!A:C,MATCH(DATA!D1316,'OSA | 3GB'!A:A,0),2),0)</f>
        <v xml:space="preserve"> -   </v>
      </c>
      <c r="I1316" s="33">
        <f>_xlfn.IFNA(INDEX('OSA | 3GB'!A:C,MATCH(DATA!D1316,'OSA | 3GB'!A:A,0),3),0)</f>
        <v>500000</v>
      </c>
      <c r="J1316" s="33">
        <f>INDEX('BIO WAHYU'!B:G,MATCH(DATA!D1316,'BIO WAHYU'!B:B,0),5)</f>
        <v>0</v>
      </c>
      <c r="K1316" s="34">
        <f>INDEX('BIO WAHYU'!B:G,MATCH(DATA!D1316,'BIO WAHYU'!B:B,0),6)</f>
        <v>0</v>
      </c>
      <c r="L1316" s="35">
        <f>INDEX('BIO WAHYU'!B:H,MATCH(DATA!D1316,'BIO WAHYU'!B:B,0),7)</f>
        <v>0</v>
      </c>
      <c r="M1316" s="34">
        <f>INDEX('BIO WAHYU'!B:H,MATCH(DATA!D1316,'BIO WAHYU'!B:B,0),4)</f>
        <v>0</v>
      </c>
    </row>
    <row r="1317" spans="1:13">
      <c r="A1317" s="43" t="s">
        <v>1673</v>
      </c>
      <c r="B1317" s="43" t="s">
        <v>158</v>
      </c>
      <c r="C1317" s="43" t="s">
        <v>1556</v>
      </c>
      <c r="D1317" s="10">
        <v>489157</v>
      </c>
      <c r="E1317" s="43" t="s">
        <v>10</v>
      </c>
      <c r="F1317" s="8">
        <f>_xlfn.IFNA(INDEX('OSA | 3GB'!J:L,MATCH(DATA!D1317,'OSA | 3GB'!J:J,0),2),0)</f>
        <v>3</v>
      </c>
      <c r="G1317" s="8">
        <f>_xlfn.IFNA(INDEX('OSA | 3GB'!J:L,MATCH(DATA!D1317,'OSA | 3GB'!J:J,0),3),0)</f>
        <v>2223000</v>
      </c>
      <c r="H1317" s="32" t="str">
        <f>_xlfn.IFNA(INDEX('OSA | 3GB'!A:C,MATCH(DATA!D1317,'OSA | 3GB'!A:A,0),2),0)</f>
        <v xml:space="preserve"> -   </v>
      </c>
      <c r="I1317" s="33">
        <f>_xlfn.IFNA(INDEX('OSA | 3GB'!A:C,MATCH(DATA!D1317,'OSA | 3GB'!A:A,0),3),0)</f>
        <v>963000</v>
      </c>
      <c r="J1317" s="33">
        <f>INDEX('BIO WAHYU'!B:G,MATCH(DATA!D1317,'BIO WAHYU'!B:B,0),5)</f>
        <v>3</v>
      </c>
      <c r="K1317" s="34">
        <f>INDEX('BIO WAHYU'!B:G,MATCH(DATA!D1317,'BIO WAHYU'!B:B,0),6)</f>
        <v>1</v>
      </c>
      <c r="L1317" s="35">
        <f>INDEX('BIO WAHYU'!B:H,MATCH(DATA!D1317,'BIO WAHYU'!B:B,0),7)</f>
        <v>0</v>
      </c>
      <c r="M1317" s="34">
        <f>INDEX('BIO WAHYU'!B:H,MATCH(DATA!D1317,'BIO WAHYU'!B:B,0),4)</f>
        <v>0</v>
      </c>
    </row>
    <row r="1318" spans="1:13">
      <c r="A1318" s="43" t="s">
        <v>1674</v>
      </c>
      <c r="B1318" s="43" t="s">
        <v>147</v>
      </c>
      <c r="C1318" s="43" t="s">
        <v>1557</v>
      </c>
      <c r="D1318" s="10">
        <v>12304720</v>
      </c>
      <c r="E1318" s="43" t="s">
        <v>10</v>
      </c>
      <c r="F1318" s="8">
        <f>_xlfn.IFNA(INDEX('OSA | 3GB'!J:L,MATCH(DATA!D1318,'OSA | 3GB'!J:J,0),2),0)</f>
        <v>0</v>
      </c>
      <c r="G1318" s="8">
        <f>_xlfn.IFNA(INDEX('OSA | 3GB'!J:L,MATCH(DATA!D1318,'OSA | 3GB'!J:J,0),3),0)</f>
        <v>0</v>
      </c>
      <c r="H1318" s="32" t="str">
        <f>_xlfn.IFNA(INDEX('OSA | 3GB'!A:C,MATCH(DATA!D1318,'OSA | 3GB'!A:A,0),2),0)</f>
        <v xml:space="preserve"> -   </v>
      </c>
      <c r="I1318" s="33" t="str">
        <f>_xlfn.IFNA(INDEX('OSA | 3GB'!A:C,MATCH(DATA!D1318,'OSA | 3GB'!A:A,0),3),0)</f>
        <v xml:space="preserve"> -   </v>
      </c>
      <c r="J1318" s="33">
        <f>INDEX('BIO WAHYU'!B:G,MATCH(DATA!D1318,'BIO WAHYU'!B:B,0),5)</f>
        <v>0</v>
      </c>
      <c r="K1318" s="34">
        <f>INDEX('BIO WAHYU'!B:G,MATCH(DATA!D1318,'BIO WAHYU'!B:B,0),6)</f>
        <v>0</v>
      </c>
      <c r="L1318" s="35">
        <f>INDEX('BIO WAHYU'!B:H,MATCH(DATA!D1318,'BIO WAHYU'!B:B,0),7)</f>
        <v>0</v>
      </c>
      <c r="M1318" s="34">
        <f>INDEX('BIO WAHYU'!B:H,MATCH(DATA!D1318,'BIO WAHYU'!B:B,0),4)</f>
        <v>0</v>
      </c>
    </row>
    <row r="1319" spans="1:13">
      <c r="A1319" s="43" t="s">
        <v>1670</v>
      </c>
      <c r="B1319" s="43">
        <v>2613051412</v>
      </c>
      <c r="C1319" s="43" t="s">
        <v>1417</v>
      </c>
      <c r="D1319" s="10">
        <v>344173</v>
      </c>
      <c r="E1319" s="43" t="s">
        <v>10</v>
      </c>
      <c r="F1319" s="8">
        <f>_xlfn.IFNA(INDEX('OSA | 3GB'!J:L,MATCH(DATA!D1319,'OSA | 3GB'!J:J,0),2),0)</f>
        <v>200</v>
      </c>
      <c r="G1319" s="8">
        <f>_xlfn.IFNA(INDEX('OSA | 3GB'!J:L,MATCH(DATA!D1319,'OSA | 3GB'!J:J,0),3),0)</f>
        <v>11450000</v>
      </c>
      <c r="H1319" s="32">
        <f>_xlfn.IFNA(INDEX('OSA | 3GB'!A:C,MATCH(DATA!D1319,'OSA | 3GB'!A:A,0),2),0)</f>
        <v>62</v>
      </c>
      <c r="I1319" s="33">
        <f>_xlfn.IFNA(INDEX('OSA | 3GB'!A:C,MATCH(DATA!D1319,'OSA | 3GB'!A:A,0),3),0)</f>
        <v>1225000</v>
      </c>
      <c r="J1319" s="33">
        <f>INDEX('BIO WAHYU'!B:G,MATCH(DATA!D1319,'BIO WAHYU'!B:B,0),5)</f>
        <v>16</v>
      </c>
      <c r="K1319" s="34">
        <f>INDEX('BIO WAHYU'!B:G,MATCH(DATA!D1319,'BIO WAHYU'!B:B,0),6)</f>
        <v>7</v>
      </c>
      <c r="L1319" s="35">
        <f>INDEX('BIO WAHYU'!B:H,MATCH(DATA!D1319,'BIO WAHYU'!B:B,0),7)</f>
        <v>0</v>
      </c>
      <c r="M1319" s="34">
        <f>INDEX('BIO WAHYU'!B:H,MATCH(DATA!D1319,'BIO WAHYU'!B:B,0),4)</f>
        <v>0</v>
      </c>
    </row>
    <row r="1320" spans="1:13">
      <c r="A1320" s="43" t="s">
        <v>1670</v>
      </c>
      <c r="B1320" s="43">
        <v>2613051412</v>
      </c>
      <c r="C1320" s="43" t="s">
        <v>567</v>
      </c>
      <c r="D1320" s="10">
        <v>547922</v>
      </c>
      <c r="E1320" s="43" t="s">
        <v>10</v>
      </c>
      <c r="F1320" s="8">
        <f>_xlfn.IFNA(INDEX('OSA | 3GB'!J:L,MATCH(DATA!D1320,'OSA | 3GB'!J:J,0),2),0)</f>
        <v>3</v>
      </c>
      <c r="G1320" s="8">
        <f>_xlfn.IFNA(INDEX('OSA | 3GB'!J:L,MATCH(DATA!D1320,'OSA | 3GB'!J:J,0),3),0)</f>
        <v>641500</v>
      </c>
      <c r="H1320" s="32" t="str">
        <f>_xlfn.IFNA(INDEX('OSA | 3GB'!A:C,MATCH(DATA!D1320,'OSA | 3GB'!A:A,0),2),0)</f>
        <v xml:space="preserve"> -   </v>
      </c>
      <c r="I1320" s="33" t="str">
        <f>_xlfn.IFNA(INDEX('OSA | 3GB'!A:C,MATCH(DATA!D1320,'OSA | 3GB'!A:A,0),3),0)</f>
        <v xml:space="preserve"> -   </v>
      </c>
      <c r="J1320" s="33">
        <f>INDEX('BIO WAHYU'!B:G,MATCH(DATA!D1320,'BIO WAHYU'!B:B,0),5)</f>
        <v>4</v>
      </c>
      <c r="K1320" s="34">
        <f>INDEX('BIO WAHYU'!B:G,MATCH(DATA!D1320,'BIO WAHYU'!B:B,0),6)</f>
        <v>3</v>
      </c>
      <c r="L1320" s="35">
        <f>INDEX('BIO WAHYU'!B:H,MATCH(DATA!D1320,'BIO WAHYU'!B:B,0),7)</f>
        <v>0</v>
      </c>
      <c r="M1320" s="34">
        <f>INDEX('BIO WAHYU'!B:H,MATCH(DATA!D1320,'BIO WAHYU'!B:B,0),4)</f>
        <v>0</v>
      </c>
    </row>
    <row r="1321" spans="1:13">
      <c r="A1321" s="43" t="s">
        <v>1670</v>
      </c>
      <c r="B1321" s="43">
        <v>2613051412</v>
      </c>
      <c r="C1321" s="43" t="s">
        <v>1558</v>
      </c>
      <c r="D1321" s="10">
        <v>12314331</v>
      </c>
      <c r="E1321" s="43" t="s">
        <v>10</v>
      </c>
      <c r="F1321" s="8">
        <f>_xlfn.IFNA(INDEX('OSA | 3GB'!J:L,MATCH(DATA!D1321,'OSA | 3GB'!J:J,0),2),0)</f>
        <v>6</v>
      </c>
      <c r="G1321" s="8">
        <f>_xlfn.IFNA(INDEX('OSA | 3GB'!J:L,MATCH(DATA!D1321,'OSA | 3GB'!J:J,0),3),0)</f>
        <v>1479000</v>
      </c>
      <c r="H1321" s="32">
        <f>_xlfn.IFNA(INDEX('OSA | 3GB'!A:C,MATCH(DATA!D1321,'OSA | 3GB'!A:A,0),2),0)</f>
        <v>3</v>
      </c>
      <c r="I1321" s="33">
        <f>_xlfn.IFNA(INDEX('OSA | 3GB'!A:C,MATCH(DATA!D1321,'OSA | 3GB'!A:A,0),3),0)</f>
        <v>500000</v>
      </c>
      <c r="J1321" s="33">
        <f>INDEX('BIO WAHYU'!B:G,MATCH(DATA!D1321,'BIO WAHYU'!B:B,0),5)</f>
        <v>3</v>
      </c>
      <c r="K1321" s="34">
        <f>INDEX('BIO WAHYU'!B:G,MATCH(DATA!D1321,'BIO WAHYU'!B:B,0),6)</f>
        <v>1</v>
      </c>
      <c r="L1321" s="35">
        <f>INDEX('BIO WAHYU'!B:H,MATCH(DATA!D1321,'BIO WAHYU'!B:B,0),7)</f>
        <v>0</v>
      </c>
      <c r="M1321" s="34">
        <f>INDEX('BIO WAHYU'!B:H,MATCH(DATA!D1321,'BIO WAHYU'!B:B,0),4)</f>
        <v>0</v>
      </c>
    </row>
    <row r="1322" spans="1:13">
      <c r="A1322" s="43" t="s">
        <v>1672</v>
      </c>
      <c r="B1322" s="43" t="s">
        <v>149</v>
      </c>
      <c r="C1322" s="43" t="s">
        <v>249</v>
      </c>
      <c r="D1322" s="10">
        <v>62206</v>
      </c>
      <c r="E1322" s="43" t="s">
        <v>10</v>
      </c>
      <c r="F1322" s="8">
        <f>_xlfn.IFNA(INDEX('OSA | 3GB'!J:L,MATCH(DATA!D1322,'OSA | 3GB'!J:J,0),2),0)</f>
        <v>0</v>
      </c>
      <c r="G1322" s="8">
        <f>_xlfn.IFNA(INDEX('OSA | 3GB'!J:L,MATCH(DATA!D1322,'OSA | 3GB'!J:J,0),3),0)</f>
        <v>0</v>
      </c>
      <c r="H1322" s="32" t="str">
        <f>_xlfn.IFNA(INDEX('OSA | 3GB'!A:C,MATCH(DATA!D1322,'OSA | 3GB'!A:A,0),2),0)</f>
        <v xml:space="preserve"> -   </v>
      </c>
      <c r="I1322" s="33" t="str">
        <f>_xlfn.IFNA(INDEX('OSA | 3GB'!A:C,MATCH(DATA!D1322,'OSA | 3GB'!A:A,0),3),0)</f>
        <v xml:space="preserve"> -   </v>
      </c>
      <c r="J1322" s="33">
        <f>INDEX('BIO WAHYU'!B:G,MATCH(DATA!D1322,'BIO WAHYU'!B:B,0),5)</f>
        <v>0</v>
      </c>
      <c r="K1322" s="34">
        <f>INDEX('BIO WAHYU'!B:G,MATCH(DATA!D1322,'BIO WAHYU'!B:B,0),6)</f>
        <v>0</v>
      </c>
      <c r="L1322" s="35">
        <f>INDEX('BIO WAHYU'!B:H,MATCH(DATA!D1322,'BIO WAHYU'!B:B,0),7)</f>
        <v>0</v>
      </c>
      <c r="M1322" s="34">
        <f>INDEX('BIO WAHYU'!B:H,MATCH(DATA!D1322,'BIO WAHYU'!B:B,0),4)</f>
        <v>0</v>
      </c>
    </row>
    <row r="1323" spans="1:13">
      <c r="A1323" s="43" t="s">
        <v>1</v>
      </c>
      <c r="B1323" s="43" t="s">
        <v>3</v>
      </c>
      <c r="C1323" s="43" t="s">
        <v>1119</v>
      </c>
      <c r="D1323" s="10">
        <v>416191</v>
      </c>
      <c r="E1323" s="43" t="s">
        <v>10</v>
      </c>
      <c r="F1323" s="8">
        <f>_xlfn.IFNA(INDEX('OSA | 3GB'!J:L,MATCH(DATA!D1323,'OSA | 3GB'!J:J,0),2),0)</f>
        <v>3</v>
      </c>
      <c r="G1323" s="8">
        <f>_xlfn.IFNA(INDEX('OSA | 3GB'!J:L,MATCH(DATA!D1323,'OSA | 3GB'!J:J,0),3),0)</f>
        <v>513200</v>
      </c>
      <c r="H1323" s="32" t="str">
        <f>_xlfn.IFNA(INDEX('OSA | 3GB'!A:C,MATCH(DATA!D1323,'OSA | 3GB'!A:A,0),2),0)</f>
        <v xml:space="preserve"> -   </v>
      </c>
      <c r="I1323" s="33">
        <f>_xlfn.IFNA(INDEX('OSA | 3GB'!A:C,MATCH(DATA!D1323,'OSA | 3GB'!A:A,0),3),0)</f>
        <v>250000</v>
      </c>
      <c r="J1323" s="33">
        <f>INDEX('BIO WAHYU'!B:G,MATCH(DATA!D1323,'BIO WAHYU'!B:B,0),5)</f>
        <v>3</v>
      </c>
      <c r="K1323" s="34">
        <f>INDEX('BIO WAHYU'!B:G,MATCH(DATA!D1323,'BIO WAHYU'!B:B,0),6)</f>
        <v>0</v>
      </c>
      <c r="L1323" s="35">
        <f>INDEX('BIO WAHYU'!B:H,MATCH(DATA!D1323,'BIO WAHYU'!B:B,0),7)</f>
        <v>0</v>
      </c>
      <c r="M1323" s="34">
        <f>INDEX('BIO WAHYU'!B:H,MATCH(DATA!D1323,'BIO WAHYU'!B:B,0),4)</f>
        <v>0</v>
      </c>
    </row>
    <row r="1324" spans="1:13">
      <c r="A1324" s="43" t="s">
        <v>1671</v>
      </c>
      <c r="B1324" s="43" t="s">
        <v>142</v>
      </c>
      <c r="C1324" s="43" t="s">
        <v>351</v>
      </c>
      <c r="D1324" s="10">
        <v>277306</v>
      </c>
      <c r="E1324" s="43" t="s">
        <v>10</v>
      </c>
      <c r="F1324" s="8">
        <f>_xlfn.IFNA(INDEX('OSA | 3GB'!J:L,MATCH(DATA!D1324,'OSA | 3GB'!J:J,0),2),0)</f>
        <v>1</v>
      </c>
      <c r="G1324" s="8">
        <f>_xlfn.IFNA(INDEX('OSA | 3GB'!J:L,MATCH(DATA!D1324,'OSA | 3GB'!J:J,0),3),0)</f>
        <v>500000</v>
      </c>
      <c r="H1324" s="32" t="str">
        <f>_xlfn.IFNA(INDEX('OSA | 3GB'!A:C,MATCH(DATA!D1324,'OSA | 3GB'!A:A,0),2),0)</f>
        <v xml:space="preserve"> -   </v>
      </c>
      <c r="I1324" s="33">
        <f>_xlfn.IFNA(INDEX('OSA | 3GB'!A:C,MATCH(DATA!D1324,'OSA | 3GB'!A:A,0),3),0)</f>
        <v>100000</v>
      </c>
      <c r="J1324" s="33">
        <f>INDEX('BIO WAHYU'!B:G,MATCH(DATA!D1324,'BIO WAHYU'!B:B,0),5)</f>
        <v>1</v>
      </c>
      <c r="K1324" s="34">
        <f>INDEX('BIO WAHYU'!B:G,MATCH(DATA!D1324,'BIO WAHYU'!B:B,0),6)</f>
        <v>1</v>
      </c>
      <c r="L1324" s="35">
        <f>INDEX('BIO WAHYU'!B:H,MATCH(DATA!D1324,'BIO WAHYU'!B:B,0),7)</f>
        <v>0</v>
      </c>
      <c r="M1324" s="34">
        <f>INDEX('BIO WAHYU'!B:H,MATCH(DATA!D1324,'BIO WAHYU'!B:B,0),4)</f>
        <v>0</v>
      </c>
    </row>
    <row r="1325" spans="1:13">
      <c r="A1325" s="43" t="s">
        <v>1673</v>
      </c>
      <c r="B1325" s="43" t="s">
        <v>158</v>
      </c>
      <c r="C1325" s="43" t="s">
        <v>1559</v>
      </c>
      <c r="D1325" s="10">
        <v>391846</v>
      </c>
      <c r="E1325" s="43" t="s">
        <v>10</v>
      </c>
      <c r="F1325" s="8">
        <f>_xlfn.IFNA(INDEX('OSA | 3GB'!J:L,MATCH(DATA!D1325,'OSA | 3GB'!J:J,0),2),0)</f>
        <v>3</v>
      </c>
      <c r="G1325" s="8">
        <f>_xlfn.IFNA(INDEX('OSA | 3GB'!J:L,MATCH(DATA!D1325,'OSA | 3GB'!J:J,0),3),0)</f>
        <v>1300000</v>
      </c>
      <c r="H1325" s="32" t="str">
        <f>_xlfn.IFNA(INDEX('OSA | 3GB'!A:C,MATCH(DATA!D1325,'OSA | 3GB'!A:A,0),2),0)</f>
        <v xml:space="preserve"> -   </v>
      </c>
      <c r="I1325" s="33">
        <f>_xlfn.IFNA(INDEX('OSA | 3GB'!A:C,MATCH(DATA!D1325,'OSA | 3GB'!A:A,0),3),0)</f>
        <v>300000</v>
      </c>
      <c r="J1325" s="33">
        <f>INDEX('BIO WAHYU'!B:G,MATCH(DATA!D1325,'BIO WAHYU'!B:B,0),5)</f>
        <v>2</v>
      </c>
      <c r="K1325" s="34">
        <f>INDEX('BIO WAHYU'!B:G,MATCH(DATA!D1325,'BIO WAHYU'!B:B,0),6)</f>
        <v>0</v>
      </c>
      <c r="L1325" s="35">
        <f>INDEX('BIO WAHYU'!B:H,MATCH(DATA!D1325,'BIO WAHYU'!B:B,0),7)</f>
        <v>0</v>
      </c>
      <c r="M1325" s="34">
        <f>INDEX('BIO WAHYU'!B:H,MATCH(DATA!D1325,'BIO WAHYU'!B:B,0),4)</f>
        <v>0</v>
      </c>
    </row>
    <row r="1326" spans="1:13">
      <c r="A1326" s="43" t="s">
        <v>1671</v>
      </c>
      <c r="B1326" s="43">
        <v>2613050886</v>
      </c>
      <c r="C1326" s="43" t="s">
        <v>317</v>
      </c>
      <c r="D1326" s="10">
        <v>12322396</v>
      </c>
      <c r="E1326" s="43" t="s">
        <v>15</v>
      </c>
      <c r="F1326" s="8">
        <f>_xlfn.IFNA(INDEX('OSA | 3GB'!J:L,MATCH(DATA!D1326,'OSA | 3GB'!J:J,0),2),0)</f>
        <v>62</v>
      </c>
      <c r="G1326" s="8">
        <f>_xlfn.IFNA(INDEX('OSA | 3GB'!J:L,MATCH(DATA!D1326,'OSA | 3GB'!J:J,0),3),0)</f>
        <v>0</v>
      </c>
      <c r="H1326" s="32" t="str">
        <f>_xlfn.IFNA(INDEX('OSA | 3GB'!A:C,MATCH(DATA!D1326,'OSA | 3GB'!A:A,0),2),0)</f>
        <v xml:space="preserve"> -   </v>
      </c>
      <c r="I1326" s="33" t="str">
        <f>_xlfn.IFNA(INDEX('OSA | 3GB'!A:C,MATCH(DATA!D1326,'OSA | 3GB'!A:A,0),3),0)</f>
        <v xml:space="preserve"> -   </v>
      </c>
      <c r="J1326" s="33">
        <f>INDEX('BIO WAHYU'!B:G,MATCH(DATA!D1326,'BIO WAHYU'!B:B,0),5)</f>
        <v>5</v>
      </c>
      <c r="K1326" s="34">
        <f>INDEX('BIO WAHYU'!B:G,MATCH(DATA!D1326,'BIO WAHYU'!B:B,0),6)</f>
        <v>5</v>
      </c>
      <c r="L1326" s="35">
        <f>INDEX('BIO WAHYU'!B:H,MATCH(DATA!D1326,'BIO WAHYU'!B:B,0),7)</f>
        <v>0</v>
      </c>
      <c r="M1326" s="34">
        <f>INDEX('BIO WAHYU'!B:H,MATCH(DATA!D1326,'BIO WAHYU'!B:B,0),4)</f>
        <v>0</v>
      </c>
    </row>
    <row r="1327" spans="1:13">
      <c r="A1327" s="43" t="s">
        <v>1</v>
      </c>
      <c r="B1327" s="43" t="s">
        <v>3</v>
      </c>
      <c r="C1327" s="43" t="s">
        <v>33</v>
      </c>
      <c r="D1327" s="10">
        <v>530058</v>
      </c>
      <c r="E1327" s="43" t="s">
        <v>10</v>
      </c>
      <c r="F1327" s="8">
        <f>_xlfn.IFNA(INDEX('OSA | 3GB'!J:L,MATCH(DATA!D1327,'OSA | 3GB'!J:J,0),2),0)</f>
        <v>2</v>
      </c>
      <c r="G1327" s="8">
        <f>_xlfn.IFNA(INDEX('OSA | 3GB'!J:L,MATCH(DATA!D1327,'OSA | 3GB'!J:J,0),3),0)</f>
        <v>2800000</v>
      </c>
      <c r="H1327" s="32">
        <f>_xlfn.IFNA(INDEX('OSA | 3GB'!A:C,MATCH(DATA!D1327,'OSA | 3GB'!A:A,0),2),0)</f>
        <v>3</v>
      </c>
      <c r="I1327" s="33">
        <f>_xlfn.IFNA(INDEX('OSA | 3GB'!A:C,MATCH(DATA!D1327,'OSA | 3GB'!A:A,0),3),0)</f>
        <v>1000000</v>
      </c>
      <c r="J1327" s="33">
        <f>INDEX('BIO WAHYU'!B:G,MATCH(DATA!D1327,'BIO WAHYU'!B:B,0),5)</f>
        <v>2</v>
      </c>
      <c r="K1327" s="34">
        <f>INDEX('BIO WAHYU'!B:G,MATCH(DATA!D1327,'BIO WAHYU'!B:B,0),6)</f>
        <v>3</v>
      </c>
      <c r="L1327" s="35">
        <f>INDEX('BIO WAHYU'!B:H,MATCH(DATA!D1327,'BIO WAHYU'!B:B,0),7)</f>
        <v>1</v>
      </c>
      <c r="M1327" s="34">
        <f>INDEX('BIO WAHYU'!B:H,MATCH(DATA!D1327,'BIO WAHYU'!B:B,0),4)</f>
        <v>0</v>
      </c>
    </row>
    <row r="1328" spans="1:13">
      <c r="A1328" s="43" t="s">
        <v>1672</v>
      </c>
      <c r="B1328" s="43" t="s">
        <v>150</v>
      </c>
      <c r="C1328" s="43" t="s">
        <v>1560</v>
      </c>
      <c r="D1328" s="10">
        <v>61933</v>
      </c>
      <c r="E1328" s="43" t="s">
        <v>23</v>
      </c>
      <c r="F1328" s="8">
        <f>_xlfn.IFNA(INDEX('OSA | 3GB'!J:L,MATCH(DATA!D1328,'OSA | 3GB'!J:J,0),2),0)</f>
        <v>11</v>
      </c>
      <c r="G1328" s="8">
        <f>_xlfn.IFNA(INDEX('OSA | 3GB'!J:L,MATCH(DATA!D1328,'OSA | 3GB'!J:J,0),3),0)</f>
        <v>22308850</v>
      </c>
      <c r="H1328" s="32" t="str">
        <f>_xlfn.IFNA(INDEX('OSA | 3GB'!A:C,MATCH(DATA!D1328,'OSA | 3GB'!A:A,0),2),0)</f>
        <v xml:space="preserve"> -   </v>
      </c>
      <c r="I1328" s="33">
        <f>_xlfn.IFNA(INDEX('OSA | 3GB'!A:C,MATCH(DATA!D1328,'OSA | 3GB'!A:A,0),3),0)</f>
        <v>6170306</v>
      </c>
      <c r="J1328" s="33">
        <f>INDEX('BIO WAHYU'!B:G,MATCH(DATA!D1328,'BIO WAHYU'!B:B,0),5)</f>
        <v>32</v>
      </c>
      <c r="K1328" s="34">
        <f>INDEX('BIO WAHYU'!B:G,MATCH(DATA!D1328,'BIO WAHYU'!B:B,0),6)</f>
        <v>16</v>
      </c>
      <c r="L1328" s="35">
        <f>INDEX('BIO WAHYU'!B:H,MATCH(DATA!D1328,'BIO WAHYU'!B:B,0),7)</f>
        <v>0</v>
      </c>
      <c r="M1328" s="34">
        <f>INDEX('BIO WAHYU'!B:H,MATCH(DATA!D1328,'BIO WAHYU'!B:B,0),4)</f>
        <v>0</v>
      </c>
    </row>
    <row r="1329" spans="1:13">
      <c r="A1329" s="43" t="s">
        <v>1673</v>
      </c>
      <c r="B1329" s="43" t="s">
        <v>141</v>
      </c>
      <c r="C1329" s="43" t="s">
        <v>1561</v>
      </c>
      <c r="D1329" s="10">
        <v>473619</v>
      </c>
      <c r="E1329" s="43" t="s">
        <v>15</v>
      </c>
      <c r="F1329" s="8">
        <f>_xlfn.IFNA(INDEX('OSA | 3GB'!J:L,MATCH(DATA!D1329,'OSA | 3GB'!J:J,0),2),0)</f>
        <v>3</v>
      </c>
      <c r="G1329" s="8">
        <f>_xlfn.IFNA(INDEX('OSA | 3GB'!J:L,MATCH(DATA!D1329,'OSA | 3GB'!J:J,0),3),0)</f>
        <v>1550000</v>
      </c>
      <c r="H1329" s="32" t="str">
        <f>_xlfn.IFNA(INDEX('OSA | 3GB'!A:C,MATCH(DATA!D1329,'OSA | 3GB'!A:A,0),2),0)</f>
        <v xml:space="preserve"> -   </v>
      </c>
      <c r="I1329" s="33">
        <f>_xlfn.IFNA(INDEX('OSA | 3GB'!A:C,MATCH(DATA!D1329,'OSA | 3GB'!A:A,0),3),0)</f>
        <v>500000</v>
      </c>
      <c r="J1329" s="33">
        <f>INDEX('BIO WAHYU'!B:G,MATCH(DATA!D1329,'BIO WAHYU'!B:B,0),5)</f>
        <v>0</v>
      </c>
      <c r="K1329" s="34">
        <f>INDEX('BIO WAHYU'!B:G,MATCH(DATA!D1329,'BIO WAHYU'!B:B,0),6)</f>
        <v>0</v>
      </c>
      <c r="L1329" s="35">
        <f>INDEX('BIO WAHYU'!B:H,MATCH(DATA!D1329,'BIO WAHYU'!B:B,0),7)</f>
        <v>0</v>
      </c>
      <c r="M1329" s="34">
        <f>INDEX('BIO WAHYU'!B:H,MATCH(DATA!D1329,'BIO WAHYU'!B:B,0),4)</f>
        <v>0</v>
      </c>
    </row>
    <row r="1330" spans="1:13">
      <c r="A1330" s="43" t="s">
        <v>1674</v>
      </c>
      <c r="B1330" s="43">
        <v>2613052222</v>
      </c>
      <c r="C1330" s="43" t="s">
        <v>1562</v>
      </c>
      <c r="D1330" s="10">
        <v>457463</v>
      </c>
      <c r="E1330" s="43" t="s">
        <v>10</v>
      </c>
      <c r="F1330" s="8">
        <f>_xlfn.IFNA(INDEX('OSA | 3GB'!J:L,MATCH(DATA!D1330,'OSA | 3GB'!J:J,0),2),0)</f>
        <v>0</v>
      </c>
      <c r="G1330" s="8">
        <f>_xlfn.IFNA(INDEX('OSA | 3GB'!J:L,MATCH(DATA!D1330,'OSA | 3GB'!J:J,0),3),0)</f>
        <v>800000</v>
      </c>
      <c r="H1330" s="32" t="str">
        <f>_xlfn.IFNA(INDEX('OSA | 3GB'!A:C,MATCH(DATA!D1330,'OSA | 3GB'!A:A,0),2),0)</f>
        <v xml:space="preserve"> -   </v>
      </c>
      <c r="I1330" s="33">
        <f>_xlfn.IFNA(INDEX('OSA | 3GB'!A:C,MATCH(DATA!D1330,'OSA | 3GB'!A:A,0),3),0)</f>
        <v>500000</v>
      </c>
      <c r="J1330" s="33">
        <f>INDEX('BIO WAHYU'!B:G,MATCH(DATA!D1330,'BIO WAHYU'!B:B,0),5)</f>
        <v>1</v>
      </c>
      <c r="K1330" s="34">
        <f>INDEX('BIO WAHYU'!B:G,MATCH(DATA!D1330,'BIO WAHYU'!B:B,0),6)</f>
        <v>0</v>
      </c>
      <c r="L1330" s="35">
        <f>INDEX('BIO WAHYU'!B:H,MATCH(DATA!D1330,'BIO WAHYU'!B:B,0),7)</f>
        <v>0</v>
      </c>
      <c r="M1330" s="34">
        <f>INDEX('BIO WAHYU'!B:H,MATCH(DATA!D1330,'BIO WAHYU'!B:B,0),4)</f>
        <v>0</v>
      </c>
    </row>
    <row r="1331" spans="1:13">
      <c r="A1331" s="43" t="s">
        <v>1672</v>
      </c>
      <c r="B1331" s="43" t="s">
        <v>155</v>
      </c>
      <c r="C1331" s="43" t="s">
        <v>928</v>
      </c>
      <c r="D1331" s="10">
        <v>126916</v>
      </c>
      <c r="E1331" s="43" t="s">
        <v>10</v>
      </c>
      <c r="F1331" s="8">
        <f>_xlfn.IFNA(INDEX('OSA | 3GB'!J:L,MATCH(DATA!D1331,'OSA | 3GB'!J:J,0),2),0)</f>
        <v>5</v>
      </c>
      <c r="G1331" s="8">
        <f>_xlfn.IFNA(INDEX('OSA | 3GB'!J:L,MATCH(DATA!D1331,'OSA | 3GB'!J:J,0),3),0)</f>
        <v>16243063</v>
      </c>
      <c r="H1331" s="32">
        <f>_xlfn.IFNA(INDEX('OSA | 3GB'!A:C,MATCH(DATA!D1331,'OSA | 3GB'!A:A,0),2),0)</f>
        <v>15</v>
      </c>
      <c r="I1331" s="33">
        <f>_xlfn.IFNA(INDEX('OSA | 3GB'!A:C,MATCH(DATA!D1331,'OSA | 3GB'!A:A,0),3),0)</f>
        <v>6448290</v>
      </c>
      <c r="J1331" s="33">
        <f>INDEX('BIO WAHYU'!B:G,MATCH(DATA!D1331,'BIO WAHYU'!B:B,0),5)</f>
        <v>3</v>
      </c>
      <c r="K1331" s="34">
        <f>INDEX('BIO WAHYU'!B:G,MATCH(DATA!D1331,'BIO WAHYU'!B:B,0),6)</f>
        <v>7</v>
      </c>
      <c r="L1331" s="35">
        <f>INDEX('BIO WAHYU'!B:H,MATCH(DATA!D1331,'BIO WAHYU'!B:B,0),7)</f>
        <v>4</v>
      </c>
      <c r="M1331" s="34">
        <f>INDEX('BIO WAHYU'!B:H,MATCH(DATA!D1331,'BIO WAHYU'!B:B,0),4)</f>
        <v>1</v>
      </c>
    </row>
    <row r="1332" spans="1:13">
      <c r="A1332" s="43" t="s">
        <v>1675</v>
      </c>
      <c r="B1332" s="43">
        <v>2613051043</v>
      </c>
      <c r="C1332" s="43" t="s">
        <v>1563</v>
      </c>
      <c r="D1332" s="10">
        <v>12297040</v>
      </c>
      <c r="E1332" s="43" t="s">
        <v>15</v>
      </c>
      <c r="F1332" s="8">
        <f>_xlfn.IFNA(INDEX('OSA | 3GB'!J:L,MATCH(DATA!D1332,'OSA | 3GB'!J:J,0),2),0)</f>
        <v>0</v>
      </c>
      <c r="G1332" s="8">
        <f>_xlfn.IFNA(INDEX('OSA | 3GB'!J:L,MATCH(DATA!D1332,'OSA | 3GB'!J:J,0),3),0)</f>
        <v>150000</v>
      </c>
      <c r="H1332" s="32" t="str">
        <f>_xlfn.IFNA(INDEX('OSA | 3GB'!A:C,MATCH(DATA!D1332,'OSA | 3GB'!A:A,0),2),0)</f>
        <v xml:space="preserve"> -   </v>
      </c>
      <c r="I1332" s="33" t="str">
        <f>_xlfn.IFNA(INDEX('OSA | 3GB'!A:C,MATCH(DATA!D1332,'OSA | 3GB'!A:A,0),3),0)</f>
        <v xml:space="preserve"> -   </v>
      </c>
      <c r="J1332" s="33">
        <f>INDEX('BIO WAHYU'!B:G,MATCH(DATA!D1332,'BIO WAHYU'!B:B,0),5)</f>
        <v>0</v>
      </c>
      <c r="K1332" s="34">
        <f>INDEX('BIO WAHYU'!B:G,MATCH(DATA!D1332,'BIO WAHYU'!B:B,0),6)</f>
        <v>0</v>
      </c>
      <c r="L1332" s="35">
        <f>INDEX('BIO WAHYU'!B:H,MATCH(DATA!D1332,'BIO WAHYU'!B:B,0),7)</f>
        <v>0</v>
      </c>
      <c r="M1332" s="34">
        <f>INDEX('BIO WAHYU'!B:H,MATCH(DATA!D1332,'BIO WAHYU'!B:B,0),4)</f>
        <v>0</v>
      </c>
    </row>
    <row r="1333" spans="1:13">
      <c r="A1333" s="43" t="s">
        <v>1675</v>
      </c>
      <c r="B1333" s="43" t="s">
        <v>136</v>
      </c>
      <c r="C1333" s="43" t="s">
        <v>1564</v>
      </c>
      <c r="D1333" s="10">
        <v>533367</v>
      </c>
      <c r="E1333" s="43" t="s">
        <v>10</v>
      </c>
      <c r="F1333" s="8">
        <f>_xlfn.IFNA(INDEX('OSA | 3GB'!J:L,MATCH(DATA!D1333,'OSA | 3GB'!J:J,0),2),0)</f>
        <v>5</v>
      </c>
      <c r="G1333" s="8">
        <f>_xlfn.IFNA(INDEX('OSA | 3GB'!J:L,MATCH(DATA!D1333,'OSA | 3GB'!J:J,0),3),0)</f>
        <v>950000</v>
      </c>
      <c r="H1333" s="32" t="str">
        <f>_xlfn.IFNA(INDEX('OSA | 3GB'!A:C,MATCH(DATA!D1333,'OSA | 3GB'!A:A,0),2),0)</f>
        <v xml:space="preserve"> -   </v>
      </c>
      <c r="I1333" s="33">
        <f>_xlfn.IFNA(INDEX('OSA | 3GB'!A:C,MATCH(DATA!D1333,'OSA | 3GB'!A:A,0),3),0)</f>
        <v>450000</v>
      </c>
      <c r="J1333" s="33">
        <f>INDEX('BIO WAHYU'!B:G,MATCH(DATA!D1333,'BIO WAHYU'!B:B,0),5)</f>
        <v>2</v>
      </c>
      <c r="K1333" s="34">
        <f>INDEX('BIO WAHYU'!B:G,MATCH(DATA!D1333,'BIO WAHYU'!B:B,0),6)</f>
        <v>0</v>
      </c>
      <c r="L1333" s="35">
        <f>INDEX('BIO WAHYU'!B:H,MATCH(DATA!D1333,'BIO WAHYU'!B:B,0),7)</f>
        <v>0</v>
      </c>
      <c r="M1333" s="34">
        <f>INDEX('BIO WAHYU'!B:H,MATCH(DATA!D1333,'BIO WAHYU'!B:B,0),4)</f>
        <v>0</v>
      </c>
    </row>
    <row r="1334" spans="1:13">
      <c r="A1334" s="43" t="s">
        <v>1674</v>
      </c>
      <c r="B1334" s="43">
        <v>2613052222</v>
      </c>
      <c r="C1334" s="43" t="s">
        <v>695</v>
      </c>
      <c r="D1334" s="10">
        <v>347151</v>
      </c>
      <c r="E1334" s="43" t="s">
        <v>10</v>
      </c>
      <c r="F1334" s="8">
        <f>_xlfn.IFNA(INDEX('OSA | 3GB'!J:L,MATCH(DATA!D1334,'OSA | 3GB'!J:J,0),2),0)</f>
        <v>29</v>
      </c>
      <c r="G1334" s="8">
        <f>_xlfn.IFNA(INDEX('OSA | 3GB'!J:L,MATCH(DATA!D1334,'OSA | 3GB'!J:J,0),3),0)</f>
        <v>1000000</v>
      </c>
      <c r="H1334" s="32" t="str">
        <f>_xlfn.IFNA(INDEX('OSA | 3GB'!A:C,MATCH(DATA!D1334,'OSA | 3GB'!A:A,0),2),0)</f>
        <v xml:space="preserve"> -   </v>
      </c>
      <c r="I1334" s="33">
        <f>_xlfn.IFNA(INDEX('OSA | 3GB'!A:C,MATCH(DATA!D1334,'OSA | 3GB'!A:A,0),3),0)</f>
        <v>200000</v>
      </c>
      <c r="J1334" s="33">
        <f>INDEX('BIO WAHYU'!B:G,MATCH(DATA!D1334,'BIO WAHYU'!B:B,0),5)</f>
        <v>17</v>
      </c>
      <c r="K1334" s="34">
        <f>INDEX('BIO WAHYU'!B:G,MATCH(DATA!D1334,'BIO WAHYU'!B:B,0),6)</f>
        <v>1</v>
      </c>
      <c r="L1334" s="35">
        <f>INDEX('BIO WAHYU'!B:H,MATCH(DATA!D1334,'BIO WAHYU'!B:B,0),7)</f>
        <v>0</v>
      </c>
      <c r="M1334" s="34">
        <f>INDEX('BIO WAHYU'!B:H,MATCH(DATA!D1334,'BIO WAHYU'!B:B,0),4)</f>
        <v>0</v>
      </c>
    </row>
    <row r="1335" spans="1:13">
      <c r="A1335" s="43" t="s">
        <v>1671</v>
      </c>
      <c r="B1335" s="43">
        <v>2613050885</v>
      </c>
      <c r="C1335" s="43" t="s">
        <v>1565</v>
      </c>
      <c r="D1335" s="10">
        <v>523859</v>
      </c>
      <c r="E1335" s="43" t="s">
        <v>15</v>
      </c>
      <c r="F1335" s="8">
        <f>_xlfn.IFNA(INDEX('OSA | 3GB'!J:L,MATCH(DATA!D1335,'OSA | 3GB'!J:J,0),2),0)</f>
        <v>3</v>
      </c>
      <c r="G1335" s="8">
        <f>_xlfn.IFNA(INDEX('OSA | 3GB'!J:L,MATCH(DATA!D1335,'OSA | 3GB'!J:J,0),3),0)</f>
        <v>8285000</v>
      </c>
      <c r="H1335" s="32">
        <f>_xlfn.IFNA(INDEX('OSA | 3GB'!A:C,MATCH(DATA!D1335,'OSA | 3GB'!A:A,0),2),0)</f>
        <v>3</v>
      </c>
      <c r="I1335" s="33" t="str">
        <f>_xlfn.IFNA(INDEX('OSA | 3GB'!A:C,MATCH(DATA!D1335,'OSA | 3GB'!A:A,0),3),0)</f>
        <v xml:space="preserve"> -   </v>
      </c>
      <c r="J1335" s="33">
        <f>INDEX('BIO WAHYU'!B:G,MATCH(DATA!D1335,'BIO WAHYU'!B:B,0),5)</f>
        <v>1</v>
      </c>
      <c r="K1335" s="34">
        <f>INDEX('BIO WAHYU'!B:G,MATCH(DATA!D1335,'BIO WAHYU'!B:B,0),6)</f>
        <v>3</v>
      </c>
      <c r="L1335" s="35">
        <f>INDEX('BIO WAHYU'!B:H,MATCH(DATA!D1335,'BIO WAHYU'!B:B,0),7)</f>
        <v>2</v>
      </c>
      <c r="M1335" s="34">
        <f>INDEX('BIO WAHYU'!B:H,MATCH(DATA!D1335,'BIO WAHYU'!B:B,0),4)</f>
        <v>0</v>
      </c>
    </row>
    <row r="1336" spans="1:13">
      <c r="A1336" s="43" t="s">
        <v>1672</v>
      </c>
      <c r="B1336" s="43" t="s">
        <v>155</v>
      </c>
      <c r="C1336" s="43" t="s">
        <v>1566</v>
      </c>
      <c r="D1336" s="10">
        <v>62423</v>
      </c>
      <c r="E1336" s="43" t="s">
        <v>10</v>
      </c>
      <c r="F1336" s="8">
        <f>_xlfn.IFNA(INDEX('OSA | 3GB'!J:L,MATCH(DATA!D1336,'OSA | 3GB'!J:J,0),2),0)</f>
        <v>57</v>
      </c>
      <c r="G1336" s="8">
        <f>_xlfn.IFNA(INDEX('OSA | 3GB'!J:L,MATCH(DATA!D1336,'OSA | 3GB'!J:J,0),3),0)</f>
        <v>829000</v>
      </c>
      <c r="H1336" s="32">
        <f>_xlfn.IFNA(INDEX('OSA | 3GB'!A:C,MATCH(DATA!D1336,'OSA | 3GB'!A:A,0),2),0)</f>
        <v>13</v>
      </c>
      <c r="I1336" s="33" t="str">
        <f>_xlfn.IFNA(INDEX('OSA | 3GB'!A:C,MATCH(DATA!D1336,'OSA | 3GB'!A:A,0),3),0)</f>
        <v xml:space="preserve"> -   </v>
      </c>
      <c r="J1336" s="33">
        <f>INDEX('BIO WAHYU'!B:G,MATCH(DATA!D1336,'BIO WAHYU'!B:B,0),5)</f>
        <v>44</v>
      </c>
      <c r="K1336" s="34">
        <f>INDEX('BIO WAHYU'!B:G,MATCH(DATA!D1336,'BIO WAHYU'!B:B,0),6)</f>
        <v>20</v>
      </c>
      <c r="L1336" s="35">
        <f>INDEX('BIO WAHYU'!B:H,MATCH(DATA!D1336,'BIO WAHYU'!B:B,0),7)</f>
        <v>0</v>
      </c>
      <c r="M1336" s="34">
        <f>INDEX('BIO WAHYU'!B:H,MATCH(DATA!D1336,'BIO WAHYU'!B:B,0),4)</f>
        <v>0</v>
      </c>
    </row>
    <row r="1337" spans="1:13">
      <c r="A1337" s="43" t="s">
        <v>1674</v>
      </c>
      <c r="B1337" s="43" t="s">
        <v>148</v>
      </c>
      <c r="C1337" s="43" t="s">
        <v>1567</v>
      </c>
      <c r="D1337" s="10">
        <v>62449</v>
      </c>
      <c r="E1337" s="43" t="s">
        <v>10</v>
      </c>
      <c r="F1337" s="8">
        <f>_xlfn.IFNA(INDEX('OSA | 3GB'!J:L,MATCH(DATA!D1337,'OSA | 3GB'!J:J,0),2),0)</f>
        <v>4</v>
      </c>
      <c r="G1337" s="8">
        <f>_xlfn.IFNA(INDEX('OSA | 3GB'!J:L,MATCH(DATA!D1337,'OSA | 3GB'!J:J,0),3),0)</f>
        <v>7387000</v>
      </c>
      <c r="H1337" s="32" t="str">
        <f>_xlfn.IFNA(INDEX('OSA | 3GB'!A:C,MATCH(DATA!D1337,'OSA | 3GB'!A:A,0),2),0)</f>
        <v xml:space="preserve"> -   </v>
      </c>
      <c r="I1337" s="33">
        <f>_xlfn.IFNA(INDEX('OSA | 3GB'!A:C,MATCH(DATA!D1337,'OSA | 3GB'!A:A,0),3),0)</f>
        <v>3100000</v>
      </c>
      <c r="J1337" s="33">
        <f>INDEX('BIO WAHYU'!B:G,MATCH(DATA!D1337,'BIO WAHYU'!B:B,0),5)</f>
        <v>3</v>
      </c>
      <c r="K1337" s="34">
        <f>INDEX('BIO WAHYU'!B:G,MATCH(DATA!D1337,'BIO WAHYU'!B:B,0),6)</f>
        <v>1</v>
      </c>
      <c r="L1337" s="35">
        <f>INDEX('BIO WAHYU'!B:H,MATCH(DATA!D1337,'BIO WAHYU'!B:B,0),7)</f>
        <v>0</v>
      </c>
      <c r="M1337" s="34">
        <f>INDEX('BIO WAHYU'!B:H,MATCH(DATA!D1337,'BIO WAHYU'!B:B,0),4)</f>
        <v>0</v>
      </c>
    </row>
    <row r="1338" spans="1:13">
      <c r="A1338" s="43" t="s">
        <v>1673</v>
      </c>
      <c r="B1338" s="43" t="s">
        <v>141</v>
      </c>
      <c r="C1338" s="43" t="s">
        <v>1342</v>
      </c>
      <c r="D1338" s="10">
        <v>541322</v>
      </c>
      <c r="E1338" s="43" t="s">
        <v>10</v>
      </c>
      <c r="F1338" s="8">
        <f>_xlfn.IFNA(INDEX('OSA | 3GB'!J:L,MATCH(DATA!D1338,'OSA | 3GB'!J:J,0),2),0)</f>
        <v>4</v>
      </c>
      <c r="G1338" s="8">
        <f>_xlfn.IFNA(INDEX('OSA | 3GB'!J:L,MATCH(DATA!D1338,'OSA | 3GB'!J:J,0),3),0)</f>
        <v>450000</v>
      </c>
      <c r="H1338" s="32" t="str">
        <f>_xlfn.IFNA(INDEX('OSA | 3GB'!A:C,MATCH(DATA!D1338,'OSA | 3GB'!A:A,0),2),0)</f>
        <v xml:space="preserve"> -   </v>
      </c>
      <c r="I1338" s="33">
        <f>_xlfn.IFNA(INDEX('OSA | 3GB'!A:C,MATCH(DATA!D1338,'OSA | 3GB'!A:A,0),3),0)</f>
        <v>150000</v>
      </c>
      <c r="J1338" s="33">
        <f>INDEX('BIO WAHYU'!B:G,MATCH(DATA!D1338,'BIO WAHYU'!B:B,0),5)</f>
        <v>7</v>
      </c>
      <c r="K1338" s="34">
        <f>INDEX('BIO WAHYU'!B:G,MATCH(DATA!D1338,'BIO WAHYU'!B:B,0),6)</f>
        <v>0</v>
      </c>
      <c r="L1338" s="35">
        <f>INDEX('BIO WAHYU'!B:H,MATCH(DATA!D1338,'BIO WAHYU'!B:B,0),7)</f>
        <v>0</v>
      </c>
      <c r="M1338" s="34">
        <f>INDEX('BIO WAHYU'!B:H,MATCH(DATA!D1338,'BIO WAHYU'!B:B,0),4)</f>
        <v>0</v>
      </c>
    </row>
    <row r="1339" spans="1:13">
      <c r="A1339" s="43" t="s">
        <v>1674</v>
      </c>
      <c r="B1339" s="43" t="s">
        <v>148</v>
      </c>
      <c r="C1339" s="43" t="s">
        <v>645</v>
      </c>
      <c r="D1339" s="10">
        <v>410986</v>
      </c>
      <c r="E1339" s="43" t="s">
        <v>10</v>
      </c>
      <c r="F1339" s="8">
        <f>_xlfn.IFNA(INDEX('OSA | 3GB'!J:L,MATCH(DATA!D1339,'OSA | 3GB'!J:J,0),2),0)</f>
        <v>3</v>
      </c>
      <c r="G1339" s="8">
        <f>_xlfn.IFNA(INDEX('OSA | 3GB'!J:L,MATCH(DATA!D1339,'OSA | 3GB'!J:J,0),3),0)</f>
        <v>150000</v>
      </c>
      <c r="H1339" s="32" t="str">
        <f>_xlfn.IFNA(INDEX('OSA | 3GB'!A:C,MATCH(DATA!D1339,'OSA | 3GB'!A:A,0),2),0)</f>
        <v xml:space="preserve"> -   </v>
      </c>
      <c r="I1339" s="33" t="str">
        <f>_xlfn.IFNA(INDEX('OSA | 3GB'!A:C,MATCH(DATA!D1339,'OSA | 3GB'!A:A,0),3),0)</f>
        <v xml:space="preserve"> -   </v>
      </c>
      <c r="J1339" s="33">
        <f>INDEX('BIO WAHYU'!B:G,MATCH(DATA!D1339,'BIO WAHYU'!B:B,0),5)</f>
        <v>1</v>
      </c>
      <c r="K1339" s="34">
        <f>INDEX('BIO WAHYU'!B:G,MATCH(DATA!D1339,'BIO WAHYU'!B:B,0),6)</f>
        <v>2</v>
      </c>
      <c r="L1339" s="35">
        <f>INDEX('BIO WAHYU'!B:H,MATCH(DATA!D1339,'BIO WAHYU'!B:B,0),7)</f>
        <v>1</v>
      </c>
      <c r="M1339" s="34">
        <f>INDEX('BIO WAHYU'!B:H,MATCH(DATA!D1339,'BIO WAHYU'!B:B,0),4)</f>
        <v>0</v>
      </c>
    </row>
    <row r="1340" spans="1:13">
      <c r="A1340" s="43" t="s">
        <v>1671</v>
      </c>
      <c r="B1340" s="43">
        <v>2613050885</v>
      </c>
      <c r="C1340" s="43" t="s">
        <v>286</v>
      </c>
      <c r="D1340" s="10">
        <v>356600</v>
      </c>
      <c r="E1340" s="43" t="s">
        <v>15</v>
      </c>
      <c r="F1340" s="8">
        <f>_xlfn.IFNA(INDEX('OSA | 3GB'!J:L,MATCH(DATA!D1340,'OSA | 3GB'!J:J,0),2),0)</f>
        <v>0</v>
      </c>
      <c r="G1340" s="8">
        <f>_xlfn.IFNA(INDEX('OSA | 3GB'!J:L,MATCH(DATA!D1340,'OSA | 3GB'!J:J,0),3),0)</f>
        <v>55000000</v>
      </c>
      <c r="H1340" s="32" t="str">
        <f>_xlfn.IFNA(INDEX('OSA | 3GB'!A:C,MATCH(DATA!D1340,'OSA | 3GB'!A:A,0),2),0)</f>
        <v xml:space="preserve"> -   </v>
      </c>
      <c r="I1340" s="33">
        <f>_xlfn.IFNA(INDEX('OSA | 3GB'!A:C,MATCH(DATA!D1340,'OSA | 3GB'!A:A,0),3),0)</f>
        <v>20000000</v>
      </c>
      <c r="J1340" s="33">
        <f>INDEX('BIO WAHYU'!B:G,MATCH(DATA!D1340,'BIO WAHYU'!B:B,0),5)</f>
        <v>1</v>
      </c>
      <c r="K1340" s="34">
        <f>INDEX('BIO WAHYU'!B:G,MATCH(DATA!D1340,'BIO WAHYU'!B:B,0),6)</f>
        <v>3</v>
      </c>
      <c r="L1340" s="35">
        <f>INDEX('BIO WAHYU'!B:H,MATCH(DATA!D1340,'BIO WAHYU'!B:B,0),7)</f>
        <v>2</v>
      </c>
      <c r="M1340" s="34">
        <f>INDEX('BIO WAHYU'!B:H,MATCH(DATA!D1340,'BIO WAHYU'!B:B,0),4)</f>
        <v>0</v>
      </c>
    </row>
    <row r="1341" spans="1:13">
      <c r="A1341" s="43" t="s">
        <v>1674</v>
      </c>
      <c r="B1341" s="43" t="s">
        <v>154</v>
      </c>
      <c r="C1341" s="43" t="s">
        <v>1568</v>
      </c>
      <c r="D1341" s="10">
        <v>538191</v>
      </c>
      <c r="E1341" s="43" t="s">
        <v>10</v>
      </c>
      <c r="F1341" s="8">
        <f>_xlfn.IFNA(INDEX('OSA | 3GB'!J:L,MATCH(DATA!D1341,'OSA | 3GB'!J:J,0),2),0)</f>
        <v>0</v>
      </c>
      <c r="G1341" s="8">
        <f>_xlfn.IFNA(INDEX('OSA | 3GB'!J:L,MATCH(DATA!D1341,'OSA | 3GB'!J:J,0),3),0)</f>
        <v>550000</v>
      </c>
      <c r="H1341" s="32" t="str">
        <f>_xlfn.IFNA(INDEX('OSA | 3GB'!A:C,MATCH(DATA!D1341,'OSA | 3GB'!A:A,0),2),0)</f>
        <v xml:space="preserve"> -   </v>
      </c>
      <c r="I1341" s="33" t="str">
        <f>_xlfn.IFNA(INDEX('OSA | 3GB'!A:C,MATCH(DATA!D1341,'OSA | 3GB'!A:A,0),3),0)</f>
        <v xml:space="preserve"> -   </v>
      </c>
      <c r="J1341" s="33">
        <f>INDEX('BIO WAHYU'!B:G,MATCH(DATA!D1341,'BIO WAHYU'!B:B,0),5)</f>
        <v>1</v>
      </c>
      <c r="K1341" s="34">
        <f>INDEX('BIO WAHYU'!B:G,MATCH(DATA!D1341,'BIO WAHYU'!B:B,0),6)</f>
        <v>0</v>
      </c>
      <c r="L1341" s="35">
        <f>INDEX('BIO WAHYU'!B:H,MATCH(DATA!D1341,'BIO WAHYU'!B:B,0),7)</f>
        <v>0</v>
      </c>
      <c r="M1341" s="34">
        <f>INDEX('BIO WAHYU'!B:H,MATCH(DATA!D1341,'BIO WAHYU'!B:B,0),4)</f>
        <v>0</v>
      </c>
    </row>
    <row r="1342" spans="1:13">
      <c r="A1342" s="43" t="s">
        <v>1671</v>
      </c>
      <c r="B1342" s="43">
        <v>2613050885</v>
      </c>
      <c r="C1342" s="43" t="s">
        <v>285</v>
      </c>
      <c r="D1342" s="10">
        <v>341164</v>
      </c>
      <c r="E1342" s="43" t="s">
        <v>15</v>
      </c>
      <c r="F1342" s="8">
        <f>_xlfn.IFNA(INDEX('OSA | 3GB'!J:L,MATCH(DATA!D1342,'OSA | 3GB'!J:J,0),2),0)</f>
        <v>4</v>
      </c>
      <c r="G1342" s="8">
        <f>_xlfn.IFNA(INDEX('OSA | 3GB'!J:L,MATCH(DATA!D1342,'OSA | 3GB'!J:J,0),3),0)</f>
        <v>12867500</v>
      </c>
      <c r="H1342" s="32">
        <f>_xlfn.IFNA(INDEX('OSA | 3GB'!A:C,MATCH(DATA!D1342,'OSA | 3GB'!A:A,0),2),0)</f>
        <v>3</v>
      </c>
      <c r="I1342" s="33">
        <f>_xlfn.IFNA(INDEX('OSA | 3GB'!A:C,MATCH(DATA!D1342,'OSA | 3GB'!A:A,0),3),0)</f>
        <v>4590000</v>
      </c>
      <c r="J1342" s="33">
        <f>INDEX('BIO WAHYU'!B:G,MATCH(DATA!D1342,'BIO WAHYU'!B:B,0),5)</f>
        <v>3</v>
      </c>
      <c r="K1342" s="34">
        <f>INDEX('BIO WAHYU'!B:G,MATCH(DATA!D1342,'BIO WAHYU'!B:B,0),6)</f>
        <v>3</v>
      </c>
      <c r="L1342" s="35">
        <f>INDEX('BIO WAHYU'!B:H,MATCH(DATA!D1342,'BIO WAHYU'!B:B,0),7)</f>
        <v>0</v>
      </c>
      <c r="M1342" s="34">
        <f>INDEX('BIO WAHYU'!B:H,MATCH(DATA!D1342,'BIO WAHYU'!B:B,0),4)</f>
        <v>0</v>
      </c>
    </row>
    <row r="1343" spans="1:13">
      <c r="A1343" s="43" t="s">
        <v>1672</v>
      </c>
      <c r="B1343" s="43" t="s">
        <v>149</v>
      </c>
      <c r="C1343" s="43" t="s">
        <v>792</v>
      </c>
      <c r="D1343" s="10">
        <v>453810</v>
      </c>
      <c r="E1343" s="43" t="s">
        <v>10</v>
      </c>
      <c r="F1343" s="8">
        <f>_xlfn.IFNA(INDEX('OSA | 3GB'!J:L,MATCH(DATA!D1343,'OSA | 3GB'!J:J,0),2),0)</f>
        <v>3</v>
      </c>
      <c r="G1343" s="8">
        <f>_xlfn.IFNA(INDEX('OSA | 3GB'!J:L,MATCH(DATA!D1343,'OSA | 3GB'!J:J,0),3),0)</f>
        <v>58000</v>
      </c>
      <c r="H1343" s="32">
        <f>_xlfn.IFNA(INDEX('OSA | 3GB'!A:C,MATCH(DATA!D1343,'OSA | 3GB'!A:A,0),2),0)</f>
        <v>4</v>
      </c>
      <c r="I1343" s="33">
        <f>_xlfn.IFNA(INDEX('OSA | 3GB'!A:C,MATCH(DATA!D1343,'OSA | 3GB'!A:A,0),3),0)</f>
        <v>516000</v>
      </c>
      <c r="J1343" s="33">
        <f>INDEX('BIO WAHYU'!B:G,MATCH(DATA!D1343,'BIO WAHYU'!B:B,0),5)</f>
        <v>3</v>
      </c>
      <c r="K1343" s="34">
        <f>INDEX('BIO WAHYU'!B:G,MATCH(DATA!D1343,'BIO WAHYU'!B:B,0),6)</f>
        <v>1</v>
      </c>
      <c r="L1343" s="35">
        <f>INDEX('BIO WAHYU'!B:H,MATCH(DATA!D1343,'BIO WAHYU'!B:B,0),7)</f>
        <v>0</v>
      </c>
      <c r="M1343" s="34">
        <f>INDEX('BIO WAHYU'!B:H,MATCH(DATA!D1343,'BIO WAHYU'!B:B,0),4)</f>
        <v>0</v>
      </c>
    </row>
    <row r="1344" spans="1:13">
      <c r="A1344" s="43" t="s">
        <v>1673</v>
      </c>
      <c r="B1344" s="43" t="s">
        <v>1140</v>
      </c>
      <c r="C1344" s="43" t="s">
        <v>1569</v>
      </c>
      <c r="D1344" s="10">
        <v>532583</v>
      </c>
      <c r="E1344" s="43" t="s">
        <v>15</v>
      </c>
      <c r="F1344" s="8">
        <f>_xlfn.IFNA(INDEX('OSA | 3GB'!J:L,MATCH(DATA!D1344,'OSA | 3GB'!J:J,0),2),0)</f>
        <v>1</v>
      </c>
      <c r="G1344" s="8">
        <f>_xlfn.IFNA(INDEX('OSA | 3GB'!J:L,MATCH(DATA!D1344,'OSA | 3GB'!J:J,0),3),0)</f>
        <v>4700000</v>
      </c>
      <c r="H1344" s="32" t="str">
        <f>_xlfn.IFNA(INDEX('OSA | 3GB'!A:C,MATCH(DATA!D1344,'OSA | 3GB'!A:A,0),2),0)</f>
        <v xml:space="preserve"> -   </v>
      </c>
      <c r="I1344" s="33">
        <f>_xlfn.IFNA(INDEX('OSA | 3GB'!A:C,MATCH(DATA!D1344,'OSA | 3GB'!A:A,0),3),0)</f>
        <v>2400000</v>
      </c>
      <c r="J1344" s="33">
        <f>INDEX('BIO WAHYU'!B:G,MATCH(DATA!D1344,'BIO WAHYU'!B:B,0),5)</f>
        <v>2</v>
      </c>
      <c r="K1344" s="34">
        <f>INDEX('BIO WAHYU'!B:G,MATCH(DATA!D1344,'BIO WAHYU'!B:B,0),6)</f>
        <v>0</v>
      </c>
      <c r="L1344" s="35">
        <f>INDEX('BIO WAHYU'!B:H,MATCH(DATA!D1344,'BIO WAHYU'!B:B,0),7)</f>
        <v>0</v>
      </c>
      <c r="M1344" s="34">
        <f>INDEX('BIO WAHYU'!B:H,MATCH(DATA!D1344,'BIO WAHYU'!B:B,0),4)</f>
        <v>0</v>
      </c>
    </row>
    <row r="1345" spans="1:13">
      <c r="A1345" s="43" t="s">
        <v>1670</v>
      </c>
      <c r="B1345" s="43">
        <v>2613051412</v>
      </c>
      <c r="C1345" s="43" t="s">
        <v>1570</v>
      </c>
      <c r="D1345" s="10">
        <v>12322024</v>
      </c>
      <c r="E1345" s="43" t="s">
        <v>10</v>
      </c>
      <c r="F1345" s="8">
        <f>_xlfn.IFNA(INDEX('OSA | 3GB'!J:L,MATCH(DATA!D1345,'OSA | 3GB'!J:J,0),2),0)</f>
        <v>3</v>
      </c>
      <c r="G1345" s="8">
        <f>_xlfn.IFNA(INDEX('OSA | 3GB'!J:L,MATCH(DATA!D1345,'OSA | 3GB'!J:J,0),3),0)</f>
        <v>635000</v>
      </c>
      <c r="H1345" s="32">
        <f>_xlfn.IFNA(INDEX('OSA | 3GB'!A:C,MATCH(DATA!D1345,'OSA | 3GB'!A:A,0),2),0)</f>
        <v>3</v>
      </c>
      <c r="I1345" s="33">
        <f>_xlfn.IFNA(INDEX('OSA | 3GB'!A:C,MATCH(DATA!D1345,'OSA | 3GB'!A:A,0),3),0)</f>
        <v>350000</v>
      </c>
      <c r="J1345" s="33">
        <f>INDEX('BIO WAHYU'!B:G,MATCH(DATA!D1345,'BIO WAHYU'!B:B,0),5)</f>
        <v>2</v>
      </c>
      <c r="K1345" s="34">
        <f>INDEX('BIO WAHYU'!B:G,MATCH(DATA!D1345,'BIO WAHYU'!B:B,0),6)</f>
        <v>1</v>
      </c>
      <c r="L1345" s="35">
        <f>INDEX('BIO WAHYU'!B:H,MATCH(DATA!D1345,'BIO WAHYU'!B:B,0),7)</f>
        <v>0</v>
      </c>
      <c r="M1345" s="34">
        <f>INDEX('BIO WAHYU'!B:H,MATCH(DATA!D1345,'BIO WAHYU'!B:B,0),4)</f>
        <v>0</v>
      </c>
    </row>
    <row r="1346" spans="1:13">
      <c r="A1346" s="43" t="s">
        <v>1670</v>
      </c>
      <c r="B1346" s="43">
        <v>2613051412</v>
      </c>
      <c r="C1346" s="43" t="s">
        <v>1571</v>
      </c>
      <c r="D1346" s="10">
        <v>490023</v>
      </c>
      <c r="E1346" s="43" t="s">
        <v>10</v>
      </c>
      <c r="F1346" s="8">
        <f>_xlfn.IFNA(INDEX('OSA | 3GB'!J:L,MATCH(DATA!D1346,'OSA | 3GB'!J:J,0),2),0)</f>
        <v>3</v>
      </c>
      <c r="G1346" s="8">
        <f>_xlfn.IFNA(INDEX('OSA | 3GB'!J:L,MATCH(DATA!D1346,'OSA | 3GB'!J:J,0),3),0)</f>
        <v>7674000</v>
      </c>
      <c r="H1346" s="32">
        <f>_xlfn.IFNA(INDEX('OSA | 3GB'!A:C,MATCH(DATA!D1346,'OSA | 3GB'!A:A,0),2),0)</f>
        <v>6</v>
      </c>
      <c r="I1346" s="33">
        <f>_xlfn.IFNA(INDEX('OSA | 3GB'!A:C,MATCH(DATA!D1346,'OSA | 3GB'!A:A,0),3),0)</f>
        <v>1287000</v>
      </c>
      <c r="J1346" s="33">
        <f>INDEX('BIO WAHYU'!B:G,MATCH(DATA!D1346,'BIO WAHYU'!B:B,0),5)</f>
        <v>5</v>
      </c>
      <c r="K1346" s="34">
        <f>INDEX('BIO WAHYU'!B:G,MATCH(DATA!D1346,'BIO WAHYU'!B:B,0),6)</f>
        <v>0</v>
      </c>
      <c r="L1346" s="35">
        <f>INDEX('BIO WAHYU'!B:H,MATCH(DATA!D1346,'BIO WAHYU'!B:B,0),7)</f>
        <v>0</v>
      </c>
      <c r="M1346" s="34">
        <f>INDEX('BIO WAHYU'!B:H,MATCH(DATA!D1346,'BIO WAHYU'!B:B,0),4)</f>
        <v>0</v>
      </c>
    </row>
    <row r="1347" spans="1:13">
      <c r="A1347" s="43" t="s">
        <v>1672</v>
      </c>
      <c r="B1347" s="43" t="s">
        <v>149</v>
      </c>
      <c r="C1347" s="43" t="s">
        <v>790</v>
      </c>
      <c r="D1347" s="10">
        <v>404283</v>
      </c>
      <c r="E1347" s="43" t="s">
        <v>10</v>
      </c>
      <c r="F1347" s="8">
        <f>_xlfn.IFNA(INDEX('OSA | 3GB'!J:L,MATCH(DATA!D1347,'OSA | 3GB'!J:J,0),2),0)</f>
        <v>3</v>
      </c>
      <c r="G1347" s="8">
        <f>_xlfn.IFNA(INDEX('OSA | 3GB'!J:L,MATCH(DATA!D1347,'OSA | 3GB'!J:J,0),3),0)</f>
        <v>166000</v>
      </c>
      <c r="H1347" s="32">
        <f>_xlfn.IFNA(INDEX('OSA | 3GB'!A:C,MATCH(DATA!D1347,'OSA | 3GB'!A:A,0),2),0)</f>
        <v>2</v>
      </c>
      <c r="I1347" s="33">
        <f>_xlfn.IFNA(INDEX('OSA | 3GB'!A:C,MATCH(DATA!D1347,'OSA | 3GB'!A:A,0),3),0)</f>
        <v>58000</v>
      </c>
      <c r="J1347" s="33">
        <f>INDEX('BIO WAHYU'!B:G,MATCH(DATA!D1347,'BIO WAHYU'!B:B,0),5)</f>
        <v>1</v>
      </c>
      <c r="K1347" s="34">
        <f>INDEX('BIO WAHYU'!B:G,MATCH(DATA!D1347,'BIO WAHYU'!B:B,0),6)</f>
        <v>0</v>
      </c>
      <c r="L1347" s="35">
        <f>INDEX('BIO WAHYU'!B:H,MATCH(DATA!D1347,'BIO WAHYU'!B:B,0),7)</f>
        <v>0</v>
      </c>
      <c r="M1347" s="34">
        <f>INDEX('BIO WAHYU'!B:H,MATCH(DATA!D1347,'BIO WAHYU'!B:B,0),4)</f>
        <v>0</v>
      </c>
    </row>
    <row r="1348" spans="1:13">
      <c r="A1348" s="43" t="s">
        <v>1673</v>
      </c>
      <c r="B1348" s="43" t="s">
        <v>1140</v>
      </c>
      <c r="C1348" s="43" t="s">
        <v>1572</v>
      </c>
      <c r="D1348" s="10">
        <v>240378</v>
      </c>
      <c r="E1348" s="43" t="s">
        <v>10</v>
      </c>
      <c r="F1348" s="8">
        <f>_xlfn.IFNA(INDEX('OSA | 3GB'!J:L,MATCH(DATA!D1348,'OSA | 3GB'!J:J,0),2),0)</f>
        <v>3</v>
      </c>
      <c r="G1348" s="8">
        <f>_xlfn.IFNA(INDEX('OSA | 3GB'!J:L,MATCH(DATA!D1348,'OSA | 3GB'!J:J,0),3),0)</f>
        <v>700000</v>
      </c>
      <c r="H1348" s="32" t="str">
        <f>_xlfn.IFNA(INDEX('OSA | 3GB'!A:C,MATCH(DATA!D1348,'OSA | 3GB'!A:A,0),2),0)</f>
        <v xml:space="preserve"> -   </v>
      </c>
      <c r="I1348" s="33">
        <f>_xlfn.IFNA(INDEX('OSA | 3GB'!A:C,MATCH(DATA!D1348,'OSA | 3GB'!A:A,0),3),0)</f>
        <v>300000</v>
      </c>
      <c r="J1348" s="33">
        <f>INDEX('BIO WAHYU'!B:G,MATCH(DATA!D1348,'BIO WAHYU'!B:B,0),5)</f>
        <v>2</v>
      </c>
      <c r="K1348" s="34">
        <f>INDEX('BIO WAHYU'!B:G,MATCH(DATA!D1348,'BIO WAHYU'!B:B,0),6)</f>
        <v>2</v>
      </c>
      <c r="L1348" s="35">
        <f>INDEX('BIO WAHYU'!B:H,MATCH(DATA!D1348,'BIO WAHYU'!B:B,0),7)</f>
        <v>0</v>
      </c>
      <c r="M1348" s="34">
        <f>INDEX('BIO WAHYU'!B:H,MATCH(DATA!D1348,'BIO WAHYU'!B:B,0),4)</f>
        <v>0</v>
      </c>
    </row>
    <row r="1349" spans="1:13">
      <c r="A1349" s="43" t="s">
        <v>1674</v>
      </c>
      <c r="B1349" s="43" t="s">
        <v>148</v>
      </c>
      <c r="C1349" s="43" t="s">
        <v>650</v>
      </c>
      <c r="D1349" s="10">
        <v>61996</v>
      </c>
      <c r="E1349" s="43" t="s">
        <v>10</v>
      </c>
      <c r="F1349" s="8">
        <f>_xlfn.IFNA(INDEX('OSA | 3GB'!J:L,MATCH(DATA!D1349,'OSA | 3GB'!J:J,0),2),0)</f>
        <v>3</v>
      </c>
      <c r="G1349" s="8">
        <f>_xlfn.IFNA(INDEX('OSA | 3GB'!J:L,MATCH(DATA!D1349,'OSA | 3GB'!J:J,0),3),0)</f>
        <v>1329000</v>
      </c>
      <c r="H1349" s="32">
        <f>_xlfn.IFNA(INDEX('OSA | 3GB'!A:C,MATCH(DATA!D1349,'OSA | 3GB'!A:A,0),2),0)</f>
        <v>3</v>
      </c>
      <c r="I1349" s="33">
        <f>_xlfn.IFNA(INDEX('OSA | 3GB'!A:C,MATCH(DATA!D1349,'OSA | 3GB'!A:A,0),3),0)</f>
        <v>125000</v>
      </c>
      <c r="J1349" s="33">
        <f>INDEX('BIO WAHYU'!B:G,MATCH(DATA!D1349,'BIO WAHYU'!B:B,0),5)</f>
        <v>4</v>
      </c>
      <c r="K1349" s="34">
        <f>INDEX('BIO WAHYU'!B:G,MATCH(DATA!D1349,'BIO WAHYU'!B:B,0),6)</f>
        <v>1</v>
      </c>
      <c r="L1349" s="35">
        <f>INDEX('BIO WAHYU'!B:H,MATCH(DATA!D1349,'BIO WAHYU'!B:B,0),7)</f>
        <v>0</v>
      </c>
      <c r="M1349" s="34">
        <f>INDEX('BIO WAHYU'!B:H,MATCH(DATA!D1349,'BIO WAHYU'!B:B,0),4)</f>
        <v>0</v>
      </c>
    </row>
    <row r="1350" spans="1:13">
      <c r="A1350" s="43" t="s">
        <v>1675</v>
      </c>
      <c r="B1350" s="43">
        <v>2613051451</v>
      </c>
      <c r="C1350" s="43" t="s">
        <v>389</v>
      </c>
      <c r="D1350" s="10">
        <v>570313</v>
      </c>
      <c r="E1350" s="43" t="s">
        <v>10</v>
      </c>
      <c r="F1350" s="8">
        <f>_xlfn.IFNA(INDEX('OSA | 3GB'!J:L,MATCH(DATA!D1350,'OSA | 3GB'!J:J,0),2),0)</f>
        <v>4</v>
      </c>
      <c r="G1350" s="8">
        <f>_xlfn.IFNA(INDEX('OSA | 3GB'!J:L,MATCH(DATA!D1350,'OSA | 3GB'!J:J,0),3),0)</f>
        <v>0</v>
      </c>
      <c r="H1350" s="32" t="str">
        <f>_xlfn.IFNA(INDEX('OSA | 3GB'!A:C,MATCH(DATA!D1350,'OSA | 3GB'!A:A,0),2),0)</f>
        <v xml:space="preserve"> -   </v>
      </c>
      <c r="I1350" s="33" t="str">
        <f>_xlfn.IFNA(INDEX('OSA | 3GB'!A:C,MATCH(DATA!D1350,'OSA | 3GB'!A:A,0),3),0)</f>
        <v xml:space="preserve"> -   </v>
      </c>
      <c r="J1350" s="33">
        <f>INDEX('BIO WAHYU'!B:G,MATCH(DATA!D1350,'BIO WAHYU'!B:B,0),5)</f>
        <v>4</v>
      </c>
      <c r="K1350" s="34">
        <f>INDEX('BIO WAHYU'!B:G,MATCH(DATA!D1350,'BIO WAHYU'!B:B,0),6)</f>
        <v>0</v>
      </c>
      <c r="L1350" s="35">
        <f>INDEX('BIO WAHYU'!B:H,MATCH(DATA!D1350,'BIO WAHYU'!B:B,0),7)</f>
        <v>0</v>
      </c>
      <c r="M1350" s="34">
        <f>INDEX('BIO WAHYU'!B:H,MATCH(DATA!D1350,'BIO WAHYU'!B:B,0),4)</f>
        <v>0</v>
      </c>
    </row>
    <row r="1351" spans="1:13">
      <c r="A1351" s="43" t="s">
        <v>1672</v>
      </c>
      <c r="B1351" s="43" t="s">
        <v>150</v>
      </c>
      <c r="C1351" s="43" t="s">
        <v>830</v>
      </c>
      <c r="D1351" s="10">
        <v>466676</v>
      </c>
      <c r="E1351" s="43" t="s">
        <v>10</v>
      </c>
      <c r="F1351" s="8">
        <f>_xlfn.IFNA(INDEX('OSA | 3GB'!J:L,MATCH(DATA!D1351,'OSA | 3GB'!J:J,0),2),0)</f>
        <v>3</v>
      </c>
      <c r="G1351" s="8">
        <f>_xlfn.IFNA(INDEX('OSA | 3GB'!J:L,MATCH(DATA!D1351,'OSA | 3GB'!J:J,0),3),0)</f>
        <v>3558000</v>
      </c>
      <c r="H1351" s="32" t="str">
        <f>_xlfn.IFNA(INDEX('OSA | 3GB'!A:C,MATCH(DATA!D1351,'OSA | 3GB'!A:A,0),2),0)</f>
        <v xml:space="preserve"> -   </v>
      </c>
      <c r="I1351" s="33">
        <f>_xlfn.IFNA(INDEX('OSA | 3GB'!A:C,MATCH(DATA!D1351,'OSA | 3GB'!A:A,0),3),0)</f>
        <v>200000</v>
      </c>
      <c r="J1351" s="33">
        <f>INDEX('BIO WAHYU'!B:G,MATCH(DATA!D1351,'BIO WAHYU'!B:B,0),5)</f>
        <v>1</v>
      </c>
      <c r="K1351" s="34">
        <f>INDEX('BIO WAHYU'!B:G,MATCH(DATA!D1351,'BIO WAHYU'!B:B,0),6)</f>
        <v>1</v>
      </c>
      <c r="L1351" s="35">
        <f>INDEX('BIO WAHYU'!B:H,MATCH(DATA!D1351,'BIO WAHYU'!B:B,0),7)</f>
        <v>0</v>
      </c>
      <c r="M1351" s="34">
        <f>INDEX('BIO WAHYU'!B:H,MATCH(DATA!D1351,'BIO WAHYU'!B:B,0),4)</f>
        <v>0</v>
      </c>
    </row>
    <row r="1352" spans="1:13">
      <c r="A1352" s="43" t="s">
        <v>1</v>
      </c>
      <c r="B1352" s="43" t="s">
        <v>4</v>
      </c>
      <c r="C1352" s="43" t="s">
        <v>45</v>
      </c>
      <c r="D1352" s="10">
        <v>12322237</v>
      </c>
      <c r="E1352" s="43" t="s">
        <v>15</v>
      </c>
      <c r="F1352" s="8">
        <f>_xlfn.IFNA(INDEX('OSA | 3GB'!J:L,MATCH(DATA!D1352,'OSA | 3GB'!J:J,0),2),0)</f>
        <v>0</v>
      </c>
      <c r="G1352" s="8">
        <f>_xlfn.IFNA(INDEX('OSA | 3GB'!J:L,MATCH(DATA!D1352,'OSA | 3GB'!J:J,0),3),0)</f>
        <v>0</v>
      </c>
      <c r="H1352" s="32" t="str">
        <f>_xlfn.IFNA(INDEX('OSA | 3GB'!A:C,MATCH(DATA!D1352,'OSA | 3GB'!A:A,0),2),0)</f>
        <v xml:space="preserve"> -   </v>
      </c>
      <c r="I1352" s="33" t="str">
        <f>_xlfn.IFNA(INDEX('OSA | 3GB'!A:C,MATCH(DATA!D1352,'OSA | 3GB'!A:A,0),3),0)</f>
        <v xml:space="preserve"> -   </v>
      </c>
      <c r="J1352" s="33">
        <f>INDEX('BIO WAHYU'!B:G,MATCH(DATA!D1352,'BIO WAHYU'!B:B,0),5)</f>
        <v>1</v>
      </c>
      <c r="K1352" s="34">
        <f>INDEX('BIO WAHYU'!B:G,MATCH(DATA!D1352,'BIO WAHYU'!B:B,0),6)</f>
        <v>0</v>
      </c>
      <c r="L1352" s="35">
        <f>INDEX('BIO WAHYU'!B:H,MATCH(DATA!D1352,'BIO WAHYU'!B:B,0),7)</f>
        <v>0</v>
      </c>
      <c r="M1352" s="34">
        <f>INDEX('BIO WAHYU'!B:H,MATCH(DATA!D1352,'BIO WAHYU'!B:B,0),4)</f>
        <v>0</v>
      </c>
    </row>
    <row r="1353" spans="1:13">
      <c r="A1353" s="43" t="s">
        <v>1670</v>
      </c>
      <c r="B1353" s="43">
        <v>2613052584</v>
      </c>
      <c r="C1353" s="43" t="s">
        <v>572</v>
      </c>
      <c r="D1353" s="10">
        <v>12322870</v>
      </c>
      <c r="E1353" s="43" t="s">
        <v>10</v>
      </c>
      <c r="F1353" s="8">
        <f>_xlfn.IFNA(INDEX('OSA | 3GB'!J:L,MATCH(DATA!D1353,'OSA | 3GB'!J:J,0),2),0)</f>
        <v>0</v>
      </c>
      <c r="G1353" s="8">
        <f>_xlfn.IFNA(INDEX('OSA | 3GB'!J:L,MATCH(DATA!D1353,'OSA | 3GB'!J:J,0),3),0)</f>
        <v>350000</v>
      </c>
      <c r="H1353" s="32" t="str">
        <f>_xlfn.IFNA(INDEX('OSA | 3GB'!A:C,MATCH(DATA!D1353,'OSA | 3GB'!A:A,0),2),0)</f>
        <v xml:space="preserve"> -   </v>
      </c>
      <c r="I1353" s="33" t="str">
        <f>_xlfn.IFNA(INDEX('OSA | 3GB'!A:C,MATCH(DATA!D1353,'OSA | 3GB'!A:A,0),3),0)</f>
        <v xml:space="preserve"> -   </v>
      </c>
      <c r="J1353" s="33">
        <f>INDEX('BIO WAHYU'!B:G,MATCH(DATA!D1353,'BIO WAHYU'!B:B,0),5)</f>
        <v>0</v>
      </c>
      <c r="K1353" s="34">
        <f>INDEX('BIO WAHYU'!B:G,MATCH(DATA!D1353,'BIO WAHYU'!B:B,0),6)</f>
        <v>0</v>
      </c>
      <c r="L1353" s="35">
        <f>INDEX('BIO WAHYU'!B:H,MATCH(DATA!D1353,'BIO WAHYU'!B:B,0),7)</f>
        <v>0</v>
      </c>
      <c r="M1353" s="34">
        <f>INDEX('BIO WAHYU'!B:H,MATCH(DATA!D1353,'BIO WAHYU'!B:B,0),4)</f>
        <v>0</v>
      </c>
    </row>
    <row r="1354" spans="1:13">
      <c r="A1354" s="43" t="s">
        <v>1</v>
      </c>
      <c r="B1354" s="43" t="s">
        <v>4</v>
      </c>
      <c r="C1354" s="43" t="s">
        <v>67</v>
      </c>
      <c r="D1354" s="10">
        <v>563095</v>
      </c>
      <c r="E1354" s="43" t="s">
        <v>10</v>
      </c>
      <c r="F1354" s="8">
        <f>_xlfn.IFNA(INDEX('OSA | 3GB'!J:L,MATCH(DATA!D1354,'OSA | 3GB'!J:J,0),2),0)</f>
        <v>2</v>
      </c>
      <c r="G1354" s="8">
        <f>_xlfn.IFNA(INDEX('OSA | 3GB'!J:L,MATCH(DATA!D1354,'OSA | 3GB'!J:J,0),3),0)</f>
        <v>6200000</v>
      </c>
      <c r="H1354" s="32" t="str">
        <f>_xlfn.IFNA(INDEX('OSA | 3GB'!A:C,MATCH(DATA!D1354,'OSA | 3GB'!A:A,0),2),0)</f>
        <v xml:space="preserve"> -   </v>
      </c>
      <c r="I1354" s="33">
        <f>_xlfn.IFNA(INDEX('OSA | 3GB'!A:C,MATCH(DATA!D1354,'OSA | 3GB'!A:A,0),3),0)</f>
        <v>2900000</v>
      </c>
      <c r="J1354" s="33">
        <f>INDEX('BIO WAHYU'!B:G,MATCH(DATA!D1354,'BIO WAHYU'!B:B,0),5)</f>
        <v>3</v>
      </c>
      <c r="K1354" s="34">
        <f>INDEX('BIO WAHYU'!B:G,MATCH(DATA!D1354,'BIO WAHYU'!B:B,0),6)</f>
        <v>3</v>
      </c>
      <c r="L1354" s="35">
        <f>INDEX('BIO WAHYU'!B:H,MATCH(DATA!D1354,'BIO WAHYU'!B:B,0),7)</f>
        <v>0</v>
      </c>
      <c r="M1354" s="34">
        <f>INDEX('BIO WAHYU'!B:H,MATCH(DATA!D1354,'BIO WAHYU'!B:B,0),4)</f>
        <v>0</v>
      </c>
    </row>
    <row r="1355" spans="1:13">
      <c r="A1355" s="43" t="s">
        <v>1673</v>
      </c>
      <c r="B1355" s="43" t="s">
        <v>143</v>
      </c>
      <c r="C1355" s="43" t="s">
        <v>1401</v>
      </c>
      <c r="D1355" s="10">
        <v>62119</v>
      </c>
      <c r="E1355" s="43" t="s">
        <v>15</v>
      </c>
      <c r="F1355" s="8">
        <f>_xlfn.IFNA(INDEX('OSA | 3GB'!J:L,MATCH(DATA!D1355,'OSA | 3GB'!J:J,0),2),0)</f>
        <v>0</v>
      </c>
      <c r="G1355" s="8">
        <f>_xlfn.IFNA(INDEX('OSA | 3GB'!J:L,MATCH(DATA!D1355,'OSA | 3GB'!J:J,0),3),0)</f>
        <v>812000</v>
      </c>
      <c r="H1355" s="32">
        <f>_xlfn.IFNA(INDEX('OSA | 3GB'!A:C,MATCH(DATA!D1355,'OSA | 3GB'!A:A,0),2),0)</f>
        <v>1</v>
      </c>
      <c r="I1355" s="33">
        <f>_xlfn.IFNA(INDEX('OSA | 3GB'!A:C,MATCH(DATA!D1355,'OSA | 3GB'!A:A,0),3),0)</f>
        <v>300000</v>
      </c>
      <c r="J1355" s="33">
        <f>INDEX('BIO WAHYU'!B:G,MATCH(DATA!D1355,'BIO WAHYU'!B:B,0),5)</f>
        <v>0</v>
      </c>
      <c r="K1355" s="34">
        <f>INDEX('BIO WAHYU'!B:G,MATCH(DATA!D1355,'BIO WAHYU'!B:B,0),6)</f>
        <v>2</v>
      </c>
      <c r="L1355" s="35">
        <f>INDEX('BIO WAHYU'!B:H,MATCH(DATA!D1355,'BIO WAHYU'!B:B,0),7)</f>
        <v>2</v>
      </c>
      <c r="M1355" s="34">
        <f>INDEX('BIO WAHYU'!B:H,MATCH(DATA!D1355,'BIO WAHYU'!B:B,0),4)</f>
        <v>0</v>
      </c>
    </row>
    <row r="1356" spans="1:13">
      <c r="A1356" s="43" t="s">
        <v>1674</v>
      </c>
      <c r="B1356" s="43" t="s">
        <v>153</v>
      </c>
      <c r="C1356" s="43" t="s">
        <v>1573</v>
      </c>
      <c r="D1356" s="10">
        <v>574426</v>
      </c>
      <c r="E1356" s="43" t="s">
        <v>10</v>
      </c>
      <c r="F1356" s="8">
        <f>_xlfn.IFNA(INDEX('OSA | 3GB'!J:L,MATCH(DATA!D1356,'OSA | 3GB'!J:J,0),2),0)</f>
        <v>2</v>
      </c>
      <c r="G1356" s="8">
        <f>_xlfn.IFNA(INDEX('OSA | 3GB'!J:L,MATCH(DATA!D1356,'OSA | 3GB'!J:J,0),3),0)</f>
        <v>494000</v>
      </c>
      <c r="H1356" s="32" t="str">
        <f>_xlfn.IFNA(INDEX('OSA | 3GB'!A:C,MATCH(DATA!D1356,'OSA | 3GB'!A:A,0),2),0)</f>
        <v xml:space="preserve"> -   </v>
      </c>
      <c r="I1356" s="33" t="str">
        <f>_xlfn.IFNA(INDEX('OSA | 3GB'!A:C,MATCH(DATA!D1356,'OSA | 3GB'!A:A,0),3),0)</f>
        <v xml:space="preserve"> -   </v>
      </c>
      <c r="J1356" s="33">
        <f>INDEX('BIO WAHYU'!B:G,MATCH(DATA!D1356,'BIO WAHYU'!B:B,0),5)</f>
        <v>1</v>
      </c>
      <c r="K1356" s="34">
        <f>INDEX('BIO WAHYU'!B:G,MATCH(DATA!D1356,'BIO WAHYU'!B:B,0),6)</f>
        <v>0</v>
      </c>
      <c r="L1356" s="35">
        <f>INDEX('BIO WAHYU'!B:H,MATCH(DATA!D1356,'BIO WAHYU'!B:B,0),7)</f>
        <v>0</v>
      </c>
      <c r="M1356" s="34">
        <f>INDEX('BIO WAHYU'!B:H,MATCH(DATA!D1356,'BIO WAHYU'!B:B,0),4)</f>
        <v>0</v>
      </c>
    </row>
    <row r="1357" spans="1:13">
      <c r="A1357" s="43" t="s">
        <v>1674</v>
      </c>
      <c r="B1357" s="43" t="s">
        <v>152</v>
      </c>
      <c r="C1357" s="43" t="s">
        <v>662</v>
      </c>
      <c r="D1357" s="10">
        <v>246348</v>
      </c>
      <c r="E1357" s="43" t="s">
        <v>10</v>
      </c>
      <c r="F1357" s="8">
        <f>_xlfn.IFNA(INDEX('OSA | 3GB'!J:L,MATCH(DATA!D1357,'OSA | 3GB'!J:J,0),2),0)</f>
        <v>3</v>
      </c>
      <c r="G1357" s="8">
        <f>_xlfn.IFNA(INDEX('OSA | 3GB'!J:L,MATCH(DATA!D1357,'OSA | 3GB'!J:J,0),3),0)</f>
        <v>629000</v>
      </c>
      <c r="H1357" s="32" t="str">
        <f>_xlfn.IFNA(INDEX('OSA | 3GB'!A:C,MATCH(DATA!D1357,'OSA | 3GB'!A:A,0),2),0)</f>
        <v xml:space="preserve"> -   </v>
      </c>
      <c r="I1357" s="33">
        <f>_xlfn.IFNA(INDEX('OSA | 3GB'!A:C,MATCH(DATA!D1357,'OSA | 3GB'!A:A,0),3),0)</f>
        <v>200000</v>
      </c>
      <c r="J1357" s="33">
        <f>INDEX('BIO WAHYU'!B:G,MATCH(DATA!D1357,'BIO WAHYU'!B:B,0),5)</f>
        <v>2</v>
      </c>
      <c r="K1357" s="34">
        <f>INDEX('BIO WAHYU'!B:G,MATCH(DATA!D1357,'BIO WAHYU'!B:B,0),6)</f>
        <v>0</v>
      </c>
      <c r="L1357" s="35">
        <f>INDEX('BIO WAHYU'!B:H,MATCH(DATA!D1357,'BIO WAHYU'!B:B,0),7)</f>
        <v>0</v>
      </c>
      <c r="M1357" s="34">
        <f>INDEX('BIO WAHYU'!B:H,MATCH(DATA!D1357,'BIO WAHYU'!B:B,0),4)</f>
        <v>0</v>
      </c>
    </row>
    <row r="1358" spans="1:13">
      <c r="A1358" s="43" t="s">
        <v>1672</v>
      </c>
      <c r="B1358" s="43" t="s">
        <v>150</v>
      </c>
      <c r="C1358" s="43" t="s">
        <v>823</v>
      </c>
      <c r="D1358" s="10">
        <v>293932</v>
      </c>
      <c r="E1358" s="43" t="s">
        <v>10</v>
      </c>
      <c r="F1358" s="8">
        <f>_xlfn.IFNA(INDEX('OSA | 3GB'!J:L,MATCH(DATA!D1358,'OSA | 3GB'!J:J,0),2),0)</f>
        <v>8</v>
      </c>
      <c r="G1358" s="8">
        <f>_xlfn.IFNA(INDEX('OSA | 3GB'!J:L,MATCH(DATA!D1358,'OSA | 3GB'!J:J,0),3),0)</f>
        <v>3510000</v>
      </c>
      <c r="H1358" s="32" t="str">
        <f>_xlfn.IFNA(INDEX('OSA | 3GB'!A:C,MATCH(DATA!D1358,'OSA | 3GB'!A:A,0),2),0)</f>
        <v xml:space="preserve"> -   </v>
      </c>
      <c r="I1358" s="33">
        <f>_xlfn.IFNA(INDEX('OSA | 3GB'!A:C,MATCH(DATA!D1358,'OSA | 3GB'!A:A,0),3),0)</f>
        <v>1695000</v>
      </c>
      <c r="J1358" s="33">
        <f>INDEX('BIO WAHYU'!B:G,MATCH(DATA!D1358,'BIO WAHYU'!B:B,0),5)</f>
        <v>4</v>
      </c>
      <c r="K1358" s="34">
        <f>INDEX('BIO WAHYU'!B:G,MATCH(DATA!D1358,'BIO WAHYU'!B:B,0),6)</f>
        <v>0</v>
      </c>
      <c r="L1358" s="35">
        <f>INDEX('BIO WAHYU'!B:H,MATCH(DATA!D1358,'BIO WAHYU'!B:B,0),7)</f>
        <v>0</v>
      </c>
      <c r="M1358" s="34">
        <f>INDEX('BIO WAHYU'!B:H,MATCH(DATA!D1358,'BIO WAHYU'!B:B,0),4)</f>
        <v>2</v>
      </c>
    </row>
    <row r="1359" spans="1:13">
      <c r="A1359" s="43" t="s">
        <v>1670</v>
      </c>
      <c r="B1359" s="43">
        <v>2613051412</v>
      </c>
      <c r="C1359" s="43" t="s">
        <v>562</v>
      </c>
      <c r="D1359" s="10">
        <v>522982</v>
      </c>
      <c r="E1359" s="43" t="s">
        <v>10</v>
      </c>
      <c r="F1359" s="8">
        <f>_xlfn.IFNA(INDEX('OSA | 3GB'!J:L,MATCH(DATA!D1359,'OSA | 3GB'!J:J,0),2),0)</f>
        <v>3</v>
      </c>
      <c r="G1359" s="8">
        <f>_xlfn.IFNA(INDEX('OSA | 3GB'!J:L,MATCH(DATA!D1359,'OSA | 3GB'!J:J,0),3),0)</f>
        <v>3229000</v>
      </c>
      <c r="H1359" s="32" t="str">
        <f>_xlfn.IFNA(INDEX('OSA | 3GB'!A:C,MATCH(DATA!D1359,'OSA | 3GB'!A:A,0),2),0)</f>
        <v xml:space="preserve"> -   </v>
      </c>
      <c r="I1359" s="33">
        <f>_xlfn.IFNA(INDEX('OSA | 3GB'!A:C,MATCH(DATA!D1359,'OSA | 3GB'!A:A,0),3),0)</f>
        <v>500000</v>
      </c>
      <c r="J1359" s="33">
        <f>INDEX('BIO WAHYU'!B:G,MATCH(DATA!D1359,'BIO WAHYU'!B:B,0),5)</f>
        <v>4</v>
      </c>
      <c r="K1359" s="34">
        <f>INDEX('BIO WAHYU'!B:G,MATCH(DATA!D1359,'BIO WAHYU'!B:B,0),6)</f>
        <v>0</v>
      </c>
      <c r="L1359" s="35">
        <f>INDEX('BIO WAHYU'!B:H,MATCH(DATA!D1359,'BIO WAHYU'!B:B,0),7)</f>
        <v>0</v>
      </c>
      <c r="M1359" s="34">
        <f>INDEX('BIO WAHYU'!B:H,MATCH(DATA!D1359,'BIO WAHYU'!B:B,0),4)</f>
        <v>0</v>
      </c>
    </row>
    <row r="1360" spans="1:13">
      <c r="A1360" s="43" t="s">
        <v>1670</v>
      </c>
      <c r="B1360" s="43" t="s">
        <v>146</v>
      </c>
      <c r="C1360" s="43" t="s">
        <v>543</v>
      </c>
      <c r="D1360" s="10">
        <v>494998</v>
      </c>
      <c r="E1360" s="43" t="s">
        <v>15</v>
      </c>
      <c r="F1360" s="8">
        <f>_xlfn.IFNA(INDEX('OSA | 3GB'!J:L,MATCH(DATA!D1360,'OSA | 3GB'!J:J,0),2),0)</f>
        <v>7</v>
      </c>
      <c r="G1360" s="8">
        <f>_xlfn.IFNA(INDEX('OSA | 3GB'!J:L,MATCH(DATA!D1360,'OSA | 3GB'!J:J,0),3),0)</f>
        <v>1300000</v>
      </c>
      <c r="H1360" s="32">
        <f>_xlfn.IFNA(INDEX('OSA | 3GB'!A:C,MATCH(DATA!D1360,'OSA | 3GB'!A:A,0),2),0)</f>
        <v>3</v>
      </c>
      <c r="I1360" s="33">
        <f>_xlfn.IFNA(INDEX('OSA | 3GB'!A:C,MATCH(DATA!D1360,'OSA | 3GB'!A:A,0),3),0)</f>
        <v>300000</v>
      </c>
      <c r="J1360" s="33">
        <f>INDEX('BIO WAHYU'!B:G,MATCH(DATA!D1360,'BIO WAHYU'!B:B,0),5)</f>
        <v>5</v>
      </c>
      <c r="K1360" s="34">
        <f>INDEX('BIO WAHYU'!B:G,MATCH(DATA!D1360,'BIO WAHYU'!B:B,0),6)</f>
        <v>0</v>
      </c>
      <c r="L1360" s="35">
        <f>INDEX('BIO WAHYU'!B:H,MATCH(DATA!D1360,'BIO WAHYU'!B:B,0),7)</f>
        <v>0</v>
      </c>
      <c r="M1360" s="34">
        <f>INDEX('BIO WAHYU'!B:H,MATCH(DATA!D1360,'BIO WAHYU'!B:B,0),4)</f>
        <v>0</v>
      </c>
    </row>
    <row r="1361" spans="1:13">
      <c r="A1361" s="43" t="s">
        <v>1</v>
      </c>
      <c r="B1361" s="43" t="s">
        <v>3</v>
      </c>
      <c r="C1361" s="43" t="s">
        <v>29</v>
      </c>
      <c r="D1361" s="10">
        <v>501643</v>
      </c>
      <c r="E1361" s="43" t="s">
        <v>10</v>
      </c>
      <c r="F1361" s="8">
        <f>_xlfn.IFNA(INDEX('OSA | 3GB'!J:L,MATCH(DATA!D1361,'OSA | 3GB'!J:J,0),2),0)</f>
        <v>3</v>
      </c>
      <c r="G1361" s="8">
        <f>_xlfn.IFNA(INDEX('OSA | 3GB'!J:L,MATCH(DATA!D1361,'OSA | 3GB'!J:J,0),3),0)</f>
        <v>12900000</v>
      </c>
      <c r="H1361" s="32" t="str">
        <f>_xlfn.IFNA(INDEX('OSA | 3GB'!A:C,MATCH(DATA!D1361,'OSA | 3GB'!A:A,0),2),0)</f>
        <v xml:space="preserve"> -   </v>
      </c>
      <c r="I1361" s="33">
        <f>_xlfn.IFNA(INDEX('OSA | 3GB'!A:C,MATCH(DATA!D1361,'OSA | 3GB'!A:A,0),3),0)</f>
        <v>2850000</v>
      </c>
      <c r="J1361" s="33">
        <f>INDEX('BIO WAHYU'!B:G,MATCH(DATA!D1361,'BIO WAHYU'!B:B,0),5)</f>
        <v>4</v>
      </c>
      <c r="K1361" s="34">
        <f>INDEX('BIO WAHYU'!B:G,MATCH(DATA!D1361,'BIO WAHYU'!B:B,0),6)</f>
        <v>0</v>
      </c>
      <c r="L1361" s="35">
        <f>INDEX('BIO WAHYU'!B:H,MATCH(DATA!D1361,'BIO WAHYU'!B:B,0),7)</f>
        <v>0</v>
      </c>
      <c r="M1361" s="34">
        <f>INDEX('BIO WAHYU'!B:H,MATCH(DATA!D1361,'BIO WAHYU'!B:B,0),4)</f>
        <v>0</v>
      </c>
    </row>
    <row r="1362" spans="1:13">
      <c r="A1362" s="43" t="s">
        <v>1</v>
      </c>
      <c r="B1362" s="43" t="s">
        <v>4</v>
      </c>
      <c r="C1362" s="43" t="s">
        <v>60</v>
      </c>
      <c r="D1362" s="10">
        <v>503866</v>
      </c>
      <c r="E1362" s="43" t="s">
        <v>10</v>
      </c>
      <c r="F1362" s="8">
        <f>_xlfn.IFNA(INDEX('OSA | 3GB'!J:L,MATCH(DATA!D1362,'OSA | 3GB'!J:J,0),2),0)</f>
        <v>6</v>
      </c>
      <c r="G1362" s="8">
        <f>_xlfn.IFNA(INDEX('OSA | 3GB'!J:L,MATCH(DATA!D1362,'OSA | 3GB'!J:J,0),3),0)</f>
        <v>4400000</v>
      </c>
      <c r="H1362" s="32" t="str">
        <f>_xlfn.IFNA(INDEX('OSA | 3GB'!A:C,MATCH(DATA!D1362,'OSA | 3GB'!A:A,0),2),0)</f>
        <v xml:space="preserve"> -   </v>
      </c>
      <c r="I1362" s="33">
        <f>_xlfn.IFNA(INDEX('OSA | 3GB'!A:C,MATCH(DATA!D1362,'OSA | 3GB'!A:A,0),3),0)</f>
        <v>1900000</v>
      </c>
      <c r="J1362" s="33">
        <f>INDEX('BIO WAHYU'!B:G,MATCH(DATA!D1362,'BIO WAHYU'!B:B,0),5)</f>
        <v>7</v>
      </c>
      <c r="K1362" s="34">
        <f>INDEX('BIO WAHYU'!B:G,MATCH(DATA!D1362,'BIO WAHYU'!B:B,0),6)</f>
        <v>3</v>
      </c>
      <c r="L1362" s="35">
        <f>INDEX('BIO WAHYU'!B:H,MATCH(DATA!D1362,'BIO WAHYU'!B:B,0),7)</f>
        <v>0</v>
      </c>
      <c r="M1362" s="34">
        <f>INDEX('BIO WAHYU'!B:H,MATCH(DATA!D1362,'BIO WAHYU'!B:B,0),4)</f>
        <v>0</v>
      </c>
    </row>
    <row r="1363" spans="1:13">
      <c r="A1363" s="43" t="s">
        <v>1673</v>
      </c>
      <c r="B1363" s="43" t="s">
        <v>144</v>
      </c>
      <c r="C1363" s="43" t="s">
        <v>242</v>
      </c>
      <c r="D1363" s="10">
        <v>551630</v>
      </c>
      <c r="E1363" s="43" t="s">
        <v>15</v>
      </c>
      <c r="F1363" s="8">
        <f>_xlfn.IFNA(INDEX('OSA | 3GB'!J:L,MATCH(DATA!D1363,'OSA | 3GB'!J:J,0),2),0)</f>
        <v>10</v>
      </c>
      <c r="G1363" s="8">
        <f>_xlfn.IFNA(INDEX('OSA | 3GB'!J:L,MATCH(DATA!D1363,'OSA | 3GB'!J:J,0),3),0)</f>
        <v>337000</v>
      </c>
      <c r="H1363" s="32" t="str">
        <f>_xlfn.IFNA(INDEX('OSA | 3GB'!A:C,MATCH(DATA!D1363,'OSA | 3GB'!A:A,0),2),0)</f>
        <v xml:space="preserve"> -   </v>
      </c>
      <c r="I1363" s="33">
        <f>_xlfn.IFNA(INDEX('OSA | 3GB'!A:C,MATCH(DATA!D1363,'OSA | 3GB'!A:A,0),3),0)</f>
        <v>50000</v>
      </c>
      <c r="J1363" s="33">
        <f>INDEX('BIO WAHYU'!B:G,MATCH(DATA!D1363,'BIO WAHYU'!B:B,0),5)</f>
        <v>3</v>
      </c>
      <c r="K1363" s="34">
        <f>INDEX('BIO WAHYU'!B:G,MATCH(DATA!D1363,'BIO WAHYU'!B:B,0),6)</f>
        <v>0</v>
      </c>
      <c r="L1363" s="35">
        <f>INDEX('BIO WAHYU'!B:H,MATCH(DATA!D1363,'BIO WAHYU'!B:B,0),7)</f>
        <v>0</v>
      </c>
      <c r="M1363" s="34">
        <f>INDEX('BIO WAHYU'!B:H,MATCH(DATA!D1363,'BIO WAHYU'!B:B,0),4)</f>
        <v>0</v>
      </c>
    </row>
    <row r="1364" spans="1:13">
      <c r="A1364" s="43" t="s">
        <v>1670</v>
      </c>
      <c r="B1364" s="43" t="s">
        <v>146</v>
      </c>
      <c r="C1364" s="43" t="s">
        <v>1574</v>
      </c>
      <c r="D1364" s="10">
        <v>12321239</v>
      </c>
      <c r="E1364" s="43" t="s">
        <v>10</v>
      </c>
      <c r="F1364" s="8">
        <f>_xlfn.IFNA(INDEX('OSA | 3GB'!J:L,MATCH(DATA!D1364,'OSA | 3GB'!J:J,0),2),0)</f>
        <v>14</v>
      </c>
      <c r="G1364" s="8">
        <f>_xlfn.IFNA(INDEX('OSA | 3GB'!J:L,MATCH(DATA!D1364,'OSA | 3GB'!J:J,0),3),0)</f>
        <v>6055000</v>
      </c>
      <c r="H1364" s="32">
        <f>_xlfn.IFNA(INDEX('OSA | 3GB'!A:C,MATCH(DATA!D1364,'OSA | 3GB'!A:A,0),2),0)</f>
        <v>443</v>
      </c>
      <c r="I1364" s="33">
        <f>_xlfn.IFNA(INDEX('OSA | 3GB'!A:C,MATCH(DATA!D1364,'OSA | 3GB'!A:A,0),3),0)</f>
        <v>2325000</v>
      </c>
      <c r="J1364" s="33">
        <f>INDEX('BIO WAHYU'!B:G,MATCH(DATA!D1364,'BIO WAHYU'!B:B,0),5)</f>
        <v>25</v>
      </c>
      <c r="K1364" s="34">
        <f>INDEX('BIO WAHYU'!B:G,MATCH(DATA!D1364,'BIO WAHYU'!B:B,0),6)</f>
        <v>3</v>
      </c>
      <c r="L1364" s="35">
        <f>INDEX('BIO WAHYU'!B:H,MATCH(DATA!D1364,'BIO WAHYU'!B:B,0),7)</f>
        <v>0</v>
      </c>
      <c r="M1364" s="34">
        <f>INDEX('BIO WAHYU'!B:H,MATCH(DATA!D1364,'BIO WAHYU'!B:B,0),4)</f>
        <v>0</v>
      </c>
    </row>
    <row r="1365" spans="1:13">
      <c r="A1365" s="43" t="s">
        <v>1674</v>
      </c>
      <c r="B1365" s="43" t="s">
        <v>154</v>
      </c>
      <c r="C1365" s="43" t="s">
        <v>736</v>
      </c>
      <c r="D1365" s="10">
        <v>12300470</v>
      </c>
      <c r="E1365" s="43" t="s">
        <v>10</v>
      </c>
      <c r="F1365" s="8">
        <f>_xlfn.IFNA(INDEX('OSA | 3GB'!J:L,MATCH(DATA!D1365,'OSA | 3GB'!J:J,0),2),0)</f>
        <v>3</v>
      </c>
      <c r="G1365" s="8">
        <f>_xlfn.IFNA(INDEX('OSA | 3GB'!J:L,MATCH(DATA!D1365,'OSA | 3GB'!J:J,0),3),0)</f>
        <v>1450000</v>
      </c>
      <c r="H1365" s="32" t="str">
        <f>_xlfn.IFNA(INDEX('OSA | 3GB'!A:C,MATCH(DATA!D1365,'OSA | 3GB'!A:A,0),2),0)</f>
        <v xml:space="preserve"> -   </v>
      </c>
      <c r="I1365" s="33">
        <f>_xlfn.IFNA(INDEX('OSA | 3GB'!A:C,MATCH(DATA!D1365,'OSA | 3GB'!A:A,0),3),0)</f>
        <v>800000</v>
      </c>
      <c r="J1365" s="33">
        <f>INDEX('BIO WAHYU'!B:G,MATCH(DATA!D1365,'BIO WAHYU'!B:B,0),5)</f>
        <v>6</v>
      </c>
      <c r="K1365" s="34">
        <f>INDEX('BIO WAHYU'!B:G,MATCH(DATA!D1365,'BIO WAHYU'!B:B,0),6)</f>
        <v>1</v>
      </c>
      <c r="L1365" s="35">
        <f>INDEX('BIO WAHYU'!B:H,MATCH(DATA!D1365,'BIO WAHYU'!B:B,0),7)</f>
        <v>0</v>
      </c>
      <c r="M1365" s="34">
        <f>INDEX('BIO WAHYU'!B:H,MATCH(DATA!D1365,'BIO WAHYU'!B:B,0),4)</f>
        <v>0</v>
      </c>
    </row>
    <row r="1366" spans="1:13">
      <c r="A1366" s="43" t="s">
        <v>1674</v>
      </c>
      <c r="B1366" s="43" t="s">
        <v>153</v>
      </c>
      <c r="C1366" s="43" t="s">
        <v>1575</v>
      </c>
      <c r="D1366" s="10">
        <v>61841</v>
      </c>
      <c r="E1366" s="43" t="s">
        <v>10</v>
      </c>
      <c r="F1366" s="8">
        <f>_xlfn.IFNA(INDEX('OSA | 3GB'!J:L,MATCH(DATA!D1366,'OSA | 3GB'!J:J,0),2),0)</f>
        <v>6</v>
      </c>
      <c r="G1366" s="8">
        <f>_xlfn.IFNA(INDEX('OSA | 3GB'!J:L,MATCH(DATA!D1366,'OSA | 3GB'!J:J,0),3),0)</f>
        <v>1403000</v>
      </c>
      <c r="H1366" s="32" t="str">
        <f>_xlfn.IFNA(INDEX('OSA | 3GB'!A:C,MATCH(DATA!D1366,'OSA | 3GB'!A:A,0),2),0)</f>
        <v xml:space="preserve"> -   </v>
      </c>
      <c r="I1366" s="33">
        <f>_xlfn.IFNA(INDEX('OSA | 3GB'!A:C,MATCH(DATA!D1366,'OSA | 3GB'!A:A,0),3),0)</f>
        <v>600000</v>
      </c>
      <c r="J1366" s="33">
        <f>INDEX('BIO WAHYU'!B:G,MATCH(DATA!D1366,'BIO WAHYU'!B:B,0),5)</f>
        <v>4</v>
      </c>
      <c r="K1366" s="34">
        <f>INDEX('BIO WAHYU'!B:G,MATCH(DATA!D1366,'BIO WAHYU'!B:B,0),6)</f>
        <v>0</v>
      </c>
      <c r="L1366" s="35">
        <f>INDEX('BIO WAHYU'!B:H,MATCH(DATA!D1366,'BIO WAHYU'!B:B,0),7)</f>
        <v>0</v>
      </c>
      <c r="M1366" s="34">
        <f>INDEX('BIO WAHYU'!B:H,MATCH(DATA!D1366,'BIO WAHYU'!B:B,0),4)</f>
        <v>0</v>
      </c>
    </row>
    <row r="1367" spans="1:13">
      <c r="A1367" s="43" t="s">
        <v>1672</v>
      </c>
      <c r="B1367" s="43" t="s">
        <v>156</v>
      </c>
      <c r="C1367" s="43" t="s">
        <v>1576</v>
      </c>
      <c r="D1367" s="10">
        <v>191791</v>
      </c>
      <c r="E1367" s="43" t="s">
        <v>23</v>
      </c>
      <c r="F1367" s="8">
        <f>_xlfn.IFNA(INDEX('OSA | 3GB'!J:L,MATCH(DATA!D1367,'OSA | 3GB'!J:J,0),2),0)</f>
        <v>1</v>
      </c>
      <c r="G1367" s="8">
        <f>_xlfn.IFNA(INDEX('OSA | 3GB'!J:L,MATCH(DATA!D1367,'OSA | 3GB'!J:J,0),3),0)</f>
        <v>14188122</v>
      </c>
      <c r="H1367" s="32">
        <f>_xlfn.IFNA(INDEX('OSA | 3GB'!A:C,MATCH(DATA!D1367,'OSA | 3GB'!A:A,0),2),0)</f>
        <v>47</v>
      </c>
      <c r="I1367" s="33">
        <f>_xlfn.IFNA(INDEX('OSA | 3GB'!A:C,MATCH(DATA!D1367,'OSA | 3GB'!A:A,0),3),0)</f>
        <v>7370000</v>
      </c>
      <c r="J1367" s="33">
        <f>INDEX('BIO WAHYU'!B:G,MATCH(DATA!D1367,'BIO WAHYU'!B:B,0),5)</f>
        <v>42</v>
      </c>
      <c r="K1367" s="34">
        <f>INDEX('BIO WAHYU'!B:G,MATCH(DATA!D1367,'BIO WAHYU'!B:B,0),6)</f>
        <v>25</v>
      </c>
      <c r="L1367" s="35">
        <f>INDEX('BIO WAHYU'!B:H,MATCH(DATA!D1367,'BIO WAHYU'!B:B,0),7)</f>
        <v>0</v>
      </c>
      <c r="M1367" s="34">
        <f>INDEX('BIO WAHYU'!B:H,MATCH(DATA!D1367,'BIO WAHYU'!B:B,0),4)</f>
        <v>0</v>
      </c>
    </row>
    <row r="1368" spans="1:13">
      <c r="A1368" s="43" t="s">
        <v>1673</v>
      </c>
      <c r="B1368" s="43" t="s">
        <v>144</v>
      </c>
      <c r="C1368" s="43" t="s">
        <v>211</v>
      </c>
      <c r="D1368" s="10">
        <v>12296292</v>
      </c>
      <c r="E1368" s="43" t="s">
        <v>15</v>
      </c>
      <c r="F1368" s="8">
        <f>_xlfn.IFNA(INDEX('OSA | 3GB'!J:L,MATCH(DATA!D1368,'OSA | 3GB'!J:J,0),2),0)</f>
        <v>0</v>
      </c>
      <c r="G1368" s="8">
        <f>_xlfn.IFNA(INDEX('OSA | 3GB'!J:L,MATCH(DATA!D1368,'OSA | 3GB'!J:J,0),3),0)</f>
        <v>0</v>
      </c>
      <c r="H1368" s="32" t="str">
        <f>_xlfn.IFNA(INDEX('OSA | 3GB'!A:C,MATCH(DATA!D1368,'OSA | 3GB'!A:A,0),2),0)</f>
        <v xml:space="preserve"> -   </v>
      </c>
      <c r="I1368" s="33" t="str">
        <f>_xlfn.IFNA(INDEX('OSA | 3GB'!A:C,MATCH(DATA!D1368,'OSA | 3GB'!A:A,0),3),0)</f>
        <v xml:space="preserve"> -   </v>
      </c>
      <c r="J1368" s="33">
        <f>INDEX('BIO WAHYU'!B:G,MATCH(DATA!D1368,'BIO WAHYU'!B:B,0),5)</f>
        <v>0</v>
      </c>
      <c r="K1368" s="34">
        <f>INDEX('BIO WAHYU'!B:G,MATCH(DATA!D1368,'BIO WAHYU'!B:B,0),6)</f>
        <v>0</v>
      </c>
      <c r="L1368" s="35">
        <f>INDEX('BIO WAHYU'!B:H,MATCH(DATA!D1368,'BIO WAHYU'!B:B,0),7)</f>
        <v>0</v>
      </c>
      <c r="M1368" s="34">
        <f>INDEX('BIO WAHYU'!B:H,MATCH(DATA!D1368,'BIO WAHYU'!B:B,0),4)</f>
        <v>0</v>
      </c>
    </row>
    <row r="1369" spans="1:13">
      <c r="A1369" s="43" t="s">
        <v>1670</v>
      </c>
      <c r="B1369" s="43">
        <v>2613052584</v>
      </c>
      <c r="C1369" s="43" t="s">
        <v>587</v>
      </c>
      <c r="D1369" s="10">
        <v>348418</v>
      </c>
      <c r="E1369" s="43" t="s">
        <v>10</v>
      </c>
      <c r="F1369" s="8">
        <f>_xlfn.IFNA(INDEX('OSA | 3GB'!J:L,MATCH(DATA!D1369,'OSA | 3GB'!J:J,0),2),0)</f>
        <v>3</v>
      </c>
      <c r="G1369" s="8">
        <f>_xlfn.IFNA(INDEX('OSA | 3GB'!J:L,MATCH(DATA!D1369,'OSA | 3GB'!J:J,0),3),0)</f>
        <v>358000</v>
      </c>
      <c r="H1369" s="32">
        <f>_xlfn.IFNA(INDEX('OSA | 3GB'!A:C,MATCH(DATA!D1369,'OSA | 3GB'!A:A,0),2),0)</f>
        <v>1</v>
      </c>
      <c r="I1369" s="33">
        <f>_xlfn.IFNA(INDEX('OSA | 3GB'!A:C,MATCH(DATA!D1369,'OSA | 3GB'!A:A,0),3),0)</f>
        <v>29000</v>
      </c>
      <c r="J1369" s="33">
        <f>INDEX('BIO WAHYU'!B:G,MATCH(DATA!D1369,'BIO WAHYU'!B:B,0),5)</f>
        <v>3</v>
      </c>
      <c r="K1369" s="34">
        <f>INDEX('BIO WAHYU'!B:G,MATCH(DATA!D1369,'BIO WAHYU'!B:B,0),6)</f>
        <v>1</v>
      </c>
      <c r="L1369" s="35">
        <f>INDEX('BIO WAHYU'!B:H,MATCH(DATA!D1369,'BIO WAHYU'!B:B,0),7)</f>
        <v>0</v>
      </c>
      <c r="M1369" s="34">
        <f>INDEX('BIO WAHYU'!B:H,MATCH(DATA!D1369,'BIO WAHYU'!B:B,0),4)</f>
        <v>0</v>
      </c>
    </row>
    <row r="1370" spans="1:13">
      <c r="A1370" s="43" t="s">
        <v>1673</v>
      </c>
      <c r="B1370" s="43" t="s">
        <v>158</v>
      </c>
      <c r="C1370" s="43" t="s">
        <v>1577</v>
      </c>
      <c r="D1370" s="10">
        <v>12319847</v>
      </c>
      <c r="E1370" s="43" t="s">
        <v>10</v>
      </c>
      <c r="F1370" s="8">
        <f>_xlfn.IFNA(INDEX('OSA | 3GB'!J:L,MATCH(DATA!D1370,'OSA | 3GB'!J:J,0),2),0)</f>
        <v>3</v>
      </c>
      <c r="G1370" s="8">
        <f>_xlfn.IFNA(INDEX('OSA | 3GB'!J:L,MATCH(DATA!D1370,'OSA | 3GB'!J:J,0),3),0)</f>
        <v>5000000</v>
      </c>
      <c r="H1370" s="32" t="str">
        <f>_xlfn.IFNA(INDEX('OSA | 3GB'!A:C,MATCH(DATA!D1370,'OSA | 3GB'!A:A,0),2),0)</f>
        <v xml:space="preserve"> -   </v>
      </c>
      <c r="I1370" s="33">
        <f>_xlfn.IFNA(INDEX('OSA | 3GB'!A:C,MATCH(DATA!D1370,'OSA | 3GB'!A:A,0),3),0)</f>
        <v>2400000</v>
      </c>
      <c r="J1370" s="33">
        <f>INDEX('BIO WAHYU'!B:G,MATCH(DATA!D1370,'BIO WAHYU'!B:B,0),5)</f>
        <v>6</v>
      </c>
      <c r="K1370" s="34">
        <f>INDEX('BIO WAHYU'!B:G,MATCH(DATA!D1370,'BIO WAHYU'!B:B,0),6)</f>
        <v>2</v>
      </c>
      <c r="L1370" s="35">
        <f>INDEX('BIO WAHYU'!B:H,MATCH(DATA!D1370,'BIO WAHYU'!B:B,0),7)</f>
        <v>0</v>
      </c>
      <c r="M1370" s="34">
        <f>INDEX('BIO WAHYU'!B:H,MATCH(DATA!D1370,'BIO WAHYU'!B:B,0),4)</f>
        <v>0</v>
      </c>
    </row>
    <row r="1371" spans="1:13">
      <c r="A1371" s="43" t="s">
        <v>1672</v>
      </c>
      <c r="B1371" s="43" t="s">
        <v>149</v>
      </c>
      <c r="C1371" s="43" t="s">
        <v>778</v>
      </c>
      <c r="D1371" s="10">
        <v>308739</v>
      </c>
      <c r="E1371" s="43" t="s">
        <v>10</v>
      </c>
      <c r="F1371" s="8">
        <f>_xlfn.IFNA(INDEX('OSA | 3GB'!J:L,MATCH(DATA!D1371,'OSA | 3GB'!J:J,0),2),0)</f>
        <v>5</v>
      </c>
      <c r="G1371" s="8">
        <f>_xlfn.IFNA(INDEX('OSA | 3GB'!J:L,MATCH(DATA!D1371,'OSA | 3GB'!J:J,0),3),0)</f>
        <v>3358000</v>
      </c>
      <c r="H1371" s="32">
        <f>_xlfn.IFNA(INDEX('OSA | 3GB'!A:C,MATCH(DATA!D1371,'OSA | 3GB'!A:A,0),2),0)</f>
        <v>4</v>
      </c>
      <c r="I1371" s="33">
        <f>_xlfn.IFNA(INDEX('OSA | 3GB'!A:C,MATCH(DATA!D1371,'OSA | 3GB'!A:A,0),3),0)</f>
        <v>1916000</v>
      </c>
      <c r="J1371" s="33">
        <f>INDEX('BIO WAHYU'!B:G,MATCH(DATA!D1371,'BIO WAHYU'!B:B,0),5)</f>
        <v>1</v>
      </c>
      <c r="K1371" s="34">
        <f>INDEX('BIO WAHYU'!B:G,MATCH(DATA!D1371,'BIO WAHYU'!B:B,0),6)</f>
        <v>0</v>
      </c>
      <c r="L1371" s="35">
        <f>INDEX('BIO WAHYU'!B:H,MATCH(DATA!D1371,'BIO WAHYU'!B:B,0),7)</f>
        <v>0</v>
      </c>
      <c r="M1371" s="34">
        <f>INDEX('BIO WAHYU'!B:H,MATCH(DATA!D1371,'BIO WAHYU'!B:B,0),4)</f>
        <v>0</v>
      </c>
    </row>
    <row r="1372" spans="1:13">
      <c r="A1372" s="43" t="s">
        <v>1672</v>
      </c>
      <c r="B1372" s="43" t="s">
        <v>149</v>
      </c>
      <c r="C1372" s="43" t="s">
        <v>762</v>
      </c>
      <c r="D1372" s="10">
        <v>115501</v>
      </c>
      <c r="E1372" s="43" t="s">
        <v>10</v>
      </c>
      <c r="F1372" s="8">
        <f>_xlfn.IFNA(INDEX('OSA | 3GB'!J:L,MATCH(DATA!D1372,'OSA | 3GB'!J:J,0),2),0)</f>
        <v>5</v>
      </c>
      <c r="G1372" s="8">
        <f>_xlfn.IFNA(INDEX('OSA | 3GB'!J:L,MATCH(DATA!D1372,'OSA | 3GB'!J:J,0),3),0)</f>
        <v>1974000</v>
      </c>
      <c r="H1372" s="32">
        <f>_xlfn.IFNA(INDEX('OSA | 3GB'!A:C,MATCH(DATA!D1372,'OSA | 3GB'!A:A,0),2),0)</f>
        <v>2</v>
      </c>
      <c r="I1372" s="33">
        <f>_xlfn.IFNA(INDEX('OSA | 3GB'!A:C,MATCH(DATA!D1372,'OSA | 3GB'!A:A,0),3),0)</f>
        <v>758000</v>
      </c>
      <c r="J1372" s="33">
        <f>INDEX('BIO WAHYU'!B:G,MATCH(DATA!D1372,'BIO WAHYU'!B:B,0),5)</f>
        <v>1</v>
      </c>
      <c r="K1372" s="34">
        <f>INDEX('BIO WAHYU'!B:G,MATCH(DATA!D1372,'BIO WAHYU'!B:B,0),6)</f>
        <v>0</v>
      </c>
      <c r="L1372" s="35">
        <f>INDEX('BIO WAHYU'!B:H,MATCH(DATA!D1372,'BIO WAHYU'!B:B,0),7)</f>
        <v>0</v>
      </c>
      <c r="M1372" s="34">
        <f>INDEX('BIO WAHYU'!B:H,MATCH(DATA!D1372,'BIO WAHYU'!B:B,0),4)</f>
        <v>0</v>
      </c>
    </row>
    <row r="1373" spans="1:13">
      <c r="A1373" s="43" t="s">
        <v>1672</v>
      </c>
      <c r="B1373" s="43" t="s">
        <v>156</v>
      </c>
      <c r="C1373" s="43" t="s">
        <v>996</v>
      </c>
      <c r="D1373" s="10">
        <v>489150</v>
      </c>
      <c r="E1373" s="43" t="s">
        <v>10</v>
      </c>
      <c r="F1373" s="8">
        <f>_xlfn.IFNA(INDEX('OSA | 3GB'!J:L,MATCH(DATA!D1373,'OSA | 3GB'!J:J,0),2),0)</f>
        <v>1</v>
      </c>
      <c r="G1373" s="8">
        <f>_xlfn.IFNA(INDEX('OSA | 3GB'!J:L,MATCH(DATA!D1373,'OSA | 3GB'!J:J,0),3),0)</f>
        <v>400000</v>
      </c>
      <c r="H1373" s="32">
        <f>_xlfn.IFNA(INDEX('OSA | 3GB'!A:C,MATCH(DATA!D1373,'OSA | 3GB'!A:A,0),2),0)</f>
        <v>3</v>
      </c>
      <c r="I1373" s="33">
        <f>_xlfn.IFNA(INDEX('OSA | 3GB'!A:C,MATCH(DATA!D1373,'OSA | 3GB'!A:A,0),3),0)</f>
        <v>100000</v>
      </c>
      <c r="J1373" s="33">
        <f>INDEX('BIO WAHYU'!B:G,MATCH(DATA!D1373,'BIO WAHYU'!B:B,0),5)</f>
        <v>1</v>
      </c>
      <c r="K1373" s="34">
        <f>INDEX('BIO WAHYU'!B:G,MATCH(DATA!D1373,'BIO WAHYU'!B:B,0),6)</f>
        <v>0</v>
      </c>
      <c r="L1373" s="35">
        <f>INDEX('BIO WAHYU'!B:H,MATCH(DATA!D1373,'BIO WAHYU'!B:B,0),7)</f>
        <v>0</v>
      </c>
      <c r="M1373" s="34">
        <f>INDEX('BIO WAHYU'!B:H,MATCH(DATA!D1373,'BIO WAHYU'!B:B,0),4)</f>
        <v>0</v>
      </c>
    </row>
    <row r="1374" spans="1:13">
      <c r="A1374" s="43" t="s">
        <v>1670</v>
      </c>
      <c r="B1374" s="43" t="s">
        <v>140</v>
      </c>
      <c r="C1374" s="43" t="s">
        <v>470</v>
      </c>
      <c r="D1374" s="10">
        <v>385492</v>
      </c>
      <c r="E1374" s="43" t="s">
        <v>10</v>
      </c>
      <c r="F1374" s="8">
        <f>_xlfn.IFNA(INDEX('OSA | 3GB'!J:L,MATCH(DATA!D1374,'OSA | 3GB'!J:J,0),2),0)</f>
        <v>0</v>
      </c>
      <c r="G1374" s="8">
        <f>_xlfn.IFNA(INDEX('OSA | 3GB'!J:L,MATCH(DATA!D1374,'OSA | 3GB'!J:J,0),3),0)</f>
        <v>600000</v>
      </c>
      <c r="H1374" s="32" t="str">
        <f>_xlfn.IFNA(INDEX('OSA | 3GB'!A:C,MATCH(DATA!D1374,'OSA | 3GB'!A:A,0),2),0)</f>
        <v xml:space="preserve"> -   </v>
      </c>
      <c r="I1374" s="33">
        <f>_xlfn.IFNA(INDEX('OSA | 3GB'!A:C,MATCH(DATA!D1374,'OSA | 3GB'!A:A,0),3),0)</f>
        <v>300000</v>
      </c>
      <c r="J1374" s="33">
        <f>INDEX('BIO WAHYU'!B:G,MATCH(DATA!D1374,'BIO WAHYU'!B:B,0),5)</f>
        <v>1</v>
      </c>
      <c r="K1374" s="34">
        <f>INDEX('BIO WAHYU'!B:G,MATCH(DATA!D1374,'BIO WAHYU'!B:B,0),6)</f>
        <v>1</v>
      </c>
      <c r="L1374" s="35">
        <f>INDEX('BIO WAHYU'!B:H,MATCH(DATA!D1374,'BIO WAHYU'!B:B,0),7)</f>
        <v>0</v>
      </c>
      <c r="M1374" s="34">
        <f>INDEX('BIO WAHYU'!B:H,MATCH(DATA!D1374,'BIO WAHYU'!B:B,0),4)</f>
        <v>0</v>
      </c>
    </row>
    <row r="1375" spans="1:13">
      <c r="A1375" s="43" t="s">
        <v>1671</v>
      </c>
      <c r="B1375" s="43">
        <v>2613050885</v>
      </c>
      <c r="C1375" s="43" t="s">
        <v>312</v>
      </c>
      <c r="D1375" s="10">
        <v>62277</v>
      </c>
      <c r="E1375" s="43" t="s">
        <v>23</v>
      </c>
      <c r="F1375" s="8">
        <f>_xlfn.IFNA(INDEX('OSA | 3GB'!J:L,MATCH(DATA!D1375,'OSA | 3GB'!J:J,0),2),0)</f>
        <v>371</v>
      </c>
      <c r="G1375" s="8">
        <f>_xlfn.IFNA(INDEX('OSA | 3GB'!J:L,MATCH(DATA!D1375,'OSA | 3GB'!J:J,0),3),0)</f>
        <v>10414000</v>
      </c>
      <c r="H1375" s="32">
        <f>_xlfn.IFNA(INDEX('OSA | 3GB'!A:C,MATCH(DATA!D1375,'OSA | 3GB'!A:A,0),2),0)</f>
        <v>415</v>
      </c>
      <c r="I1375" s="33">
        <f>_xlfn.IFNA(INDEX('OSA | 3GB'!A:C,MATCH(DATA!D1375,'OSA | 3GB'!A:A,0),3),0)</f>
        <v>6020000</v>
      </c>
      <c r="J1375" s="33">
        <f>INDEX('BIO WAHYU'!B:G,MATCH(DATA!D1375,'BIO WAHYU'!B:B,0),5)</f>
        <v>15</v>
      </c>
      <c r="K1375" s="34">
        <f>INDEX('BIO WAHYU'!B:G,MATCH(DATA!D1375,'BIO WAHYU'!B:B,0),6)</f>
        <v>30</v>
      </c>
      <c r="L1375" s="35">
        <f>INDEX('BIO WAHYU'!B:H,MATCH(DATA!D1375,'BIO WAHYU'!B:B,0),7)</f>
        <v>15</v>
      </c>
      <c r="M1375" s="34">
        <f>INDEX('BIO WAHYU'!B:H,MATCH(DATA!D1375,'BIO WAHYU'!B:B,0),4)</f>
        <v>1</v>
      </c>
    </row>
    <row r="1376" spans="1:13">
      <c r="A1376" s="43" t="s">
        <v>1671</v>
      </c>
      <c r="B1376" s="43" t="s">
        <v>142</v>
      </c>
      <c r="C1376" s="43" t="s">
        <v>371</v>
      </c>
      <c r="D1376" s="10">
        <v>547291</v>
      </c>
      <c r="E1376" s="43" t="s">
        <v>10</v>
      </c>
      <c r="F1376" s="8">
        <f>_xlfn.IFNA(INDEX('OSA | 3GB'!J:L,MATCH(DATA!D1376,'OSA | 3GB'!J:J,0),2),0)</f>
        <v>8</v>
      </c>
      <c r="G1376" s="8">
        <f>_xlfn.IFNA(INDEX('OSA | 3GB'!J:L,MATCH(DATA!D1376,'OSA | 3GB'!J:J,0),3),0)</f>
        <v>9137000</v>
      </c>
      <c r="H1376" s="32">
        <f>_xlfn.IFNA(INDEX('OSA | 3GB'!A:C,MATCH(DATA!D1376,'OSA | 3GB'!A:A,0),2),0)</f>
        <v>70</v>
      </c>
      <c r="I1376" s="33">
        <f>_xlfn.IFNA(INDEX('OSA | 3GB'!A:C,MATCH(DATA!D1376,'OSA | 3GB'!A:A,0),3),0)</f>
        <v>1387000</v>
      </c>
      <c r="J1376" s="33">
        <f>INDEX('BIO WAHYU'!B:G,MATCH(DATA!D1376,'BIO WAHYU'!B:B,0),5)</f>
        <v>2</v>
      </c>
      <c r="K1376" s="34">
        <f>INDEX('BIO WAHYU'!B:G,MATCH(DATA!D1376,'BIO WAHYU'!B:B,0),6)</f>
        <v>5</v>
      </c>
      <c r="L1376" s="35">
        <f>INDEX('BIO WAHYU'!B:H,MATCH(DATA!D1376,'BIO WAHYU'!B:B,0),7)</f>
        <v>3</v>
      </c>
      <c r="M1376" s="34">
        <f>INDEX('BIO WAHYU'!B:H,MATCH(DATA!D1376,'BIO WAHYU'!B:B,0),4)</f>
        <v>0</v>
      </c>
    </row>
    <row r="1377" spans="1:13">
      <c r="A1377" s="43" t="s">
        <v>1670</v>
      </c>
      <c r="B1377" s="43" t="s">
        <v>145</v>
      </c>
      <c r="C1377" s="43" t="s">
        <v>510</v>
      </c>
      <c r="D1377" s="10">
        <v>452333</v>
      </c>
      <c r="E1377" s="43" t="s">
        <v>15</v>
      </c>
      <c r="F1377" s="8">
        <f>_xlfn.IFNA(INDEX('OSA | 3GB'!J:L,MATCH(DATA!D1377,'OSA | 3GB'!J:J,0),2),0)</f>
        <v>6</v>
      </c>
      <c r="G1377" s="8">
        <f>_xlfn.IFNA(INDEX('OSA | 3GB'!J:L,MATCH(DATA!D1377,'OSA | 3GB'!J:J,0),3),0)</f>
        <v>300000</v>
      </c>
      <c r="H1377" s="32">
        <f>_xlfn.IFNA(INDEX('OSA | 3GB'!A:C,MATCH(DATA!D1377,'OSA | 3GB'!A:A,0),2),0)</f>
        <v>3</v>
      </c>
      <c r="I1377" s="33" t="str">
        <f>_xlfn.IFNA(INDEX('OSA | 3GB'!A:C,MATCH(DATA!D1377,'OSA | 3GB'!A:A,0),3),0)</f>
        <v xml:space="preserve"> -   </v>
      </c>
      <c r="J1377" s="33">
        <f>INDEX('BIO WAHYU'!B:G,MATCH(DATA!D1377,'BIO WAHYU'!B:B,0),5)</f>
        <v>3</v>
      </c>
      <c r="K1377" s="34">
        <f>INDEX('BIO WAHYU'!B:G,MATCH(DATA!D1377,'BIO WAHYU'!B:B,0),6)</f>
        <v>0</v>
      </c>
      <c r="L1377" s="35">
        <f>INDEX('BIO WAHYU'!B:H,MATCH(DATA!D1377,'BIO WAHYU'!B:B,0),7)</f>
        <v>0</v>
      </c>
      <c r="M1377" s="34">
        <f>INDEX('BIO WAHYU'!B:H,MATCH(DATA!D1377,'BIO WAHYU'!B:B,0),4)</f>
        <v>0</v>
      </c>
    </row>
    <row r="1378" spans="1:13">
      <c r="A1378" s="43" t="s">
        <v>1673</v>
      </c>
      <c r="B1378" s="43" t="s">
        <v>1136</v>
      </c>
      <c r="C1378" s="43" t="s">
        <v>1578</v>
      </c>
      <c r="D1378" s="10">
        <v>345394</v>
      </c>
      <c r="E1378" s="43" t="s">
        <v>15</v>
      </c>
      <c r="F1378" s="8">
        <f>_xlfn.IFNA(INDEX('OSA | 3GB'!J:L,MATCH(DATA!D1378,'OSA | 3GB'!J:J,0),2),0)</f>
        <v>0</v>
      </c>
      <c r="G1378" s="8">
        <f>_xlfn.IFNA(INDEX('OSA | 3GB'!J:L,MATCH(DATA!D1378,'OSA | 3GB'!J:J,0),3),0)</f>
        <v>200000</v>
      </c>
      <c r="H1378" s="32" t="str">
        <f>_xlfn.IFNA(INDEX('OSA | 3GB'!A:C,MATCH(DATA!D1378,'OSA | 3GB'!A:A,0),2),0)</f>
        <v xml:space="preserve"> -   </v>
      </c>
      <c r="I1378" s="33">
        <f>_xlfn.IFNA(INDEX('OSA | 3GB'!A:C,MATCH(DATA!D1378,'OSA | 3GB'!A:A,0),3),0)</f>
        <v>500000</v>
      </c>
      <c r="J1378" s="33">
        <f>INDEX('BIO WAHYU'!B:G,MATCH(DATA!D1378,'BIO WAHYU'!B:B,0),5)</f>
        <v>2</v>
      </c>
      <c r="K1378" s="34">
        <f>INDEX('BIO WAHYU'!B:G,MATCH(DATA!D1378,'BIO WAHYU'!B:B,0),6)</f>
        <v>0</v>
      </c>
      <c r="L1378" s="35">
        <f>INDEX('BIO WAHYU'!B:H,MATCH(DATA!D1378,'BIO WAHYU'!B:B,0),7)</f>
        <v>0</v>
      </c>
      <c r="M1378" s="34">
        <f>INDEX('BIO WAHYU'!B:H,MATCH(DATA!D1378,'BIO WAHYU'!B:B,0),4)</f>
        <v>0</v>
      </c>
    </row>
    <row r="1379" spans="1:13">
      <c r="A1379" s="43" t="s">
        <v>1673</v>
      </c>
      <c r="B1379" s="43" t="s">
        <v>143</v>
      </c>
      <c r="C1379" s="43" t="s">
        <v>1579</v>
      </c>
      <c r="D1379" s="10">
        <v>489935</v>
      </c>
      <c r="E1379" s="43" t="s">
        <v>10</v>
      </c>
      <c r="F1379" s="8">
        <f>_xlfn.IFNA(INDEX('OSA | 3GB'!J:L,MATCH(DATA!D1379,'OSA | 3GB'!J:J,0),2),0)</f>
        <v>0</v>
      </c>
      <c r="G1379" s="8">
        <f>_xlfn.IFNA(INDEX('OSA | 3GB'!J:L,MATCH(DATA!D1379,'OSA | 3GB'!J:J,0),3),0)</f>
        <v>176000000</v>
      </c>
      <c r="H1379" s="32" t="str">
        <f>_xlfn.IFNA(INDEX('OSA | 3GB'!A:C,MATCH(DATA!D1379,'OSA | 3GB'!A:A,0),2),0)</f>
        <v xml:space="preserve"> -   </v>
      </c>
      <c r="I1379" s="33">
        <f>_xlfn.IFNA(INDEX('OSA | 3GB'!A:C,MATCH(DATA!D1379,'OSA | 3GB'!A:A,0),3),0)</f>
        <v>78000000</v>
      </c>
      <c r="J1379" s="33">
        <f>INDEX('BIO WAHYU'!B:G,MATCH(DATA!D1379,'BIO WAHYU'!B:B,0),5)</f>
        <v>0</v>
      </c>
      <c r="K1379" s="34">
        <f>INDEX('BIO WAHYU'!B:G,MATCH(DATA!D1379,'BIO WAHYU'!B:B,0),6)</f>
        <v>0</v>
      </c>
      <c r="L1379" s="35">
        <f>INDEX('BIO WAHYU'!B:H,MATCH(DATA!D1379,'BIO WAHYU'!B:B,0),7)</f>
        <v>0</v>
      </c>
      <c r="M1379" s="34">
        <f>INDEX('BIO WAHYU'!B:H,MATCH(DATA!D1379,'BIO WAHYU'!B:B,0),4)</f>
        <v>0</v>
      </c>
    </row>
    <row r="1380" spans="1:13">
      <c r="A1380" s="43" t="s">
        <v>1673</v>
      </c>
      <c r="B1380" s="43" t="s">
        <v>143</v>
      </c>
      <c r="C1380" s="43" t="s">
        <v>261</v>
      </c>
      <c r="D1380" s="10">
        <v>414586</v>
      </c>
      <c r="E1380" s="43" t="s">
        <v>10</v>
      </c>
      <c r="F1380" s="8">
        <f>_xlfn.IFNA(INDEX('OSA | 3GB'!J:L,MATCH(DATA!D1380,'OSA | 3GB'!J:J,0),2),0)</f>
        <v>4</v>
      </c>
      <c r="G1380" s="8">
        <f>_xlfn.IFNA(INDEX('OSA | 3GB'!J:L,MATCH(DATA!D1380,'OSA | 3GB'!J:J,0),3),0)</f>
        <v>3158000</v>
      </c>
      <c r="H1380" s="32" t="str">
        <f>_xlfn.IFNA(INDEX('OSA | 3GB'!A:C,MATCH(DATA!D1380,'OSA | 3GB'!A:A,0),2),0)</f>
        <v xml:space="preserve"> -   </v>
      </c>
      <c r="I1380" s="33">
        <f>_xlfn.IFNA(INDEX('OSA | 3GB'!A:C,MATCH(DATA!D1380,'OSA | 3GB'!A:A,0),3),0)</f>
        <v>1250000</v>
      </c>
      <c r="J1380" s="33">
        <f>INDEX('BIO WAHYU'!B:G,MATCH(DATA!D1380,'BIO WAHYU'!B:B,0),5)</f>
        <v>4</v>
      </c>
      <c r="K1380" s="34">
        <f>INDEX('BIO WAHYU'!B:G,MATCH(DATA!D1380,'BIO WAHYU'!B:B,0),6)</f>
        <v>0</v>
      </c>
      <c r="L1380" s="35">
        <f>INDEX('BIO WAHYU'!B:H,MATCH(DATA!D1380,'BIO WAHYU'!B:B,0),7)</f>
        <v>0</v>
      </c>
      <c r="M1380" s="34">
        <f>INDEX('BIO WAHYU'!B:H,MATCH(DATA!D1380,'BIO WAHYU'!B:B,0),4)</f>
        <v>0</v>
      </c>
    </row>
    <row r="1381" spans="1:13">
      <c r="A1381" s="43" t="s">
        <v>1671</v>
      </c>
      <c r="B1381" s="43">
        <v>2613050886</v>
      </c>
      <c r="C1381" s="43" t="s">
        <v>1580</v>
      </c>
      <c r="D1381" s="10">
        <v>516126</v>
      </c>
      <c r="E1381" s="43" t="s">
        <v>15</v>
      </c>
      <c r="F1381" s="8">
        <f>_xlfn.IFNA(INDEX('OSA | 3GB'!J:L,MATCH(DATA!D1381,'OSA | 3GB'!J:J,0),2),0)</f>
        <v>3</v>
      </c>
      <c r="G1381" s="8">
        <f>_xlfn.IFNA(INDEX('OSA | 3GB'!J:L,MATCH(DATA!D1381,'OSA | 3GB'!J:J,0),3),0)</f>
        <v>4000000</v>
      </c>
      <c r="H1381" s="32" t="str">
        <f>_xlfn.IFNA(INDEX('OSA | 3GB'!A:C,MATCH(DATA!D1381,'OSA | 3GB'!A:A,0),2),0)</f>
        <v xml:space="preserve"> -   </v>
      </c>
      <c r="I1381" s="33" t="str">
        <f>_xlfn.IFNA(INDEX('OSA | 3GB'!A:C,MATCH(DATA!D1381,'OSA | 3GB'!A:A,0),3),0)</f>
        <v xml:space="preserve"> -   </v>
      </c>
      <c r="J1381" s="33">
        <f>INDEX('BIO WAHYU'!B:G,MATCH(DATA!D1381,'BIO WAHYU'!B:B,0),5)</f>
        <v>2</v>
      </c>
      <c r="K1381" s="34">
        <f>INDEX('BIO WAHYU'!B:G,MATCH(DATA!D1381,'BIO WAHYU'!B:B,0),6)</f>
        <v>2</v>
      </c>
      <c r="L1381" s="35">
        <f>INDEX('BIO WAHYU'!B:H,MATCH(DATA!D1381,'BIO WAHYU'!B:B,0),7)</f>
        <v>0</v>
      </c>
      <c r="M1381" s="34">
        <f>INDEX('BIO WAHYU'!B:H,MATCH(DATA!D1381,'BIO WAHYU'!B:B,0),4)</f>
        <v>0</v>
      </c>
    </row>
    <row r="1382" spans="1:13">
      <c r="A1382" s="43" t="s">
        <v>1673</v>
      </c>
      <c r="B1382" s="43" t="s">
        <v>143</v>
      </c>
      <c r="C1382" s="43" t="s">
        <v>270</v>
      </c>
      <c r="D1382" s="10">
        <v>524858</v>
      </c>
      <c r="E1382" s="43" t="s">
        <v>10</v>
      </c>
      <c r="F1382" s="8">
        <f>_xlfn.IFNA(INDEX('OSA | 3GB'!J:L,MATCH(DATA!D1382,'OSA | 3GB'!J:J,0),2),0)</f>
        <v>4</v>
      </c>
      <c r="G1382" s="8">
        <f>_xlfn.IFNA(INDEX('OSA | 3GB'!J:L,MATCH(DATA!D1382,'OSA | 3GB'!J:J,0),3),0)</f>
        <v>1308000</v>
      </c>
      <c r="H1382" s="32">
        <f>_xlfn.IFNA(INDEX('OSA | 3GB'!A:C,MATCH(DATA!D1382,'OSA | 3GB'!A:A,0),2),0)</f>
        <v>2</v>
      </c>
      <c r="I1382" s="33">
        <f>_xlfn.IFNA(INDEX('OSA | 3GB'!A:C,MATCH(DATA!D1382,'OSA | 3GB'!A:A,0),3),0)</f>
        <v>450000</v>
      </c>
      <c r="J1382" s="33">
        <f>INDEX('BIO WAHYU'!B:G,MATCH(DATA!D1382,'BIO WAHYU'!B:B,0),5)</f>
        <v>4</v>
      </c>
      <c r="K1382" s="34">
        <f>INDEX('BIO WAHYU'!B:G,MATCH(DATA!D1382,'BIO WAHYU'!B:B,0),6)</f>
        <v>1</v>
      </c>
      <c r="L1382" s="35">
        <f>INDEX('BIO WAHYU'!B:H,MATCH(DATA!D1382,'BIO WAHYU'!B:B,0),7)</f>
        <v>0</v>
      </c>
      <c r="M1382" s="34">
        <f>INDEX('BIO WAHYU'!B:H,MATCH(DATA!D1382,'BIO WAHYU'!B:B,0),4)</f>
        <v>0</v>
      </c>
    </row>
    <row r="1383" spans="1:13">
      <c r="A1383" s="43" t="s">
        <v>1674</v>
      </c>
      <c r="B1383" s="43" t="s">
        <v>147</v>
      </c>
      <c r="C1383" s="43" t="s">
        <v>599</v>
      </c>
      <c r="D1383" s="10">
        <v>199072</v>
      </c>
      <c r="E1383" s="43" t="s">
        <v>10</v>
      </c>
      <c r="F1383" s="8">
        <f>_xlfn.IFNA(INDEX('OSA | 3GB'!J:L,MATCH(DATA!D1383,'OSA | 3GB'!J:J,0),2),0)</f>
        <v>1</v>
      </c>
      <c r="G1383" s="8">
        <f>_xlfn.IFNA(INDEX('OSA | 3GB'!J:L,MATCH(DATA!D1383,'OSA | 3GB'!J:J,0),3),0)</f>
        <v>1550000</v>
      </c>
      <c r="H1383" s="32" t="str">
        <f>_xlfn.IFNA(INDEX('OSA | 3GB'!A:C,MATCH(DATA!D1383,'OSA | 3GB'!A:A,0),2),0)</f>
        <v xml:space="preserve"> -   </v>
      </c>
      <c r="I1383" s="33">
        <f>_xlfn.IFNA(INDEX('OSA | 3GB'!A:C,MATCH(DATA!D1383,'OSA | 3GB'!A:A,0),3),0)</f>
        <v>550000</v>
      </c>
      <c r="J1383" s="33">
        <f>INDEX('BIO WAHYU'!B:G,MATCH(DATA!D1383,'BIO WAHYU'!B:B,0),5)</f>
        <v>5</v>
      </c>
      <c r="K1383" s="34">
        <f>INDEX('BIO WAHYU'!B:G,MATCH(DATA!D1383,'BIO WAHYU'!B:B,0),6)</f>
        <v>3</v>
      </c>
      <c r="L1383" s="35">
        <f>INDEX('BIO WAHYU'!B:H,MATCH(DATA!D1383,'BIO WAHYU'!B:B,0),7)</f>
        <v>0</v>
      </c>
      <c r="M1383" s="34">
        <f>INDEX('BIO WAHYU'!B:H,MATCH(DATA!D1383,'BIO WAHYU'!B:B,0),4)</f>
        <v>0</v>
      </c>
    </row>
    <row r="1384" spans="1:13">
      <c r="A1384" s="43" t="s">
        <v>1672</v>
      </c>
      <c r="B1384" s="43" t="s">
        <v>157</v>
      </c>
      <c r="C1384" s="43" t="s">
        <v>1041</v>
      </c>
      <c r="D1384" s="10">
        <v>346894</v>
      </c>
      <c r="E1384" s="43" t="s">
        <v>15</v>
      </c>
      <c r="F1384" s="8">
        <f>_xlfn.IFNA(INDEX('OSA | 3GB'!J:L,MATCH(DATA!D1384,'OSA | 3GB'!J:J,0),2),0)</f>
        <v>0</v>
      </c>
      <c r="G1384" s="8">
        <f>_xlfn.IFNA(INDEX('OSA | 3GB'!J:L,MATCH(DATA!D1384,'OSA | 3GB'!J:J,0),3),0)</f>
        <v>50000</v>
      </c>
      <c r="H1384" s="32" t="str">
        <f>_xlfn.IFNA(INDEX('OSA | 3GB'!A:C,MATCH(DATA!D1384,'OSA | 3GB'!A:A,0),2),0)</f>
        <v xml:space="preserve"> -   </v>
      </c>
      <c r="I1384" s="33" t="str">
        <f>_xlfn.IFNA(INDEX('OSA | 3GB'!A:C,MATCH(DATA!D1384,'OSA | 3GB'!A:A,0),3),0)</f>
        <v xml:space="preserve"> -   </v>
      </c>
      <c r="J1384" s="33">
        <f>INDEX('BIO WAHYU'!B:G,MATCH(DATA!D1384,'BIO WAHYU'!B:B,0),5)</f>
        <v>0</v>
      </c>
      <c r="K1384" s="34">
        <f>INDEX('BIO WAHYU'!B:G,MATCH(DATA!D1384,'BIO WAHYU'!B:B,0),6)</f>
        <v>0</v>
      </c>
      <c r="L1384" s="35">
        <f>INDEX('BIO WAHYU'!B:H,MATCH(DATA!D1384,'BIO WAHYU'!B:B,0),7)</f>
        <v>0</v>
      </c>
      <c r="M1384" s="34">
        <f>INDEX('BIO WAHYU'!B:H,MATCH(DATA!D1384,'BIO WAHYU'!B:B,0),4)</f>
        <v>0</v>
      </c>
    </row>
    <row r="1385" spans="1:13">
      <c r="A1385" s="43" t="s">
        <v>1672</v>
      </c>
      <c r="B1385" s="43" t="s">
        <v>155</v>
      </c>
      <c r="C1385" s="43" t="s">
        <v>1581</v>
      </c>
      <c r="D1385" s="10">
        <v>292486</v>
      </c>
      <c r="E1385" s="43" t="s">
        <v>10</v>
      </c>
      <c r="F1385" s="8">
        <f>_xlfn.IFNA(INDEX('OSA | 3GB'!J:L,MATCH(DATA!D1385,'OSA | 3GB'!J:J,0),2),0)</f>
        <v>3</v>
      </c>
      <c r="G1385" s="8">
        <f>_xlfn.IFNA(INDEX('OSA | 3GB'!J:L,MATCH(DATA!D1385,'OSA | 3GB'!J:J,0),3),0)</f>
        <v>3412000</v>
      </c>
      <c r="H1385" s="32">
        <f>_xlfn.IFNA(INDEX('OSA | 3GB'!A:C,MATCH(DATA!D1385,'OSA | 3GB'!A:A,0),2),0)</f>
        <v>3</v>
      </c>
      <c r="I1385" s="33">
        <f>_xlfn.IFNA(INDEX('OSA | 3GB'!A:C,MATCH(DATA!D1385,'OSA | 3GB'!A:A,0),3),0)</f>
        <v>2900000</v>
      </c>
      <c r="J1385" s="33">
        <f>INDEX('BIO WAHYU'!B:G,MATCH(DATA!D1385,'BIO WAHYU'!B:B,0),5)</f>
        <v>6</v>
      </c>
      <c r="K1385" s="34">
        <f>INDEX('BIO WAHYU'!B:G,MATCH(DATA!D1385,'BIO WAHYU'!B:B,0),6)</f>
        <v>6</v>
      </c>
      <c r="L1385" s="35">
        <f>INDEX('BIO WAHYU'!B:H,MATCH(DATA!D1385,'BIO WAHYU'!B:B,0),7)</f>
        <v>0</v>
      </c>
      <c r="M1385" s="34">
        <f>INDEX('BIO WAHYU'!B:H,MATCH(DATA!D1385,'BIO WAHYU'!B:B,0),4)</f>
        <v>0</v>
      </c>
    </row>
    <row r="1386" spans="1:13">
      <c r="A1386" s="43" t="s">
        <v>1672</v>
      </c>
      <c r="B1386" s="43" t="s">
        <v>150</v>
      </c>
      <c r="C1386" s="43" t="s">
        <v>815</v>
      </c>
      <c r="D1386" s="10">
        <v>246587</v>
      </c>
      <c r="E1386" s="43" t="s">
        <v>10</v>
      </c>
      <c r="F1386" s="8">
        <f>_xlfn.IFNA(INDEX('OSA | 3GB'!J:L,MATCH(DATA!D1386,'OSA | 3GB'!J:J,0),2),0)</f>
        <v>4</v>
      </c>
      <c r="G1386" s="8">
        <f>_xlfn.IFNA(INDEX('OSA | 3GB'!J:L,MATCH(DATA!D1386,'OSA | 3GB'!J:J,0),3),0)</f>
        <v>2200000</v>
      </c>
      <c r="H1386" s="32" t="str">
        <f>_xlfn.IFNA(INDEX('OSA | 3GB'!A:C,MATCH(DATA!D1386,'OSA | 3GB'!A:A,0),2),0)</f>
        <v xml:space="preserve"> -   </v>
      </c>
      <c r="I1386" s="33">
        <f>_xlfn.IFNA(INDEX('OSA | 3GB'!A:C,MATCH(DATA!D1386,'OSA | 3GB'!A:A,0),3),0)</f>
        <v>800000</v>
      </c>
      <c r="J1386" s="33">
        <f>INDEX('BIO WAHYU'!B:G,MATCH(DATA!D1386,'BIO WAHYU'!B:B,0),5)</f>
        <v>2</v>
      </c>
      <c r="K1386" s="34">
        <f>INDEX('BIO WAHYU'!B:G,MATCH(DATA!D1386,'BIO WAHYU'!B:B,0),6)</f>
        <v>0</v>
      </c>
      <c r="L1386" s="35">
        <f>INDEX('BIO WAHYU'!B:H,MATCH(DATA!D1386,'BIO WAHYU'!B:B,0),7)</f>
        <v>0</v>
      </c>
      <c r="M1386" s="34">
        <f>INDEX('BIO WAHYU'!B:H,MATCH(DATA!D1386,'BIO WAHYU'!B:B,0),4)</f>
        <v>0</v>
      </c>
    </row>
    <row r="1387" spans="1:13">
      <c r="A1387" s="43" t="s">
        <v>1672</v>
      </c>
      <c r="B1387" s="43" t="s">
        <v>151</v>
      </c>
      <c r="C1387" s="43" t="s">
        <v>1582</v>
      </c>
      <c r="D1387" s="10">
        <v>63853</v>
      </c>
      <c r="E1387" s="43" t="s">
        <v>10</v>
      </c>
      <c r="F1387" s="8">
        <f>_xlfn.IFNA(INDEX('OSA | 3GB'!J:L,MATCH(DATA!D1387,'OSA | 3GB'!J:J,0),2),0)</f>
        <v>5</v>
      </c>
      <c r="G1387" s="8">
        <f>_xlfn.IFNA(INDEX('OSA | 3GB'!J:L,MATCH(DATA!D1387,'OSA | 3GB'!J:J,0),3),0)</f>
        <v>7000000</v>
      </c>
      <c r="H1387" s="32">
        <f>_xlfn.IFNA(INDEX('OSA | 3GB'!A:C,MATCH(DATA!D1387,'OSA | 3GB'!A:A,0),2),0)</f>
        <v>3</v>
      </c>
      <c r="I1387" s="33">
        <f>_xlfn.IFNA(INDEX('OSA | 3GB'!A:C,MATCH(DATA!D1387,'OSA | 3GB'!A:A,0),3),0)</f>
        <v>1087000</v>
      </c>
      <c r="J1387" s="33">
        <f>INDEX('BIO WAHYU'!B:G,MATCH(DATA!D1387,'BIO WAHYU'!B:B,0),5)</f>
        <v>0</v>
      </c>
      <c r="K1387" s="34">
        <f>INDEX('BIO WAHYU'!B:G,MATCH(DATA!D1387,'BIO WAHYU'!B:B,0),6)</f>
        <v>2</v>
      </c>
      <c r="L1387" s="35">
        <f>INDEX('BIO WAHYU'!B:H,MATCH(DATA!D1387,'BIO WAHYU'!B:B,0),7)</f>
        <v>2</v>
      </c>
      <c r="M1387" s="34">
        <f>INDEX('BIO WAHYU'!B:H,MATCH(DATA!D1387,'BIO WAHYU'!B:B,0),4)</f>
        <v>0</v>
      </c>
    </row>
    <row r="1388" spans="1:13">
      <c r="A1388" s="43" t="s">
        <v>1673</v>
      </c>
      <c r="B1388" s="43" t="s">
        <v>1136</v>
      </c>
      <c r="C1388" s="43" t="s">
        <v>1583</v>
      </c>
      <c r="D1388" s="10">
        <v>366718</v>
      </c>
      <c r="E1388" s="43" t="s">
        <v>23</v>
      </c>
      <c r="F1388" s="8">
        <f>_xlfn.IFNA(INDEX('OSA | 3GB'!J:L,MATCH(DATA!D1388,'OSA | 3GB'!J:J,0),2),0)</f>
        <v>31</v>
      </c>
      <c r="G1388" s="8">
        <f>_xlfn.IFNA(INDEX('OSA | 3GB'!J:L,MATCH(DATA!D1388,'OSA | 3GB'!J:J,0),3),0)</f>
        <v>50320000</v>
      </c>
      <c r="H1388" s="32" t="str">
        <f>_xlfn.IFNA(INDEX('OSA | 3GB'!A:C,MATCH(DATA!D1388,'OSA | 3GB'!A:A,0),2),0)</f>
        <v xml:space="preserve"> -   </v>
      </c>
      <c r="I1388" s="33">
        <f>_xlfn.IFNA(INDEX('OSA | 3GB'!A:C,MATCH(DATA!D1388,'OSA | 3GB'!A:A,0),3),0)</f>
        <v>15988911</v>
      </c>
      <c r="J1388" s="33">
        <f>INDEX('BIO WAHYU'!B:G,MATCH(DATA!D1388,'BIO WAHYU'!B:B,0),5)</f>
        <v>18</v>
      </c>
      <c r="K1388" s="34">
        <f>INDEX('BIO WAHYU'!B:G,MATCH(DATA!D1388,'BIO WAHYU'!B:B,0),6)</f>
        <v>9</v>
      </c>
      <c r="L1388" s="35">
        <f>INDEX('BIO WAHYU'!B:H,MATCH(DATA!D1388,'BIO WAHYU'!B:B,0),7)</f>
        <v>0</v>
      </c>
      <c r="M1388" s="34">
        <f>INDEX('BIO WAHYU'!B:H,MATCH(DATA!D1388,'BIO WAHYU'!B:B,0),4)</f>
        <v>0</v>
      </c>
    </row>
    <row r="1389" spans="1:13">
      <c r="A1389" s="43" t="s">
        <v>1672</v>
      </c>
      <c r="B1389" s="43" t="s">
        <v>151</v>
      </c>
      <c r="C1389" s="43" t="s">
        <v>847</v>
      </c>
      <c r="D1389" s="10">
        <v>107291</v>
      </c>
      <c r="E1389" s="43" t="s">
        <v>10</v>
      </c>
      <c r="F1389" s="8">
        <f>_xlfn.IFNA(INDEX('OSA | 3GB'!J:L,MATCH(DATA!D1389,'OSA | 3GB'!J:J,0),2),0)</f>
        <v>0</v>
      </c>
      <c r="G1389" s="8">
        <f>_xlfn.IFNA(INDEX('OSA | 3GB'!J:L,MATCH(DATA!D1389,'OSA | 3GB'!J:J,0),3),0)</f>
        <v>2000000</v>
      </c>
      <c r="H1389" s="32" t="str">
        <f>_xlfn.IFNA(INDEX('OSA | 3GB'!A:C,MATCH(DATA!D1389,'OSA | 3GB'!A:A,0),2),0)</f>
        <v xml:space="preserve"> -   </v>
      </c>
      <c r="I1389" s="33">
        <f>_xlfn.IFNA(INDEX('OSA | 3GB'!A:C,MATCH(DATA!D1389,'OSA | 3GB'!A:A,0),3),0)</f>
        <v>1500000</v>
      </c>
      <c r="J1389" s="33">
        <f>INDEX('BIO WAHYU'!B:G,MATCH(DATA!D1389,'BIO WAHYU'!B:B,0),5)</f>
        <v>12</v>
      </c>
      <c r="K1389" s="34">
        <f>INDEX('BIO WAHYU'!B:G,MATCH(DATA!D1389,'BIO WAHYU'!B:B,0),6)</f>
        <v>15</v>
      </c>
      <c r="L1389" s="35">
        <f>INDEX('BIO WAHYU'!B:H,MATCH(DATA!D1389,'BIO WAHYU'!B:B,0),7)</f>
        <v>3</v>
      </c>
      <c r="M1389" s="34">
        <f>INDEX('BIO WAHYU'!B:H,MATCH(DATA!D1389,'BIO WAHYU'!B:B,0),4)</f>
        <v>0</v>
      </c>
    </row>
    <row r="1390" spans="1:13">
      <c r="A1390" s="43" t="s">
        <v>1672</v>
      </c>
      <c r="B1390" s="43" t="s">
        <v>150</v>
      </c>
      <c r="C1390" s="43" t="s">
        <v>813</v>
      </c>
      <c r="D1390" s="10">
        <v>237428</v>
      </c>
      <c r="E1390" s="43" t="s">
        <v>10</v>
      </c>
      <c r="F1390" s="8">
        <f>_xlfn.IFNA(INDEX('OSA | 3GB'!J:L,MATCH(DATA!D1390,'OSA | 3GB'!J:J,0),2),0)</f>
        <v>0</v>
      </c>
      <c r="G1390" s="8">
        <f>_xlfn.IFNA(INDEX('OSA | 3GB'!J:L,MATCH(DATA!D1390,'OSA | 3GB'!J:J,0),3),0)</f>
        <v>0</v>
      </c>
      <c r="H1390" s="32" t="str">
        <f>_xlfn.IFNA(INDEX('OSA | 3GB'!A:C,MATCH(DATA!D1390,'OSA | 3GB'!A:A,0),2),0)</f>
        <v xml:space="preserve"> -   </v>
      </c>
      <c r="I1390" s="33" t="str">
        <f>_xlfn.IFNA(INDEX('OSA | 3GB'!A:C,MATCH(DATA!D1390,'OSA | 3GB'!A:A,0),3),0)</f>
        <v xml:space="preserve"> -   </v>
      </c>
      <c r="J1390" s="33">
        <f>INDEX('BIO WAHYU'!B:G,MATCH(DATA!D1390,'BIO WAHYU'!B:B,0),5)</f>
        <v>0</v>
      </c>
      <c r="K1390" s="34">
        <f>INDEX('BIO WAHYU'!B:G,MATCH(DATA!D1390,'BIO WAHYU'!B:B,0),6)</f>
        <v>0</v>
      </c>
      <c r="L1390" s="35">
        <f>INDEX('BIO WAHYU'!B:H,MATCH(DATA!D1390,'BIO WAHYU'!B:B,0),7)</f>
        <v>0</v>
      </c>
      <c r="M1390" s="34">
        <f>INDEX('BIO WAHYU'!B:H,MATCH(DATA!D1390,'BIO WAHYU'!B:B,0),4)</f>
        <v>0</v>
      </c>
    </row>
    <row r="1391" spans="1:13">
      <c r="A1391" s="43" t="s">
        <v>1672</v>
      </c>
      <c r="B1391" s="43" t="s">
        <v>156</v>
      </c>
      <c r="C1391" s="43" t="s">
        <v>945</v>
      </c>
      <c r="D1391" s="10">
        <v>202378</v>
      </c>
      <c r="E1391" s="43" t="s">
        <v>10</v>
      </c>
      <c r="F1391" s="8">
        <f>_xlfn.IFNA(INDEX('OSA | 3GB'!J:L,MATCH(DATA!D1391,'OSA | 3GB'!J:J,0),2),0)</f>
        <v>0</v>
      </c>
      <c r="G1391" s="8">
        <f>_xlfn.IFNA(INDEX('OSA | 3GB'!J:L,MATCH(DATA!D1391,'OSA | 3GB'!J:J,0),3),0)</f>
        <v>2000000</v>
      </c>
      <c r="H1391" s="32">
        <f>_xlfn.IFNA(INDEX('OSA | 3GB'!A:C,MATCH(DATA!D1391,'OSA | 3GB'!A:A,0),2),0)</f>
        <v>1</v>
      </c>
      <c r="I1391" s="33">
        <f>_xlfn.IFNA(INDEX('OSA | 3GB'!A:C,MATCH(DATA!D1391,'OSA | 3GB'!A:A,0),3),0)</f>
        <v>800000</v>
      </c>
      <c r="J1391" s="33">
        <f>INDEX('BIO WAHYU'!B:G,MATCH(DATA!D1391,'BIO WAHYU'!B:B,0),5)</f>
        <v>3</v>
      </c>
      <c r="K1391" s="34">
        <f>INDEX('BIO WAHYU'!B:G,MATCH(DATA!D1391,'BIO WAHYU'!B:B,0),6)</f>
        <v>1</v>
      </c>
      <c r="L1391" s="35">
        <f>INDEX('BIO WAHYU'!B:H,MATCH(DATA!D1391,'BIO WAHYU'!B:B,0),7)</f>
        <v>0</v>
      </c>
      <c r="M1391" s="34">
        <f>INDEX('BIO WAHYU'!B:H,MATCH(DATA!D1391,'BIO WAHYU'!B:B,0),4)</f>
        <v>0</v>
      </c>
    </row>
    <row r="1392" spans="1:13">
      <c r="A1392" s="43" t="s">
        <v>1670</v>
      </c>
      <c r="B1392" s="43" t="s">
        <v>145</v>
      </c>
      <c r="C1392" s="43" t="s">
        <v>496</v>
      </c>
      <c r="D1392" s="10">
        <v>211583</v>
      </c>
      <c r="E1392" s="43" t="s">
        <v>10</v>
      </c>
      <c r="F1392" s="8">
        <f>_xlfn.IFNA(INDEX('OSA | 3GB'!J:L,MATCH(DATA!D1392,'OSA | 3GB'!J:J,0),2),0)</f>
        <v>3</v>
      </c>
      <c r="G1392" s="8">
        <f>_xlfn.IFNA(INDEX('OSA | 3GB'!J:L,MATCH(DATA!D1392,'OSA | 3GB'!J:J,0),3),0)</f>
        <v>29000</v>
      </c>
      <c r="H1392" s="32">
        <f>_xlfn.IFNA(INDEX('OSA | 3GB'!A:C,MATCH(DATA!D1392,'OSA | 3GB'!A:A,0),2),0)</f>
        <v>3</v>
      </c>
      <c r="I1392" s="33">
        <f>_xlfn.IFNA(INDEX('OSA | 3GB'!A:C,MATCH(DATA!D1392,'OSA | 3GB'!A:A,0),3),0)</f>
        <v>100000</v>
      </c>
      <c r="J1392" s="33">
        <f>INDEX('BIO WAHYU'!B:G,MATCH(DATA!D1392,'BIO WAHYU'!B:B,0),5)</f>
        <v>1</v>
      </c>
      <c r="K1392" s="34">
        <f>INDEX('BIO WAHYU'!B:G,MATCH(DATA!D1392,'BIO WAHYU'!B:B,0),6)</f>
        <v>0</v>
      </c>
      <c r="L1392" s="35">
        <f>INDEX('BIO WAHYU'!B:H,MATCH(DATA!D1392,'BIO WAHYU'!B:B,0),7)</f>
        <v>0</v>
      </c>
      <c r="M1392" s="34">
        <f>INDEX('BIO WAHYU'!B:H,MATCH(DATA!D1392,'BIO WAHYU'!B:B,0),4)</f>
        <v>0</v>
      </c>
    </row>
    <row r="1393" spans="1:13">
      <c r="A1393" s="43" t="s">
        <v>1672</v>
      </c>
      <c r="B1393" s="43" t="s">
        <v>157</v>
      </c>
      <c r="C1393" s="43" t="s">
        <v>1033</v>
      </c>
      <c r="D1393" s="10">
        <v>282970</v>
      </c>
      <c r="E1393" s="43" t="s">
        <v>10</v>
      </c>
      <c r="F1393" s="8">
        <f>_xlfn.IFNA(INDEX('OSA | 3GB'!J:L,MATCH(DATA!D1393,'OSA | 3GB'!J:J,0),2),0)</f>
        <v>4</v>
      </c>
      <c r="G1393" s="8">
        <f>_xlfn.IFNA(INDEX('OSA | 3GB'!J:L,MATCH(DATA!D1393,'OSA | 3GB'!J:J,0),3),0)</f>
        <v>1000000</v>
      </c>
      <c r="H1393" s="32">
        <f>_xlfn.IFNA(INDEX('OSA | 3GB'!A:C,MATCH(DATA!D1393,'OSA | 3GB'!A:A,0),2),0)</f>
        <v>4</v>
      </c>
      <c r="I1393" s="33">
        <f>_xlfn.IFNA(INDEX('OSA | 3GB'!A:C,MATCH(DATA!D1393,'OSA | 3GB'!A:A,0),3),0)</f>
        <v>316000</v>
      </c>
      <c r="J1393" s="33">
        <f>INDEX('BIO WAHYU'!B:G,MATCH(DATA!D1393,'BIO WAHYU'!B:B,0),5)</f>
        <v>3</v>
      </c>
      <c r="K1393" s="34">
        <f>INDEX('BIO WAHYU'!B:G,MATCH(DATA!D1393,'BIO WAHYU'!B:B,0),6)</f>
        <v>0</v>
      </c>
      <c r="L1393" s="35">
        <f>INDEX('BIO WAHYU'!B:H,MATCH(DATA!D1393,'BIO WAHYU'!B:B,0),7)</f>
        <v>0</v>
      </c>
      <c r="M1393" s="34">
        <f>INDEX('BIO WAHYU'!B:H,MATCH(DATA!D1393,'BIO WAHYU'!B:B,0),4)</f>
        <v>0</v>
      </c>
    </row>
    <row r="1394" spans="1:13">
      <c r="A1394" s="43" t="s">
        <v>1672</v>
      </c>
      <c r="B1394" s="43" t="s">
        <v>156</v>
      </c>
      <c r="C1394" s="43" t="s">
        <v>972</v>
      </c>
      <c r="D1394" s="10">
        <v>12318489</v>
      </c>
      <c r="E1394" s="43" t="s">
        <v>10</v>
      </c>
      <c r="F1394" s="8">
        <f>_xlfn.IFNA(INDEX('OSA | 3GB'!J:L,MATCH(DATA!D1394,'OSA | 3GB'!J:J,0),2),0)</f>
        <v>90</v>
      </c>
      <c r="G1394" s="8">
        <f>_xlfn.IFNA(INDEX('OSA | 3GB'!J:L,MATCH(DATA!D1394,'OSA | 3GB'!J:J,0),3),0)</f>
        <v>145000</v>
      </c>
      <c r="H1394" s="32" t="str">
        <f>_xlfn.IFNA(INDEX('OSA | 3GB'!A:C,MATCH(DATA!D1394,'OSA | 3GB'!A:A,0),2),0)</f>
        <v xml:space="preserve"> -   </v>
      </c>
      <c r="I1394" s="33" t="str">
        <f>_xlfn.IFNA(INDEX('OSA | 3GB'!A:C,MATCH(DATA!D1394,'OSA | 3GB'!A:A,0),3),0)</f>
        <v xml:space="preserve"> -   </v>
      </c>
      <c r="J1394" s="33">
        <f>INDEX('BIO WAHYU'!B:G,MATCH(DATA!D1394,'BIO WAHYU'!B:B,0),5)</f>
        <v>84</v>
      </c>
      <c r="K1394" s="34">
        <f>INDEX('BIO WAHYU'!B:G,MATCH(DATA!D1394,'BIO WAHYU'!B:B,0),6)</f>
        <v>67</v>
      </c>
      <c r="L1394" s="35">
        <f>INDEX('BIO WAHYU'!B:H,MATCH(DATA!D1394,'BIO WAHYU'!B:B,0),7)</f>
        <v>0</v>
      </c>
      <c r="M1394" s="34">
        <f>INDEX('BIO WAHYU'!B:H,MATCH(DATA!D1394,'BIO WAHYU'!B:B,0),4)</f>
        <v>0</v>
      </c>
    </row>
    <row r="1395" spans="1:13">
      <c r="A1395" s="43" t="s">
        <v>1670</v>
      </c>
      <c r="B1395" s="43" t="s">
        <v>140</v>
      </c>
      <c r="C1395" s="43" t="s">
        <v>1584</v>
      </c>
      <c r="D1395" s="10">
        <v>12300839</v>
      </c>
      <c r="E1395" s="43" t="s">
        <v>10</v>
      </c>
      <c r="F1395" s="8">
        <f>_xlfn.IFNA(INDEX('OSA | 3GB'!J:L,MATCH(DATA!D1395,'OSA | 3GB'!J:J,0),2),0)</f>
        <v>7</v>
      </c>
      <c r="G1395" s="8">
        <f>_xlfn.IFNA(INDEX('OSA | 3GB'!J:L,MATCH(DATA!D1395,'OSA | 3GB'!J:J,0),3),0)</f>
        <v>240000</v>
      </c>
      <c r="H1395" s="32" t="str">
        <f>_xlfn.IFNA(INDEX('OSA | 3GB'!A:C,MATCH(DATA!D1395,'OSA | 3GB'!A:A,0),2),0)</f>
        <v xml:space="preserve"> -   </v>
      </c>
      <c r="I1395" s="33" t="str">
        <f>_xlfn.IFNA(INDEX('OSA | 3GB'!A:C,MATCH(DATA!D1395,'OSA | 3GB'!A:A,0),3),0)</f>
        <v xml:space="preserve"> -   </v>
      </c>
      <c r="J1395" s="33">
        <f>INDEX('BIO WAHYU'!B:G,MATCH(DATA!D1395,'BIO WAHYU'!B:B,0),5)</f>
        <v>3</v>
      </c>
      <c r="K1395" s="34">
        <f>INDEX('BIO WAHYU'!B:G,MATCH(DATA!D1395,'BIO WAHYU'!B:B,0),6)</f>
        <v>1</v>
      </c>
      <c r="L1395" s="35">
        <f>INDEX('BIO WAHYU'!B:H,MATCH(DATA!D1395,'BIO WAHYU'!B:B,0),7)</f>
        <v>0</v>
      </c>
      <c r="M1395" s="34">
        <f>INDEX('BIO WAHYU'!B:H,MATCH(DATA!D1395,'BIO WAHYU'!B:B,0),4)</f>
        <v>0</v>
      </c>
    </row>
    <row r="1396" spans="1:13">
      <c r="A1396" s="43" t="s">
        <v>1675</v>
      </c>
      <c r="B1396" s="43">
        <v>2613051451</v>
      </c>
      <c r="C1396" s="43" t="s">
        <v>383</v>
      </c>
      <c r="D1396" s="10">
        <v>12324291</v>
      </c>
      <c r="E1396" s="43" t="s">
        <v>15</v>
      </c>
      <c r="F1396" s="8">
        <f>_xlfn.IFNA(INDEX('OSA | 3GB'!J:L,MATCH(DATA!D1396,'OSA | 3GB'!J:J,0),2),0)</f>
        <v>0</v>
      </c>
      <c r="G1396" s="8">
        <f>_xlfn.IFNA(INDEX('OSA | 3GB'!J:L,MATCH(DATA!D1396,'OSA | 3GB'!J:J,0),3),0)</f>
        <v>0</v>
      </c>
      <c r="H1396" s="32" t="str">
        <f>_xlfn.IFNA(INDEX('OSA | 3GB'!A:C,MATCH(DATA!D1396,'OSA | 3GB'!A:A,0),2),0)</f>
        <v xml:space="preserve"> -   </v>
      </c>
      <c r="I1396" s="33" t="str">
        <f>_xlfn.IFNA(INDEX('OSA | 3GB'!A:C,MATCH(DATA!D1396,'OSA | 3GB'!A:A,0),3),0)</f>
        <v xml:space="preserve"> -   </v>
      </c>
      <c r="J1396" s="33">
        <f>INDEX('BIO WAHYU'!B:G,MATCH(DATA!D1396,'BIO WAHYU'!B:B,0),5)</f>
        <v>0</v>
      </c>
      <c r="K1396" s="34">
        <f>INDEX('BIO WAHYU'!B:G,MATCH(DATA!D1396,'BIO WAHYU'!B:B,0),6)</f>
        <v>0</v>
      </c>
      <c r="L1396" s="35">
        <f>INDEX('BIO WAHYU'!B:H,MATCH(DATA!D1396,'BIO WAHYU'!B:B,0),7)</f>
        <v>0</v>
      </c>
      <c r="M1396" s="34">
        <f>INDEX('BIO WAHYU'!B:H,MATCH(DATA!D1396,'BIO WAHYU'!B:B,0),4)</f>
        <v>0</v>
      </c>
    </row>
    <row r="1397" spans="1:13">
      <c r="A1397" s="43" t="s">
        <v>1674</v>
      </c>
      <c r="B1397" s="43" t="s">
        <v>153</v>
      </c>
      <c r="C1397" s="43" t="s">
        <v>1541</v>
      </c>
      <c r="D1397" s="10">
        <v>7567</v>
      </c>
      <c r="E1397" s="43" t="s">
        <v>10</v>
      </c>
      <c r="F1397" s="8">
        <f>_xlfn.IFNA(INDEX('OSA | 3GB'!J:L,MATCH(DATA!D1397,'OSA | 3GB'!J:J,0),2),0)</f>
        <v>1</v>
      </c>
      <c r="G1397" s="8">
        <f>_xlfn.IFNA(INDEX('OSA | 3GB'!J:L,MATCH(DATA!D1397,'OSA | 3GB'!J:J,0),3),0)</f>
        <v>600000</v>
      </c>
      <c r="H1397" s="32" t="str">
        <f>_xlfn.IFNA(INDEX('OSA | 3GB'!A:C,MATCH(DATA!D1397,'OSA | 3GB'!A:A,0),2),0)</f>
        <v xml:space="preserve"> -   </v>
      </c>
      <c r="I1397" s="33">
        <f>_xlfn.IFNA(INDEX('OSA | 3GB'!A:C,MATCH(DATA!D1397,'OSA | 3GB'!A:A,0),3),0)</f>
        <v>600000</v>
      </c>
      <c r="J1397" s="33">
        <f>INDEX('BIO WAHYU'!B:G,MATCH(DATA!D1397,'BIO WAHYU'!B:B,0),5)</f>
        <v>1</v>
      </c>
      <c r="K1397" s="34">
        <f>INDEX('BIO WAHYU'!B:G,MATCH(DATA!D1397,'BIO WAHYU'!B:B,0),6)</f>
        <v>0</v>
      </c>
      <c r="L1397" s="35">
        <f>INDEX('BIO WAHYU'!B:H,MATCH(DATA!D1397,'BIO WAHYU'!B:B,0),7)</f>
        <v>0</v>
      </c>
      <c r="M1397" s="34">
        <f>INDEX('BIO WAHYU'!B:H,MATCH(DATA!D1397,'BIO WAHYU'!B:B,0),4)</f>
        <v>0</v>
      </c>
    </row>
    <row r="1398" spans="1:13">
      <c r="A1398" s="43" t="s">
        <v>1672</v>
      </c>
      <c r="B1398" s="43" t="s">
        <v>149</v>
      </c>
      <c r="C1398" s="43" t="s">
        <v>775</v>
      </c>
      <c r="D1398" s="10">
        <v>274080</v>
      </c>
      <c r="E1398" s="43" t="s">
        <v>10</v>
      </c>
      <c r="F1398" s="8">
        <f>_xlfn.IFNA(INDEX('OSA | 3GB'!J:L,MATCH(DATA!D1398,'OSA | 3GB'!J:J,0),2),0)</f>
        <v>8</v>
      </c>
      <c r="G1398" s="8">
        <f>_xlfn.IFNA(INDEX('OSA | 3GB'!J:L,MATCH(DATA!D1398,'OSA | 3GB'!J:J,0),3),0)</f>
        <v>4200000</v>
      </c>
      <c r="H1398" s="32">
        <f>_xlfn.IFNA(INDEX('OSA | 3GB'!A:C,MATCH(DATA!D1398,'OSA | 3GB'!A:A,0),2),0)</f>
        <v>6</v>
      </c>
      <c r="I1398" s="33">
        <f>_xlfn.IFNA(INDEX('OSA | 3GB'!A:C,MATCH(DATA!D1398,'OSA | 3GB'!A:A,0),3),0)</f>
        <v>2174000</v>
      </c>
      <c r="J1398" s="33">
        <f>INDEX('BIO WAHYU'!B:G,MATCH(DATA!D1398,'BIO WAHYU'!B:B,0),5)</f>
        <v>3</v>
      </c>
      <c r="K1398" s="34">
        <f>INDEX('BIO WAHYU'!B:G,MATCH(DATA!D1398,'BIO WAHYU'!B:B,0),6)</f>
        <v>0</v>
      </c>
      <c r="L1398" s="35">
        <f>INDEX('BIO WAHYU'!B:H,MATCH(DATA!D1398,'BIO WAHYU'!B:B,0),7)</f>
        <v>0</v>
      </c>
      <c r="M1398" s="34">
        <f>INDEX('BIO WAHYU'!B:H,MATCH(DATA!D1398,'BIO WAHYU'!B:B,0),4)</f>
        <v>0</v>
      </c>
    </row>
    <row r="1399" spans="1:13">
      <c r="A1399" s="43" t="s">
        <v>1672</v>
      </c>
      <c r="B1399" s="43" t="s">
        <v>157</v>
      </c>
      <c r="C1399" s="43" t="s">
        <v>1056</v>
      </c>
      <c r="D1399" s="10">
        <v>548291</v>
      </c>
      <c r="E1399" s="43" t="s">
        <v>10</v>
      </c>
      <c r="F1399" s="8">
        <f>_xlfn.IFNA(INDEX('OSA | 3GB'!J:L,MATCH(DATA!D1399,'OSA | 3GB'!J:J,0),2),0)</f>
        <v>5</v>
      </c>
      <c r="G1399" s="8">
        <f>_xlfn.IFNA(INDEX('OSA | 3GB'!J:L,MATCH(DATA!D1399,'OSA | 3GB'!J:J,0),3),0)</f>
        <v>500000</v>
      </c>
      <c r="H1399" s="32" t="str">
        <f>_xlfn.IFNA(INDEX('OSA | 3GB'!A:C,MATCH(DATA!D1399,'OSA | 3GB'!A:A,0),2),0)</f>
        <v xml:space="preserve"> -   </v>
      </c>
      <c r="I1399" s="33">
        <f>_xlfn.IFNA(INDEX('OSA | 3GB'!A:C,MATCH(DATA!D1399,'OSA | 3GB'!A:A,0),3),0)</f>
        <v>100000</v>
      </c>
      <c r="J1399" s="33">
        <f>INDEX('BIO WAHYU'!B:G,MATCH(DATA!D1399,'BIO WAHYU'!B:B,0),5)</f>
        <v>3</v>
      </c>
      <c r="K1399" s="34">
        <f>INDEX('BIO WAHYU'!B:G,MATCH(DATA!D1399,'BIO WAHYU'!B:B,0),6)</f>
        <v>0</v>
      </c>
      <c r="L1399" s="35">
        <f>INDEX('BIO WAHYU'!B:H,MATCH(DATA!D1399,'BIO WAHYU'!B:B,0),7)</f>
        <v>0</v>
      </c>
      <c r="M1399" s="34">
        <f>INDEX('BIO WAHYU'!B:H,MATCH(DATA!D1399,'BIO WAHYU'!B:B,0),4)</f>
        <v>0</v>
      </c>
    </row>
    <row r="1400" spans="1:13">
      <c r="A1400" s="43" t="s">
        <v>1673</v>
      </c>
      <c r="B1400" s="43" t="s">
        <v>144</v>
      </c>
      <c r="C1400" s="43" t="s">
        <v>234</v>
      </c>
      <c r="D1400" s="10">
        <v>515755</v>
      </c>
      <c r="E1400" s="43" t="s">
        <v>10</v>
      </c>
      <c r="F1400" s="8">
        <f>_xlfn.IFNA(INDEX('OSA | 3GB'!J:L,MATCH(DATA!D1400,'OSA | 3GB'!J:J,0),2),0)</f>
        <v>3</v>
      </c>
      <c r="G1400" s="8">
        <f>_xlfn.IFNA(INDEX('OSA | 3GB'!J:L,MATCH(DATA!D1400,'OSA | 3GB'!J:J,0),3),0)</f>
        <v>1429000</v>
      </c>
      <c r="H1400" s="32" t="str">
        <f>_xlfn.IFNA(INDEX('OSA | 3GB'!A:C,MATCH(DATA!D1400,'OSA | 3GB'!A:A,0),2),0)</f>
        <v xml:space="preserve"> -   </v>
      </c>
      <c r="I1400" s="33">
        <f>_xlfn.IFNA(INDEX('OSA | 3GB'!A:C,MATCH(DATA!D1400,'OSA | 3GB'!A:A,0),3),0)</f>
        <v>600000</v>
      </c>
      <c r="J1400" s="33">
        <f>INDEX('BIO WAHYU'!B:G,MATCH(DATA!D1400,'BIO WAHYU'!B:B,0),5)</f>
        <v>1</v>
      </c>
      <c r="K1400" s="34">
        <f>INDEX('BIO WAHYU'!B:G,MATCH(DATA!D1400,'BIO WAHYU'!B:B,0),6)</f>
        <v>0</v>
      </c>
      <c r="L1400" s="35">
        <f>INDEX('BIO WAHYU'!B:H,MATCH(DATA!D1400,'BIO WAHYU'!B:B,0),7)</f>
        <v>0</v>
      </c>
      <c r="M1400" s="34">
        <f>INDEX('BIO WAHYU'!B:H,MATCH(DATA!D1400,'BIO WAHYU'!B:B,0),4)</f>
        <v>0</v>
      </c>
    </row>
    <row r="1401" spans="1:13">
      <c r="A1401" s="43" t="s">
        <v>1673</v>
      </c>
      <c r="B1401" s="43" t="s">
        <v>158</v>
      </c>
      <c r="C1401" s="43" t="s">
        <v>1585</v>
      </c>
      <c r="D1401" s="10">
        <v>12322493</v>
      </c>
      <c r="E1401" s="43" t="s">
        <v>10</v>
      </c>
      <c r="F1401" s="8">
        <f>_xlfn.IFNA(INDEX('OSA | 3GB'!J:L,MATCH(DATA!D1401,'OSA | 3GB'!J:J,0),2),0)</f>
        <v>103</v>
      </c>
      <c r="G1401" s="8">
        <f>_xlfn.IFNA(INDEX('OSA | 3GB'!J:L,MATCH(DATA!D1401,'OSA | 3GB'!J:J,0),3),0)</f>
        <v>75000</v>
      </c>
      <c r="H1401" s="32" t="str">
        <f>_xlfn.IFNA(INDEX('OSA | 3GB'!A:C,MATCH(DATA!D1401,'OSA | 3GB'!A:A,0),2),0)</f>
        <v xml:space="preserve"> -   </v>
      </c>
      <c r="I1401" s="33" t="str">
        <f>_xlfn.IFNA(INDEX('OSA | 3GB'!A:C,MATCH(DATA!D1401,'OSA | 3GB'!A:A,0),3),0)</f>
        <v xml:space="preserve"> -   </v>
      </c>
      <c r="J1401" s="33">
        <f>INDEX('BIO WAHYU'!B:G,MATCH(DATA!D1401,'BIO WAHYU'!B:B,0),5)</f>
        <v>6</v>
      </c>
      <c r="K1401" s="34">
        <f>INDEX('BIO WAHYU'!B:G,MATCH(DATA!D1401,'BIO WAHYU'!B:B,0),6)</f>
        <v>7</v>
      </c>
      <c r="L1401" s="35">
        <f>INDEX('BIO WAHYU'!B:H,MATCH(DATA!D1401,'BIO WAHYU'!B:B,0),7)</f>
        <v>1</v>
      </c>
      <c r="M1401" s="34">
        <f>INDEX('BIO WAHYU'!B:H,MATCH(DATA!D1401,'BIO WAHYU'!B:B,0),4)</f>
        <v>0</v>
      </c>
    </row>
    <row r="1402" spans="1:13">
      <c r="A1402" s="43" t="s">
        <v>1670</v>
      </c>
      <c r="B1402" s="43" t="s">
        <v>146</v>
      </c>
      <c r="C1402" s="43" t="s">
        <v>1586</v>
      </c>
      <c r="D1402" s="10">
        <v>12322473</v>
      </c>
      <c r="E1402" s="43" t="s">
        <v>10</v>
      </c>
      <c r="F1402" s="8">
        <f>_xlfn.IFNA(INDEX('OSA | 3GB'!J:L,MATCH(DATA!D1402,'OSA | 3GB'!J:J,0),2),0)</f>
        <v>4</v>
      </c>
      <c r="G1402" s="8">
        <f>_xlfn.IFNA(INDEX('OSA | 3GB'!J:L,MATCH(DATA!D1402,'OSA | 3GB'!J:J,0),3),0)</f>
        <v>200000</v>
      </c>
      <c r="H1402" s="32" t="str">
        <f>_xlfn.IFNA(INDEX('OSA | 3GB'!A:C,MATCH(DATA!D1402,'OSA | 3GB'!A:A,0),2),0)</f>
        <v xml:space="preserve"> -   </v>
      </c>
      <c r="I1402" s="33">
        <f>_xlfn.IFNA(INDEX('OSA | 3GB'!A:C,MATCH(DATA!D1402,'OSA | 3GB'!A:A,0),3),0)</f>
        <v>100000</v>
      </c>
      <c r="J1402" s="33">
        <f>INDEX('BIO WAHYU'!B:G,MATCH(DATA!D1402,'BIO WAHYU'!B:B,0),5)</f>
        <v>4</v>
      </c>
      <c r="K1402" s="34">
        <f>INDEX('BIO WAHYU'!B:G,MATCH(DATA!D1402,'BIO WAHYU'!B:B,0),6)</f>
        <v>0</v>
      </c>
      <c r="L1402" s="35">
        <f>INDEX('BIO WAHYU'!B:H,MATCH(DATA!D1402,'BIO WAHYU'!B:B,0),7)</f>
        <v>0</v>
      </c>
      <c r="M1402" s="34">
        <f>INDEX('BIO WAHYU'!B:H,MATCH(DATA!D1402,'BIO WAHYU'!B:B,0),4)</f>
        <v>0</v>
      </c>
    </row>
    <row r="1403" spans="1:13">
      <c r="A1403" s="43" t="s">
        <v>1673</v>
      </c>
      <c r="B1403" s="43" t="s">
        <v>1136</v>
      </c>
      <c r="C1403" s="43" t="s">
        <v>1587</v>
      </c>
      <c r="D1403" s="10">
        <v>61800</v>
      </c>
      <c r="E1403" s="43" t="s">
        <v>10</v>
      </c>
      <c r="F1403" s="8">
        <f>_xlfn.IFNA(INDEX('OSA | 3GB'!J:L,MATCH(DATA!D1403,'OSA | 3GB'!J:J,0),2),0)</f>
        <v>1</v>
      </c>
      <c r="G1403" s="8">
        <f>_xlfn.IFNA(INDEX('OSA | 3GB'!J:L,MATCH(DATA!D1403,'OSA | 3GB'!J:J,0),3),0)</f>
        <v>10050000</v>
      </c>
      <c r="H1403" s="32" t="str">
        <f>_xlfn.IFNA(INDEX('OSA | 3GB'!A:C,MATCH(DATA!D1403,'OSA | 3GB'!A:A,0),2),0)</f>
        <v xml:space="preserve"> -   </v>
      </c>
      <c r="I1403" s="33">
        <f>_xlfn.IFNA(INDEX('OSA | 3GB'!A:C,MATCH(DATA!D1403,'OSA | 3GB'!A:A,0),3),0)</f>
        <v>2532705</v>
      </c>
      <c r="J1403" s="33">
        <f>INDEX('BIO WAHYU'!B:G,MATCH(DATA!D1403,'BIO WAHYU'!B:B,0),5)</f>
        <v>15</v>
      </c>
      <c r="K1403" s="34">
        <f>INDEX('BIO WAHYU'!B:G,MATCH(DATA!D1403,'BIO WAHYU'!B:B,0),6)</f>
        <v>7</v>
      </c>
      <c r="L1403" s="35">
        <f>INDEX('BIO WAHYU'!B:H,MATCH(DATA!D1403,'BIO WAHYU'!B:B,0),7)</f>
        <v>0</v>
      </c>
      <c r="M1403" s="34">
        <f>INDEX('BIO WAHYU'!B:H,MATCH(DATA!D1403,'BIO WAHYU'!B:B,0),4)</f>
        <v>0</v>
      </c>
    </row>
    <row r="1404" spans="1:13">
      <c r="A1404" s="43" t="s">
        <v>1674</v>
      </c>
      <c r="B1404" s="43" t="s">
        <v>153</v>
      </c>
      <c r="C1404" s="43" t="s">
        <v>710</v>
      </c>
      <c r="D1404" s="10">
        <v>13547</v>
      </c>
      <c r="E1404" s="43" t="s">
        <v>10</v>
      </c>
      <c r="F1404" s="8">
        <f>_xlfn.IFNA(INDEX('OSA | 3GB'!J:L,MATCH(DATA!D1404,'OSA | 3GB'!J:J,0),2),0)</f>
        <v>3</v>
      </c>
      <c r="G1404" s="8">
        <f>_xlfn.IFNA(INDEX('OSA | 3GB'!J:L,MATCH(DATA!D1404,'OSA | 3GB'!J:J,0),3),0)</f>
        <v>3650000</v>
      </c>
      <c r="H1404" s="32" t="str">
        <f>_xlfn.IFNA(INDEX('OSA | 3GB'!A:C,MATCH(DATA!D1404,'OSA | 3GB'!A:A,0),2),0)</f>
        <v xml:space="preserve"> -   </v>
      </c>
      <c r="I1404" s="33">
        <f>_xlfn.IFNA(INDEX('OSA | 3GB'!A:C,MATCH(DATA!D1404,'OSA | 3GB'!A:A,0),3),0)</f>
        <v>1160000</v>
      </c>
      <c r="J1404" s="33">
        <f>INDEX('BIO WAHYU'!B:G,MATCH(DATA!D1404,'BIO WAHYU'!B:B,0),5)</f>
        <v>3</v>
      </c>
      <c r="K1404" s="34">
        <f>INDEX('BIO WAHYU'!B:G,MATCH(DATA!D1404,'BIO WAHYU'!B:B,0),6)</f>
        <v>4</v>
      </c>
      <c r="L1404" s="35">
        <f>INDEX('BIO WAHYU'!B:H,MATCH(DATA!D1404,'BIO WAHYU'!B:B,0),7)</f>
        <v>1</v>
      </c>
      <c r="M1404" s="34">
        <f>INDEX('BIO WAHYU'!B:H,MATCH(DATA!D1404,'BIO WAHYU'!B:B,0),4)</f>
        <v>0</v>
      </c>
    </row>
    <row r="1405" spans="1:13">
      <c r="A1405" s="43" t="s">
        <v>1673</v>
      </c>
      <c r="B1405" s="43" t="s">
        <v>1140</v>
      </c>
      <c r="C1405" s="43" t="s">
        <v>1588</v>
      </c>
      <c r="D1405" s="10">
        <v>331841</v>
      </c>
      <c r="E1405" s="43" t="s">
        <v>15</v>
      </c>
      <c r="F1405" s="8">
        <f>_xlfn.IFNA(INDEX('OSA | 3GB'!J:L,MATCH(DATA!D1405,'OSA | 3GB'!J:J,0),2),0)</f>
        <v>3</v>
      </c>
      <c r="G1405" s="8">
        <f>_xlfn.IFNA(INDEX('OSA | 3GB'!J:L,MATCH(DATA!D1405,'OSA | 3GB'!J:J,0),3),0)</f>
        <v>4700000</v>
      </c>
      <c r="H1405" s="32" t="str">
        <f>_xlfn.IFNA(INDEX('OSA | 3GB'!A:C,MATCH(DATA!D1405,'OSA | 3GB'!A:A,0),2),0)</f>
        <v xml:space="preserve"> -   </v>
      </c>
      <c r="I1405" s="33">
        <f>_xlfn.IFNA(INDEX('OSA | 3GB'!A:C,MATCH(DATA!D1405,'OSA | 3GB'!A:A,0),3),0)</f>
        <v>3500000</v>
      </c>
      <c r="J1405" s="33">
        <f>INDEX('BIO WAHYU'!B:G,MATCH(DATA!D1405,'BIO WAHYU'!B:B,0),5)</f>
        <v>1</v>
      </c>
      <c r="K1405" s="34">
        <f>INDEX('BIO WAHYU'!B:G,MATCH(DATA!D1405,'BIO WAHYU'!B:B,0),6)</f>
        <v>3</v>
      </c>
      <c r="L1405" s="35">
        <f>INDEX('BIO WAHYU'!B:H,MATCH(DATA!D1405,'BIO WAHYU'!B:B,0),7)</f>
        <v>2</v>
      </c>
      <c r="M1405" s="34">
        <f>INDEX('BIO WAHYU'!B:H,MATCH(DATA!D1405,'BIO WAHYU'!B:B,0),4)</f>
        <v>0</v>
      </c>
    </row>
    <row r="1406" spans="1:13">
      <c r="A1406" s="43" t="s">
        <v>1675</v>
      </c>
      <c r="B1406" s="43" t="s">
        <v>137</v>
      </c>
      <c r="C1406" s="43" t="s">
        <v>430</v>
      </c>
      <c r="D1406" s="10">
        <v>12296252</v>
      </c>
      <c r="E1406" s="43" t="s">
        <v>15</v>
      </c>
      <c r="F1406" s="8">
        <f>_xlfn.IFNA(INDEX('OSA | 3GB'!J:L,MATCH(DATA!D1406,'OSA | 3GB'!J:J,0),2),0)</f>
        <v>44</v>
      </c>
      <c r="G1406" s="8">
        <f>_xlfn.IFNA(INDEX('OSA | 3GB'!J:L,MATCH(DATA!D1406,'OSA | 3GB'!J:J,0),3),0)</f>
        <v>224000</v>
      </c>
      <c r="H1406" s="32">
        <f>_xlfn.IFNA(INDEX('OSA | 3GB'!A:C,MATCH(DATA!D1406,'OSA | 3GB'!A:A,0),2),0)</f>
        <v>23</v>
      </c>
      <c r="I1406" s="33">
        <f>_xlfn.IFNA(INDEX('OSA | 3GB'!A:C,MATCH(DATA!D1406,'OSA | 3GB'!A:A,0),3),0)</f>
        <v>58000</v>
      </c>
      <c r="J1406" s="33">
        <f>INDEX('BIO WAHYU'!B:G,MATCH(DATA!D1406,'BIO WAHYU'!B:B,0),5)</f>
        <v>7</v>
      </c>
      <c r="K1406" s="34">
        <f>INDEX('BIO WAHYU'!B:G,MATCH(DATA!D1406,'BIO WAHYU'!B:B,0),6)</f>
        <v>27</v>
      </c>
      <c r="L1406" s="35">
        <f>INDEX('BIO WAHYU'!B:H,MATCH(DATA!D1406,'BIO WAHYU'!B:B,0),7)</f>
        <v>20</v>
      </c>
      <c r="M1406" s="34">
        <f>INDEX('BIO WAHYU'!B:H,MATCH(DATA!D1406,'BIO WAHYU'!B:B,0),4)</f>
        <v>0</v>
      </c>
    </row>
    <row r="1407" spans="1:13">
      <c r="A1407" s="43" t="s">
        <v>1</v>
      </c>
      <c r="B1407" s="43" t="s">
        <v>4</v>
      </c>
      <c r="C1407" s="43" t="s">
        <v>58</v>
      </c>
      <c r="D1407" s="10">
        <v>503354</v>
      </c>
      <c r="E1407" s="43" t="s">
        <v>10</v>
      </c>
      <c r="F1407" s="8">
        <f>_xlfn.IFNA(INDEX('OSA | 3GB'!J:L,MATCH(DATA!D1407,'OSA | 3GB'!J:J,0),2),0)</f>
        <v>5</v>
      </c>
      <c r="G1407" s="8">
        <f>_xlfn.IFNA(INDEX('OSA | 3GB'!J:L,MATCH(DATA!D1407,'OSA | 3GB'!J:J,0),3),0)</f>
        <v>2800000</v>
      </c>
      <c r="H1407" s="32">
        <f>_xlfn.IFNA(INDEX('OSA | 3GB'!A:C,MATCH(DATA!D1407,'OSA | 3GB'!A:A,0),2),0)</f>
        <v>5</v>
      </c>
      <c r="I1407" s="33">
        <f>_xlfn.IFNA(INDEX('OSA | 3GB'!A:C,MATCH(DATA!D1407,'OSA | 3GB'!A:A,0),3),0)</f>
        <v>1327000</v>
      </c>
      <c r="J1407" s="33">
        <f>INDEX('BIO WAHYU'!B:G,MATCH(DATA!D1407,'BIO WAHYU'!B:B,0),5)</f>
        <v>5</v>
      </c>
      <c r="K1407" s="34">
        <f>INDEX('BIO WAHYU'!B:G,MATCH(DATA!D1407,'BIO WAHYU'!B:B,0),6)</f>
        <v>5</v>
      </c>
      <c r="L1407" s="35">
        <f>INDEX('BIO WAHYU'!B:H,MATCH(DATA!D1407,'BIO WAHYU'!B:B,0),7)</f>
        <v>0</v>
      </c>
      <c r="M1407" s="34">
        <f>INDEX('BIO WAHYU'!B:H,MATCH(DATA!D1407,'BIO WAHYU'!B:B,0),4)</f>
        <v>0</v>
      </c>
    </row>
    <row r="1408" spans="1:13">
      <c r="A1408" s="43" t="s">
        <v>1673</v>
      </c>
      <c r="B1408" s="43" t="s">
        <v>141</v>
      </c>
      <c r="C1408" s="43" t="s">
        <v>1357</v>
      </c>
      <c r="D1408" s="10">
        <v>12296084</v>
      </c>
      <c r="E1408" s="43" t="s">
        <v>10</v>
      </c>
      <c r="F1408" s="8">
        <f>_xlfn.IFNA(INDEX('OSA | 3GB'!J:L,MATCH(DATA!D1408,'OSA | 3GB'!J:J,0),2),0)</f>
        <v>0</v>
      </c>
      <c r="G1408" s="8">
        <f>_xlfn.IFNA(INDEX('OSA | 3GB'!J:L,MATCH(DATA!D1408,'OSA | 3GB'!J:J,0),3),0)</f>
        <v>579000</v>
      </c>
      <c r="H1408" s="32" t="str">
        <f>_xlfn.IFNA(INDEX('OSA | 3GB'!A:C,MATCH(DATA!D1408,'OSA | 3GB'!A:A,0),2),0)</f>
        <v xml:space="preserve"> -   </v>
      </c>
      <c r="I1408" s="33">
        <f>_xlfn.IFNA(INDEX('OSA | 3GB'!A:C,MATCH(DATA!D1408,'OSA | 3GB'!A:A,0),3),0)</f>
        <v>300000</v>
      </c>
      <c r="J1408" s="33">
        <f>INDEX('BIO WAHYU'!B:G,MATCH(DATA!D1408,'BIO WAHYU'!B:B,0),5)</f>
        <v>2</v>
      </c>
      <c r="K1408" s="34">
        <f>INDEX('BIO WAHYU'!B:G,MATCH(DATA!D1408,'BIO WAHYU'!B:B,0),6)</f>
        <v>0</v>
      </c>
      <c r="L1408" s="35">
        <f>INDEX('BIO WAHYU'!B:H,MATCH(DATA!D1408,'BIO WAHYU'!B:B,0),7)</f>
        <v>0</v>
      </c>
      <c r="M1408" s="34">
        <f>INDEX('BIO WAHYU'!B:H,MATCH(DATA!D1408,'BIO WAHYU'!B:B,0),4)</f>
        <v>0</v>
      </c>
    </row>
    <row r="1409" spans="1:13">
      <c r="A1409" s="43" t="s">
        <v>1672</v>
      </c>
      <c r="B1409" s="43" t="s">
        <v>156</v>
      </c>
      <c r="C1409" s="43" t="s">
        <v>172</v>
      </c>
      <c r="D1409" s="10">
        <v>342631</v>
      </c>
      <c r="E1409" s="43" t="s">
        <v>10</v>
      </c>
      <c r="F1409" s="8">
        <f>_xlfn.IFNA(INDEX('OSA | 3GB'!J:L,MATCH(DATA!D1409,'OSA | 3GB'!J:J,0),2),0)</f>
        <v>0</v>
      </c>
      <c r="G1409" s="8">
        <f>_xlfn.IFNA(INDEX('OSA | 3GB'!J:L,MATCH(DATA!D1409,'OSA | 3GB'!J:J,0),3),0)</f>
        <v>1000000</v>
      </c>
      <c r="H1409" s="32" t="str">
        <f>_xlfn.IFNA(INDEX('OSA | 3GB'!A:C,MATCH(DATA!D1409,'OSA | 3GB'!A:A,0),2),0)</f>
        <v xml:space="preserve"> -   </v>
      </c>
      <c r="I1409" s="33" t="str">
        <f>_xlfn.IFNA(INDEX('OSA | 3GB'!A:C,MATCH(DATA!D1409,'OSA | 3GB'!A:A,0),3),0)</f>
        <v xml:space="preserve"> -   </v>
      </c>
      <c r="J1409" s="33">
        <f>INDEX('BIO WAHYU'!B:G,MATCH(DATA!D1409,'BIO WAHYU'!B:B,0),5)</f>
        <v>0</v>
      </c>
      <c r="K1409" s="34">
        <f>INDEX('BIO WAHYU'!B:G,MATCH(DATA!D1409,'BIO WAHYU'!B:B,0),6)</f>
        <v>1</v>
      </c>
      <c r="L1409" s="35">
        <f>INDEX('BIO WAHYU'!B:H,MATCH(DATA!D1409,'BIO WAHYU'!B:B,0),7)</f>
        <v>1</v>
      </c>
      <c r="M1409" s="34">
        <f>INDEX('BIO WAHYU'!B:H,MATCH(DATA!D1409,'BIO WAHYU'!B:B,0),4)</f>
        <v>0</v>
      </c>
    </row>
    <row r="1410" spans="1:13">
      <c r="A1410" s="43" t="s">
        <v>1</v>
      </c>
      <c r="B1410" s="43" t="s">
        <v>5</v>
      </c>
      <c r="C1410" s="43" t="s">
        <v>82</v>
      </c>
      <c r="D1410" s="10">
        <v>12327316</v>
      </c>
      <c r="E1410" s="43" t="s">
        <v>10</v>
      </c>
      <c r="F1410" s="8">
        <f>_xlfn.IFNA(INDEX('OSA | 3GB'!J:L,MATCH(DATA!D1410,'OSA | 3GB'!J:J,0),2),0)</f>
        <v>0</v>
      </c>
      <c r="G1410" s="8">
        <f>_xlfn.IFNA(INDEX('OSA | 3GB'!J:L,MATCH(DATA!D1410,'OSA | 3GB'!J:J,0),3),0)</f>
        <v>0</v>
      </c>
      <c r="H1410" s="32" t="str">
        <f>_xlfn.IFNA(INDEX('OSA | 3GB'!A:C,MATCH(DATA!D1410,'OSA | 3GB'!A:A,0),2),0)</f>
        <v xml:space="preserve"> -   </v>
      </c>
      <c r="I1410" s="33" t="str">
        <f>_xlfn.IFNA(INDEX('OSA | 3GB'!A:C,MATCH(DATA!D1410,'OSA | 3GB'!A:A,0),3),0)</f>
        <v xml:space="preserve"> -   </v>
      </c>
      <c r="J1410" s="33">
        <f>INDEX('BIO WAHYU'!B:G,MATCH(DATA!D1410,'BIO WAHYU'!B:B,0),5)</f>
        <v>1</v>
      </c>
      <c r="K1410" s="34">
        <f>INDEX('BIO WAHYU'!B:G,MATCH(DATA!D1410,'BIO WAHYU'!B:B,0),6)</f>
        <v>0</v>
      </c>
      <c r="L1410" s="35">
        <f>INDEX('BIO WAHYU'!B:H,MATCH(DATA!D1410,'BIO WAHYU'!B:B,0),7)</f>
        <v>0</v>
      </c>
      <c r="M1410" s="34">
        <f>INDEX('BIO WAHYU'!B:H,MATCH(DATA!D1410,'BIO WAHYU'!B:B,0),4)</f>
        <v>0</v>
      </c>
    </row>
    <row r="1411" spans="1:13">
      <c r="A1411" s="43" t="s">
        <v>1671</v>
      </c>
      <c r="B1411" s="43" t="s">
        <v>142</v>
      </c>
      <c r="C1411" s="43" t="s">
        <v>364</v>
      </c>
      <c r="D1411" s="10">
        <v>532034</v>
      </c>
      <c r="E1411" s="43" t="s">
        <v>10</v>
      </c>
      <c r="F1411" s="8">
        <f>_xlfn.IFNA(INDEX('OSA | 3GB'!J:L,MATCH(DATA!D1411,'OSA | 3GB'!J:J,0),2),0)</f>
        <v>4</v>
      </c>
      <c r="G1411" s="8">
        <f>_xlfn.IFNA(INDEX('OSA | 3GB'!J:L,MATCH(DATA!D1411,'OSA | 3GB'!J:J,0),3),0)</f>
        <v>3800000</v>
      </c>
      <c r="H1411" s="32" t="str">
        <f>_xlfn.IFNA(INDEX('OSA | 3GB'!A:C,MATCH(DATA!D1411,'OSA | 3GB'!A:A,0),2),0)</f>
        <v xml:space="preserve"> -   </v>
      </c>
      <c r="I1411" s="33">
        <f>_xlfn.IFNA(INDEX('OSA | 3GB'!A:C,MATCH(DATA!D1411,'OSA | 3GB'!A:A,0),3),0)</f>
        <v>1250000</v>
      </c>
      <c r="J1411" s="33">
        <f>INDEX('BIO WAHYU'!B:G,MATCH(DATA!D1411,'BIO WAHYU'!B:B,0),5)</f>
        <v>1</v>
      </c>
      <c r="K1411" s="34">
        <f>INDEX('BIO WAHYU'!B:G,MATCH(DATA!D1411,'BIO WAHYU'!B:B,0),6)</f>
        <v>1</v>
      </c>
      <c r="L1411" s="35">
        <f>INDEX('BIO WAHYU'!B:H,MATCH(DATA!D1411,'BIO WAHYU'!B:B,0),7)</f>
        <v>0</v>
      </c>
      <c r="M1411" s="34">
        <f>INDEX('BIO WAHYU'!B:H,MATCH(DATA!D1411,'BIO WAHYU'!B:B,0),4)</f>
        <v>0</v>
      </c>
    </row>
    <row r="1412" spans="1:13">
      <c r="A1412" s="43" t="s">
        <v>1673</v>
      </c>
      <c r="B1412" s="43" t="s">
        <v>143</v>
      </c>
      <c r="C1412" s="43" t="s">
        <v>1589</v>
      </c>
      <c r="D1412" s="10">
        <v>370055</v>
      </c>
      <c r="E1412" s="43" t="s">
        <v>10</v>
      </c>
      <c r="F1412" s="8">
        <f>_xlfn.IFNA(INDEX('OSA | 3GB'!J:L,MATCH(DATA!D1412,'OSA | 3GB'!J:J,0),2),0)</f>
        <v>4</v>
      </c>
      <c r="G1412" s="8">
        <f>_xlfn.IFNA(INDEX('OSA | 3GB'!J:L,MATCH(DATA!D1412,'OSA | 3GB'!J:J,0),3),0)</f>
        <v>1458000</v>
      </c>
      <c r="H1412" s="32">
        <f>_xlfn.IFNA(INDEX('OSA | 3GB'!A:C,MATCH(DATA!D1412,'OSA | 3GB'!A:A,0),2),0)</f>
        <v>1</v>
      </c>
      <c r="I1412" s="33">
        <f>_xlfn.IFNA(INDEX('OSA | 3GB'!A:C,MATCH(DATA!D1412,'OSA | 3GB'!A:A,0),3),0)</f>
        <v>450000</v>
      </c>
      <c r="J1412" s="33">
        <f>INDEX('BIO WAHYU'!B:G,MATCH(DATA!D1412,'BIO WAHYU'!B:B,0),5)</f>
        <v>4</v>
      </c>
      <c r="K1412" s="34">
        <f>INDEX('BIO WAHYU'!B:G,MATCH(DATA!D1412,'BIO WAHYU'!B:B,0),6)</f>
        <v>2</v>
      </c>
      <c r="L1412" s="35">
        <f>INDEX('BIO WAHYU'!B:H,MATCH(DATA!D1412,'BIO WAHYU'!B:B,0),7)</f>
        <v>0</v>
      </c>
      <c r="M1412" s="34">
        <f>INDEX('BIO WAHYU'!B:H,MATCH(DATA!D1412,'BIO WAHYU'!B:B,0),4)</f>
        <v>0</v>
      </c>
    </row>
    <row r="1413" spans="1:13">
      <c r="A1413" s="43" t="s">
        <v>1674</v>
      </c>
      <c r="B1413" s="43">
        <v>2613052222</v>
      </c>
      <c r="C1413" s="43" t="s">
        <v>688</v>
      </c>
      <c r="D1413" s="10">
        <v>199317</v>
      </c>
      <c r="E1413" s="43" t="s">
        <v>10</v>
      </c>
      <c r="F1413" s="8">
        <f>_xlfn.IFNA(INDEX('OSA | 3GB'!J:L,MATCH(DATA!D1413,'OSA | 3GB'!J:J,0),2),0)</f>
        <v>3</v>
      </c>
      <c r="G1413" s="8">
        <f>_xlfn.IFNA(INDEX('OSA | 3GB'!J:L,MATCH(DATA!D1413,'OSA | 3GB'!J:J,0),3),0)</f>
        <v>87000</v>
      </c>
      <c r="H1413" s="32" t="str">
        <f>_xlfn.IFNA(INDEX('OSA | 3GB'!A:C,MATCH(DATA!D1413,'OSA | 3GB'!A:A,0),2),0)</f>
        <v xml:space="preserve"> -   </v>
      </c>
      <c r="I1413" s="33">
        <f>_xlfn.IFNA(INDEX('OSA | 3GB'!A:C,MATCH(DATA!D1413,'OSA | 3GB'!A:A,0),3),0)</f>
        <v>100000</v>
      </c>
      <c r="J1413" s="33">
        <f>INDEX('BIO WAHYU'!B:G,MATCH(DATA!D1413,'BIO WAHYU'!B:B,0),5)</f>
        <v>0</v>
      </c>
      <c r="K1413" s="34">
        <f>INDEX('BIO WAHYU'!B:G,MATCH(DATA!D1413,'BIO WAHYU'!B:B,0),6)</f>
        <v>0</v>
      </c>
      <c r="L1413" s="35">
        <f>INDEX('BIO WAHYU'!B:H,MATCH(DATA!D1413,'BIO WAHYU'!B:B,0),7)</f>
        <v>0</v>
      </c>
      <c r="M1413" s="34">
        <f>INDEX('BIO WAHYU'!B:H,MATCH(DATA!D1413,'BIO WAHYU'!B:B,0),4)</f>
        <v>0</v>
      </c>
    </row>
    <row r="1414" spans="1:13">
      <c r="A1414" s="43" t="s">
        <v>1672</v>
      </c>
      <c r="B1414" s="43" t="s">
        <v>151</v>
      </c>
      <c r="C1414" s="43" t="s">
        <v>1590</v>
      </c>
      <c r="D1414" s="10">
        <v>370031</v>
      </c>
      <c r="E1414" s="43" t="s">
        <v>10</v>
      </c>
      <c r="F1414" s="8">
        <f>_xlfn.IFNA(INDEX('OSA | 3GB'!J:L,MATCH(DATA!D1414,'OSA | 3GB'!J:J,0),2),0)</f>
        <v>0</v>
      </c>
      <c r="G1414" s="8">
        <f>_xlfn.IFNA(INDEX('OSA | 3GB'!J:L,MATCH(DATA!D1414,'OSA | 3GB'!J:J,0),3),0)</f>
        <v>500000</v>
      </c>
      <c r="H1414" s="32">
        <f>_xlfn.IFNA(INDEX('OSA | 3GB'!A:C,MATCH(DATA!D1414,'OSA | 3GB'!A:A,0),2),0)</f>
        <v>3</v>
      </c>
      <c r="I1414" s="33">
        <f>_xlfn.IFNA(INDEX('OSA | 3GB'!A:C,MATCH(DATA!D1414,'OSA | 3GB'!A:A,0),3),0)</f>
        <v>87000</v>
      </c>
      <c r="J1414" s="33">
        <f>INDEX('BIO WAHYU'!B:G,MATCH(DATA!D1414,'BIO WAHYU'!B:B,0),5)</f>
        <v>3</v>
      </c>
      <c r="K1414" s="34">
        <f>INDEX('BIO WAHYU'!B:G,MATCH(DATA!D1414,'BIO WAHYU'!B:B,0),6)</f>
        <v>1</v>
      </c>
      <c r="L1414" s="35">
        <f>INDEX('BIO WAHYU'!B:H,MATCH(DATA!D1414,'BIO WAHYU'!B:B,0),7)</f>
        <v>0</v>
      </c>
      <c r="M1414" s="34">
        <f>INDEX('BIO WAHYU'!B:H,MATCH(DATA!D1414,'BIO WAHYU'!B:B,0),4)</f>
        <v>0</v>
      </c>
    </row>
    <row r="1415" spans="1:13">
      <c r="A1415" s="43" t="s">
        <v>1673</v>
      </c>
      <c r="B1415" s="43" t="s">
        <v>144</v>
      </c>
      <c r="C1415" s="43" t="s">
        <v>221</v>
      </c>
      <c r="D1415" s="10">
        <v>240734</v>
      </c>
      <c r="E1415" s="43" t="s">
        <v>15</v>
      </c>
      <c r="F1415" s="8">
        <f>_xlfn.IFNA(INDEX('OSA | 3GB'!J:L,MATCH(DATA!D1415,'OSA | 3GB'!J:J,0),2),0)</f>
        <v>5</v>
      </c>
      <c r="G1415" s="8">
        <f>_xlfn.IFNA(INDEX('OSA | 3GB'!J:L,MATCH(DATA!D1415,'OSA | 3GB'!J:J,0),3),0)</f>
        <v>1800000</v>
      </c>
      <c r="H1415" s="32" t="str">
        <f>_xlfn.IFNA(INDEX('OSA | 3GB'!A:C,MATCH(DATA!D1415,'OSA | 3GB'!A:A,0),2),0)</f>
        <v xml:space="preserve"> -   </v>
      </c>
      <c r="I1415" s="33">
        <f>_xlfn.IFNA(INDEX('OSA | 3GB'!A:C,MATCH(DATA!D1415,'OSA | 3GB'!A:A,0),3),0)</f>
        <v>1200000</v>
      </c>
      <c r="J1415" s="33">
        <f>INDEX('BIO WAHYU'!B:G,MATCH(DATA!D1415,'BIO WAHYU'!B:B,0),5)</f>
        <v>2</v>
      </c>
      <c r="K1415" s="34">
        <f>INDEX('BIO WAHYU'!B:G,MATCH(DATA!D1415,'BIO WAHYU'!B:B,0),6)</f>
        <v>0</v>
      </c>
      <c r="L1415" s="35">
        <f>INDEX('BIO WAHYU'!B:H,MATCH(DATA!D1415,'BIO WAHYU'!B:B,0),7)</f>
        <v>0</v>
      </c>
      <c r="M1415" s="34">
        <f>INDEX('BIO WAHYU'!B:H,MATCH(DATA!D1415,'BIO WAHYU'!B:B,0),4)</f>
        <v>0</v>
      </c>
    </row>
    <row r="1416" spans="1:13">
      <c r="A1416" s="43" t="s">
        <v>1674</v>
      </c>
      <c r="B1416" s="43" t="s">
        <v>148</v>
      </c>
      <c r="C1416" s="43" t="s">
        <v>1172</v>
      </c>
      <c r="D1416" s="10">
        <v>12328320</v>
      </c>
      <c r="E1416" s="43" t="s">
        <v>10</v>
      </c>
      <c r="F1416" s="8">
        <f>_xlfn.IFNA(INDEX('OSA | 3GB'!J:L,MATCH(DATA!D1416,'OSA | 3GB'!J:J,0),2),0)</f>
        <v>3</v>
      </c>
      <c r="G1416" s="8">
        <f>_xlfn.IFNA(INDEX('OSA | 3GB'!J:L,MATCH(DATA!D1416,'OSA | 3GB'!J:J,0),3),0)</f>
        <v>1087000</v>
      </c>
      <c r="H1416" s="32" t="str">
        <f>_xlfn.IFNA(INDEX('OSA | 3GB'!A:C,MATCH(DATA!D1416,'OSA | 3GB'!A:A,0),2),0)</f>
        <v xml:space="preserve"> -   </v>
      </c>
      <c r="I1416" s="33" t="str">
        <f>_xlfn.IFNA(INDEX('OSA | 3GB'!A:C,MATCH(DATA!D1416,'OSA | 3GB'!A:A,0),3),0)</f>
        <v xml:space="preserve"> -   </v>
      </c>
      <c r="J1416" s="33">
        <f>INDEX('BIO WAHYU'!B:G,MATCH(DATA!D1416,'BIO WAHYU'!B:B,0),5)</f>
        <v>1</v>
      </c>
      <c r="K1416" s="34">
        <f>INDEX('BIO WAHYU'!B:G,MATCH(DATA!D1416,'BIO WAHYU'!B:B,0),6)</f>
        <v>1</v>
      </c>
      <c r="L1416" s="35">
        <f>INDEX('BIO WAHYU'!B:H,MATCH(DATA!D1416,'BIO WAHYU'!B:B,0),7)</f>
        <v>0</v>
      </c>
      <c r="M1416" s="34">
        <f>INDEX('BIO WAHYU'!B:H,MATCH(DATA!D1416,'BIO WAHYU'!B:B,0),4)</f>
        <v>0</v>
      </c>
    </row>
    <row r="1417" spans="1:13">
      <c r="A1417" s="43" t="s">
        <v>1671</v>
      </c>
      <c r="B1417" s="43">
        <v>2613050885</v>
      </c>
      <c r="C1417" s="43" t="s">
        <v>280</v>
      </c>
      <c r="D1417" s="10">
        <v>12325673</v>
      </c>
      <c r="E1417" s="43" t="s">
        <v>15</v>
      </c>
      <c r="F1417" s="8">
        <f>_xlfn.IFNA(INDEX('OSA | 3GB'!J:L,MATCH(DATA!D1417,'OSA | 3GB'!J:J,0),2),0)</f>
        <v>6</v>
      </c>
      <c r="G1417" s="8">
        <f>_xlfn.IFNA(INDEX('OSA | 3GB'!J:L,MATCH(DATA!D1417,'OSA | 3GB'!J:J,0),3),0)</f>
        <v>12180000</v>
      </c>
      <c r="H1417" s="32">
        <f>_xlfn.IFNA(INDEX('OSA | 3GB'!A:C,MATCH(DATA!D1417,'OSA | 3GB'!A:A,0),2),0)</f>
        <v>3</v>
      </c>
      <c r="I1417" s="33" t="str">
        <f>_xlfn.IFNA(INDEX('OSA | 3GB'!A:C,MATCH(DATA!D1417,'OSA | 3GB'!A:A,0),3),0)</f>
        <v xml:space="preserve"> -   </v>
      </c>
      <c r="J1417" s="33">
        <f>INDEX('BIO WAHYU'!B:G,MATCH(DATA!D1417,'BIO WAHYU'!B:B,0),5)</f>
        <v>3</v>
      </c>
      <c r="K1417" s="34">
        <f>INDEX('BIO WAHYU'!B:G,MATCH(DATA!D1417,'BIO WAHYU'!B:B,0),6)</f>
        <v>3</v>
      </c>
      <c r="L1417" s="35">
        <f>INDEX('BIO WAHYU'!B:H,MATCH(DATA!D1417,'BIO WAHYU'!B:B,0),7)</f>
        <v>0</v>
      </c>
      <c r="M1417" s="34">
        <f>INDEX('BIO WAHYU'!B:H,MATCH(DATA!D1417,'BIO WAHYU'!B:B,0),4)</f>
        <v>0</v>
      </c>
    </row>
    <row r="1418" spans="1:13">
      <c r="A1418" s="43" t="s">
        <v>1673</v>
      </c>
      <c r="B1418" s="43" t="s">
        <v>141</v>
      </c>
      <c r="C1418" s="43" t="s">
        <v>204</v>
      </c>
      <c r="D1418" s="10">
        <v>527188</v>
      </c>
      <c r="E1418" s="43" t="s">
        <v>10</v>
      </c>
      <c r="F1418" s="8">
        <f>_xlfn.IFNA(INDEX('OSA | 3GB'!J:L,MATCH(DATA!D1418,'OSA | 3GB'!J:J,0),2),0)</f>
        <v>8</v>
      </c>
      <c r="G1418" s="8">
        <f>_xlfn.IFNA(INDEX('OSA | 3GB'!J:L,MATCH(DATA!D1418,'OSA | 3GB'!J:J,0),3),0)</f>
        <v>1100000</v>
      </c>
      <c r="H1418" s="32" t="str">
        <f>_xlfn.IFNA(INDEX('OSA | 3GB'!A:C,MATCH(DATA!D1418,'OSA | 3GB'!A:A,0),2),0)</f>
        <v xml:space="preserve"> -   </v>
      </c>
      <c r="I1418" s="33">
        <f>_xlfn.IFNA(INDEX('OSA | 3GB'!A:C,MATCH(DATA!D1418,'OSA | 3GB'!A:A,0),3),0)</f>
        <v>200000</v>
      </c>
      <c r="J1418" s="33">
        <f>INDEX('BIO WAHYU'!B:G,MATCH(DATA!D1418,'BIO WAHYU'!B:B,0),5)</f>
        <v>3</v>
      </c>
      <c r="K1418" s="34">
        <f>INDEX('BIO WAHYU'!B:G,MATCH(DATA!D1418,'BIO WAHYU'!B:B,0),6)</f>
        <v>0</v>
      </c>
      <c r="L1418" s="35">
        <f>INDEX('BIO WAHYU'!B:H,MATCH(DATA!D1418,'BIO WAHYU'!B:B,0),7)</f>
        <v>0</v>
      </c>
      <c r="M1418" s="34">
        <f>INDEX('BIO WAHYU'!B:H,MATCH(DATA!D1418,'BIO WAHYU'!B:B,0),4)</f>
        <v>0</v>
      </c>
    </row>
    <row r="1419" spans="1:13">
      <c r="A1419" s="43" t="s">
        <v>1671</v>
      </c>
      <c r="B1419" s="43" t="s">
        <v>142</v>
      </c>
      <c r="C1419" s="43" t="s">
        <v>375</v>
      </c>
      <c r="D1419" s="10">
        <v>572380</v>
      </c>
      <c r="E1419" s="43" t="s">
        <v>10</v>
      </c>
      <c r="F1419" s="8">
        <f>_xlfn.IFNA(INDEX('OSA | 3GB'!J:L,MATCH(DATA!D1419,'OSA | 3GB'!J:J,0),2),0)</f>
        <v>3</v>
      </c>
      <c r="G1419" s="8">
        <f>_xlfn.IFNA(INDEX('OSA | 3GB'!J:L,MATCH(DATA!D1419,'OSA | 3GB'!J:J,0),3),0)</f>
        <v>850000</v>
      </c>
      <c r="H1419" s="32" t="str">
        <f>_xlfn.IFNA(INDEX('OSA | 3GB'!A:C,MATCH(DATA!D1419,'OSA | 3GB'!A:A,0),2),0)</f>
        <v xml:space="preserve"> -   </v>
      </c>
      <c r="I1419" s="33">
        <f>_xlfn.IFNA(INDEX('OSA | 3GB'!A:C,MATCH(DATA!D1419,'OSA | 3GB'!A:A,0),3),0)</f>
        <v>1150000</v>
      </c>
      <c r="J1419" s="33">
        <f>INDEX('BIO WAHYU'!B:G,MATCH(DATA!D1419,'BIO WAHYU'!B:B,0),5)</f>
        <v>1</v>
      </c>
      <c r="K1419" s="34">
        <f>INDEX('BIO WAHYU'!B:G,MATCH(DATA!D1419,'BIO WAHYU'!B:B,0),6)</f>
        <v>1</v>
      </c>
      <c r="L1419" s="35">
        <f>INDEX('BIO WAHYU'!B:H,MATCH(DATA!D1419,'BIO WAHYU'!B:B,0),7)</f>
        <v>0</v>
      </c>
      <c r="M1419" s="34">
        <f>INDEX('BIO WAHYU'!B:H,MATCH(DATA!D1419,'BIO WAHYU'!B:B,0),4)</f>
        <v>0</v>
      </c>
    </row>
    <row r="1420" spans="1:13">
      <c r="A1420" s="43" t="s">
        <v>1674</v>
      </c>
      <c r="B1420" s="43" t="s">
        <v>153</v>
      </c>
      <c r="C1420" s="43" t="s">
        <v>1591</v>
      </c>
      <c r="D1420" s="10">
        <v>222820</v>
      </c>
      <c r="E1420" s="43" t="s">
        <v>10</v>
      </c>
      <c r="F1420" s="8">
        <f>_xlfn.IFNA(INDEX('OSA | 3GB'!J:L,MATCH(DATA!D1420,'OSA | 3GB'!J:J,0),2),0)</f>
        <v>3</v>
      </c>
      <c r="G1420" s="8">
        <f>_xlfn.IFNA(INDEX('OSA | 3GB'!J:L,MATCH(DATA!D1420,'OSA | 3GB'!J:J,0),3),0)</f>
        <v>700000</v>
      </c>
      <c r="H1420" s="32" t="str">
        <f>_xlfn.IFNA(INDEX('OSA | 3GB'!A:C,MATCH(DATA!D1420,'OSA | 3GB'!A:A,0),2),0)</f>
        <v xml:space="preserve"> -   </v>
      </c>
      <c r="I1420" s="33">
        <f>_xlfn.IFNA(INDEX('OSA | 3GB'!A:C,MATCH(DATA!D1420,'OSA | 3GB'!A:A,0),3),0)</f>
        <v>200000</v>
      </c>
      <c r="J1420" s="33">
        <f>INDEX('BIO WAHYU'!B:G,MATCH(DATA!D1420,'BIO WAHYU'!B:B,0),5)</f>
        <v>1</v>
      </c>
      <c r="K1420" s="34">
        <f>INDEX('BIO WAHYU'!B:G,MATCH(DATA!D1420,'BIO WAHYU'!B:B,0),6)</f>
        <v>0</v>
      </c>
      <c r="L1420" s="35">
        <f>INDEX('BIO WAHYU'!B:H,MATCH(DATA!D1420,'BIO WAHYU'!B:B,0),7)</f>
        <v>0</v>
      </c>
      <c r="M1420" s="34">
        <f>INDEX('BIO WAHYU'!B:H,MATCH(DATA!D1420,'BIO WAHYU'!B:B,0),4)</f>
        <v>0</v>
      </c>
    </row>
    <row r="1421" spans="1:13">
      <c r="A1421" s="43" t="s">
        <v>1670</v>
      </c>
      <c r="B1421" s="43">
        <v>2613051412</v>
      </c>
      <c r="C1421" s="43" t="s">
        <v>1592</v>
      </c>
      <c r="D1421" s="10">
        <v>10342</v>
      </c>
      <c r="E1421" s="43" t="s">
        <v>10</v>
      </c>
      <c r="F1421" s="8">
        <f>_xlfn.IFNA(INDEX('OSA | 3GB'!J:L,MATCH(DATA!D1421,'OSA | 3GB'!J:J,0),2),0)</f>
        <v>0</v>
      </c>
      <c r="G1421" s="8">
        <f>_xlfn.IFNA(INDEX('OSA | 3GB'!J:L,MATCH(DATA!D1421,'OSA | 3GB'!J:J,0),3),0)</f>
        <v>464700</v>
      </c>
      <c r="H1421" s="32" t="str">
        <f>_xlfn.IFNA(INDEX('OSA | 3GB'!A:C,MATCH(DATA!D1421,'OSA | 3GB'!A:A,0),2),0)</f>
        <v xml:space="preserve"> -   </v>
      </c>
      <c r="I1421" s="33">
        <f>_xlfn.IFNA(INDEX('OSA | 3GB'!A:C,MATCH(DATA!D1421,'OSA | 3GB'!A:A,0),3),0)</f>
        <v>263742</v>
      </c>
      <c r="J1421" s="33">
        <f>INDEX('BIO WAHYU'!B:G,MATCH(DATA!D1421,'BIO WAHYU'!B:B,0),5)</f>
        <v>0</v>
      </c>
      <c r="K1421" s="34">
        <f>INDEX('BIO WAHYU'!B:G,MATCH(DATA!D1421,'BIO WAHYU'!B:B,0),6)</f>
        <v>1</v>
      </c>
      <c r="L1421" s="35">
        <f>INDEX('BIO WAHYU'!B:H,MATCH(DATA!D1421,'BIO WAHYU'!B:B,0),7)</f>
        <v>1</v>
      </c>
      <c r="M1421" s="34">
        <f>INDEX('BIO WAHYU'!B:H,MATCH(DATA!D1421,'BIO WAHYU'!B:B,0),4)</f>
        <v>0</v>
      </c>
    </row>
    <row r="1422" spans="1:13">
      <c r="A1422" s="43" t="s">
        <v>1673</v>
      </c>
      <c r="B1422" s="43" t="s">
        <v>143</v>
      </c>
      <c r="C1422" s="43" t="s">
        <v>262</v>
      </c>
      <c r="D1422" s="10">
        <v>415949</v>
      </c>
      <c r="E1422" s="43" t="s">
        <v>10</v>
      </c>
      <c r="F1422" s="8">
        <f>_xlfn.IFNA(INDEX('OSA | 3GB'!J:L,MATCH(DATA!D1422,'OSA | 3GB'!J:J,0),2),0)</f>
        <v>107</v>
      </c>
      <c r="G1422" s="8">
        <f>_xlfn.IFNA(INDEX('OSA | 3GB'!J:L,MATCH(DATA!D1422,'OSA | 3GB'!J:J,0),3),0)</f>
        <v>7003000</v>
      </c>
      <c r="H1422" s="32">
        <f>_xlfn.IFNA(INDEX('OSA | 3GB'!A:C,MATCH(DATA!D1422,'OSA | 3GB'!A:A,0),2),0)</f>
        <v>21</v>
      </c>
      <c r="I1422" s="33">
        <f>_xlfn.IFNA(INDEX('OSA | 3GB'!A:C,MATCH(DATA!D1422,'OSA | 3GB'!A:A,0),3),0)</f>
        <v>4058000</v>
      </c>
      <c r="J1422" s="33">
        <f>INDEX('BIO WAHYU'!B:G,MATCH(DATA!D1422,'BIO WAHYU'!B:B,0),5)</f>
        <v>15</v>
      </c>
      <c r="K1422" s="34">
        <f>INDEX('BIO WAHYU'!B:G,MATCH(DATA!D1422,'BIO WAHYU'!B:B,0),6)</f>
        <v>26</v>
      </c>
      <c r="L1422" s="35">
        <f>INDEX('BIO WAHYU'!B:H,MATCH(DATA!D1422,'BIO WAHYU'!B:B,0),7)</f>
        <v>11</v>
      </c>
      <c r="M1422" s="34">
        <f>INDEX('BIO WAHYU'!B:H,MATCH(DATA!D1422,'BIO WAHYU'!B:B,0),4)</f>
        <v>0</v>
      </c>
    </row>
    <row r="1423" spans="1:13">
      <c r="A1423" s="43" t="s">
        <v>1</v>
      </c>
      <c r="B1423" s="43" t="s">
        <v>3</v>
      </c>
      <c r="C1423" s="43" t="s">
        <v>1120</v>
      </c>
      <c r="D1423" s="10">
        <v>368809</v>
      </c>
      <c r="E1423" s="43" t="s">
        <v>10</v>
      </c>
      <c r="F1423" s="8">
        <f>_xlfn.IFNA(INDEX('OSA | 3GB'!J:L,MATCH(DATA!D1423,'OSA | 3GB'!J:J,0),2),0)</f>
        <v>0</v>
      </c>
      <c r="G1423" s="8">
        <f>_xlfn.IFNA(INDEX('OSA | 3GB'!J:L,MATCH(DATA!D1423,'OSA | 3GB'!J:J,0),3),0)</f>
        <v>2138500</v>
      </c>
      <c r="H1423" s="32" t="str">
        <f>_xlfn.IFNA(INDEX('OSA | 3GB'!A:C,MATCH(DATA!D1423,'OSA | 3GB'!A:A,0),2),0)</f>
        <v xml:space="preserve"> -   </v>
      </c>
      <c r="I1423" s="33" t="str">
        <f>_xlfn.IFNA(INDEX('OSA | 3GB'!A:C,MATCH(DATA!D1423,'OSA | 3GB'!A:A,0),3),0)</f>
        <v xml:space="preserve"> -   </v>
      </c>
      <c r="J1423" s="33">
        <f>INDEX('BIO WAHYU'!B:G,MATCH(DATA!D1423,'BIO WAHYU'!B:B,0),5)</f>
        <v>1</v>
      </c>
      <c r="K1423" s="34">
        <f>INDEX('BIO WAHYU'!B:G,MATCH(DATA!D1423,'BIO WAHYU'!B:B,0),6)</f>
        <v>0</v>
      </c>
      <c r="L1423" s="35">
        <f>INDEX('BIO WAHYU'!B:H,MATCH(DATA!D1423,'BIO WAHYU'!B:B,0),7)</f>
        <v>0</v>
      </c>
      <c r="M1423" s="34">
        <f>INDEX('BIO WAHYU'!B:H,MATCH(DATA!D1423,'BIO WAHYU'!B:B,0),4)</f>
        <v>0</v>
      </c>
    </row>
    <row r="1424" spans="1:13">
      <c r="A1424" s="43" t="s">
        <v>1675</v>
      </c>
      <c r="B1424" s="43" t="s">
        <v>136</v>
      </c>
      <c r="C1424" s="43" t="s">
        <v>396</v>
      </c>
      <c r="D1424" s="10">
        <v>12327177</v>
      </c>
      <c r="E1424" s="43" t="s">
        <v>10</v>
      </c>
      <c r="F1424" s="8">
        <f>_xlfn.IFNA(INDEX('OSA | 3GB'!J:L,MATCH(DATA!D1424,'OSA | 3GB'!J:J,0),2),0)</f>
        <v>153</v>
      </c>
      <c r="G1424" s="8">
        <f>_xlfn.IFNA(INDEX('OSA | 3GB'!J:L,MATCH(DATA!D1424,'OSA | 3GB'!J:J,0),3),0)</f>
        <v>1278000</v>
      </c>
      <c r="H1424" s="32">
        <f>_xlfn.IFNA(INDEX('OSA | 3GB'!A:C,MATCH(DATA!D1424,'OSA | 3GB'!A:A,0),2),0)</f>
        <v>410</v>
      </c>
      <c r="I1424" s="33">
        <f>_xlfn.IFNA(INDEX('OSA | 3GB'!A:C,MATCH(DATA!D1424,'OSA | 3GB'!A:A,0),3),0)</f>
        <v>2136000</v>
      </c>
      <c r="J1424" s="33">
        <f>INDEX('BIO WAHYU'!B:G,MATCH(DATA!D1424,'BIO WAHYU'!B:B,0),5)</f>
        <v>4</v>
      </c>
      <c r="K1424" s="34">
        <f>INDEX('BIO WAHYU'!B:G,MATCH(DATA!D1424,'BIO WAHYU'!B:B,0),6)</f>
        <v>0</v>
      </c>
      <c r="L1424" s="35">
        <f>INDEX('BIO WAHYU'!B:H,MATCH(DATA!D1424,'BIO WAHYU'!B:B,0),7)</f>
        <v>0</v>
      </c>
      <c r="M1424" s="34">
        <f>INDEX('BIO WAHYU'!B:H,MATCH(DATA!D1424,'BIO WAHYU'!B:B,0),4)</f>
        <v>0</v>
      </c>
    </row>
    <row r="1425" spans="1:13">
      <c r="A1425" s="43" t="s">
        <v>1670</v>
      </c>
      <c r="B1425" s="43" t="s">
        <v>145</v>
      </c>
      <c r="C1425" s="43" t="s">
        <v>523</v>
      </c>
      <c r="D1425" s="10">
        <v>9808</v>
      </c>
      <c r="E1425" s="43" t="s">
        <v>10</v>
      </c>
      <c r="F1425" s="8">
        <f>_xlfn.IFNA(INDEX('OSA | 3GB'!J:L,MATCH(DATA!D1425,'OSA | 3GB'!J:J,0),2),0)</f>
        <v>3</v>
      </c>
      <c r="G1425" s="8">
        <f>_xlfn.IFNA(INDEX('OSA | 3GB'!J:L,MATCH(DATA!D1425,'OSA | 3GB'!J:J,0),3),0)</f>
        <v>900000</v>
      </c>
      <c r="H1425" s="32">
        <f>_xlfn.IFNA(INDEX('OSA | 3GB'!A:C,MATCH(DATA!D1425,'OSA | 3GB'!A:A,0),2),0)</f>
        <v>3</v>
      </c>
      <c r="I1425" s="33">
        <f>_xlfn.IFNA(INDEX('OSA | 3GB'!A:C,MATCH(DATA!D1425,'OSA | 3GB'!A:A,0),3),0)</f>
        <v>600000</v>
      </c>
      <c r="J1425" s="33">
        <f>INDEX('BIO WAHYU'!B:G,MATCH(DATA!D1425,'BIO WAHYU'!B:B,0),5)</f>
        <v>4</v>
      </c>
      <c r="K1425" s="34">
        <f>INDEX('BIO WAHYU'!B:G,MATCH(DATA!D1425,'BIO WAHYU'!B:B,0),6)</f>
        <v>0</v>
      </c>
      <c r="L1425" s="35">
        <f>INDEX('BIO WAHYU'!B:H,MATCH(DATA!D1425,'BIO WAHYU'!B:B,0),7)</f>
        <v>0</v>
      </c>
      <c r="M1425" s="34">
        <f>INDEX('BIO WAHYU'!B:H,MATCH(DATA!D1425,'BIO WAHYU'!B:B,0),4)</f>
        <v>0</v>
      </c>
    </row>
    <row r="1426" spans="1:13">
      <c r="A1426" s="43" t="s">
        <v>1672</v>
      </c>
      <c r="B1426" s="43" t="s">
        <v>149</v>
      </c>
      <c r="C1426" s="43" t="s">
        <v>1593</v>
      </c>
      <c r="D1426" s="10">
        <v>126913</v>
      </c>
      <c r="E1426" s="43" t="s">
        <v>10</v>
      </c>
      <c r="F1426" s="8">
        <f>_xlfn.IFNA(INDEX('OSA | 3GB'!J:L,MATCH(DATA!D1426,'OSA | 3GB'!J:J,0),2),0)</f>
        <v>90</v>
      </c>
      <c r="G1426" s="8">
        <f>_xlfn.IFNA(INDEX('OSA | 3GB'!J:L,MATCH(DATA!D1426,'OSA | 3GB'!J:J,0),3),0)</f>
        <v>7808000</v>
      </c>
      <c r="H1426" s="32" t="str">
        <f>_xlfn.IFNA(INDEX('OSA | 3GB'!A:C,MATCH(DATA!D1426,'OSA | 3GB'!A:A,0),2),0)</f>
        <v xml:space="preserve"> -   </v>
      </c>
      <c r="I1426" s="33">
        <f>_xlfn.IFNA(INDEX('OSA | 3GB'!A:C,MATCH(DATA!D1426,'OSA | 3GB'!A:A,0),3),0)</f>
        <v>2700000</v>
      </c>
      <c r="J1426" s="33">
        <f>INDEX('BIO WAHYU'!B:G,MATCH(DATA!D1426,'BIO WAHYU'!B:B,0),5)</f>
        <v>3</v>
      </c>
      <c r="K1426" s="34">
        <f>INDEX('BIO WAHYU'!B:G,MATCH(DATA!D1426,'BIO WAHYU'!B:B,0),6)</f>
        <v>0</v>
      </c>
      <c r="L1426" s="35">
        <f>INDEX('BIO WAHYU'!B:H,MATCH(DATA!D1426,'BIO WAHYU'!B:B,0),7)</f>
        <v>0</v>
      </c>
      <c r="M1426" s="34">
        <f>INDEX('BIO WAHYU'!B:H,MATCH(DATA!D1426,'BIO WAHYU'!B:B,0),4)</f>
        <v>0</v>
      </c>
    </row>
    <row r="1427" spans="1:13">
      <c r="A1427" s="43" t="s">
        <v>1674</v>
      </c>
      <c r="B1427" s="43" t="s">
        <v>153</v>
      </c>
      <c r="C1427" s="43" t="s">
        <v>1594</v>
      </c>
      <c r="D1427" s="10">
        <v>199037</v>
      </c>
      <c r="E1427" s="43" t="s">
        <v>10</v>
      </c>
      <c r="F1427" s="8">
        <f>_xlfn.IFNA(INDEX('OSA | 3GB'!J:L,MATCH(DATA!D1427,'OSA | 3GB'!J:J,0),2),0)</f>
        <v>3</v>
      </c>
      <c r="G1427" s="8">
        <f>_xlfn.IFNA(INDEX('OSA | 3GB'!J:L,MATCH(DATA!D1427,'OSA | 3GB'!J:J,0),3),0)</f>
        <v>3300000</v>
      </c>
      <c r="H1427" s="32" t="str">
        <f>_xlfn.IFNA(INDEX('OSA | 3GB'!A:C,MATCH(DATA!D1427,'OSA | 3GB'!A:A,0),2),0)</f>
        <v xml:space="preserve"> -   </v>
      </c>
      <c r="I1427" s="33">
        <f>_xlfn.IFNA(INDEX('OSA | 3GB'!A:C,MATCH(DATA!D1427,'OSA | 3GB'!A:A,0),3),0)</f>
        <v>1050000</v>
      </c>
      <c r="J1427" s="33">
        <f>INDEX('BIO WAHYU'!B:G,MATCH(DATA!D1427,'BIO WAHYU'!B:B,0),5)</f>
        <v>3</v>
      </c>
      <c r="K1427" s="34">
        <f>INDEX('BIO WAHYU'!B:G,MATCH(DATA!D1427,'BIO WAHYU'!B:B,0),6)</f>
        <v>1</v>
      </c>
      <c r="L1427" s="35">
        <f>INDEX('BIO WAHYU'!B:H,MATCH(DATA!D1427,'BIO WAHYU'!B:B,0),7)</f>
        <v>0</v>
      </c>
      <c r="M1427" s="34">
        <f>INDEX('BIO WAHYU'!B:H,MATCH(DATA!D1427,'BIO WAHYU'!B:B,0),4)</f>
        <v>0</v>
      </c>
    </row>
    <row r="1428" spans="1:13">
      <c r="A1428" s="43" t="s">
        <v>1670</v>
      </c>
      <c r="B1428" s="43" t="s">
        <v>146</v>
      </c>
      <c r="C1428" s="43" t="s">
        <v>530</v>
      </c>
      <c r="D1428" s="10">
        <v>12321233</v>
      </c>
      <c r="E1428" s="43" t="s">
        <v>10</v>
      </c>
      <c r="F1428" s="8">
        <f>_xlfn.IFNA(INDEX('OSA | 3GB'!J:L,MATCH(DATA!D1428,'OSA | 3GB'!J:J,0),2),0)</f>
        <v>0</v>
      </c>
      <c r="G1428" s="8">
        <f>_xlfn.IFNA(INDEX('OSA | 3GB'!J:L,MATCH(DATA!D1428,'OSA | 3GB'!J:J,0),3),0)</f>
        <v>0</v>
      </c>
      <c r="H1428" s="32" t="str">
        <f>_xlfn.IFNA(INDEX('OSA | 3GB'!A:C,MATCH(DATA!D1428,'OSA | 3GB'!A:A,0),2),0)</f>
        <v xml:space="preserve"> -   </v>
      </c>
      <c r="I1428" s="33" t="str">
        <f>_xlfn.IFNA(INDEX('OSA | 3GB'!A:C,MATCH(DATA!D1428,'OSA | 3GB'!A:A,0),3),0)</f>
        <v xml:space="preserve"> -   </v>
      </c>
      <c r="J1428" s="33">
        <f>INDEX('BIO WAHYU'!B:G,MATCH(DATA!D1428,'BIO WAHYU'!B:B,0),5)</f>
        <v>0</v>
      </c>
      <c r="K1428" s="34">
        <f>INDEX('BIO WAHYU'!B:G,MATCH(DATA!D1428,'BIO WAHYU'!B:B,0),6)</f>
        <v>0</v>
      </c>
      <c r="L1428" s="35">
        <f>INDEX('BIO WAHYU'!B:H,MATCH(DATA!D1428,'BIO WAHYU'!B:B,0),7)</f>
        <v>0</v>
      </c>
      <c r="M1428" s="34">
        <f>INDEX('BIO WAHYU'!B:H,MATCH(DATA!D1428,'BIO WAHYU'!B:B,0),4)</f>
        <v>0</v>
      </c>
    </row>
    <row r="1429" spans="1:13">
      <c r="A1429" s="43" t="s">
        <v>1671</v>
      </c>
      <c r="B1429" s="43" t="s">
        <v>142</v>
      </c>
      <c r="C1429" s="43" t="s">
        <v>1595</v>
      </c>
      <c r="D1429" s="10">
        <v>521830</v>
      </c>
      <c r="E1429" s="43" t="s">
        <v>10</v>
      </c>
      <c r="F1429" s="8">
        <f>_xlfn.IFNA(INDEX('OSA | 3GB'!J:L,MATCH(DATA!D1429,'OSA | 3GB'!J:J,0),2),0)</f>
        <v>5</v>
      </c>
      <c r="G1429" s="8">
        <f>_xlfn.IFNA(INDEX('OSA | 3GB'!J:L,MATCH(DATA!D1429,'OSA | 3GB'!J:J,0),3),0)</f>
        <v>7600000</v>
      </c>
      <c r="H1429" s="32">
        <f>_xlfn.IFNA(INDEX('OSA | 3GB'!A:C,MATCH(DATA!D1429,'OSA | 3GB'!A:A,0),2),0)</f>
        <v>17</v>
      </c>
      <c r="I1429" s="33">
        <f>_xlfn.IFNA(INDEX('OSA | 3GB'!A:C,MATCH(DATA!D1429,'OSA | 3GB'!A:A,0),3),0)</f>
        <v>1108000</v>
      </c>
      <c r="J1429" s="33">
        <f>INDEX('BIO WAHYU'!B:G,MATCH(DATA!D1429,'BIO WAHYU'!B:B,0),5)</f>
        <v>4</v>
      </c>
      <c r="K1429" s="34">
        <f>INDEX('BIO WAHYU'!B:G,MATCH(DATA!D1429,'BIO WAHYU'!B:B,0),6)</f>
        <v>3</v>
      </c>
      <c r="L1429" s="35">
        <f>INDEX('BIO WAHYU'!B:H,MATCH(DATA!D1429,'BIO WAHYU'!B:B,0),7)</f>
        <v>0</v>
      </c>
      <c r="M1429" s="34">
        <f>INDEX('BIO WAHYU'!B:H,MATCH(DATA!D1429,'BIO WAHYU'!B:B,0),4)</f>
        <v>0</v>
      </c>
    </row>
    <row r="1430" spans="1:13">
      <c r="A1430" s="43" t="s">
        <v>1673</v>
      </c>
      <c r="B1430" s="43" t="s">
        <v>143</v>
      </c>
      <c r="C1430" s="43" t="s">
        <v>1596</v>
      </c>
      <c r="D1430" s="10">
        <v>408617</v>
      </c>
      <c r="E1430" s="43" t="s">
        <v>15</v>
      </c>
      <c r="F1430" s="8">
        <f>_xlfn.IFNA(INDEX('OSA | 3GB'!J:L,MATCH(DATA!D1430,'OSA | 3GB'!J:J,0),2),0)</f>
        <v>4</v>
      </c>
      <c r="G1430" s="8">
        <f>_xlfn.IFNA(INDEX('OSA | 3GB'!J:L,MATCH(DATA!D1430,'OSA | 3GB'!J:J,0),3),0)</f>
        <v>1531000</v>
      </c>
      <c r="H1430" s="32">
        <f>_xlfn.IFNA(INDEX('OSA | 3GB'!A:C,MATCH(DATA!D1430,'OSA | 3GB'!A:A,0),2),0)</f>
        <v>1</v>
      </c>
      <c r="I1430" s="33">
        <f>_xlfn.IFNA(INDEX('OSA | 3GB'!A:C,MATCH(DATA!D1430,'OSA | 3GB'!A:A,0),3),0)</f>
        <v>650000</v>
      </c>
      <c r="J1430" s="33">
        <f>INDEX('BIO WAHYU'!B:G,MATCH(DATA!D1430,'BIO WAHYU'!B:B,0),5)</f>
        <v>3</v>
      </c>
      <c r="K1430" s="34">
        <f>INDEX('BIO WAHYU'!B:G,MATCH(DATA!D1430,'BIO WAHYU'!B:B,0),6)</f>
        <v>3</v>
      </c>
      <c r="L1430" s="35">
        <f>INDEX('BIO WAHYU'!B:H,MATCH(DATA!D1430,'BIO WAHYU'!B:B,0),7)</f>
        <v>0</v>
      </c>
      <c r="M1430" s="34">
        <f>INDEX('BIO WAHYU'!B:H,MATCH(DATA!D1430,'BIO WAHYU'!B:B,0),4)</f>
        <v>0</v>
      </c>
    </row>
    <row r="1431" spans="1:13">
      <c r="A1431" s="43" t="s">
        <v>1674</v>
      </c>
      <c r="B1431" s="43" t="s">
        <v>153</v>
      </c>
      <c r="C1431" s="43" t="s">
        <v>1597</v>
      </c>
      <c r="D1431" s="10">
        <v>231182</v>
      </c>
      <c r="E1431" s="43" t="s">
        <v>23</v>
      </c>
      <c r="F1431" s="8">
        <f>_xlfn.IFNA(INDEX('OSA | 3GB'!J:L,MATCH(DATA!D1431,'OSA | 3GB'!J:J,0),2),0)</f>
        <v>0</v>
      </c>
      <c r="G1431" s="8">
        <f>_xlfn.IFNA(INDEX('OSA | 3GB'!J:L,MATCH(DATA!D1431,'OSA | 3GB'!J:J,0),3),0)</f>
        <v>0</v>
      </c>
      <c r="H1431" s="32" t="str">
        <f>_xlfn.IFNA(INDEX('OSA | 3GB'!A:C,MATCH(DATA!D1431,'OSA | 3GB'!A:A,0),2),0)</f>
        <v xml:space="preserve"> -   </v>
      </c>
      <c r="I1431" s="33" t="str">
        <f>_xlfn.IFNA(INDEX('OSA | 3GB'!A:C,MATCH(DATA!D1431,'OSA | 3GB'!A:A,0),3),0)</f>
        <v xml:space="preserve"> -   </v>
      </c>
      <c r="J1431" s="33">
        <f>INDEX('BIO WAHYU'!B:G,MATCH(DATA!D1431,'BIO WAHYU'!B:B,0),5)</f>
        <v>0</v>
      </c>
      <c r="K1431" s="34">
        <f>INDEX('BIO WAHYU'!B:G,MATCH(DATA!D1431,'BIO WAHYU'!B:B,0),6)</f>
        <v>5</v>
      </c>
      <c r="L1431" s="35">
        <f>INDEX('BIO WAHYU'!B:H,MATCH(DATA!D1431,'BIO WAHYU'!B:B,0),7)</f>
        <v>5</v>
      </c>
      <c r="M1431" s="34">
        <f>INDEX('BIO WAHYU'!B:H,MATCH(DATA!D1431,'BIO WAHYU'!B:B,0),4)</f>
        <v>0</v>
      </c>
    </row>
    <row r="1432" spans="1:13">
      <c r="A1432" s="43" t="s">
        <v>1673</v>
      </c>
      <c r="B1432" s="43" t="s">
        <v>1140</v>
      </c>
      <c r="C1432" s="43" t="s">
        <v>1598</v>
      </c>
      <c r="D1432" s="10">
        <v>11201</v>
      </c>
      <c r="E1432" s="43" t="s">
        <v>10</v>
      </c>
      <c r="F1432" s="8">
        <f>_xlfn.IFNA(INDEX('OSA | 3GB'!J:L,MATCH(DATA!D1432,'OSA | 3GB'!J:J,0),2),0)</f>
        <v>0</v>
      </c>
      <c r="G1432" s="8">
        <f>_xlfn.IFNA(INDEX('OSA | 3GB'!J:L,MATCH(DATA!D1432,'OSA | 3GB'!J:J,0),3),0)</f>
        <v>400000</v>
      </c>
      <c r="H1432" s="32" t="str">
        <f>_xlfn.IFNA(INDEX('OSA | 3GB'!A:C,MATCH(DATA!D1432,'OSA | 3GB'!A:A,0),2),0)</f>
        <v xml:space="preserve"> -   </v>
      </c>
      <c r="I1432" s="33">
        <f>_xlfn.IFNA(INDEX('OSA | 3GB'!A:C,MATCH(DATA!D1432,'OSA | 3GB'!A:A,0),3),0)</f>
        <v>400000</v>
      </c>
      <c r="J1432" s="33">
        <f>INDEX('BIO WAHYU'!B:G,MATCH(DATA!D1432,'BIO WAHYU'!B:B,0),5)</f>
        <v>0</v>
      </c>
      <c r="K1432" s="34">
        <f>INDEX('BIO WAHYU'!B:G,MATCH(DATA!D1432,'BIO WAHYU'!B:B,0),6)</f>
        <v>0</v>
      </c>
      <c r="L1432" s="35">
        <f>INDEX('BIO WAHYU'!B:H,MATCH(DATA!D1432,'BIO WAHYU'!B:B,0),7)</f>
        <v>0</v>
      </c>
      <c r="M1432" s="34">
        <f>INDEX('BIO WAHYU'!B:H,MATCH(DATA!D1432,'BIO WAHYU'!B:B,0),4)</f>
        <v>0</v>
      </c>
    </row>
    <row r="1433" spans="1:13">
      <c r="A1433" s="43" t="s">
        <v>1672</v>
      </c>
      <c r="B1433" s="43" t="s">
        <v>151</v>
      </c>
      <c r="C1433" s="43" t="s">
        <v>1599</v>
      </c>
      <c r="D1433" s="10">
        <v>458948</v>
      </c>
      <c r="E1433" s="43" t="s">
        <v>10</v>
      </c>
      <c r="F1433" s="8">
        <f>_xlfn.IFNA(INDEX('OSA | 3GB'!J:L,MATCH(DATA!D1433,'OSA | 3GB'!J:J,0),2),0)</f>
        <v>2</v>
      </c>
      <c r="G1433" s="8">
        <f>_xlfn.IFNA(INDEX('OSA | 3GB'!J:L,MATCH(DATA!D1433,'OSA | 3GB'!J:J,0),3),0)</f>
        <v>2000000</v>
      </c>
      <c r="H1433" s="32" t="str">
        <f>_xlfn.IFNA(INDEX('OSA | 3GB'!A:C,MATCH(DATA!D1433,'OSA | 3GB'!A:A,0),2),0)</f>
        <v xml:space="preserve"> -   </v>
      </c>
      <c r="I1433" s="33">
        <f>_xlfn.IFNA(INDEX('OSA | 3GB'!A:C,MATCH(DATA!D1433,'OSA | 3GB'!A:A,0),3),0)</f>
        <v>1500000</v>
      </c>
      <c r="J1433" s="33">
        <f>INDEX('BIO WAHYU'!B:G,MATCH(DATA!D1433,'BIO WAHYU'!B:B,0),5)</f>
        <v>1</v>
      </c>
      <c r="K1433" s="34">
        <f>INDEX('BIO WAHYU'!B:G,MATCH(DATA!D1433,'BIO WAHYU'!B:B,0),6)</f>
        <v>0</v>
      </c>
      <c r="L1433" s="35">
        <f>INDEX('BIO WAHYU'!B:H,MATCH(DATA!D1433,'BIO WAHYU'!B:B,0),7)</f>
        <v>0</v>
      </c>
      <c r="M1433" s="34">
        <f>INDEX('BIO WAHYU'!B:H,MATCH(DATA!D1433,'BIO WAHYU'!B:B,0),4)</f>
        <v>0</v>
      </c>
    </row>
    <row r="1434" spans="1:13">
      <c r="A1434" s="43" t="s">
        <v>1674</v>
      </c>
      <c r="B1434" s="43" t="s">
        <v>148</v>
      </c>
      <c r="C1434" s="43" t="s">
        <v>1405</v>
      </c>
      <c r="D1434" s="10">
        <v>3576</v>
      </c>
      <c r="E1434" s="43" t="s">
        <v>10</v>
      </c>
      <c r="F1434" s="8">
        <f>_xlfn.IFNA(INDEX('OSA | 3GB'!J:L,MATCH(DATA!D1434,'OSA | 3GB'!J:J,0),2),0)</f>
        <v>3</v>
      </c>
      <c r="G1434" s="8">
        <f>_xlfn.IFNA(INDEX('OSA | 3GB'!J:L,MATCH(DATA!D1434,'OSA | 3GB'!J:J,0),3),0)</f>
        <v>1600000</v>
      </c>
      <c r="H1434" s="32" t="str">
        <f>_xlfn.IFNA(INDEX('OSA | 3GB'!A:C,MATCH(DATA!D1434,'OSA | 3GB'!A:A,0),2),0)</f>
        <v xml:space="preserve"> -   </v>
      </c>
      <c r="I1434" s="33">
        <f>_xlfn.IFNA(INDEX('OSA | 3GB'!A:C,MATCH(DATA!D1434,'OSA | 3GB'!A:A,0),3),0)</f>
        <v>529000</v>
      </c>
      <c r="J1434" s="33">
        <f>INDEX('BIO WAHYU'!B:G,MATCH(DATA!D1434,'BIO WAHYU'!B:B,0),5)</f>
        <v>1</v>
      </c>
      <c r="K1434" s="34">
        <f>INDEX('BIO WAHYU'!B:G,MATCH(DATA!D1434,'BIO WAHYU'!B:B,0),6)</f>
        <v>2</v>
      </c>
      <c r="L1434" s="35">
        <f>INDEX('BIO WAHYU'!B:H,MATCH(DATA!D1434,'BIO WAHYU'!B:B,0),7)</f>
        <v>1</v>
      </c>
      <c r="M1434" s="34">
        <f>INDEX('BIO WAHYU'!B:H,MATCH(DATA!D1434,'BIO WAHYU'!B:B,0),4)</f>
        <v>0</v>
      </c>
    </row>
    <row r="1435" spans="1:13">
      <c r="A1435" s="43" t="s">
        <v>1672</v>
      </c>
      <c r="B1435" s="43" t="s">
        <v>155</v>
      </c>
      <c r="C1435" s="43" t="s">
        <v>1600</v>
      </c>
      <c r="D1435" s="10">
        <v>61860</v>
      </c>
      <c r="E1435" s="43" t="s">
        <v>10</v>
      </c>
      <c r="F1435" s="8">
        <f>_xlfn.IFNA(INDEX('OSA | 3GB'!J:L,MATCH(DATA!D1435,'OSA | 3GB'!J:J,0),2),0)</f>
        <v>16</v>
      </c>
      <c r="G1435" s="8">
        <f>_xlfn.IFNA(INDEX('OSA | 3GB'!J:L,MATCH(DATA!D1435,'OSA | 3GB'!J:J,0),3),0)</f>
        <v>6300000</v>
      </c>
      <c r="H1435" s="32">
        <f>_xlfn.IFNA(INDEX('OSA | 3GB'!A:C,MATCH(DATA!D1435,'OSA | 3GB'!A:A,0),2),0)</f>
        <v>1</v>
      </c>
      <c r="I1435" s="33">
        <f>_xlfn.IFNA(INDEX('OSA | 3GB'!A:C,MATCH(DATA!D1435,'OSA | 3GB'!A:A,0),3),0)</f>
        <v>2129000</v>
      </c>
      <c r="J1435" s="33">
        <f>INDEX('BIO WAHYU'!B:G,MATCH(DATA!D1435,'BIO WAHYU'!B:B,0),5)</f>
        <v>3</v>
      </c>
      <c r="K1435" s="34">
        <f>INDEX('BIO WAHYU'!B:G,MATCH(DATA!D1435,'BIO WAHYU'!B:B,0),6)</f>
        <v>2</v>
      </c>
      <c r="L1435" s="35">
        <f>INDEX('BIO WAHYU'!B:H,MATCH(DATA!D1435,'BIO WAHYU'!B:B,0),7)</f>
        <v>0</v>
      </c>
      <c r="M1435" s="34">
        <f>INDEX('BIO WAHYU'!B:H,MATCH(DATA!D1435,'BIO WAHYU'!B:B,0),4)</f>
        <v>3</v>
      </c>
    </row>
    <row r="1436" spans="1:13">
      <c r="A1436" s="43" t="s">
        <v>1674</v>
      </c>
      <c r="B1436" s="43" t="s">
        <v>153</v>
      </c>
      <c r="C1436" s="43" t="s">
        <v>722</v>
      </c>
      <c r="D1436" s="10">
        <v>291861</v>
      </c>
      <c r="E1436" s="43" t="s">
        <v>10</v>
      </c>
      <c r="F1436" s="8">
        <f>_xlfn.IFNA(INDEX('OSA | 3GB'!J:L,MATCH(DATA!D1436,'OSA | 3GB'!J:J,0),2),0)</f>
        <v>5</v>
      </c>
      <c r="G1436" s="8">
        <f>_xlfn.IFNA(INDEX('OSA | 3GB'!J:L,MATCH(DATA!D1436,'OSA | 3GB'!J:J,0),3),0)</f>
        <v>1833000</v>
      </c>
      <c r="H1436" s="32" t="str">
        <f>_xlfn.IFNA(INDEX('OSA | 3GB'!A:C,MATCH(DATA!D1436,'OSA | 3GB'!A:A,0),2),0)</f>
        <v xml:space="preserve"> -   </v>
      </c>
      <c r="I1436" s="33">
        <f>_xlfn.IFNA(INDEX('OSA | 3GB'!A:C,MATCH(DATA!D1436,'OSA | 3GB'!A:A,0),3),0)</f>
        <v>585000</v>
      </c>
      <c r="J1436" s="33">
        <f>INDEX('BIO WAHYU'!B:G,MATCH(DATA!D1436,'BIO WAHYU'!B:B,0),5)</f>
        <v>8</v>
      </c>
      <c r="K1436" s="34">
        <f>INDEX('BIO WAHYU'!B:G,MATCH(DATA!D1436,'BIO WAHYU'!B:B,0),6)</f>
        <v>2</v>
      </c>
      <c r="L1436" s="35">
        <f>INDEX('BIO WAHYU'!B:H,MATCH(DATA!D1436,'BIO WAHYU'!B:B,0),7)</f>
        <v>0</v>
      </c>
      <c r="M1436" s="34">
        <f>INDEX('BIO WAHYU'!B:H,MATCH(DATA!D1436,'BIO WAHYU'!B:B,0),4)</f>
        <v>0</v>
      </c>
    </row>
    <row r="1437" spans="1:13">
      <c r="A1437" s="43" t="s">
        <v>1671</v>
      </c>
      <c r="B1437" s="43">
        <v>2613050885</v>
      </c>
      <c r="C1437" s="43" t="s">
        <v>1601</v>
      </c>
      <c r="D1437" s="10">
        <v>548910</v>
      </c>
      <c r="E1437" s="43" t="s">
        <v>15</v>
      </c>
      <c r="F1437" s="8">
        <f>_xlfn.IFNA(INDEX('OSA | 3GB'!J:L,MATCH(DATA!D1437,'OSA | 3GB'!J:J,0),2),0)</f>
        <v>6</v>
      </c>
      <c r="G1437" s="8">
        <f>_xlfn.IFNA(INDEX('OSA | 3GB'!J:L,MATCH(DATA!D1437,'OSA | 3GB'!J:J,0),3),0)</f>
        <v>14834300</v>
      </c>
      <c r="H1437" s="32">
        <f>_xlfn.IFNA(INDEX('OSA | 3GB'!A:C,MATCH(DATA!D1437,'OSA | 3GB'!A:A,0),2),0)</f>
        <v>3</v>
      </c>
      <c r="I1437" s="33" t="str">
        <f>_xlfn.IFNA(INDEX('OSA | 3GB'!A:C,MATCH(DATA!D1437,'OSA | 3GB'!A:A,0),3),0)</f>
        <v xml:space="preserve"> -   </v>
      </c>
      <c r="J1437" s="33">
        <f>INDEX('BIO WAHYU'!B:G,MATCH(DATA!D1437,'BIO WAHYU'!B:B,0),5)</f>
        <v>4</v>
      </c>
      <c r="K1437" s="34">
        <f>INDEX('BIO WAHYU'!B:G,MATCH(DATA!D1437,'BIO WAHYU'!B:B,0),6)</f>
        <v>3</v>
      </c>
      <c r="L1437" s="35">
        <f>INDEX('BIO WAHYU'!B:H,MATCH(DATA!D1437,'BIO WAHYU'!B:B,0),7)</f>
        <v>0</v>
      </c>
      <c r="M1437" s="34">
        <f>INDEX('BIO WAHYU'!B:H,MATCH(DATA!D1437,'BIO WAHYU'!B:B,0),4)</f>
        <v>0</v>
      </c>
    </row>
    <row r="1438" spans="1:13">
      <c r="A1438" s="43" t="s">
        <v>1673</v>
      </c>
      <c r="B1438" s="43" t="s">
        <v>1136</v>
      </c>
      <c r="C1438" s="43" t="s">
        <v>1602</v>
      </c>
      <c r="D1438" s="10">
        <v>418829</v>
      </c>
      <c r="E1438" s="43" t="s">
        <v>15</v>
      </c>
      <c r="F1438" s="8">
        <f>_xlfn.IFNA(INDEX('OSA | 3GB'!J:L,MATCH(DATA!D1438,'OSA | 3GB'!J:J,0),2),0)</f>
        <v>3</v>
      </c>
      <c r="G1438" s="8">
        <f>_xlfn.IFNA(INDEX('OSA | 3GB'!J:L,MATCH(DATA!D1438,'OSA | 3GB'!J:J,0),3),0)</f>
        <v>0</v>
      </c>
      <c r="H1438" s="32" t="str">
        <f>_xlfn.IFNA(INDEX('OSA | 3GB'!A:C,MATCH(DATA!D1438,'OSA | 3GB'!A:A,0),2),0)</f>
        <v xml:space="preserve"> -   </v>
      </c>
      <c r="I1438" s="33">
        <f>_xlfn.IFNA(INDEX('OSA | 3GB'!A:C,MATCH(DATA!D1438,'OSA | 3GB'!A:A,0),3),0)</f>
        <v>100000</v>
      </c>
      <c r="J1438" s="33">
        <f>INDEX('BIO WAHYU'!B:G,MATCH(DATA!D1438,'BIO WAHYU'!B:B,0),5)</f>
        <v>1</v>
      </c>
      <c r="K1438" s="34">
        <f>INDEX('BIO WAHYU'!B:G,MATCH(DATA!D1438,'BIO WAHYU'!B:B,0),6)</f>
        <v>1</v>
      </c>
      <c r="L1438" s="35">
        <f>INDEX('BIO WAHYU'!B:H,MATCH(DATA!D1438,'BIO WAHYU'!B:B,0),7)</f>
        <v>0</v>
      </c>
      <c r="M1438" s="34">
        <f>INDEX('BIO WAHYU'!B:H,MATCH(DATA!D1438,'BIO WAHYU'!B:B,0),4)</f>
        <v>0</v>
      </c>
    </row>
    <row r="1439" spans="1:13">
      <c r="A1439" s="43" t="s">
        <v>1670</v>
      </c>
      <c r="B1439" s="43" t="s">
        <v>145</v>
      </c>
      <c r="C1439" s="43" t="s">
        <v>1603</v>
      </c>
      <c r="D1439" s="10">
        <v>61814</v>
      </c>
      <c r="E1439" s="43" t="s">
        <v>15</v>
      </c>
      <c r="F1439" s="8">
        <f>_xlfn.IFNA(INDEX('OSA | 3GB'!J:L,MATCH(DATA!D1439,'OSA | 3GB'!J:J,0),2),0)</f>
        <v>5</v>
      </c>
      <c r="G1439" s="8">
        <f>_xlfn.IFNA(INDEX('OSA | 3GB'!J:L,MATCH(DATA!D1439,'OSA | 3GB'!J:J,0),3),0)</f>
        <v>500000</v>
      </c>
      <c r="H1439" s="32">
        <f>_xlfn.IFNA(INDEX('OSA | 3GB'!A:C,MATCH(DATA!D1439,'OSA | 3GB'!A:A,0),2),0)</f>
        <v>3</v>
      </c>
      <c r="I1439" s="33">
        <f>_xlfn.IFNA(INDEX('OSA | 3GB'!A:C,MATCH(DATA!D1439,'OSA | 3GB'!A:A,0),3),0)</f>
        <v>500000</v>
      </c>
      <c r="J1439" s="33">
        <f>INDEX('BIO WAHYU'!B:G,MATCH(DATA!D1439,'BIO WAHYU'!B:B,0),5)</f>
        <v>3</v>
      </c>
      <c r="K1439" s="34">
        <f>INDEX('BIO WAHYU'!B:G,MATCH(DATA!D1439,'BIO WAHYU'!B:B,0),6)</f>
        <v>0</v>
      </c>
      <c r="L1439" s="35">
        <f>INDEX('BIO WAHYU'!B:H,MATCH(DATA!D1439,'BIO WAHYU'!B:B,0),7)</f>
        <v>0</v>
      </c>
      <c r="M1439" s="34">
        <f>INDEX('BIO WAHYU'!B:H,MATCH(DATA!D1439,'BIO WAHYU'!B:B,0),4)</f>
        <v>0</v>
      </c>
    </row>
    <row r="1440" spans="1:13">
      <c r="A1440" s="43" t="s">
        <v>1670</v>
      </c>
      <c r="B1440" s="43">
        <v>2613051412</v>
      </c>
      <c r="C1440" s="43" t="s">
        <v>568</v>
      </c>
      <c r="D1440" s="10">
        <v>576041</v>
      </c>
      <c r="E1440" s="43" t="s">
        <v>10</v>
      </c>
      <c r="F1440" s="8">
        <f>_xlfn.IFNA(INDEX('OSA | 3GB'!J:L,MATCH(DATA!D1440,'OSA | 3GB'!J:J,0),2),0)</f>
        <v>4</v>
      </c>
      <c r="G1440" s="8">
        <f>_xlfn.IFNA(INDEX('OSA | 3GB'!J:L,MATCH(DATA!D1440,'OSA | 3GB'!J:J,0),3),0)</f>
        <v>300000</v>
      </c>
      <c r="H1440" s="32">
        <f>_xlfn.IFNA(INDEX('OSA | 3GB'!A:C,MATCH(DATA!D1440,'OSA | 3GB'!A:A,0),2),0)</f>
        <v>3</v>
      </c>
      <c r="I1440" s="33">
        <f>_xlfn.IFNA(INDEX('OSA | 3GB'!A:C,MATCH(DATA!D1440,'OSA | 3GB'!A:A,0),3),0)</f>
        <v>50000</v>
      </c>
      <c r="J1440" s="33">
        <f>INDEX('BIO WAHYU'!B:G,MATCH(DATA!D1440,'BIO WAHYU'!B:B,0),5)</f>
        <v>3</v>
      </c>
      <c r="K1440" s="34">
        <f>INDEX('BIO WAHYU'!B:G,MATCH(DATA!D1440,'BIO WAHYU'!B:B,0),6)</f>
        <v>2</v>
      </c>
      <c r="L1440" s="35">
        <f>INDEX('BIO WAHYU'!B:H,MATCH(DATA!D1440,'BIO WAHYU'!B:B,0),7)</f>
        <v>0</v>
      </c>
      <c r="M1440" s="34">
        <f>INDEX('BIO WAHYU'!B:H,MATCH(DATA!D1440,'BIO WAHYU'!B:B,0),4)</f>
        <v>0</v>
      </c>
    </row>
    <row r="1441" spans="1:13">
      <c r="A1441" s="43" t="s">
        <v>1671</v>
      </c>
      <c r="B1441" s="43">
        <v>2613050886</v>
      </c>
      <c r="C1441" s="43" t="s">
        <v>321</v>
      </c>
      <c r="D1441" s="10">
        <v>283130</v>
      </c>
      <c r="E1441" s="43" t="s">
        <v>15</v>
      </c>
      <c r="F1441" s="8">
        <f>_xlfn.IFNA(INDEX('OSA | 3GB'!J:L,MATCH(DATA!D1441,'OSA | 3GB'!J:J,0),2),0)</f>
        <v>4</v>
      </c>
      <c r="G1441" s="8">
        <f>_xlfn.IFNA(INDEX('OSA | 3GB'!J:L,MATCH(DATA!D1441,'OSA | 3GB'!J:J,0),3),0)</f>
        <v>2529000</v>
      </c>
      <c r="H1441" s="32" t="str">
        <f>_xlfn.IFNA(INDEX('OSA | 3GB'!A:C,MATCH(DATA!D1441,'OSA | 3GB'!A:A,0),2),0)</f>
        <v xml:space="preserve"> -   </v>
      </c>
      <c r="I1441" s="33">
        <f>_xlfn.IFNA(INDEX('OSA | 3GB'!A:C,MATCH(DATA!D1441,'OSA | 3GB'!A:A,0),3),0)</f>
        <v>1500000</v>
      </c>
      <c r="J1441" s="33">
        <f>INDEX('BIO WAHYU'!B:G,MATCH(DATA!D1441,'BIO WAHYU'!B:B,0),5)</f>
        <v>3</v>
      </c>
      <c r="K1441" s="34">
        <f>INDEX('BIO WAHYU'!B:G,MATCH(DATA!D1441,'BIO WAHYU'!B:B,0),6)</f>
        <v>0</v>
      </c>
      <c r="L1441" s="35">
        <f>INDEX('BIO WAHYU'!B:H,MATCH(DATA!D1441,'BIO WAHYU'!B:B,0),7)</f>
        <v>0</v>
      </c>
      <c r="M1441" s="34">
        <f>INDEX('BIO WAHYU'!B:H,MATCH(DATA!D1441,'BIO WAHYU'!B:B,0),4)</f>
        <v>0</v>
      </c>
    </row>
    <row r="1442" spans="1:13">
      <c r="A1442" s="43" t="s">
        <v>1672</v>
      </c>
      <c r="B1442" s="43" t="s">
        <v>151</v>
      </c>
      <c r="C1442" s="43" t="s">
        <v>859</v>
      </c>
      <c r="D1442" s="10">
        <v>195909</v>
      </c>
      <c r="E1442" s="43" t="s">
        <v>10</v>
      </c>
      <c r="F1442" s="8">
        <f>_xlfn.IFNA(INDEX('OSA | 3GB'!J:L,MATCH(DATA!D1442,'OSA | 3GB'!J:J,0),2),0)</f>
        <v>6</v>
      </c>
      <c r="G1442" s="8">
        <f>_xlfn.IFNA(INDEX('OSA | 3GB'!J:L,MATCH(DATA!D1442,'OSA | 3GB'!J:J,0),3),0)</f>
        <v>650000</v>
      </c>
      <c r="H1442" s="32" t="str">
        <f>_xlfn.IFNA(INDEX('OSA | 3GB'!A:C,MATCH(DATA!D1442,'OSA | 3GB'!A:A,0),2),0)</f>
        <v xml:space="preserve"> -   </v>
      </c>
      <c r="I1442" s="33">
        <f>_xlfn.IFNA(INDEX('OSA | 3GB'!A:C,MATCH(DATA!D1442,'OSA | 3GB'!A:A,0),3),0)</f>
        <v>50000</v>
      </c>
      <c r="J1442" s="33">
        <f>INDEX('BIO WAHYU'!B:G,MATCH(DATA!D1442,'BIO WAHYU'!B:B,0),5)</f>
        <v>4</v>
      </c>
      <c r="K1442" s="34">
        <f>INDEX('BIO WAHYU'!B:G,MATCH(DATA!D1442,'BIO WAHYU'!B:B,0),6)</f>
        <v>0</v>
      </c>
      <c r="L1442" s="35">
        <f>INDEX('BIO WAHYU'!B:H,MATCH(DATA!D1442,'BIO WAHYU'!B:B,0),7)</f>
        <v>0</v>
      </c>
      <c r="M1442" s="34">
        <f>INDEX('BIO WAHYU'!B:H,MATCH(DATA!D1442,'BIO WAHYU'!B:B,0),4)</f>
        <v>0</v>
      </c>
    </row>
    <row r="1443" spans="1:13">
      <c r="A1443" s="43" t="s">
        <v>1675</v>
      </c>
      <c r="B1443" s="43">
        <v>2613051043</v>
      </c>
      <c r="C1443" s="43" t="s">
        <v>442</v>
      </c>
      <c r="D1443" s="10">
        <v>12296819</v>
      </c>
      <c r="E1443" s="43" t="s">
        <v>15</v>
      </c>
      <c r="F1443" s="8">
        <f>_xlfn.IFNA(INDEX('OSA | 3GB'!J:L,MATCH(DATA!D1443,'OSA | 3GB'!J:J,0),2),0)</f>
        <v>0</v>
      </c>
      <c r="G1443" s="8">
        <f>_xlfn.IFNA(INDEX('OSA | 3GB'!J:L,MATCH(DATA!D1443,'OSA | 3GB'!J:J,0),3),0)</f>
        <v>0</v>
      </c>
      <c r="H1443" s="32" t="str">
        <f>_xlfn.IFNA(INDEX('OSA | 3GB'!A:C,MATCH(DATA!D1443,'OSA | 3GB'!A:A,0),2),0)</f>
        <v xml:space="preserve"> -   </v>
      </c>
      <c r="I1443" s="33" t="str">
        <f>_xlfn.IFNA(INDEX('OSA | 3GB'!A:C,MATCH(DATA!D1443,'OSA | 3GB'!A:A,0),3),0)</f>
        <v xml:space="preserve"> -   </v>
      </c>
      <c r="J1443" s="33">
        <f>INDEX('BIO WAHYU'!B:G,MATCH(DATA!D1443,'BIO WAHYU'!B:B,0),5)</f>
        <v>0</v>
      </c>
      <c r="K1443" s="34">
        <f>INDEX('BIO WAHYU'!B:G,MATCH(DATA!D1443,'BIO WAHYU'!B:B,0),6)</f>
        <v>0</v>
      </c>
      <c r="L1443" s="35">
        <f>INDEX('BIO WAHYU'!B:H,MATCH(DATA!D1443,'BIO WAHYU'!B:B,0),7)</f>
        <v>0</v>
      </c>
      <c r="M1443" s="34">
        <f>INDEX('BIO WAHYU'!B:H,MATCH(DATA!D1443,'BIO WAHYU'!B:B,0),4)</f>
        <v>0</v>
      </c>
    </row>
    <row r="1444" spans="1:13">
      <c r="A1444" s="43" t="s">
        <v>1</v>
      </c>
      <c r="B1444" s="43" t="s">
        <v>5</v>
      </c>
      <c r="C1444" s="43" t="s">
        <v>75</v>
      </c>
      <c r="D1444" s="10">
        <v>12295536</v>
      </c>
      <c r="E1444" s="43" t="s">
        <v>10</v>
      </c>
      <c r="F1444" s="8">
        <f>_xlfn.IFNA(INDEX('OSA | 3GB'!J:L,MATCH(DATA!D1444,'OSA | 3GB'!J:J,0),2),0)</f>
        <v>0</v>
      </c>
      <c r="G1444" s="8">
        <f>_xlfn.IFNA(INDEX('OSA | 3GB'!J:L,MATCH(DATA!D1444,'OSA | 3GB'!J:J,0),3),0)</f>
        <v>0</v>
      </c>
      <c r="H1444" s="32" t="str">
        <f>_xlfn.IFNA(INDEX('OSA | 3GB'!A:C,MATCH(DATA!D1444,'OSA | 3GB'!A:A,0),2),0)</f>
        <v xml:space="preserve"> -   </v>
      </c>
      <c r="I1444" s="33">
        <f>_xlfn.IFNA(INDEX('OSA | 3GB'!A:C,MATCH(DATA!D1444,'OSA | 3GB'!A:A,0),3),0)</f>
        <v>1000000</v>
      </c>
      <c r="J1444" s="33">
        <f>INDEX('BIO WAHYU'!B:G,MATCH(DATA!D1444,'BIO WAHYU'!B:B,0),5)</f>
        <v>1</v>
      </c>
      <c r="K1444" s="34">
        <f>INDEX('BIO WAHYU'!B:G,MATCH(DATA!D1444,'BIO WAHYU'!B:B,0),6)</f>
        <v>0</v>
      </c>
      <c r="L1444" s="35">
        <f>INDEX('BIO WAHYU'!B:H,MATCH(DATA!D1444,'BIO WAHYU'!B:B,0),7)</f>
        <v>0</v>
      </c>
      <c r="M1444" s="34">
        <f>INDEX('BIO WAHYU'!B:H,MATCH(DATA!D1444,'BIO WAHYU'!B:B,0),4)</f>
        <v>0</v>
      </c>
    </row>
    <row r="1445" spans="1:13">
      <c r="A1445" s="43" t="s">
        <v>1670</v>
      </c>
      <c r="B1445" s="43">
        <v>2613051412</v>
      </c>
      <c r="C1445" s="43" t="s">
        <v>552</v>
      </c>
      <c r="D1445" s="10">
        <v>12326605</v>
      </c>
      <c r="E1445" s="43" t="s">
        <v>10</v>
      </c>
      <c r="F1445" s="8">
        <f>_xlfn.IFNA(INDEX('OSA | 3GB'!J:L,MATCH(DATA!D1445,'OSA | 3GB'!J:J,0),2),0)</f>
        <v>3</v>
      </c>
      <c r="G1445" s="8">
        <f>_xlfn.IFNA(INDEX('OSA | 3GB'!J:L,MATCH(DATA!D1445,'OSA | 3GB'!J:J,0),3),0)</f>
        <v>0</v>
      </c>
      <c r="H1445" s="32" t="str">
        <f>_xlfn.IFNA(INDEX('OSA | 3GB'!A:C,MATCH(DATA!D1445,'OSA | 3GB'!A:A,0),2),0)</f>
        <v xml:space="preserve"> -   </v>
      </c>
      <c r="I1445" s="33" t="str">
        <f>_xlfn.IFNA(INDEX('OSA | 3GB'!A:C,MATCH(DATA!D1445,'OSA | 3GB'!A:A,0),3),0)</f>
        <v xml:space="preserve"> -   </v>
      </c>
      <c r="J1445" s="33">
        <f>INDEX('BIO WAHYU'!B:G,MATCH(DATA!D1445,'BIO WAHYU'!B:B,0),5)</f>
        <v>3</v>
      </c>
      <c r="K1445" s="34">
        <f>INDEX('BIO WAHYU'!B:G,MATCH(DATA!D1445,'BIO WAHYU'!B:B,0),6)</f>
        <v>2</v>
      </c>
      <c r="L1445" s="35">
        <f>INDEX('BIO WAHYU'!B:H,MATCH(DATA!D1445,'BIO WAHYU'!B:B,0),7)</f>
        <v>0</v>
      </c>
      <c r="M1445" s="34">
        <f>INDEX('BIO WAHYU'!B:H,MATCH(DATA!D1445,'BIO WAHYU'!B:B,0),4)</f>
        <v>0</v>
      </c>
    </row>
    <row r="1446" spans="1:13">
      <c r="A1446" s="43" t="s">
        <v>1</v>
      </c>
      <c r="B1446" s="43" t="s">
        <v>3</v>
      </c>
      <c r="C1446" s="43" t="s">
        <v>1121</v>
      </c>
      <c r="D1446" s="10">
        <v>524283</v>
      </c>
      <c r="E1446" s="43" t="s">
        <v>10</v>
      </c>
      <c r="F1446" s="8">
        <f>_xlfn.IFNA(INDEX('OSA | 3GB'!J:L,MATCH(DATA!D1446,'OSA | 3GB'!J:J,0),2),0)</f>
        <v>0</v>
      </c>
      <c r="G1446" s="8">
        <f>_xlfn.IFNA(INDEX('OSA | 3GB'!J:L,MATCH(DATA!D1446,'OSA | 3GB'!J:J,0),3),0)</f>
        <v>141000</v>
      </c>
      <c r="H1446" s="32" t="str">
        <f>_xlfn.IFNA(INDEX('OSA | 3GB'!A:C,MATCH(DATA!D1446,'OSA | 3GB'!A:A,0),2),0)</f>
        <v xml:space="preserve"> -   </v>
      </c>
      <c r="I1446" s="33" t="str">
        <f>_xlfn.IFNA(INDEX('OSA | 3GB'!A:C,MATCH(DATA!D1446,'OSA | 3GB'!A:A,0),3),0)</f>
        <v xml:space="preserve"> -   </v>
      </c>
      <c r="J1446" s="33">
        <f>INDEX('BIO WAHYU'!B:G,MATCH(DATA!D1446,'BIO WAHYU'!B:B,0),5)</f>
        <v>3</v>
      </c>
      <c r="K1446" s="34">
        <f>INDEX('BIO WAHYU'!B:G,MATCH(DATA!D1446,'BIO WAHYU'!B:B,0),6)</f>
        <v>0</v>
      </c>
      <c r="L1446" s="35">
        <f>INDEX('BIO WAHYU'!B:H,MATCH(DATA!D1446,'BIO WAHYU'!B:B,0),7)</f>
        <v>0</v>
      </c>
      <c r="M1446" s="34">
        <f>INDEX('BIO WAHYU'!B:H,MATCH(DATA!D1446,'BIO WAHYU'!B:B,0),4)</f>
        <v>0</v>
      </c>
    </row>
    <row r="1447" spans="1:13">
      <c r="A1447" s="43" t="s">
        <v>1672</v>
      </c>
      <c r="B1447" s="43" t="s">
        <v>151</v>
      </c>
      <c r="C1447" s="43" t="s">
        <v>854</v>
      </c>
      <c r="D1447" s="10">
        <v>12325413</v>
      </c>
      <c r="E1447" s="43" t="s">
        <v>10</v>
      </c>
      <c r="F1447" s="8">
        <f>_xlfn.IFNA(INDEX('OSA | 3GB'!J:L,MATCH(DATA!D1447,'OSA | 3GB'!J:J,0),2),0)</f>
        <v>52</v>
      </c>
      <c r="G1447" s="8">
        <f>_xlfn.IFNA(INDEX('OSA | 3GB'!J:L,MATCH(DATA!D1447,'OSA | 3GB'!J:J,0),3),0)</f>
        <v>100000</v>
      </c>
      <c r="H1447" s="32" t="str">
        <f>_xlfn.IFNA(INDEX('OSA | 3GB'!A:C,MATCH(DATA!D1447,'OSA | 3GB'!A:A,0),2),0)</f>
        <v xml:space="preserve"> -   </v>
      </c>
      <c r="I1447" s="33">
        <f>_xlfn.IFNA(INDEX('OSA | 3GB'!A:C,MATCH(DATA!D1447,'OSA | 3GB'!A:A,0),3),0)</f>
        <v>150000</v>
      </c>
      <c r="J1447" s="33">
        <f>INDEX('BIO WAHYU'!B:G,MATCH(DATA!D1447,'BIO WAHYU'!B:B,0),5)</f>
        <v>3</v>
      </c>
      <c r="K1447" s="34">
        <f>INDEX('BIO WAHYU'!B:G,MATCH(DATA!D1447,'BIO WAHYU'!B:B,0),6)</f>
        <v>0</v>
      </c>
      <c r="L1447" s="35">
        <f>INDEX('BIO WAHYU'!B:H,MATCH(DATA!D1447,'BIO WAHYU'!B:B,0),7)</f>
        <v>0</v>
      </c>
      <c r="M1447" s="34">
        <f>INDEX('BIO WAHYU'!B:H,MATCH(DATA!D1447,'BIO WAHYU'!B:B,0),4)</f>
        <v>0</v>
      </c>
    </row>
    <row r="1448" spans="1:13">
      <c r="A1448" s="43" t="s">
        <v>1670</v>
      </c>
      <c r="B1448" s="43">
        <v>2613051412</v>
      </c>
      <c r="C1448" s="43" t="s">
        <v>1604</v>
      </c>
      <c r="D1448" s="10">
        <v>211575</v>
      </c>
      <c r="E1448" s="43" t="s">
        <v>10</v>
      </c>
      <c r="F1448" s="8">
        <f>_xlfn.IFNA(INDEX('OSA | 3GB'!J:L,MATCH(DATA!D1448,'OSA | 3GB'!J:J,0),2),0)</f>
        <v>3</v>
      </c>
      <c r="G1448" s="8">
        <f>_xlfn.IFNA(INDEX('OSA | 3GB'!J:L,MATCH(DATA!D1448,'OSA | 3GB'!J:J,0),3),0)</f>
        <v>9695000</v>
      </c>
      <c r="H1448" s="32">
        <f>_xlfn.IFNA(INDEX('OSA | 3GB'!A:C,MATCH(DATA!D1448,'OSA | 3GB'!A:A,0),2),0)</f>
        <v>3</v>
      </c>
      <c r="I1448" s="33">
        <f>_xlfn.IFNA(INDEX('OSA | 3GB'!A:C,MATCH(DATA!D1448,'OSA | 3GB'!A:A,0),3),0)</f>
        <v>4000000</v>
      </c>
      <c r="J1448" s="33">
        <f>INDEX('BIO WAHYU'!B:G,MATCH(DATA!D1448,'BIO WAHYU'!B:B,0),5)</f>
        <v>0</v>
      </c>
      <c r="K1448" s="34">
        <f>INDEX('BIO WAHYU'!B:G,MATCH(DATA!D1448,'BIO WAHYU'!B:B,0),6)</f>
        <v>1</v>
      </c>
      <c r="L1448" s="35">
        <f>INDEX('BIO WAHYU'!B:H,MATCH(DATA!D1448,'BIO WAHYU'!B:B,0),7)</f>
        <v>1</v>
      </c>
      <c r="M1448" s="34">
        <f>INDEX('BIO WAHYU'!B:H,MATCH(DATA!D1448,'BIO WAHYU'!B:B,0),4)</f>
        <v>0</v>
      </c>
    </row>
    <row r="1449" spans="1:13">
      <c r="A1449" s="43" t="s">
        <v>1673</v>
      </c>
      <c r="B1449" s="43" t="s">
        <v>1136</v>
      </c>
      <c r="C1449" s="43" t="s">
        <v>1605</v>
      </c>
      <c r="D1449" s="10">
        <v>370215</v>
      </c>
      <c r="E1449" s="43" t="s">
        <v>10</v>
      </c>
      <c r="F1449" s="8">
        <f>_xlfn.IFNA(INDEX('OSA | 3GB'!J:L,MATCH(DATA!D1449,'OSA | 3GB'!J:J,0),2),0)</f>
        <v>3</v>
      </c>
      <c r="G1449" s="8">
        <f>_xlfn.IFNA(INDEX('OSA | 3GB'!J:L,MATCH(DATA!D1449,'OSA | 3GB'!J:J,0),3),0)</f>
        <v>1500000</v>
      </c>
      <c r="H1449" s="32" t="str">
        <f>_xlfn.IFNA(INDEX('OSA | 3GB'!A:C,MATCH(DATA!D1449,'OSA | 3GB'!A:A,0),2),0)</f>
        <v xml:space="preserve"> -   </v>
      </c>
      <c r="I1449" s="33">
        <f>_xlfn.IFNA(INDEX('OSA | 3GB'!A:C,MATCH(DATA!D1449,'OSA | 3GB'!A:A,0),3),0)</f>
        <v>600000</v>
      </c>
      <c r="J1449" s="33">
        <f>INDEX('BIO WAHYU'!B:G,MATCH(DATA!D1449,'BIO WAHYU'!B:B,0),5)</f>
        <v>2</v>
      </c>
      <c r="K1449" s="34">
        <f>INDEX('BIO WAHYU'!B:G,MATCH(DATA!D1449,'BIO WAHYU'!B:B,0),6)</f>
        <v>0</v>
      </c>
      <c r="L1449" s="35">
        <f>INDEX('BIO WAHYU'!B:H,MATCH(DATA!D1449,'BIO WAHYU'!B:B,0),7)</f>
        <v>0</v>
      </c>
      <c r="M1449" s="34">
        <f>INDEX('BIO WAHYU'!B:H,MATCH(DATA!D1449,'BIO WAHYU'!B:B,0),4)</f>
        <v>0</v>
      </c>
    </row>
    <row r="1450" spans="1:13">
      <c r="A1450" s="43" t="s">
        <v>1675</v>
      </c>
      <c r="B1450" s="43" t="s">
        <v>137</v>
      </c>
      <c r="C1450" s="43" t="s">
        <v>1606</v>
      </c>
      <c r="D1450" s="10">
        <v>12296078</v>
      </c>
      <c r="E1450" s="43" t="s">
        <v>15</v>
      </c>
      <c r="F1450" s="8">
        <f>_xlfn.IFNA(INDEX('OSA | 3GB'!J:L,MATCH(DATA!D1450,'OSA | 3GB'!J:J,0),2),0)</f>
        <v>6</v>
      </c>
      <c r="G1450" s="8">
        <f>_xlfn.IFNA(INDEX('OSA | 3GB'!J:L,MATCH(DATA!D1450,'OSA | 3GB'!J:J,0),3),0)</f>
        <v>1105000</v>
      </c>
      <c r="H1450" s="32" t="str">
        <f>_xlfn.IFNA(INDEX('OSA | 3GB'!A:C,MATCH(DATA!D1450,'OSA | 3GB'!A:A,0),2),0)</f>
        <v xml:space="preserve"> -   </v>
      </c>
      <c r="I1450" s="33" t="str">
        <f>_xlfn.IFNA(INDEX('OSA | 3GB'!A:C,MATCH(DATA!D1450,'OSA | 3GB'!A:A,0),3),0)</f>
        <v xml:space="preserve"> -   </v>
      </c>
      <c r="J1450" s="33">
        <f>INDEX('BIO WAHYU'!B:G,MATCH(DATA!D1450,'BIO WAHYU'!B:B,0),5)</f>
        <v>7</v>
      </c>
      <c r="K1450" s="34">
        <f>INDEX('BIO WAHYU'!B:G,MATCH(DATA!D1450,'BIO WAHYU'!B:B,0),6)</f>
        <v>0</v>
      </c>
      <c r="L1450" s="35">
        <f>INDEX('BIO WAHYU'!B:H,MATCH(DATA!D1450,'BIO WAHYU'!B:B,0),7)</f>
        <v>0</v>
      </c>
      <c r="M1450" s="34">
        <f>INDEX('BIO WAHYU'!B:H,MATCH(DATA!D1450,'BIO WAHYU'!B:B,0),4)</f>
        <v>0</v>
      </c>
    </row>
    <row r="1451" spans="1:13">
      <c r="A1451" s="43" t="s">
        <v>1674</v>
      </c>
      <c r="B1451" s="43">
        <v>2613052222</v>
      </c>
      <c r="C1451" s="43" t="s">
        <v>687</v>
      </c>
      <c r="D1451" s="10">
        <v>199061</v>
      </c>
      <c r="E1451" s="43" t="s">
        <v>10</v>
      </c>
      <c r="F1451" s="8">
        <f>_xlfn.IFNA(INDEX('OSA | 3GB'!J:L,MATCH(DATA!D1451,'OSA | 3GB'!J:J,0),2),0)</f>
        <v>3</v>
      </c>
      <c r="G1451" s="8">
        <f>_xlfn.IFNA(INDEX('OSA | 3GB'!J:L,MATCH(DATA!D1451,'OSA | 3GB'!J:J,0),3),0)</f>
        <v>2500000</v>
      </c>
      <c r="H1451" s="32" t="str">
        <f>_xlfn.IFNA(INDEX('OSA | 3GB'!A:C,MATCH(DATA!D1451,'OSA | 3GB'!A:A,0),2),0)</f>
        <v xml:space="preserve"> -   </v>
      </c>
      <c r="I1451" s="33">
        <f>_xlfn.IFNA(INDEX('OSA | 3GB'!A:C,MATCH(DATA!D1451,'OSA | 3GB'!A:A,0),3),0)</f>
        <v>1250000</v>
      </c>
      <c r="J1451" s="33">
        <f>INDEX('BIO WAHYU'!B:G,MATCH(DATA!D1451,'BIO WAHYU'!B:B,0),5)</f>
        <v>2</v>
      </c>
      <c r="K1451" s="34">
        <f>INDEX('BIO WAHYU'!B:G,MATCH(DATA!D1451,'BIO WAHYU'!B:B,0),6)</f>
        <v>0</v>
      </c>
      <c r="L1451" s="35">
        <f>INDEX('BIO WAHYU'!B:H,MATCH(DATA!D1451,'BIO WAHYU'!B:B,0),7)</f>
        <v>0</v>
      </c>
      <c r="M1451" s="34">
        <f>INDEX('BIO WAHYU'!B:H,MATCH(DATA!D1451,'BIO WAHYU'!B:B,0),4)</f>
        <v>0</v>
      </c>
    </row>
    <row r="1452" spans="1:13">
      <c r="A1452" s="43" t="s">
        <v>1672</v>
      </c>
      <c r="B1452" s="43" t="s">
        <v>157</v>
      </c>
      <c r="C1452" s="43" t="s">
        <v>1607</v>
      </c>
      <c r="D1452" s="10">
        <v>366677</v>
      </c>
      <c r="E1452" s="43" t="s">
        <v>10</v>
      </c>
      <c r="F1452" s="8">
        <f>_xlfn.IFNA(INDEX('OSA | 3GB'!J:L,MATCH(DATA!D1452,'OSA | 3GB'!J:J,0),2),0)</f>
        <v>10</v>
      </c>
      <c r="G1452" s="8">
        <f>_xlfn.IFNA(INDEX('OSA | 3GB'!J:L,MATCH(DATA!D1452,'OSA | 3GB'!J:J,0),3),0)</f>
        <v>4232000</v>
      </c>
      <c r="H1452" s="32" t="str">
        <f>_xlfn.IFNA(INDEX('OSA | 3GB'!A:C,MATCH(DATA!D1452,'OSA | 3GB'!A:A,0),2),0)</f>
        <v xml:space="preserve"> -   </v>
      </c>
      <c r="I1452" s="33">
        <f>_xlfn.IFNA(INDEX('OSA | 3GB'!A:C,MATCH(DATA!D1452,'OSA | 3GB'!A:A,0),3),0)</f>
        <v>58000</v>
      </c>
      <c r="J1452" s="33">
        <f>INDEX('BIO WAHYU'!B:G,MATCH(DATA!D1452,'BIO WAHYU'!B:B,0),5)</f>
        <v>4</v>
      </c>
      <c r="K1452" s="34">
        <f>INDEX('BIO WAHYU'!B:G,MATCH(DATA!D1452,'BIO WAHYU'!B:B,0),6)</f>
        <v>5</v>
      </c>
      <c r="L1452" s="35">
        <f>INDEX('BIO WAHYU'!B:H,MATCH(DATA!D1452,'BIO WAHYU'!B:B,0),7)</f>
        <v>1</v>
      </c>
      <c r="M1452" s="34">
        <f>INDEX('BIO WAHYU'!B:H,MATCH(DATA!D1452,'BIO WAHYU'!B:B,0),4)</f>
        <v>0</v>
      </c>
    </row>
    <row r="1453" spans="1:13">
      <c r="A1453" s="43" t="s">
        <v>1672</v>
      </c>
      <c r="B1453" s="43">
        <v>2613051475</v>
      </c>
      <c r="C1453" s="43" t="s">
        <v>908</v>
      </c>
      <c r="D1453" s="10">
        <v>512441</v>
      </c>
      <c r="E1453" s="43" t="s">
        <v>10</v>
      </c>
      <c r="F1453" s="8">
        <f>_xlfn.IFNA(INDEX('OSA | 3GB'!J:L,MATCH(DATA!D1453,'OSA | 3GB'!J:J,0),2),0)</f>
        <v>3</v>
      </c>
      <c r="G1453" s="8">
        <f>_xlfn.IFNA(INDEX('OSA | 3GB'!J:L,MATCH(DATA!D1453,'OSA | 3GB'!J:J,0),3),0)</f>
        <v>100000</v>
      </c>
      <c r="H1453" s="32" t="str">
        <f>_xlfn.IFNA(INDEX('OSA | 3GB'!A:C,MATCH(DATA!D1453,'OSA | 3GB'!A:A,0),2),0)</f>
        <v xml:space="preserve"> -   </v>
      </c>
      <c r="I1453" s="33" t="str">
        <f>_xlfn.IFNA(INDEX('OSA | 3GB'!A:C,MATCH(DATA!D1453,'OSA | 3GB'!A:A,0),3),0)</f>
        <v xml:space="preserve"> -   </v>
      </c>
      <c r="J1453" s="33">
        <f>INDEX('BIO WAHYU'!B:G,MATCH(DATA!D1453,'BIO WAHYU'!B:B,0),5)</f>
        <v>4</v>
      </c>
      <c r="K1453" s="34">
        <f>INDEX('BIO WAHYU'!B:G,MATCH(DATA!D1453,'BIO WAHYU'!B:B,0),6)</f>
        <v>0</v>
      </c>
      <c r="L1453" s="35">
        <f>INDEX('BIO WAHYU'!B:H,MATCH(DATA!D1453,'BIO WAHYU'!B:B,0),7)</f>
        <v>0</v>
      </c>
      <c r="M1453" s="34">
        <f>INDEX('BIO WAHYU'!B:H,MATCH(DATA!D1453,'BIO WAHYU'!B:B,0),4)</f>
        <v>0</v>
      </c>
    </row>
    <row r="1454" spans="1:13">
      <c r="A1454" s="43" t="s">
        <v>1674</v>
      </c>
      <c r="B1454" s="43" t="s">
        <v>147</v>
      </c>
      <c r="C1454" s="43" t="s">
        <v>618</v>
      </c>
      <c r="D1454" s="10">
        <v>578664</v>
      </c>
      <c r="E1454" s="43" t="s">
        <v>10</v>
      </c>
      <c r="F1454" s="8">
        <f>_xlfn.IFNA(INDEX('OSA | 3GB'!J:L,MATCH(DATA!D1454,'OSA | 3GB'!J:J,0),2),0)</f>
        <v>4</v>
      </c>
      <c r="G1454" s="8">
        <f>_xlfn.IFNA(INDEX('OSA | 3GB'!J:L,MATCH(DATA!D1454,'OSA | 3GB'!J:J,0),3),0)</f>
        <v>8000000</v>
      </c>
      <c r="H1454" s="32" t="str">
        <f>_xlfn.IFNA(INDEX('OSA | 3GB'!A:C,MATCH(DATA!D1454,'OSA | 3GB'!A:A,0),2),0)</f>
        <v xml:space="preserve"> -   </v>
      </c>
      <c r="I1454" s="33">
        <f>_xlfn.IFNA(INDEX('OSA | 3GB'!A:C,MATCH(DATA!D1454,'OSA | 3GB'!A:A,0),3),0)</f>
        <v>2500000</v>
      </c>
      <c r="J1454" s="33">
        <f>INDEX('BIO WAHYU'!B:G,MATCH(DATA!D1454,'BIO WAHYU'!B:B,0),5)</f>
        <v>1</v>
      </c>
      <c r="K1454" s="34">
        <f>INDEX('BIO WAHYU'!B:G,MATCH(DATA!D1454,'BIO WAHYU'!B:B,0),6)</f>
        <v>1</v>
      </c>
      <c r="L1454" s="35">
        <f>INDEX('BIO WAHYU'!B:H,MATCH(DATA!D1454,'BIO WAHYU'!B:B,0),7)</f>
        <v>0</v>
      </c>
      <c r="M1454" s="34">
        <f>INDEX('BIO WAHYU'!B:H,MATCH(DATA!D1454,'BIO WAHYU'!B:B,0),4)</f>
        <v>0</v>
      </c>
    </row>
    <row r="1455" spans="1:13">
      <c r="A1455" s="43" t="s">
        <v>1671</v>
      </c>
      <c r="B1455" s="43">
        <v>2613050886</v>
      </c>
      <c r="C1455" s="43" t="s">
        <v>335</v>
      </c>
      <c r="D1455" s="10">
        <v>537323</v>
      </c>
      <c r="E1455" s="43" t="s">
        <v>10</v>
      </c>
      <c r="F1455" s="8">
        <f>_xlfn.IFNA(INDEX('OSA | 3GB'!J:L,MATCH(DATA!D1455,'OSA | 3GB'!J:J,0),2),0)</f>
        <v>29</v>
      </c>
      <c r="G1455" s="8">
        <f>_xlfn.IFNA(INDEX('OSA | 3GB'!J:L,MATCH(DATA!D1455,'OSA | 3GB'!J:J,0),3),0)</f>
        <v>2800000</v>
      </c>
      <c r="H1455" s="32" t="str">
        <f>_xlfn.IFNA(INDEX('OSA | 3GB'!A:C,MATCH(DATA!D1455,'OSA | 3GB'!A:A,0),2),0)</f>
        <v xml:space="preserve"> -   </v>
      </c>
      <c r="I1455" s="33">
        <f>_xlfn.IFNA(INDEX('OSA | 3GB'!A:C,MATCH(DATA!D1455,'OSA | 3GB'!A:A,0),3),0)</f>
        <v>850000</v>
      </c>
      <c r="J1455" s="33">
        <f>INDEX('BIO WAHYU'!B:G,MATCH(DATA!D1455,'BIO WAHYU'!B:B,0),5)</f>
        <v>1</v>
      </c>
      <c r="K1455" s="34">
        <f>INDEX('BIO WAHYU'!B:G,MATCH(DATA!D1455,'BIO WAHYU'!B:B,0),6)</f>
        <v>1</v>
      </c>
      <c r="L1455" s="35">
        <f>INDEX('BIO WAHYU'!B:H,MATCH(DATA!D1455,'BIO WAHYU'!B:B,0),7)</f>
        <v>0</v>
      </c>
      <c r="M1455" s="34">
        <f>INDEX('BIO WAHYU'!B:H,MATCH(DATA!D1455,'BIO WAHYU'!B:B,0),4)</f>
        <v>0</v>
      </c>
    </row>
    <row r="1456" spans="1:13">
      <c r="A1456" s="43" t="s">
        <v>1672</v>
      </c>
      <c r="B1456" s="43" t="s">
        <v>155</v>
      </c>
      <c r="C1456" s="43" t="s">
        <v>957</v>
      </c>
      <c r="D1456" s="10">
        <v>61924</v>
      </c>
      <c r="E1456" s="43" t="s">
        <v>10</v>
      </c>
      <c r="F1456" s="8">
        <f>_xlfn.IFNA(INDEX('OSA | 3GB'!J:L,MATCH(DATA!D1456,'OSA | 3GB'!J:J,0),2),0)</f>
        <v>0</v>
      </c>
      <c r="G1456" s="8">
        <f>_xlfn.IFNA(INDEX('OSA | 3GB'!J:L,MATCH(DATA!D1456,'OSA | 3GB'!J:J,0),3),0)</f>
        <v>150000</v>
      </c>
      <c r="H1456" s="32" t="str">
        <f>_xlfn.IFNA(INDEX('OSA | 3GB'!A:C,MATCH(DATA!D1456,'OSA | 3GB'!A:A,0),2),0)</f>
        <v xml:space="preserve"> -   </v>
      </c>
      <c r="I1456" s="33" t="str">
        <f>_xlfn.IFNA(INDEX('OSA | 3GB'!A:C,MATCH(DATA!D1456,'OSA | 3GB'!A:A,0),3),0)</f>
        <v xml:space="preserve"> -   </v>
      </c>
      <c r="J1456" s="33">
        <f>INDEX('BIO WAHYU'!B:G,MATCH(DATA!D1456,'BIO WAHYU'!B:B,0),5)</f>
        <v>0</v>
      </c>
      <c r="K1456" s="34">
        <f>INDEX('BIO WAHYU'!B:G,MATCH(DATA!D1456,'BIO WAHYU'!B:B,0),6)</f>
        <v>0</v>
      </c>
      <c r="L1456" s="35">
        <f>INDEX('BIO WAHYU'!B:H,MATCH(DATA!D1456,'BIO WAHYU'!B:B,0),7)</f>
        <v>0</v>
      </c>
      <c r="M1456" s="34">
        <f>INDEX('BIO WAHYU'!B:H,MATCH(DATA!D1456,'BIO WAHYU'!B:B,0),4)</f>
        <v>0</v>
      </c>
    </row>
    <row r="1457" spans="1:13">
      <c r="A1457" s="43" t="s">
        <v>1673</v>
      </c>
      <c r="B1457" s="43" t="s">
        <v>143</v>
      </c>
      <c r="C1457" s="43" t="s">
        <v>259</v>
      </c>
      <c r="D1457" s="10">
        <v>407149</v>
      </c>
      <c r="E1457" s="43" t="s">
        <v>15</v>
      </c>
      <c r="F1457" s="8">
        <f>_xlfn.IFNA(INDEX('OSA | 3GB'!J:L,MATCH(DATA!D1457,'OSA | 3GB'!J:J,0),2),0)</f>
        <v>2</v>
      </c>
      <c r="G1457" s="8">
        <f>_xlfn.IFNA(INDEX('OSA | 3GB'!J:L,MATCH(DATA!D1457,'OSA | 3GB'!J:J,0),3),0)</f>
        <v>1108000</v>
      </c>
      <c r="H1457" s="32">
        <f>_xlfn.IFNA(INDEX('OSA | 3GB'!A:C,MATCH(DATA!D1457,'OSA | 3GB'!A:A,0),2),0)</f>
        <v>2</v>
      </c>
      <c r="I1457" s="33">
        <f>_xlfn.IFNA(INDEX('OSA | 3GB'!A:C,MATCH(DATA!D1457,'OSA | 3GB'!A:A,0),3),0)</f>
        <v>400000</v>
      </c>
      <c r="J1457" s="33">
        <f>INDEX('BIO WAHYU'!B:G,MATCH(DATA!D1457,'BIO WAHYU'!B:B,0),5)</f>
        <v>3</v>
      </c>
      <c r="K1457" s="34">
        <f>INDEX('BIO WAHYU'!B:G,MATCH(DATA!D1457,'BIO WAHYU'!B:B,0),6)</f>
        <v>1</v>
      </c>
      <c r="L1457" s="35">
        <f>INDEX('BIO WAHYU'!B:H,MATCH(DATA!D1457,'BIO WAHYU'!B:B,0),7)</f>
        <v>0</v>
      </c>
      <c r="M1457" s="34">
        <f>INDEX('BIO WAHYU'!B:H,MATCH(DATA!D1457,'BIO WAHYU'!B:B,0),4)</f>
        <v>0</v>
      </c>
    </row>
    <row r="1458" spans="1:13">
      <c r="A1458" s="43" t="s">
        <v>1672</v>
      </c>
      <c r="B1458" s="43">
        <v>2613051475</v>
      </c>
      <c r="C1458" s="43" t="s">
        <v>906</v>
      </c>
      <c r="D1458" s="10">
        <v>501084</v>
      </c>
      <c r="E1458" s="43" t="s">
        <v>10</v>
      </c>
      <c r="F1458" s="8">
        <f>_xlfn.IFNA(INDEX('OSA | 3GB'!J:L,MATCH(DATA!D1458,'OSA | 3GB'!J:J,0),2),0)</f>
        <v>3</v>
      </c>
      <c r="G1458" s="8">
        <f>_xlfn.IFNA(INDEX('OSA | 3GB'!J:L,MATCH(DATA!D1458,'OSA | 3GB'!J:J,0),3),0)</f>
        <v>1600000</v>
      </c>
      <c r="H1458" s="32" t="str">
        <f>_xlfn.IFNA(INDEX('OSA | 3GB'!A:C,MATCH(DATA!D1458,'OSA | 3GB'!A:A,0),2),0)</f>
        <v xml:space="preserve"> -   </v>
      </c>
      <c r="I1458" s="33">
        <f>_xlfn.IFNA(INDEX('OSA | 3GB'!A:C,MATCH(DATA!D1458,'OSA | 3GB'!A:A,0),3),0)</f>
        <v>200000</v>
      </c>
      <c r="J1458" s="33">
        <f>INDEX('BIO WAHYU'!B:G,MATCH(DATA!D1458,'BIO WAHYU'!B:B,0),5)</f>
        <v>0</v>
      </c>
      <c r="K1458" s="34">
        <f>INDEX('BIO WAHYU'!B:G,MATCH(DATA!D1458,'BIO WAHYU'!B:B,0),6)</f>
        <v>0</v>
      </c>
      <c r="L1458" s="35">
        <f>INDEX('BIO WAHYU'!B:H,MATCH(DATA!D1458,'BIO WAHYU'!B:B,0),7)</f>
        <v>0</v>
      </c>
      <c r="M1458" s="34">
        <f>INDEX('BIO WAHYU'!B:H,MATCH(DATA!D1458,'BIO WAHYU'!B:B,0),4)</f>
        <v>0</v>
      </c>
    </row>
    <row r="1459" spans="1:13">
      <c r="A1459" s="43" t="s">
        <v>1670</v>
      </c>
      <c r="B1459" s="43">
        <v>2613051412</v>
      </c>
      <c r="C1459" s="43" t="s">
        <v>554</v>
      </c>
      <c r="D1459" s="10">
        <v>12328412</v>
      </c>
      <c r="E1459" s="43" t="s">
        <v>10</v>
      </c>
      <c r="F1459" s="8">
        <f>_xlfn.IFNA(INDEX('OSA | 3GB'!J:L,MATCH(DATA!D1459,'OSA | 3GB'!J:J,0),2),0)</f>
        <v>6</v>
      </c>
      <c r="G1459" s="8">
        <f>_xlfn.IFNA(INDEX('OSA | 3GB'!J:L,MATCH(DATA!D1459,'OSA | 3GB'!J:J,0),3),0)</f>
        <v>500000</v>
      </c>
      <c r="H1459" s="32" t="str">
        <f>_xlfn.IFNA(INDEX('OSA | 3GB'!A:C,MATCH(DATA!D1459,'OSA | 3GB'!A:A,0),2),0)</f>
        <v xml:space="preserve"> -   </v>
      </c>
      <c r="I1459" s="33">
        <f>_xlfn.IFNA(INDEX('OSA | 3GB'!A:C,MATCH(DATA!D1459,'OSA | 3GB'!A:A,0),3),0)</f>
        <v>450000</v>
      </c>
      <c r="J1459" s="33">
        <f>INDEX('BIO WAHYU'!B:G,MATCH(DATA!D1459,'BIO WAHYU'!B:B,0),5)</f>
        <v>2</v>
      </c>
      <c r="K1459" s="34">
        <f>INDEX('BIO WAHYU'!B:G,MATCH(DATA!D1459,'BIO WAHYU'!B:B,0),6)</f>
        <v>0</v>
      </c>
      <c r="L1459" s="35">
        <f>INDEX('BIO WAHYU'!B:H,MATCH(DATA!D1459,'BIO WAHYU'!B:B,0),7)</f>
        <v>0</v>
      </c>
      <c r="M1459" s="34">
        <f>INDEX('BIO WAHYU'!B:H,MATCH(DATA!D1459,'BIO WAHYU'!B:B,0),4)</f>
        <v>1</v>
      </c>
    </row>
    <row r="1460" spans="1:13">
      <c r="A1460" s="43" t="s">
        <v>1674</v>
      </c>
      <c r="B1460" s="43" t="s">
        <v>148</v>
      </c>
      <c r="C1460" s="43" t="s">
        <v>644</v>
      </c>
      <c r="D1460" s="10">
        <v>404926</v>
      </c>
      <c r="E1460" s="43" t="s">
        <v>10</v>
      </c>
      <c r="F1460" s="8">
        <f>_xlfn.IFNA(INDEX('OSA | 3GB'!J:L,MATCH(DATA!D1460,'OSA | 3GB'!J:J,0),2),0)</f>
        <v>0</v>
      </c>
      <c r="G1460" s="8">
        <f>_xlfn.IFNA(INDEX('OSA | 3GB'!J:L,MATCH(DATA!D1460,'OSA | 3GB'!J:J,0),3),0)</f>
        <v>100000</v>
      </c>
      <c r="H1460" s="32" t="str">
        <f>_xlfn.IFNA(INDEX('OSA | 3GB'!A:C,MATCH(DATA!D1460,'OSA | 3GB'!A:A,0),2),0)</f>
        <v xml:space="preserve"> -   </v>
      </c>
      <c r="I1460" s="33" t="str">
        <f>_xlfn.IFNA(INDEX('OSA | 3GB'!A:C,MATCH(DATA!D1460,'OSA | 3GB'!A:A,0),3),0)</f>
        <v xml:space="preserve"> -   </v>
      </c>
      <c r="J1460" s="33">
        <f>INDEX('BIO WAHYU'!B:G,MATCH(DATA!D1460,'BIO WAHYU'!B:B,0),5)</f>
        <v>1</v>
      </c>
      <c r="K1460" s="34">
        <f>INDEX('BIO WAHYU'!B:G,MATCH(DATA!D1460,'BIO WAHYU'!B:B,0),6)</f>
        <v>0</v>
      </c>
      <c r="L1460" s="35">
        <f>INDEX('BIO WAHYU'!B:H,MATCH(DATA!D1460,'BIO WAHYU'!B:B,0),7)</f>
        <v>0</v>
      </c>
      <c r="M1460" s="34">
        <f>INDEX('BIO WAHYU'!B:H,MATCH(DATA!D1460,'BIO WAHYU'!B:B,0),4)</f>
        <v>0</v>
      </c>
    </row>
    <row r="1461" spans="1:13">
      <c r="A1461" s="43" t="s">
        <v>1670</v>
      </c>
      <c r="B1461" s="43" t="s">
        <v>146</v>
      </c>
      <c r="C1461" s="43" t="s">
        <v>532</v>
      </c>
      <c r="D1461" s="10">
        <v>12322214</v>
      </c>
      <c r="E1461" s="43" t="s">
        <v>10</v>
      </c>
      <c r="F1461" s="8">
        <f>_xlfn.IFNA(INDEX('OSA | 3GB'!J:L,MATCH(DATA!D1461,'OSA | 3GB'!J:J,0),2),0)</f>
        <v>1</v>
      </c>
      <c r="G1461" s="8">
        <f>_xlfn.IFNA(INDEX('OSA | 3GB'!J:L,MATCH(DATA!D1461,'OSA | 3GB'!J:J,0),3),0)</f>
        <v>900000</v>
      </c>
      <c r="H1461" s="32" t="str">
        <f>_xlfn.IFNA(INDEX('OSA | 3GB'!A:C,MATCH(DATA!D1461,'OSA | 3GB'!A:A,0),2),0)</f>
        <v xml:space="preserve"> -   </v>
      </c>
      <c r="I1461" s="33">
        <f>_xlfn.IFNA(INDEX('OSA | 3GB'!A:C,MATCH(DATA!D1461,'OSA | 3GB'!A:A,0),3),0)</f>
        <v>400000</v>
      </c>
      <c r="J1461" s="33">
        <f>INDEX('BIO WAHYU'!B:G,MATCH(DATA!D1461,'BIO WAHYU'!B:B,0),5)</f>
        <v>1</v>
      </c>
      <c r="K1461" s="34">
        <f>INDEX('BIO WAHYU'!B:G,MATCH(DATA!D1461,'BIO WAHYU'!B:B,0),6)</f>
        <v>0</v>
      </c>
      <c r="L1461" s="35">
        <f>INDEX('BIO WAHYU'!B:H,MATCH(DATA!D1461,'BIO WAHYU'!B:B,0),7)</f>
        <v>0</v>
      </c>
      <c r="M1461" s="34">
        <f>INDEX('BIO WAHYU'!B:H,MATCH(DATA!D1461,'BIO WAHYU'!B:B,0),4)</f>
        <v>0</v>
      </c>
    </row>
    <row r="1462" spans="1:13">
      <c r="A1462" s="43" t="s">
        <v>1675</v>
      </c>
      <c r="B1462" s="43" t="s">
        <v>137</v>
      </c>
      <c r="C1462" s="43" t="s">
        <v>431</v>
      </c>
      <c r="D1462" s="10">
        <v>12296266</v>
      </c>
      <c r="E1462" s="43" t="s">
        <v>15</v>
      </c>
      <c r="F1462" s="8">
        <f>_xlfn.IFNA(INDEX('OSA | 3GB'!J:L,MATCH(DATA!D1462,'OSA | 3GB'!J:J,0),2),0)</f>
        <v>80</v>
      </c>
      <c r="G1462" s="8">
        <f>_xlfn.IFNA(INDEX('OSA | 3GB'!J:L,MATCH(DATA!D1462,'OSA | 3GB'!J:J,0),3),0)</f>
        <v>486000</v>
      </c>
      <c r="H1462" s="32">
        <f>_xlfn.IFNA(INDEX('OSA | 3GB'!A:C,MATCH(DATA!D1462,'OSA | 3GB'!A:A,0),2),0)</f>
        <v>331</v>
      </c>
      <c r="I1462" s="33">
        <f>_xlfn.IFNA(INDEX('OSA | 3GB'!A:C,MATCH(DATA!D1462,'OSA | 3GB'!A:A,0),3),0)</f>
        <v>2055000</v>
      </c>
      <c r="J1462" s="33">
        <f>INDEX('BIO WAHYU'!B:G,MATCH(DATA!D1462,'BIO WAHYU'!B:B,0),5)</f>
        <v>2</v>
      </c>
      <c r="K1462" s="34">
        <f>INDEX('BIO WAHYU'!B:G,MATCH(DATA!D1462,'BIO WAHYU'!B:B,0),6)</f>
        <v>11</v>
      </c>
      <c r="L1462" s="35">
        <f>INDEX('BIO WAHYU'!B:H,MATCH(DATA!D1462,'BIO WAHYU'!B:B,0),7)</f>
        <v>9</v>
      </c>
      <c r="M1462" s="34">
        <f>INDEX('BIO WAHYU'!B:H,MATCH(DATA!D1462,'BIO WAHYU'!B:B,0),4)</f>
        <v>0</v>
      </c>
    </row>
    <row r="1463" spans="1:13">
      <c r="A1463" s="43" t="s">
        <v>1674</v>
      </c>
      <c r="B1463" s="43" t="s">
        <v>153</v>
      </c>
      <c r="C1463" s="43" t="s">
        <v>1608</v>
      </c>
      <c r="D1463" s="10">
        <v>314806</v>
      </c>
      <c r="E1463" s="43" t="s">
        <v>10</v>
      </c>
      <c r="F1463" s="8">
        <f>_xlfn.IFNA(INDEX('OSA | 3GB'!J:L,MATCH(DATA!D1463,'OSA | 3GB'!J:J,0),2),0)</f>
        <v>3</v>
      </c>
      <c r="G1463" s="8">
        <f>_xlfn.IFNA(INDEX('OSA | 3GB'!J:L,MATCH(DATA!D1463,'OSA | 3GB'!J:J,0),3),0)</f>
        <v>1300000</v>
      </c>
      <c r="H1463" s="32" t="str">
        <f>_xlfn.IFNA(INDEX('OSA | 3GB'!A:C,MATCH(DATA!D1463,'OSA | 3GB'!A:A,0),2),0)</f>
        <v xml:space="preserve"> -   </v>
      </c>
      <c r="I1463" s="33">
        <f>_xlfn.IFNA(INDEX('OSA | 3GB'!A:C,MATCH(DATA!D1463,'OSA | 3GB'!A:A,0),3),0)</f>
        <v>200000</v>
      </c>
      <c r="J1463" s="33">
        <f>INDEX('BIO WAHYU'!B:G,MATCH(DATA!D1463,'BIO WAHYU'!B:B,0),5)</f>
        <v>1</v>
      </c>
      <c r="K1463" s="34">
        <f>INDEX('BIO WAHYU'!B:G,MATCH(DATA!D1463,'BIO WAHYU'!B:B,0),6)</f>
        <v>1</v>
      </c>
      <c r="L1463" s="35">
        <f>INDEX('BIO WAHYU'!B:H,MATCH(DATA!D1463,'BIO WAHYU'!B:B,0),7)</f>
        <v>0</v>
      </c>
      <c r="M1463" s="34">
        <f>INDEX('BIO WAHYU'!B:H,MATCH(DATA!D1463,'BIO WAHYU'!B:B,0),4)</f>
        <v>0</v>
      </c>
    </row>
    <row r="1464" spans="1:13">
      <c r="A1464" s="43" t="s">
        <v>1674</v>
      </c>
      <c r="B1464" s="43" t="s">
        <v>154</v>
      </c>
      <c r="C1464" s="43" t="s">
        <v>743</v>
      </c>
      <c r="D1464" s="10">
        <v>3060</v>
      </c>
      <c r="E1464" s="43" t="s">
        <v>10</v>
      </c>
      <c r="F1464" s="8">
        <f>_xlfn.IFNA(INDEX('OSA | 3GB'!J:L,MATCH(DATA!D1464,'OSA | 3GB'!J:J,0),2),0)</f>
        <v>3</v>
      </c>
      <c r="G1464" s="8">
        <f>_xlfn.IFNA(INDEX('OSA | 3GB'!J:L,MATCH(DATA!D1464,'OSA | 3GB'!J:J,0),3),0)</f>
        <v>600000</v>
      </c>
      <c r="H1464" s="32" t="str">
        <f>_xlfn.IFNA(INDEX('OSA | 3GB'!A:C,MATCH(DATA!D1464,'OSA | 3GB'!A:A,0),2),0)</f>
        <v xml:space="preserve"> -   </v>
      </c>
      <c r="I1464" s="33">
        <f>_xlfn.IFNA(INDEX('OSA | 3GB'!A:C,MATCH(DATA!D1464,'OSA | 3GB'!A:A,0),3),0)</f>
        <v>300000</v>
      </c>
      <c r="J1464" s="33">
        <f>INDEX('BIO WAHYU'!B:G,MATCH(DATA!D1464,'BIO WAHYU'!B:B,0),5)</f>
        <v>4</v>
      </c>
      <c r="K1464" s="34">
        <f>INDEX('BIO WAHYU'!B:G,MATCH(DATA!D1464,'BIO WAHYU'!B:B,0),6)</f>
        <v>6</v>
      </c>
      <c r="L1464" s="35">
        <f>INDEX('BIO WAHYU'!B:H,MATCH(DATA!D1464,'BIO WAHYU'!B:B,0),7)</f>
        <v>2</v>
      </c>
      <c r="M1464" s="34">
        <f>INDEX('BIO WAHYU'!B:H,MATCH(DATA!D1464,'BIO WAHYU'!B:B,0),4)</f>
        <v>0</v>
      </c>
    </row>
    <row r="1465" spans="1:13">
      <c r="A1465" s="43" t="s">
        <v>1672</v>
      </c>
      <c r="B1465" s="43">
        <v>2613051475</v>
      </c>
      <c r="C1465" s="43" t="s">
        <v>919</v>
      </c>
      <c r="D1465" s="10">
        <v>61579</v>
      </c>
      <c r="E1465" s="43" t="s">
        <v>10</v>
      </c>
      <c r="F1465" s="8">
        <f>_xlfn.IFNA(INDEX('OSA | 3GB'!J:L,MATCH(DATA!D1465,'OSA | 3GB'!J:J,0),2),0)</f>
        <v>4</v>
      </c>
      <c r="G1465" s="8">
        <f>_xlfn.IFNA(INDEX('OSA | 3GB'!J:L,MATCH(DATA!D1465,'OSA | 3GB'!J:J,0),3),0)</f>
        <v>6208000</v>
      </c>
      <c r="H1465" s="32">
        <f>_xlfn.IFNA(INDEX('OSA | 3GB'!A:C,MATCH(DATA!D1465,'OSA | 3GB'!A:A,0),2),0)</f>
        <v>2</v>
      </c>
      <c r="I1465" s="33">
        <f>_xlfn.IFNA(INDEX('OSA | 3GB'!A:C,MATCH(DATA!D1465,'OSA | 3GB'!A:A,0),3),0)</f>
        <v>2550000</v>
      </c>
      <c r="J1465" s="33">
        <f>INDEX('BIO WAHYU'!B:G,MATCH(DATA!D1465,'BIO WAHYU'!B:B,0),5)</f>
        <v>4</v>
      </c>
      <c r="K1465" s="34">
        <f>INDEX('BIO WAHYU'!B:G,MATCH(DATA!D1465,'BIO WAHYU'!B:B,0),6)</f>
        <v>1</v>
      </c>
      <c r="L1465" s="35">
        <f>INDEX('BIO WAHYU'!B:H,MATCH(DATA!D1465,'BIO WAHYU'!B:B,0),7)</f>
        <v>0</v>
      </c>
      <c r="M1465" s="34">
        <f>INDEX('BIO WAHYU'!B:H,MATCH(DATA!D1465,'BIO WAHYU'!B:B,0),4)</f>
        <v>0</v>
      </c>
    </row>
    <row r="1466" spans="1:13">
      <c r="A1466" s="43" t="s">
        <v>1670</v>
      </c>
      <c r="B1466" s="43">
        <v>2613051412</v>
      </c>
      <c r="C1466" s="43" t="s">
        <v>1609</v>
      </c>
      <c r="D1466" s="10">
        <v>465620</v>
      </c>
      <c r="E1466" s="43" t="s">
        <v>10</v>
      </c>
      <c r="F1466" s="8">
        <f>_xlfn.IFNA(INDEX('OSA | 3GB'!J:L,MATCH(DATA!D1466,'OSA | 3GB'!J:J,0),2),0)</f>
        <v>5</v>
      </c>
      <c r="G1466" s="8">
        <f>_xlfn.IFNA(INDEX('OSA | 3GB'!J:L,MATCH(DATA!D1466,'OSA | 3GB'!J:J,0),3),0)</f>
        <v>200000</v>
      </c>
      <c r="H1466" s="32" t="str">
        <f>_xlfn.IFNA(INDEX('OSA | 3GB'!A:C,MATCH(DATA!D1466,'OSA | 3GB'!A:A,0),2),0)</f>
        <v xml:space="preserve"> -   </v>
      </c>
      <c r="I1466" s="33">
        <f>_xlfn.IFNA(INDEX('OSA | 3GB'!A:C,MATCH(DATA!D1466,'OSA | 3GB'!A:A,0),3),0)</f>
        <v>258000</v>
      </c>
      <c r="J1466" s="33">
        <f>INDEX('BIO WAHYU'!B:G,MATCH(DATA!D1466,'BIO WAHYU'!B:B,0),5)</f>
        <v>5</v>
      </c>
      <c r="K1466" s="34">
        <f>INDEX('BIO WAHYU'!B:G,MATCH(DATA!D1466,'BIO WAHYU'!B:B,0),6)</f>
        <v>2</v>
      </c>
      <c r="L1466" s="35">
        <f>INDEX('BIO WAHYU'!B:H,MATCH(DATA!D1466,'BIO WAHYU'!B:B,0),7)</f>
        <v>0</v>
      </c>
      <c r="M1466" s="34">
        <f>INDEX('BIO WAHYU'!B:H,MATCH(DATA!D1466,'BIO WAHYU'!B:B,0),4)</f>
        <v>0</v>
      </c>
    </row>
    <row r="1467" spans="1:13">
      <c r="A1467" s="43" t="s">
        <v>1674</v>
      </c>
      <c r="B1467" s="43" t="s">
        <v>147</v>
      </c>
      <c r="C1467" s="43" t="s">
        <v>612</v>
      </c>
      <c r="D1467" s="10">
        <v>422725</v>
      </c>
      <c r="E1467" s="43" t="s">
        <v>10</v>
      </c>
      <c r="F1467" s="8">
        <f>_xlfn.IFNA(INDEX('OSA | 3GB'!J:L,MATCH(DATA!D1467,'OSA | 3GB'!J:J,0),2),0)</f>
        <v>1</v>
      </c>
      <c r="G1467" s="8">
        <f>_xlfn.IFNA(INDEX('OSA | 3GB'!J:L,MATCH(DATA!D1467,'OSA | 3GB'!J:J,0),3),0)</f>
        <v>400000</v>
      </c>
      <c r="H1467" s="32" t="str">
        <f>_xlfn.IFNA(INDEX('OSA | 3GB'!A:C,MATCH(DATA!D1467,'OSA | 3GB'!A:A,0),2),0)</f>
        <v xml:space="preserve"> -   </v>
      </c>
      <c r="I1467" s="33" t="str">
        <f>_xlfn.IFNA(INDEX('OSA | 3GB'!A:C,MATCH(DATA!D1467,'OSA | 3GB'!A:A,0),3),0)</f>
        <v xml:space="preserve"> -   </v>
      </c>
      <c r="J1467" s="33">
        <f>INDEX('BIO WAHYU'!B:G,MATCH(DATA!D1467,'BIO WAHYU'!B:B,0),5)</f>
        <v>1</v>
      </c>
      <c r="K1467" s="34">
        <f>INDEX('BIO WAHYU'!B:G,MATCH(DATA!D1467,'BIO WAHYU'!B:B,0),6)</f>
        <v>0</v>
      </c>
      <c r="L1467" s="35">
        <f>INDEX('BIO WAHYU'!B:H,MATCH(DATA!D1467,'BIO WAHYU'!B:B,0),7)</f>
        <v>0</v>
      </c>
      <c r="M1467" s="34">
        <f>INDEX('BIO WAHYU'!B:H,MATCH(DATA!D1467,'BIO WAHYU'!B:B,0),4)</f>
        <v>0</v>
      </c>
    </row>
    <row r="1468" spans="1:13">
      <c r="A1468" s="43" t="s">
        <v>1675</v>
      </c>
      <c r="B1468" s="43">
        <v>2613051451</v>
      </c>
      <c r="C1468" s="43" t="s">
        <v>1610</v>
      </c>
      <c r="D1468" s="10">
        <v>493400</v>
      </c>
      <c r="E1468" s="43" t="s">
        <v>10</v>
      </c>
      <c r="F1468" s="8">
        <f>_xlfn.IFNA(INDEX('OSA | 3GB'!J:L,MATCH(DATA!D1468,'OSA | 3GB'!J:J,0),2),0)</f>
        <v>0</v>
      </c>
      <c r="G1468" s="8">
        <f>_xlfn.IFNA(INDEX('OSA | 3GB'!J:L,MATCH(DATA!D1468,'OSA | 3GB'!J:J,0),3),0)</f>
        <v>0</v>
      </c>
      <c r="H1468" s="32" t="str">
        <f>_xlfn.IFNA(INDEX('OSA | 3GB'!A:C,MATCH(DATA!D1468,'OSA | 3GB'!A:A,0),2),0)</f>
        <v xml:space="preserve"> -   </v>
      </c>
      <c r="I1468" s="33" t="str">
        <f>_xlfn.IFNA(INDEX('OSA | 3GB'!A:C,MATCH(DATA!D1468,'OSA | 3GB'!A:A,0),3),0)</f>
        <v xml:space="preserve"> -   </v>
      </c>
      <c r="J1468" s="33">
        <f>INDEX('BIO WAHYU'!B:G,MATCH(DATA!D1468,'BIO WAHYU'!B:B,0),5)</f>
        <v>0</v>
      </c>
      <c r="K1468" s="34">
        <f>INDEX('BIO WAHYU'!B:G,MATCH(DATA!D1468,'BIO WAHYU'!B:B,0),6)</f>
        <v>0</v>
      </c>
      <c r="L1468" s="35">
        <f>INDEX('BIO WAHYU'!B:H,MATCH(DATA!D1468,'BIO WAHYU'!B:B,0),7)</f>
        <v>0</v>
      </c>
      <c r="M1468" s="34">
        <f>INDEX('BIO WAHYU'!B:H,MATCH(DATA!D1468,'BIO WAHYU'!B:B,0),4)</f>
        <v>0</v>
      </c>
    </row>
    <row r="1469" spans="1:13">
      <c r="A1469" s="43" t="s">
        <v>1673</v>
      </c>
      <c r="B1469" s="43" t="s">
        <v>1140</v>
      </c>
      <c r="C1469" s="43" t="s">
        <v>165</v>
      </c>
      <c r="D1469" s="10">
        <v>517666</v>
      </c>
      <c r="E1469" s="43" t="s">
        <v>15</v>
      </c>
      <c r="F1469" s="8">
        <f>_xlfn.IFNA(INDEX('OSA | 3GB'!J:L,MATCH(DATA!D1469,'OSA | 3GB'!J:J,0),2),0)</f>
        <v>3</v>
      </c>
      <c r="G1469" s="8">
        <f>_xlfn.IFNA(INDEX('OSA | 3GB'!J:L,MATCH(DATA!D1469,'OSA | 3GB'!J:J,0),3),0)</f>
        <v>1200000</v>
      </c>
      <c r="H1469" s="32" t="str">
        <f>_xlfn.IFNA(INDEX('OSA | 3GB'!A:C,MATCH(DATA!D1469,'OSA | 3GB'!A:A,0),2),0)</f>
        <v xml:space="preserve"> -   </v>
      </c>
      <c r="I1469" s="33">
        <f>_xlfn.IFNA(INDEX('OSA | 3GB'!A:C,MATCH(DATA!D1469,'OSA | 3GB'!A:A,0),3),0)</f>
        <v>200000</v>
      </c>
      <c r="J1469" s="33">
        <f>INDEX('BIO WAHYU'!B:G,MATCH(DATA!D1469,'BIO WAHYU'!B:B,0),5)</f>
        <v>1</v>
      </c>
      <c r="K1469" s="34">
        <f>INDEX('BIO WAHYU'!B:G,MATCH(DATA!D1469,'BIO WAHYU'!B:B,0),6)</f>
        <v>0</v>
      </c>
      <c r="L1469" s="35">
        <f>INDEX('BIO WAHYU'!B:H,MATCH(DATA!D1469,'BIO WAHYU'!B:B,0),7)</f>
        <v>0</v>
      </c>
      <c r="M1469" s="34">
        <f>INDEX('BIO WAHYU'!B:H,MATCH(DATA!D1469,'BIO WAHYU'!B:B,0),4)</f>
        <v>0</v>
      </c>
    </row>
    <row r="1470" spans="1:13">
      <c r="A1470" s="43" t="s">
        <v>1672</v>
      </c>
      <c r="B1470" s="43" t="s">
        <v>151</v>
      </c>
      <c r="C1470" s="43" t="s">
        <v>864</v>
      </c>
      <c r="D1470" s="10">
        <v>244905</v>
      </c>
      <c r="E1470" s="43" t="s">
        <v>15</v>
      </c>
      <c r="F1470" s="8">
        <f>_xlfn.IFNA(INDEX('OSA | 3GB'!J:L,MATCH(DATA!D1470,'OSA | 3GB'!J:J,0),2),0)</f>
        <v>3</v>
      </c>
      <c r="G1470" s="8">
        <f>_xlfn.IFNA(INDEX('OSA | 3GB'!J:L,MATCH(DATA!D1470,'OSA | 3GB'!J:J,0),3),0)</f>
        <v>700000</v>
      </c>
      <c r="H1470" s="32">
        <f>_xlfn.IFNA(INDEX('OSA | 3GB'!A:C,MATCH(DATA!D1470,'OSA | 3GB'!A:A,0),2),0)</f>
        <v>1</v>
      </c>
      <c r="I1470" s="33">
        <f>_xlfn.IFNA(INDEX('OSA | 3GB'!A:C,MATCH(DATA!D1470,'OSA | 3GB'!A:A,0),3),0)</f>
        <v>300000</v>
      </c>
      <c r="J1470" s="33">
        <f>INDEX('BIO WAHYU'!B:G,MATCH(DATA!D1470,'BIO WAHYU'!B:B,0),5)</f>
        <v>0</v>
      </c>
      <c r="K1470" s="34">
        <f>INDEX('BIO WAHYU'!B:G,MATCH(DATA!D1470,'BIO WAHYU'!B:B,0),6)</f>
        <v>0</v>
      </c>
      <c r="L1470" s="35">
        <f>INDEX('BIO WAHYU'!B:H,MATCH(DATA!D1470,'BIO WAHYU'!B:B,0),7)</f>
        <v>0</v>
      </c>
      <c r="M1470" s="34">
        <f>INDEX('BIO WAHYU'!B:H,MATCH(DATA!D1470,'BIO WAHYU'!B:B,0),4)</f>
        <v>0</v>
      </c>
    </row>
    <row r="1471" spans="1:13">
      <c r="A1471" s="43" t="s">
        <v>1674</v>
      </c>
      <c r="B1471" s="43" t="s">
        <v>154</v>
      </c>
      <c r="C1471" s="43" t="s">
        <v>753</v>
      </c>
      <c r="D1471" s="10">
        <v>544812</v>
      </c>
      <c r="E1471" s="43" t="s">
        <v>10</v>
      </c>
      <c r="F1471" s="8">
        <f>_xlfn.IFNA(INDEX('OSA | 3GB'!J:L,MATCH(DATA!D1471,'OSA | 3GB'!J:J,0),2),0)</f>
        <v>6</v>
      </c>
      <c r="G1471" s="8">
        <f>_xlfn.IFNA(INDEX('OSA | 3GB'!J:L,MATCH(DATA!D1471,'OSA | 3GB'!J:J,0),3),0)</f>
        <v>8300000</v>
      </c>
      <c r="H1471" s="32" t="str">
        <f>_xlfn.IFNA(INDEX('OSA | 3GB'!A:C,MATCH(DATA!D1471,'OSA | 3GB'!A:A,0),2),0)</f>
        <v xml:space="preserve"> -   </v>
      </c>
      <c r="I1471" s="33">
        <f>_xlfn.IFNA(INDEX('OSA | 3GB'!A:C,MATCH(DATA!D1471,'OSA | 3GB'!A:A,0),3),0)</f>
        <v>1450000</v>
      </c>
      <c r="J1471" s="33">
        <f>INDEX('BIO WAHYU'!B:G,MATCH(DATA!D1471,'BIO WAHYU'!B:B,0),5)</f>
        <v>2</v>
      </c>
      <c r="K1471" s="34">
        <f>INDEX('BIO WAHYU'!B:G,MATCH(DATA!D1471,'BIO WAHYU'!B:B,0),6)</f>
        <v>0</v>
      </c>
      <c r="L1471" s="35">
        <f>INDEX('BIO WAHYU'!B:H,MATCH(DATA!D1471,'BIO WAHYU'!B:B,0),7)</f>
        <v>0</v>
      </c>
      <c r="M1471" s="34">
        <f>INDEX('BIO WAHYU'!B:H,MATCH(DATA!D1471,'BIO WAHYU'!B:B,0),4)</f>
        <v>0</v>
      </c>
    </row>
    <row r="1472" spans="1:13">
      <c r="A1472" s="43" t="s">
        <v>1673</v>
      </c>
      <c r="B1472" s="43" t="s">
        <v>143</v>
      </c>
      <c r="C1472" s="43" t="s">
        <v>1611</v>
      </c>
      <c r="D1472" s="10">
        <v>12301184</v>
      </c>
      <c r="E1472" s="43" t="s">
        <v>15</v>
      </c>
      <c r="F1472" s="8">
        <f>_xlfn.IFNA(INDEX('OSA | 3GB'!J:L,MATCH(DATA!D1472,'OSA | 3GB'!J:J,0),2),0)</f>
        <v>3</v>
      </c>
      <c r="G1472" s="8">
        <f>_xlfn.IFNA(INDEX('OSA | 3GB'!J:L,MATCH(DATA!D1472,'OSA | 3GB'!J:J,0),3),0)</f>
        <v>1208000</v>
      </c>
      <c r="H1472" s="32">
        <f>_xlfn.IFNA(INDEX('OSA | 3GB'!A:C,MATCH(DATA!D1472,'OSA | 3GB'!A:A,0),2),0)</f>
        <v>1</v>
      </c>
      <c r="I1472" s="33">
        <f>_xlfn.IFNA(INDEX('OSA | 3GB'!A:C,MATCH(DATA!D1472,'OSA | 3GB'!A:A,0),3),0)</f>
        <v>400000</v>
      </c>
      <c r="J1472" s="33">
        <f>INDEX('BIO WAHYU'!B:G,MATCH(DATA!D1472,'BIO WAHYU'!B:B,0),5)</f>
        <v>3</v>
      </c>
      <c r="K1472" s="34">
        <f>INDEX('BIO WAHYU'!B:G,MATCH(DATA!D1472,'BIO WAHYU'!B:B,0),6)</f>
        <v>2</v>
      </c>
      <c r="L1472" s="35">
        <f>INDEX('BIO WAHYU'!B:H,MATCH(DATA!D1472,'BIO WAHYU'!B:B,0),7)</f>
        <v>0</v>
      </c>
      <c r="M1472" s="34">
        <f>INDEX('BIO WAHYU'!B:H,MATCH(DATA!D1472,'BIO WAHYU'!B:B,0),4)</f>
        <v>0</v>
      </c>
    </row>
    <row r="1473" spans="1:13">
      <c r="A1473" s="43" t="s">
        <v>1670</v>
      </c>
      <c r="B1473" s="43" t="s">
        <v>146</v>
      </c>
      <c r="C1473" s="43" t="s">
        <v>1612</v>
      </c>
      <c r="D1473" s="10">
        <v>12296347</v>
      </c>
      <c r="E1473" s="43" t="s">
        <v>10</v>
      </c>
      <c r="F1473" s="8">
        <f>_xlfn.IFNA(INDEX('OSA | 3GB'!J:L,MATCH(DATA!D1473,'OSA | 3GB'!J:J,0),2),0)</f>
        <v>0</v>
      </c>
      <c r="G1473" s="8">
        <f>_xlfn.IFNA(INDEX('OSA | 3GB'!J:L,MATCH(DATA!D1473,'OSA | 3GB'!J:J,0),3),0)</f>
        <v>7990000</v>
      </c>
      <c r="H1473" s="32" t="str">
        <f>_xlfn.IFNA(INDEX('OSA | 3GB'!A:C,MATCH(DATA!D1473,'OSA | 3GB'!A:A,0),2),0)</f>
        <v xml:space="preserve"> -   </v>
      </c>
      <c r="I1473" s="33">
        <f>_xlfn.IFNA(INDEX('OSA | 3GB'!A:C,MATCH(DATA!D1473,'OSA | 3GB'!A:A,0),3),0)</f>
        <v>3850000</v>
      </c>
      <c r="J1473" s="33">
        <f>INDEX('BIO WAHYU'!B:G,MATCH(DATA!D1473,'BIO WAHYU'!B:B,0),5)</f>
        <v>2</v>
      </c>
      <c r="K1473" s="34">
        <f>INDEX('BIO WAHYU'!B:G,MATCH(DATA!D1473,'BIO WAHYU'!B:B,0),6)</f>
        <v>0</v>
      </c>
      <c r="L1473" s="35">
        <f>INDEX('BIO WAHYU'!B:H,MATCH(DATA!D1473,'BIO WAHYU'!B:B,0),7)</f>
        <v>0</v>
      </c>
      <c r="M1473" s="34">
        <f>INDEX('BIO WAHYU'!B:H,MATCH(DATA!D1473,'BIO WAHYU'!B:B,0),4)</f>
        <v>0</v>
      </c>
    </row>
    <row r="1474" spans="1:13">
      <c r="A1474" s="43" t="s">
        <v>1673</v>
      </c>
      <c r="B1474" s="43" t="s">
        <v>141</v>
      </c>
      <c r="C1474" s="43" t="s">
        <v>187</v>
      </c>
      <c r="D1474" s="10">
        <v>12299381</v>
      </c>
      <c r="E1474" s="43" t="s">
        <v>10</v>
      </c>
      <c r="F1474" s="8">
        <f>_xlfn.IFNA(INDEX('OSA | 3GB'!J:L,MATCH(DATA!D1474,'OSA | 3GB'!J:J,0),2),0)</f>
        <v>0</v>
      </c>
      <c r="G1474" s="8">
        <f>_xlfn.IFNA(INDEX('OSA | 3GB'!J:L,MATCH(DATA!D1474,'OSA | 3GB'!J:J,0),3),0)</f>
        <v>50000</v>
      </c>
      <c r="H1474" s="32" t="str">
        <f>_xlfn.IFNA(INDEX('OSA | 3GB'!A:C,MATCH(DATA!D1474,'OSA | 3GB'!A:A,0),2),0)</f>
        <v xml:space="preserve"> -   </v>
      </c>
      <c r="I1474" s="33" t="str">
        <f>_xlfn.IFNA(INDEX('OSA | 3GB'!A:C,MATCH(DATA!D1474,'OSA | 3GB'!A:A,0),3),0)</f>
        <v xml:space="preserve"> -   </v>
      </c>
      <c r="J1474" s="33">
        <f>INDEX('BIO WAHYU'!B:G,MATCH(DATA!D1474,'BIO WAHYU'!B:B,0),5)</f>
        <v>0</v>
      </c>
      <c r="K1474" s="34">
        <f>INDEX('BIO WAHYU'!B:G,MATCH(DATA!D1474,'BIO WAHYU'!B:B,0),6)</f>
        <v>0</v>
      </c>
      <c r="L1474" s="35">
        <f>INDEX('BIO WAHYU'!B:H,MATCH(DATA!D1474,'BIO WAHYU'!B:B,0),7)</f>
        <v>0</v>
      </c>
      <c r="M1474" s="34">
        <f>INDEX('BIO WAHYU'!B:H,MATCH(DATA!D1474,'BIO WAHYU'!B:B,0),4)</f>
        <v>0</v>
      </c>
    </row>
    <row r="1475" spans="1:13">
      <c r="A1475" s="43" t="s">
        <v>1672</v>
      </c>
      <c r="B1475" s="43" t="s">
        <v>157</v>
      </c>
      <c r="C1475" s="43" t="s">
        <v>1613</v>
      </c>
      <c r="D1475" s="10">
        <v>62004</v>
      </c>
      <c r="E1475" s="43" t="s">
        <v>10</v>
      </c>
      <c r="F1475" s="8">
        <f>_xlfn.IFNA(INDEX('OSA | 3GB'!J:L,MATCH(DATA!D1475,'OSA | 3GB'!J:J,0),2),0)</f>
        <v>3</v>
      </c>
      <c r="G1475" s="8">
        <f>_xlfn.IFNA(INDEX('OSA | 3GB'!J:L,MATCH(DATA!D1475,'OSA | 3GB'!J:J,0),3),0)</f>
        <v>14567450</v>
      </c>
      <c r="H1475" s="32">
        <f>_xlfn.IFNA(INDEX('OSA | 3GB'!A:C,MATCH(DATA!D1475,'OSA | 3GB'!A:A,0),2),0)</f>
        <v>4</v>
      </c>
      <c r="I1475" s="33">
        <f>_xlfn.IFNA(INDEX('OSA | 3GB'!A:C,MATCH(DATA!D1475,'OSA | 3GB'!A:A,0),3),0)</f>
        <v>3168385</v>
      </c>
      <c r="J1475" s="33">
        <f>INDEX('BIO WAHYU'!B:G,MATCH(DATA!D1475,'BIO WAHYU'!B:B,0),5)</f>
        <v>2</v>
      </c>
      <c r="K1475" s="34">
        <f>INDEX('BIO WAHYU'!B:G,MATCH(DATA!D1475,'BIO WAHYU'!B:B,0),6)</f>
        <v>3</v>
      </c>
      <c r="L1475" s="35">
        <f>INDEX('BIO WAHYU'!B:H,MATCH(DATA!D1475,'BIO WAHYU'!B:B,0),7)</f>
        <v>1</v>
      </c>
      <c r="M1475" s="34">
        <f>INDEX('BIO WAHYU'!B:H,MATCH(DATA!D1475,'BIO WAHYU'!B:B,0),4)</f>
        <v>0</v>
      </c>
    </row>
    <row r="1476" spans="1:13">
      <c r="A1476" s="43" t="s">
        <v>1670</v>
      </c>
      <c r="B1476" s="43" t="s">
        <v>140</v>
      </c>
      <c r="C1476" s="43" t="s">
        <v>478</v>
      </c>
      <c r="D1476" s="10">
        <v>62337</v>
      </c>
      <c r="E1476" s="43" t="s">
        <v>10</v>
      </c>
      <c r="F1476" s="8">
        <f>_xlfn.IFNA(INDEX('OSA | 3GB'!J:L,MATCH(DATA!D1476,'OSA | 3GB'!J:J,0),2),0)</f>
        <v>0</v>
      </c>
      <c r="G1476" s="8">
        <f>_xlfn.IFNA(INDEX('OSA | 3GB'!J:L,MATCH(DATA!D1476,'OSA | 3GB'!J:J,0),3),0)</f>
        <v>220000</v>
      </c>
      <c r="H1476" s="32" t="str">
        <f>_xlfn.IFNA(INDEX('OSA | 3GB'!A:C,MATCH(DATA!D1476,'OSA | 3GB'!A:A,0),2),0)</f>
        <v xml:space="preserve"> -   </v>
      </c>
      <c r="I1476" s="33" t="str">
        <f>_xlfn.IFNA(INDEX('OSA | 3GB'!A:C,MATCH(DATA!D1476,'OSA | 3GB'!A:A,0),3),0)</f>
        <v xml:space="preserve"> -   </v>
      </c>
      <c r="J1476" s="33">
        <f>INDEX('BIO WAHYU'!B:G,MATCH(DATA!D1476,'BIO WAHYU'!B:B,0),5)</f>
        <v>0</v>
      </c>
      <c r="K1476" s="34">
        <f>INDEX('BIO WAHYU'!B:G,MATCH(DATA!D1476,'BIO WAHYU'!B:B,0),6)</f>
        <v>0</v>
      </c>
      <c r="L1476" s="35">
        <f>INDEX('BIO WAHYU'!B:H,MATCH(DATA!D1476,'BIO WAHYU'!B:B,0),7)</f>
        <v>0</v>
      </c>
      <c r="M1476" s="34">
        <f>INDEX('BIO WAHYU'!B:H,MATCH(DATA!D1476,'BIO WAHYU'!B:B,0),4)</f>
        <v>0</v>
      </c>
    </row>
    <row r="1477" spans="1:13">
      <c r="A1477" s="43" t="s">
        <v>1674</v>
      </c>
      <c r="B1477" s="43" t="s">
        <v>153</v>
      </c>
      <c r="C1477" s="43" t="s">
        <v>1614</v>
      </c>
      <c r="D1477" s="10">
        <v>199290</v>
      </c>
      <c r="E1477" s="43" t="s">
        <v>10</v>
      </c>
      <c r="F1477" s="8">
        <f>_xlfn.IFNA(INDEX('OSA | 3GB'!J:L,MATCH(DATA!D1477,'OSA | 3GB'!J:J,0),2),0)</f>
        <v>88</v>
      </c>
      <c r="G1477" s="8">
        <f>_xlfn.IFNA(INDEX('OSA | 3GB'!J:L,MATCH(DATA!D1477,'OSA | 3GB'!J:J,0),3),0)</f>
        <v>1300000</v>
      </c>
      <c r="H1477" s="32" t="str">
        <f>_xlfn.IFNA(INDEX('OSA | 3GB'!A:C,MATCH(DATA!D1477,'OSA | 3GB'!A:A,0),2),0)</f>
        <v xml:space="preserve"> -   </v>
      </c>
      <c r="I1477" s="33">
        <f>_xlfn.IFNA(INDEX('OSA | 3GB'!A:C,MATCH(DATA!D1477,'OSA | 3GB'!A:A,0),3),0)</f>
        <v>700000</v>
      </c>
      <c r="J1477" s="33">
        <f>INDEX('BIO WAHYU'!B:G,MATCH(DATA!D1477,'BIO WAHYU'!B:B,0),5)</f>
        <v>15</v>
      </c>
      <c r="K1477" s="34">
        <f>INDEX('BIO WAHYU'!B:G,MATCH(DATA!D1477,'BIO WAHYU'!B:B,0),6)</f>
        <v>0</v>
      </c>
      <c r="L1477" s="35">
        <f>INDEX('BIO WAHYU'!B:H,MATCH(DATA!D1477,'BIO WAHYU'!B:B,0),7)</f>
        <v>0</v>
      </c>
      <c r="M1477" s="34">
        <f>INDEX('BIO WAHYU'!B:H,MATCH(DATA!D1477,'BIO WAHYU'!B:B,0),4)</f>
        <v>0</v>
      </c>
    </row>
    <row r="1478" spans="1:13">
      <c r="A1478" s="43" t="s">
        <v>1672</v>
      </c>
      <c r="B1478" s="43" t="s">
        <v>150</v>
      </c>
      <c r="C1478" s="43" t="s">
        <v>840</v>
      </c>
      <c r="D1478" s="10">
        <v>61937</v>
      </c>
      <c r="E1478" s="43" t="s">
        <v>10</v>
      </c>
      <c r="F1478" s="8">
        <f>_xlfn.IFNA(INDEX('OSA | 3GB'!J:L,MATCH(DATA!D1478,'OSA | 3GB'!J:J,0),2),0)</f>
        <v>64</v>
      </c>
      <c r="G1478" s="8">
        <f>_xlfn.IFNA(INDEX('OSA | 3GB'!J:L,MATCH(DATA!D1478,'OSA | 3GB'!J:J,0),3),0)</f>
        <v>21955565</v>
      </c>
      <c r="H1478" s="32" t="str">
        <f>_xlfn.IFNA(INDEX('OSA | 3GB'!A:C,MATCH(DATA!D1478,'OSA | 3GB'!A:A,0),2),0)</f>
        <v xml:space="preserve"> -   </v>
      </c>
      <c r="I1478" s="33">
        <f>_xlfn.IFNA(INDEX('OSA | 3GB'!A:C,MATCH(DATA!D1478,'OSA | 3GB'!A:A,0),3),0)</f>
        <v>9404849</v>
      </c>
      <c r="J1478" s="33">
        <f>INDEX('BIO WAHYU'!B:G,MATCH(DATA!D1478,'BIO WAHYU'!B:B,0),5)</f>
        <v>9</v>
      </c>
      <c r="K1478" s="34">
        <f>INDEX('BIO WAHYU'!B:G,MATCH(DATA!D1478,'BIO WAHYU'!B:B,0),6)</f>
        <v>10</v>
      </c>
      <c r="L1478" s="35">
        <f>INDEX('BIO WAHYU'!B:H,MATCH(DATA!D1478,'BIO WAHYU'!B:B,0),7)</f>
        <v>1</v>
      </c>
      <c r="M1478" s="34">
        <f>INDEX('BIO WAHYU'!B:H,MATCH(DATA!D1478,'BIO WAHYU'!B:B,0),4)</f>
        <v>0</v>
      </c>
    </row>
    <row r="1479" spans="1:13">
      <c r="A1479" s="43" t="s">
        <v>1670</v>
      </c>
      <c r="B1479" s="43" t="s">
        <v>146</v>
      </c>
      <c r="C1479" s="43" t="s">
        <v>1615</v>
      </c>
      <c r="D1479" s="10">
        <v>13387</v>
      </c>
      <c r="E1479" s="43" t="s">
        <v>10</v>
      </c>
      <c r="F1479" s="8">
        <f>_xlfn.IFNA(INDEX('OSA | 3GB'!J:L,MATCH(DATA!D1479,'OSA | 3GB'!J:J,0),2),0)</f>
        <v>1</v>
      </c>
      <c r="G1479" s="8">
        <f>_xlfn.IFNA(INDEX('OSA | 3GB'!J:L,MATCH(DATA!D1479,'OSA | 3GB'!J:J,0),3),0)</f>
        <v>400000</v>
      </c>
      <c r="H1479" s="32" t="str">
        <f>_xlfn.IFNA(INDEX('OSA | 3GB'!A:C,MATCH(DATA!D1479,'OSA | 3GB'!A:A,0),2),0)</f>
        <v xml:space="preserve"> -   </v>
      </c>
      <c r="I1479" s="33">
        <f>_xlfn.IFNA(INDEX('OSA | 3GB'!A:C,MATCH(DATA!D1479,'OSA | 3GB'!A:A,0),3),0)</f>
        <v>300000</v>
      </c>
      <c r="J1479" s="33">
        <f>INDEX('BIO WAHYU'!B:G,MATCH(DATA!D1479,'BIO WAHYU'!B:B,0),5)</f>
        <v>3</v>
      </c>
      <c r="K1479" s="34">
        <f>INDEX('BIO WAHYU'!B:G,MATCH(DATA!D1479,'BIO WAHYU'!B:B,0),6)</f>
        <v>5</v>
      </c>
      <c r="L1479" s="35">
        <f>INDEX('BIO WAHYU'!B:H,MATCH(DATA!D1479,'BIO WAHYU'!B:B,0),7)</f>
        <v>2</v>
      </c>
      <c r="M1479" s="34">
        <f>INDEX('BIO WAHYU'!B:H,MATCH(DATA!D1479,'BIO WAHYU'!B:B,0),4)</f>
        <v>0</v>
      </c>
    </row>
    <row r="1480" spans="1:13">
      <c r="A1480" s="43" t="s">
        <v>1675</v>
      </c>
      <c r="B1480" s="43">
        <v>2613051451</v>
      </c>
      <c r="C1480" s="43" t="s">
        <v>1616</v>
      </c>
      <c r="D1480" s="10">
        <v>368553</v>
      </c>
      <c r="E1480" s="43" t="s">
        <v>10</v>
      </c>
      <c r="F1480" s="8">
        <f>_xlfn.IFNA(INDEX('OSA | 3GB'!J:L,MATCH(DATA!D1480,'OSA | 3GB'!J:J,0),2),0)</f>
        <v>3</v>
      </c>
      <c r="G1480" s="8">
        <f>_xlfn.IFNA(INDEX('OSA | 3GB'!J:L,MATCH(DATA!D1480,'OSA | 3GB'!J:J,0),3),0)</f>
        <v>0</v>
      </c>
      <c r="H1480" s="32" t="str">
        <f>_xlfn.IFNA(INDEX('OSA | 3GB'!A:C,MATCH(DATA!D1480,'OSA | 3GB'!A:A,0),2),0)</f>
        <v xml:space="preserve"> -   </v>
      </c>
      <c r="I1480" s="33" t="str">
        <f>_xlfn.IFNA(INDEX('OSA | 3GB'!A:C,MATCH(DATA!D1480,'OSA | 3GB'!A:A,0),3),0)</f>
        <v xml:space="preserve"> -   </v>
      </c>
      <c r="J1480" s="33">
        <f>INDEX('BIO WAHYU'!B:G,MATCH(DATA!D1480,'BIO WAHYU'!B:B,0),5)</f>
        <v>2</v>
      </c>
      <c r="K1480" s="34">
        <f>INDEX('BIO WAHYU'!B:G,MATCH(DATA!D1480,'BIO WAHYU'!B:B,0),6)</f>
        <v>1</v>
      </c>
      <c r="L1480" s="35">
        <f>INDEX('BIO WAHYU'!B:H,MATCH(DATA!D1480,'BIO WAHYU'!B:B,0),7)</f>
        <v>0</v>
      </c>
      <c r="M1480" s="34">
        <f>INDEX('BIO WAHYU'!B:H,MATCH(DATA!D1480,'BIO WAHYU'!B:B,0),4)</f>
        <v>0</v>
      </c>
    </row>
    <row r="1481" spans="1:13">
      <c r="A1481" s="43" t="s">
        <v>1673</v>
      </c>
      <c r="B1481" s="43" t="s">
        <v>143</v>
      </c>
      <c r="C1481" s="43" t="s">
        <v>272</v>
      </c>
      <c r="D1481" s="10">
        <v>560095</v>
      </c>
      <c r="E1481" s="43" t="s">
        <v>10</v>
      </c>
      <c r="F1481" s="8">
        <f>_xlfn.IFNA(INDEX('OSA | 3GB'!J:L,MATCH(DATA!D1481,'OSA | 3GB'!J:J,0),2),0)</f>
        <v>4</v>
      </c>
      <c r="G1481" s="8">
        <f>_xlfn.IFNA(INDEX('OSA | 3GB'!J:L,MATCH(DATA!D1481,'OSA | 3GB'!J:J,0),3),0)</f>
        <v>1308000</v>
      </c>
      <c r="H1481" s="32">
        <f>_xlfn.IFNA(INDEX('OSA | 3GB'!A:C,MATCH(DATA!D1481,'OSA | 3GB'!A:A,0),2),0)</f>
        <v>1</v>
      </c>
      <c r="I1481" s="33">
        <f>_xlfn.IFNA(INDEX('OSA | 3GB'!A:C,MATCH(DATA!D1481,'OSA | 3GB'!A:A,0),3),0)</f>
        <v>600000</v>
      </c>
      <c r="J1481" s="33">
        <f>INDEX('BIO WAHYU'!B:G,MATCH(DATA!D1481,'BIO WAHYU'!B:B,0),5)</f>
        <v>4</v>
      </c>
      <c r="K1481" s="34">
        <f>INDEX('BIO WAHYU'!B:G,MATCH(DATA!D1481,'BIO WAHYU'!B:B,0),6)</f>
        <v>2</v>
      </c>
      <c r="L1481" s="35">
        <f>INDEX('BIO WAHYU'!B:H,MATCH(DATA!D1481,'BIO WAHYU'!B:B,0),7)</f>
        <v>0</v>
      </c>
      <c r="M1481" s="34">
        <f>INDEX('BIO WAHYU'!B:H,MATCH(DATA!D1481,'BIO WAHYU'!B:B,0),4)</f>
        <v>0</v>
      </c>
    </row>
    <row r="1482" spans="1:13">
      <c r="A1482" s="43" t="s">
        <v>1673</v>
      </c>
      <c r="B1482" s="43" t="s">
        <v>143</v>
      </c>
      <c r="C1482" s="43" t="s">
        <v>258</v>
      </c>
      <c r="D1482" s="10">
        <v>407121</v>
      </c>
      <c r="E1482" s="43" t="s">
        <v>15</v>
      </c>
      <c r="F1482" s="8">
        <f>_xlfn.IFNA(INDEX('OSA | 3GB'!J:L,MATCH(DATA!D1482,'OSA | 3GB'!J:J,0),2),0)</f>
        <v>4</v>
      </c>
      <c r="G1482" s="8">
        <f>_xlfn.IFNA(INDEX('OSA | 3GB'!J:L,MATCH(DATA!D1482,'OSA | 3GB'!J:J,0),3),0)</f>
        <v>1358000</v>
      </c>
      <c r="H1482" s="32">
        <f>_xlfn.IFNA(INDEX('OSA | 3GB'!A:C,MATCH(DATA!D1482,'OSA | 3GB'!A:A,0),2),0)</f>
        <v>2</v>
      </c>
      <c r="I1482" s="33">
        <f>_xlfn.IFNA(INDEX('OSA | 3GB'!A:C,MATCH(DATA!D1482,'OSA | 3GB'!A:A,0),3),0)</f>
        <v>400000</v>
      </c>
      <c r="J1482" s="33">
        <f>INDEX('BIO WAHYU'!B:G,MATCH(DATA!D1482,'BIO WAHYU'!B:B,0),5)</f>
        <v>4</v>
      </c>
      <c r="K1482" s="34">
        <f>INDEX('BIO WAHYU'!B:G,MATCH(DATA!D1482,'BIO WAHYU'!B:B,0),6)</f>
        <v>1</v>
      </c>
      <c r="L1482" s="35">
        <f>INDEX('BIO WAHYU'!B:H,MATCH(DATA!D1482,'BIO WAHYU'!B:B,0),7)</f>
        <v>0</v>
      </c>
      <c r="M1482" s="34">
        <f>INDEX('BIO WAHYU'!B:H,MATCH(DATA!D1482,'BIO WAHYU'!B:B,0),4)</f>
        <v>0</v>
      </c>
    </row>
    <row r="1483" spans="1:13">
      <c r="A1483" s="43" t="s">
        <v>1673</v>
      </c>
      <c r="B1483" s="43" t="s">
        <v>144</v>
      </c>
      <c r="C1483" s="43" t="s">
        <v>173</v>
      </c>
      <c r="D1483" s="10">
        <v>392253</v>
      </c>
      <c r="E1483" s="43" t="s">
        <v>10</v>
      </c>
      <c r="F1483" s="8">
        <f>_xlfn.IFNA(INDEX('OSA | 3GB'!J:L,MATCH(DATA!D1483,'OSA | 3GB'!J:J,0),2),0)</f>
        <v>0</v>
      </c>
      <c r="G1483" s="8">
        <f>_xlfn.IFNA(INDEX('OSA | 3GB'!J:L,MATCH(DATA!D1483,'OSA | 3GB'!J:J,0),3),0)</f>
        <v>1087000</v>
      </c>
      <c r="H1483" s="32" t="str">
        <f>_xlfn.IFNA(INDEX('OSA | 3GB'!A:C,MATCH(DATA!D1483,'OSA | 3GB'!A:A,0),2),0)</f>
        <v xml:space="preserve"> -   </v>
      </c>
      <c r="I1483" s="33">
        <f>_xlfn.IFNA(INDEX('OSA | 3GB'!A:C,MATCH(DATA!D1483,'OSA | 3GB'!A:A,0),3),0)</f>
        <v>800000</v>
      </c>
      <c r="J1483" s="33">
        <f>INDEX('BIO WAHYU'!B:G,MATCH(DATA!D1483,'BIO WAHYU'!B:B,0),5)</f>
        <v>3</v>
      </c>
      <c r="K1483" s="34">
        <f>INDEX('BIO WAHYU'!B:G,MATCH(DATA!D1483,'BIO WAHYU'!B:B,0),6)</f>
        <v>0</v>
      </c>
      <c r="L1483" s="35">
        <f>INDEX('BIO WAHYU'!B:H,MATCH(DATA!D1483,'BIO WAHYU'!B:B,0),7)</f>
        <v>0</v>
      </c>
      <c r="M1483" s="34">
        <f>INDEX('BIO WAHYU'!B:H,MATCH(DATA!D1483,'BIO WAHYU'!B:B,0),4)</f>
        <v>0</v>
      </c>
    </row>
    <row r="1484" spans="1:13">
      <c r="A1484" s="43" t="s">
        <v>1671</v>
      </c>
      <c r="B1484" s="43">
        <v>2613050885</v>
      </c>
      <c r="C1484" s="43" t="s">
        <v>294</v>
      </c>
      <c r="D1484" s="10">
        <v>512798</v>
      </c>
      <c r="E1484" s="43" t="s">
        <v>10</v>
      </c>
      <c r="F1484" s="8">
        <f>_xlfn.IFNA(INDEX('OSA | 3GB'!J:L,MATCH(DATA!D1484,'OSA | 3GB'!J:J,0),2),0)</f>
        <v>4</v>
      </c>
      <c r="G1484" s="8">
        <f>_xlfn.IFNA(INDEX('OSA | 3GB'!J:L,MATCH(DATA!D1484,'OSA | 3GB'!J:J,0),3),0)</f>
        <v>3510300</v>
      </c>
      <c r="H1484" s="32">
        <f>_xlfn.IFNA(INDEX('OSA | 3GB'!A:C,MATCH(DATA!D1484,'OSA | 3GB'!A:A,0),2),0)</f>
        <v>3</v>
      </c>
      <c r="I1484" s="33" t="str">
        <f>_xlfn.IFNA(INDEX('OSA | 3GB'!A:C,MATCH(DATA!D1484,'OSA | 3GB'!A:A,0),3),0)</f>
        <v xml:space="preserve"> -   </v>
      </c>
      <c r="J1484" s="33">
        <f>INDEX('BIO WAHYU'!B:G,MATCH(DATA!D1484,'BIO WAHYU'!B:B,0),5)</f>
        <v>3</v>
      </c>
      <c r="K1484" s="34">
        <f>INDEX('BIO WAHYU'!B:G,MATCH(DATA!D1484,'BIO WAHYU'!B:B,0),6)</f>
        <v>0</v>
      </c>
      <c r="L1484" s="35">
        <f>INDEX('BIO WAHYU'!B:H,MATCH(DATA!D1484,'BIO WAHYU'!B:B,0),7)</f>
        <v>0</v>
      </c>
      <c r="M1484" s="34">
        <f>INDEX('BIO WAHYU'!B:H,MATCH(DATA!D1484,'BIO WAHYU'!B:B,0),4)</f>
        <v>0</v>
      </c>
    </row>
    <row r="1485" spans="1:13">
      <c r="A1485" s="43" t="s">
        <v>1670</v>
      </c>
      <c r="B1485" s="43" t="s">
        <v>145</v>
      </c>
      <c r="C1485" s="43" t="s">
        <v>489</v>
      </c>
      <c r="D1485" s="10">
        <v>12321973</v>
      </c>
      <c r="E1485" s="43" t="s">
        <v>10</v>
      </c>
      <c r="F1485" s="8">
        <f>_xlfn.IFNA(INDEX('OSA | 3GB'!J:L,MATCH(DATA!D1485,'OSA | 3GB'!J:J,0),2),0)</f>
        <v>0</v>
      </c>
      <c r="G1485" s="8">
        <f>_xlfn.IFNA(INDEX('OSA | 3GB'!J:L,MATCH(DATA!D1485,'OSA | 3GB'!J:J,0),3),0)</f>
        <v>100000</v>
      </c>
      <c r="H1485" s="32" t="str">
        <f>_xlfn.IFNA(INDEX('OSA | 3GB'!A:C,MATCH(DATA!D1485,'OSA | 3GB'!A:A,0),2),0)</f>
        <v xml:space="preserve"> -   </v>
      </c>
      <c r="I1485" s="33">
        <f>_xlfn.IFNA(INDEX('OSA | 3GB'!A:C,MATCH(DATA!D1485,'OSA | 3GB'!A:A,0),3),0)</f>
        <v>150000</v>
      </c>
      <c r="J1485" s="33">
        <f>INDEX('BIO WAHYU'!B:G,MATCH(DATA!D1485,'BIO WAHYU'!B:B,0),5)</f>
        <v>0</v>
      </c>
      <c r="K1485" s="34">
        <f>INDEX('BIO WAHYU'!B:G,MATCH(DATA!D1485,'BIO WAHYU'!B:B,0),6)</f>
        <v>0</v>
      </c>
      <c r="L1485" s="35">
        <f>INDEX('BIO WAHYU'!B:H,MATCH(DATA!D1485,'BIO WAHYU'!B:B,0),7)</f>
        <v>0</v>
      </c>
      <c r="M1485" s="34">
        <f>INDEX('BIO WAHYU'!B:H,MATCH(DATA!D1485,'BIO WAHYU'!B:B,0),4)</f>
        <v>0</v>
      </c>
    </row>
    <row r="1486" spans="1:13">
      <c r="A1486" s="43" t="s">
        <v>1672</v>
      </c>
      <c r="B1486" s="43" t="s">
        <v>157</v>
      </c>
      <c r="C1486" s="43" t="s">
        <v>1617</v>
      </c>
      <c r="D1486" s="10">
        <v>281440</v>
      </c>
      <c r="E1486" s="43" t="s">
        <v>10</v>
      </c>
      <c r="F1486" s="8">
        <f>_xlfn.IFNA(INDEX('OSA | 3GB'!J:L,MATCH(DATA!D1486,'OSA | 3GB'!J:J,0),2),0)</f>
        <v>4</v>
      </c>
      <c r="G1486" s="8">
        <f>_xlfn.IFNA(INDEX('OSA | 3GB'!J:L,MATCH(DATA!D1486,'OSA | 3GB'!J:J,0),3),0)</f>
        <v>0</v>
      </c>
      <c r="H1486" s="32">
        <f>_xlfn.IFNA(INDEX('OSA | 3GB'!A:C,MATCH(DATA!D1486,'OSA | 3GB'!A:A,0),2),0)</f>
        <v>4</v>
      </c>
      <c r="I1486" s="33">
        <f>_xlfn.IFNA(INDEX('OSA | 3GB'!A:C,MATCH(DATA!D1486,'OSA | 3GB'!A:A,0),3),0)</f>
        <v>316000</v>
      </c>
      <c r="J1486" s="33">
        <f>INDEX('BIO WAHYU'!B:G,MATCH(DATA!D1486,'BIO WAHYU'!B:B,0),5)</f>
        <v>0</v>
      </c>
      <c r="K1486" s="34">
        <f>INDEX('BIO WAHYU'!B:G,MATCH(DATA!D1486,'BIO WAHYU'!B:B,0),6)</f>
        <v>0</v>
      </c>
      <c r="L1486" s="35">
        <f>INDEX('BIO WAHYU'!B:H,MATCH(DATA!D1486,'BIO WAHYU'!B:B,0),7)</f>
        <v>0</v>
      </c>
      <c r="M1486" s="34">
        <f>INDEX('BIO WAHYU'!B:H,MATCH(DATA!D1486,'BIO WAHYU'!B:B,0),4)</f>
        <v>0</v>
      </c>
    </row>
    <row r="1487" spans="1:13">
      <c r="A1487" s="43" t="s">
        <v>1674</v>
      </c>
      <c r="B1487" s="43" t="s">
        <v>147</v>
      </c>
      <c r="C1487" s="43" t="s">
        <v>611</v>
      </c>
      <c r="D1487" s="10">
        <v>400338</v>
      </c>
      <c r="E1487" s="43" t="s">
        <v>10</v>
      </c>
      <c r="F1487" s="8">
        <f>_xlfn.IFNA(INDEX('OSA | 3GB'!J:L,MATCH(DATA!D1487,'OSA | 3GB'!J:J,0),2),0)</f>
        <v>11</v>
      </c>
      <c r="G1487" s="8">
        <f>_xlfn.IFNA(INDEX('OSA | 3GB'!J:L,MATCH(DATA!D1487,'OSA | 3GB'!J:J,0),3),0)</f>
        <v>9680000</v>
      </c>
      <c r="H1487" s="32" t="str">
        <f>_xlfn.IFNA(INDEX('OSA | 3GB'!A:C,MATCH(DATA!D1487,'OSA | 3GB'!A:A,0),2),0)</f>
        <v xml:space="preserve"> -   </v>
      </c>
      <c r="I1487" s="33">
        <f>_xlfn.IFNA(INDEX('OSA | 3GB'!A:C,MATCH(DATA!D1487,'OSA | 3GB'!A:A,0),3),0)</f>
        <v>4200000</v>
      </c>
      <c r="J1487" s="33">
        <f>INDEX('BIO WAHYU'!B:G,MATCH(DATA!D1487,'BIO WAHYU'!B:B,0),5)</f>
        <v>3</v>
      </c>
      <c r="K1487" s="34">
        <f>INDEX('BIO WAHYU'!B:G,MATCH(DATA!D1487,'BIO WAHYU'!B:B,0),6)</f>
        <v>2</v>
      </c>
      <c r="L1487" s="35">
        <f>INDEX('BIO WAHYU'!B:H,MATCH(DATA!D1487,'BIO WAHYU'!B:B,0),7)</f>
        <v>0</v>
      </c>
      <c r="M1487" s="34">
        <f>INDEX('BIO WAHYU'!B:H,MATCH(DATA!D1487,'BIO WAHYU'!B:B,0),4)</f>
        <v>0</v>
      </c>
    </row>
    <row r="1488" spans="1:13">
      <c r="A1488" s="43" t="s">
        <v>1674</v>
      </c>
      <c r="B1488" s="43">
        <v>2613052222</v>
      </c>
      <c r="C1488" s="43" t="s">
        <v>1618</v>
      </c>
      <c r="D1488" s="10">
        <v>492045</v>
      </c>
      <c r="E1488" s="43" t="s">
        <v>10</v>
      </c>
      <c r="F1488" s="8">
        <f>_xlfn.IFNA(INDEX('OSA | 3GB'!J:L,MATCH(DATA!D1488,'OSA | 3GB'!J:J,0),2),0)</f>
        <v>3</v>
      </c>
      <c r="G1488" s="8">
        <f>_xlfn.IFNA(INDEX('OSA | 3GB'!J:L,MATCH(DATA!D1488,'OSA | 3GB'!J:J,0),3),0)</f>
        <v>187000</v>
      </c>
      <c r="H1488" s="32" t="str">
        <f>_xlfn.IFNA(INDEX('OSA | 3GB'!A:C,MATCH(DATA!D1488,'OSA | 3GB'!A:A,0),2),0)</f>
        <v xml:space="preserve"> -   </v>
      </c>
      <c r="I1488" s="33" t="str">
        <f>_xlfn.IFNA(INDEX('OSA | 3GB'!A:C,MATCH(DATA!D1488,'OSA | 3GB'!A:A,0),3),0)</f>
        <v xml:space="preserve"> -   </v>
      </c>
      <c r="J1488" s="33">
        <f>INDEX('BIO WAHYU'!B:G,MATCH(DATA!D1488,'BIO WAHYU'!B:B,0),5)</f>
        <v>2</v>
      </c>
      <c r="K1488" s="34">
        <f>INDEX('BIO WAHYU'!B:G,MATCH(DATA!D1488,'BIO WAHYU'!B:B,0),6)</f>
        <v>1</v>
      </c>
      <c r="L1488" s="35">
        <f>INDEX('BIO WAHYU'!B:H,MATCH(DATA!D1488,'BIO WAHYU'!B:B,0),7)</f>
        <v>0</v>
      </c>
      <c r="M1488" s="34">
        <f>INDEX('BIO WAHYU'!B:H,MATCH(DATA!D1488,'BIO WAHYU'!B:B,0),4)</f>
        <v>0</v>
      </c>
    </row>
    <row r="1489" spans="1:13">
      <c r="A1489" s="43" t="s">
        <v>1672</v>
      </c>
      <c r="B1489" s="43">
        <v>2613051475</v>
      </c>
      <c r="C1489" s="43" t="s">
        <v>897</v>
      </c>
      <c r="D1489" s="10">
        <v>286026</v>
      </c>
      <c r="E1489" s="43" t="s">
        <v>10</v>
      </c>
      <c r="F1489" s="8">
        <f>_xlfn.IFNA(INDEX('OSA | 3GB'!J:L,MATCH(DATA!D1489,'OSA | 3GB'!J:J,0),2),0)</f>
        <v>4</v>
      </c>
      <c r="G1489" s="8">
        <f>_xlfn.IFNA(INDEX('OSA | 3GB'!J:L,MATCH(DATA!D1489,'OSA | 3GB'!J:J,0),3),0)</f>
        <v>1079000</v>
      </c>
      <c r="H1489" s="32" t="str">
        <f>_xlfn.IFNA(INDEX('OSA | 3GB'!A:C,MATCH(DATA!D1489,'OSA | 3GB'!A:A,0),2),0)</f>
        <v xml:space="preserve"> -   </v>
      </c>
      <c r="I1489" s="33">
        <f>_xlfn.IFNA(INDEX('OSA | 3GB'!A:C,MATCH(DATA!D1489,'OSA | 3GB'!A:A,0),3),0)</f>
        <v>300000</v>
      </c>
      <c r="J1489" s="33">
        <f>INDEX('BIO WAHYU'!B:G,MATCH(DATA!D1489,'BIO WAHYU'!B:B,0),5)</f>
        <v>3</v>
      </c>
      <c r="K1489" s="34">
        <f>INDEX('BIO WAHYU'!B:G,MATCH(DATA!D1489,'BIO WAHYU'!B:B,0),6)</f>
        <v>0</v>
      </c>
      <c r="L1489" s="35">
        <f>INDEX('BIO WAHYU'!B:H,MATCH(DATA!D1489,'BIO WAHYU'!B:B,0),7)</f>
        <v>0</v>
      </c>
      <c r="M1489" s="34">
        <f>INDEX('BIO WAHYU'!B:H,MATCH(DATA!D1489,'BIO WAHYU'!B:B,0),4)</f>
        <v>0</v>
      </c>
    </row>
    <row r="1490" spans="1:13">
      <c r="A1490" s="43" t="s">
        <v>1671</v>
      </c>
      <c r="B1490" s="43">
        <v>2613050885</v>
      </c>
      <c r="C1490" s="43" t="s">
        <v>306</v>
      </c>
      <c r="D1490" s="10">
        <v>532798</v>
      </c>
      <c r="E1490" s="43" t="s">
        <v>15</v>
      </c>
      <c r="F1490" s="8">
        <f>_xlfn.IFNA(INDEX('OSA | 3GB'!J:L,MATCH(DATA!D1490,'OSA | 3GB'!J:J,0),2),0)</f>
        <v>0</v>
      </c>
      <c r="G1490" s="8">
        <f>_xlfn.IFNA(INDEX('OSA | 3GB'!J:L,MATCH(DATA!D1490,'OSA | 3GB'!J:J,0),3),0)</f>
        <v>50000000</v>
      </c>
      <c r="H1490" s="32" t="str">
        <f>_xlfn.IFNA(INDEX('OSA | 3GB'!A:C,MATCH(DATA!D1490,'OSA | 3GB'!A:A,0),2),0)</f>
        <v xml:space="preserve"> -   </v>
      </c>
      <c r="I1490" s="33">
        <f>_xlfn.IFNA(INDEX('OSA | 3GB'!A:C,MATCH(DATA!D1490,'OSA | 3GB'!A:A,0),3),0)</f>
        <v>20000000</v>
      </c>
      <c r="J1490" s="33">
        <f>INDEX('BIO WAHYU'!B:G,MATCH(DATA!D1490,'BIO WAHYU'!B:B,0),5)</f>
        <v>0</v>
      </c>
      <c r="K1490" s="34">
        <f>INDEX('BIO WAHYU'!B:G,MATCH(DATA!D1490,'BIO WAHYU'!B:B,0),6)</f>
        <v>0</v>
      </c>
      <c r="L1490" s="35">
        <f>INDEX('BIO WAHYU'!B:H,MATCH(DATA!D1490,'BIO WAHYU'!B:B,0),7)</f>
        <v>0</v>
      </c>
      <c r="M1490" s="34">
        <f>INDEX('BIO WAHYU'!B:H,MATCH(DATA!D1490,'BIO WAHYU'!B:B,0),4)</f>
        <v>0</v>
      </c>
    </row>
    <row r="1491" spans="1:13">
      <c r="A1491" s="43" t="s">
        <v>1673</v>
      </c>
      <c r="B1491" s="43" t="s">
        <v>1140</v>
      </c>
      <c r="C1491" s="43" t="s">
        <v>1619</v>
      </c>
      <c r="D1491" s="10">
        <v>544599</v>
      </c>
      <c r="E1491" s="43" t="s">
        <v>10</v>
      </c>
      <c r="F1491" s="8">
        <f>_xlfn.IFNA(INDEX('OSA | 3GB'!J:L,MATCH(DATA!D1491,'OSA | 3GB'!J:J,0),2),0)</f>
        <v>3</v>
      </c>
      <c r="G1491" s="8">
        <f>_xlfn.IFNA(INDEX('OSA | 3GB'!J:L,MATCH(DATA!D1491,'OSA | 3GB'!J:J,0),3),0)</f>
        <v>200000</v>
      </c>
      <c r="H1491" s="32" t="str">
        <f>_xlfn.IFNA(INDEX('OSA | 3GB'!A:C,MATCH(DATA!D1491,'OSA | 3GB'!A:A,0),2),0)</f>
        <v xml:space="preserve"> -   </v>
      </c>
      <c r="I1491" s="33" t="str">
        <f>_xlfn.IFNA(INDEX('OSA | 3GB'!A:C,MATCH(DATA!D1491,'OSA | 3GB'!A:A,0),3),0)</f>
        <v xml:space="preserve"> -   </v>
      </c>
      <c r="J1491" s="33">
        <f>INDEX('BIO WAHYU'!B:G,MATCH(DATA!D1491,'BIO WAHYU'!B:B,0),5)</f>
        <v>1</v>
      </c>
      <c r="K1491" s="34">
        <f>INDEX('BIO WAHYU'!B:G,MATCH(DATA!D1491,'BIO WAHYU'!B:B,0),6)</f>
        <v>1</v>
      </c>
      <c r="L1491" s="35">
        <f>INDEX('BIO WAHYU'!B:H,MATCH(DATA!D1491,'BIO WAHYU'!B:B,0),7)</f>
        <v>0</v>
      </c>
      <c r="M1491" s="34">
        <f>INDEX('BIO WAHYU'!B:H,MATCH(DATA!D1491,'BIO WAHYU'!B:B,0),4)</f>
        <v>0</v>
      </c>
    </row>
    <row r="1492" spans="1:13">
      <c r="A1492" s="43" t="s">
        <v>1672</v>
      </c>
      <c r="B1492" s="43" t="s">
        <v>156</v>
      </c>
      <c r="C1492" s="43" t="s">
        <v>1620</v>
      </c>
      <c r="D1492" s="10">
        <v>348868</v>
      </c>
      <c r="E1492" s="43" t="s">
        <v>10</v>
      </c>
      <c r="F1492" s="8">
        <f>_xlfn.IFNA(INDEX('OSA | 3GB'!J:L,MATCH(DATA!D1492,'OSA | 3GB'!J:J,0),2),0)</f>
        <v>0</v>
      </c>
      <c r="G1492" s="8">
        <f>_xlfn.IFNA(INDEX('OSA | 3GB'!J:L,MATCH(DATA!D1492,'OSA | 3GB'!J:J,0),3),0)</f>
        <v>0</v>
      </c>
      <c r="H1492" s="32" t="str">
        <f>_xlfn.IFNA(INDEX('OSA | 3GB'!A:C,MATCH(DATA!D1492,'OSA | 3GB'!A:A,0),2),0)</f>
        <v xml:space="preserve"> -   </v>
      </c>
      <c r="I1492" s="33">
        <f>_xlfn.IFNA(INDEX('OSA | 3GB'!A:C,MATCH(DATA!D1492,'OSA | 3GB'!A:A,0),3),0)</f>
        <v>200000</v>
      </c>
      <c r="J1492" s="33">
        <f>INDEX('BIO WAHYU'!B:G,MATCH(DATA!D1492,'BIO WAHYU'!B:B,0),5)</f>
        <v>0</v>
      </c>
      <c r="K1492" s="34">
        <f>INDEX('BIO WAHYU'!B:G,MATCH(DATA!D1492,'BIO WAHYU'!B:B,0),6)</f>
        <v>0</v>
      </c>
      <c r="L1492" s="35">
        <f>INDEX('BIO WAHYU'!B:H,MATCH(DATA!D1492,'BIO WAHYU'!B:B,0),7)</f>
        <v>0</v>
      </c>
      <c r="M1492" s="34">
        <f>INDEX('BIO WAHYU'!B:H,MATCH(DATA!D1492,'BIO WAHYU'!B:B,0),4)</f>
        <v>0</v>
      </c>
    </row>
    <row r="1493" spans="1:13">
      <c r="A1493" s="43" t="s">
        <v>1674</v>
      </c>
      <c r="B1493" s="43" t="s">
        <v>148</v>
      </c>
      <c r="C1493" s="43" t="s">
        <v>1621</v>
      </c>
      <c r="D1493" s="10">
        <v>538252</v>
      </c>
      <c r="E1493" s="43" t="s">
        <v>10</v>
      </c>
      <c r="F1493" s="8">
        <f>_xlfn.IFNA(INDEX('OSA | 3GB'!J:L,MATCH(DATA!D1493,'OSA | 3GB'!J:J,0),2),0)</f>
        <v>4</v>
      </c>
      <c r="G1493" s="8">
        <f>_xlfn.IFNA(INDEX('OSA | 3GB'!J:L,MATCH(DATA!D1493,'OSA | 3GB'!J:J,0),3),0)</f>
        <v>4937000</v>
      </c>
      <c r="H1493" s="32" t="str">
        <f>_xlfn.IFNA(INDEX('OSA | 3GB'!A:C,MATCH(DATA!D1493,'OSA | 3GB'!A:A,0),2),0)</f>
        <v xml:space="preserve"> -   </v>
      </c>
      <c r="I1493" s="33">
        <f>_xlfn.IFNA(INDEX('OSA | 3GB'!A:C,MATCH(DATA!D1493,'OSA | 3GB'!A:A,0),3),0)</f>
        <v>2000000</v>
      </c>
      <c r="J1493" s="33">
        <f>INDEX('BIO WAHYU'!B:G,MATCH(DATA!D1493,'BIO WAHYU'!B:B,0),5)</f>
        <v>1</v>
      </c>
      <c r="K1493" s="34">
        <f>INDEX('BIO WAHYU'!B:G,MATCH(DATA!D1493,'BIO WAHYU'!B:B,0),6)</f>
        <v>0</v>
      </c>
      <c r="L1493" s="35">
        <f>INDEX('BIO WAHYU'!B:H,MATCH(DATA!D1493,'BIO WAHYU'!B:B,0),7)</f>
        <v>0</v>
      </c>
      <c r="M1493" s="34">
        <f>INDEX('BIO WAHYU'!B:H,MATCH(DATA!D1493,'BIO WAHYU'!B:B,0),4)</f>
        <v>0</v>
      </c>
    </row>
    <row r="1494" spans="1:13">
      <c r="A1494" s="43" t="s">
        <v>1</v>
      </c>
      <c r="B1494" s="43" t="s">
        <v>5</v>
      </c>
      <c r="C1494" s="43" t="s">
        <v>94</v>
      </c>
      <c r="D1494" s="10">
        <v>401031</v>
      </c>
      <c r="E1494" s="43" t="s">
        <v>10</v>
      </c>
      <c r="F1494" s="8">
        <f>_xlfn.IFNA(INDEX('OSA | 3GB'!J:L,MATCH(DATA!D1494,'OSA | 3GB'!J:J,0),2),0)</f>
        <v>0</v>
      </c>
      <c r="G1494" s="8">
        <f>_xlfn.IFNA(INDEX('OSA | 3GB'!J:L,MATCH(DATA!D1494,'OSA | 3GB'!J:J,0),3),0)</f>
        <v>2000000</v>
      </c>
      <c r="H1494" s="32" t="str">
        <f>_xlfn.IFNA(INDEX('OSA | 3GB'!A:C,MATCH(DATA!D1494,'OSA | 3GB'!A:A,0),2),0)</f>
        <v xml:space="preserve"> -   </v>
      </c>
      <c r="I1494" s="33">
        <f>_xlfn.IFNA(INDEX('OSA | 3GB'!A:C,MATCH(DATA!D1494,'OSA | 3GB'!A:A,0),3),0)</f>
        <v>850000</v>
      </c>
      <c r="J1494" s="33">
        <f>INDEX('BIO WAHYU'!B:G,MATCH(DATA!D1494,'BIO WAHYU'!B:B,0),5)</f>
        <v>4</v>
      </c>
      <c r="K1494" s="34">
        <f>INDEX('BIO WAHYU'!B:G,MATCH(DATA!D1494,'BIO WAHYU'!B:B,0),6)</f>
        <v>0</v>
      </c>
      <c r="L1494" s="35">
        <f>INDEX('BIO WAHYU'!B:H,MATCH(DATA!D1494,'BIO WAHYU'!B:B,0),7)</f>
        <v>0</v>
      </c>
      <c r="M1494" s="34">
        <f>INDEX('BIO WAHYU'!B:H,MATCH(DATA!D1494,'BIO WAHYU'!B:B,0),4)</f>
        <v>0</v>
      </c>
    </row>
    <row r="1495" spans="1:13">
      <c r="A1495" s="43" t="s">
        <v>1673</v>
      </c>
      <c r="B1495" s="43" t="s">
        <v>141</v>
      </c>
      <c r="C1495" s="43" t="s">
        <v>1556</v>
      </c>
      <c r="D1495" s="10">
        <v>12295831</v>
      </c>
      <c r="E1495" s="43" t="s">
        <v>15</v>
      </c>
      <c r="F1495" s="8">
        <f>_xlfn.IFNA(INDEX('OSA | 3GB'!J:L,MATCH(DATA!D1495,'OSA | 3GB'!J:J,0),2),0)</f>
        <v>44</v>
      </c>
      <c r="G1495" s="8">
        <f>_xlfn.IFNA(INDEX('OSA | 3GB'!J:L,MATCH(DATA!D1495,'OSA | 3GB'!J:J,0),3),0)</f>
        <v>150000</v>
      </c>
      <c r="H1495" s="32" t="str">
        <f>_xlfn.IFNA(INDEX('OSA | 3GB'!A:C,MATCH(DATA!D1495,'OSA | 3GB'!A:A,0),2),0)</f>
        <v xml:space="preserve"> -   </v>
      </c>
      <c r="I1495" s="33">
        <f>_xlfn.IFNA(INDEX('OSA | 3GB'!A:C,MATCH(DATA!D1495,'OSA | 3GB'!A:A,0),3),0)</f>
        <v>100000</v>
      </c>
      <c r="J1495" s="33">
        <f>INDEX('BIO WAHYU'!B:G,MATCH(DATA!D1495,'BIO WAHYU'!B:B,0),5)</f>
        <v>1</v>
      </c>
      <c r="K1495" s="34">
        <f>INDEX('BIO WAHYU'!B:G,MATCH(DATA!D1495,'BIO WAHYU'!B:B,0),6)</f>
        <v>1</v>
      </c>
      <c r="L1495" s="35">
        <f>INDEX('BIO WAHYU'!B:H,MATCH(DATA!D1495,'BIO WAHYU'!B:B,0),7)</f>
        <v>0</v>
      </c>
      <c r="M1495" s="34">
        <f>INDEX('BIO WAHYU'!B:H,MATCH(DATA!D1495,'BIO WAHYU'!B:B,0),4)</f>
        <v>0</v>
      </c>
    </row>
    <row r="1496" spans="1:13">
      <c r="A1496" s="43" t="s">
        <v>1670</v>
      </c>
      <c r="B1496" s="43" t="s">
        <v>140</v>
      </c>
      <c r="C1496" s="43" t="s">
        <v>1622</v>
      </c>
      <c r="D1496" s="10">
        <v>12322462</v>
      </c>
      <c r="E1496" s="43" t="s">
        <v>15</v>
      </c>
      <c r="F1496" s="8">
        <f>_xlfn.IFNA(INDEX('OSA | 3GB'!J:L,MATCH(DATA!D1496,'OSA | 3GB'!J:J,0),2),0)</f>
        <v>1</v>
      </c>
      <c r="G1496" s="8">
        <f>_xlfn.IFNA(INDEX('OSA | 3GB'!J:L,MATCH(DATA!D1496,'OSA | 3GB'!J:J,0),3),0)</f>
        <v>1150000</v>
      </c>
      <c r="H1496" s="32" t="str">
        <f>_xlfn.IFNA(INDEX('OSA | 3GB'!A:C,MATCH(DATA!D1496,'OSA | 3GB'!A:A,0),2),0)</f>
        <v xml:space="preserve"> -   </v>
      </c>
      <c r="I1496" s="33">
        <f>_xlfn.IFNA(INDEX('OSA | 3GB'!A:C,MATCH(DATA!D1496,'OSA | 3GB'!A:A,0),3),0)</f>
        <v>470000</v>
      </c>
      <c r="J1496" s="33">
        <f>INDEX('BIO WAHYU'!B:G,MATCH(DATA!D1496,'BIO WAHYU'!B:B,0),5)</f>
        <v>1</v>
      </c>
      <c r="K1496" s="34">
        <f>INDEX('BIO WAHYU'!B:G,MATCH(DATA!D1496,'BIO WAHYU'!B:B,0),6)</f>
        <v>0</v>
      </c>
      <c r="L1496" s="35">
        <f>INDEX('BIO WAHYU'!B:H,MATCH(DATA!D1496,'BIO WAHYU'!B:B,0),7)</f>
        <v>0</v>
      </c>
      <c r="M1496" s="34">
        <f>INDEX('BIO WAHYU'!B:H,MATCH(DATA!D1496,'BIO WAHYU'!B:B,0),4)</f>
        <v>0</v>
      </c>
    </row>
    <row r="1497" spans="1:13">
      <c r="A1497" s="43" t="s">
        <v>1670</v>
      </c>
      <c r="B1497" s="43">
        <v>2613052584</v>
      </c>
      <c r="C1497" s="43" t="s">
        <v>571</v>
      </c>
      <c r="D1497" s="10">
        <v>12320360</v>
      </c>
      <c r="E1497" s="43" t="s">
        <v>10</v>
      </c>
      <c r="F1497" s="8">
        <f>_xlfn.IFNA(INDEX('OSA | 3GB'!J:L,MATCH(DATA!D1497,'OSA | 3GB'!J:J,0),2),0)</f>
        <v>0</v>
      </c>
      <c r="G1497" s="8">
        <f>_xlfn.IFNA(INDEX('OSA | 3GB'!J:L,MATCH(DATA!D1497,'OSA | 3GB'!J:J,0),3),0)</f>
        <v>0</v>
      </c>
      <c r="H1497" s="32" t="str">
        <f>_xlfn.IFNA(INDEX('OSA | 3GB'!A:C,MATCH(DATA!D1497,'OSA | 3GB'!A:A,0),2),0)</f>
        <v xml:space="preserve"> -   </v>
      </c>
      <c r="I1497" s="33" t="str">
        <f>_xlfn.IFNA(INDEX('OSA | 3GB'!A:C,MATCH(DATA!D1497,'OSA | 3GB'!A:A,0),3),0)</f>
        <v xml:space="preserve"> -   </v>
      </c>
      <c r="J1497" s="33">
        <f>INDEX('BIO WAHYU'!B:G,MATCH(DATA!D1497,'BIO WAHYU'!B:B,0),5)</f>
        <v>0</v>
      </c>
      <c r="K1497" s="34">
        <f>INDEX('BIO WAHYU'!B:G,MATCH(DATA!D1497,'BIO WAHYU'!B:B,0),6)</f>
        <v>0</v>
      </c>
      <c r="L1497" s="35">
        <f>INDEX('BIO WAHYU'!B:H,MATCH(DATA!D1497,'BIO WAHYU'!B:B,0),7)</f>
        <v>0</v>
      </c>
      <c r="M1497" s="34">
        <f>INDEX('BIO WAHYU'!B:H,MATCH(DATA!D1497,'BIO WAHYU'!B:B,0),4)</f>
        <v>0</v>
      </c>
    </row>
    <row r="1498" spans="1:13">
      <c r="A1498" s="43" t="s">
        <v>1672</v>
      </c>
      <c r="B1498" s="43" t="s">
        <v>156</v>
      </c>
      <c r="C1498" s="43" t="s">
        <v>1623</v>
      </c>
      <c r="D1498" s="10">
        <v>63850</v>
      </c>
      <c r="E1498" s="43" t="s">
        <v>10</v>
      </c>
      <c r="F1498" s="8">
        <f>_xlfn.IFNA(INDEX('OSA | 3GB'!J:L,MATCH(DATA!D1498,'OSA | 3GB'!J:J,0),2),0)</f>
        <v>1</v>
      </c>
      <c r="G1498" s="8">
        <f>_xlfn.IFNA(INDEX('OSA | 3GB'!J:L,MATCH(DATA!D1498,'OSA | 3GB'!J:J,0),3),0)</f>
        <v>21670000</v>
      </c>
      <c r="H1498" s="32">
        <f>_xlfn.IFNA(INDEX('OSA | 3GB'!A:C,MATCH(DATA!D1498,'OSA | 3GB'!A:A,0),2),0)</f>
        <v>1</v>
      </c>
      <c r="I1498" s="33">
        <f>_xlfn.IFNA(INDEX('OSA | 3GB'!A:C,MATCH(DATA!D1498,'OSA | 3GB'!A:A,0),3),0)</f>
        <v>8800000</v>
      </c>
      <c r="J1498" s="33">
        <f>INDEX('BIO WAHYU'!B:G,MATCH(DATA!D1498,'BIO WAHYU'!B:B,0),5)</f>
        <v>5</v>
      </c>
      <c r="K1498" s="34">
        <f>INDEX('BIO WAHYU'!B:G,MATCH(DATA!D1498,'BIO WAHYU'!B:B,0),6)</f>
        <v>5</v>
      </c>
      <c r="L1498" s="35">
        <f>INDEX('BIO WAHYU'!B:H,MATCH(DATA!D1498,'BIO WAHYU'!B:B,0),7)</f>
        <v>0</v>
      </c>
      <c r="M1498" s="34">
        <f>INDEX('BIO WAHYU'!B:H,MATCH(DATA!D1498,'BIO WAHYU'!B:B,0),4)</f>
        <v>0</v>
      </c>
    </row>
    <row r="1499" spans="1:13">
      <c r="A1499" s="43" t="s">
        <v>1670</v>
      </c>
      <c r="B1499" s="43">
        <v>2613052584</v>
      </c>
      <c r="C1499" s="43" t="s">
        <v>582</v>
      </c>
      <c r="D1499" s="10">
        <v>299881</v>
      </c>
      <c r="E1499" s="43" t="s">
        <v>10</v>
      </c>
      <c r="F1499" s="8">
        <f>_xlfn.IFNA(INDEX('OSA | 3GB'!J:L,MATCH(DATA!D1499,'OSA | 3GB'!J:J,0),2),0)</f>
        <v>3</v>
      </c>
      <c r="G1499" s="8">
        <f>_xlfn.IFNA(INDEX('OSA | 3GB'!J:L,MATCH(DATA!D1499,'OSA | 3GB'!J:J,0),3),0)</f>
        <v>261500</v>
      </c>
      <c r="H1499" s="32" t="str">
        <f>_xlfn.IFNA(INDEX('OSA | 3GB'!A:C,MATCH(DATA!D1499,'OSA | 3GB'!A:A,0),2),0)</f>
        <v xml:space="preserve"> -   </v>
      </c>
      <c r="I1499" s="33">
        <f>_xlfn.IFNA(INDEX('OSA | 3GB'!A:C,MATCH(DATA!D1499,'OSA | 3GB'!A:A,0),3),0)</f>
        <v>100000</v>
      </c>
      <c r="J1499" s="33">
        <f>INDEX('BIO WAHYU'!B:G,MATCH(DATA!D1499,'BIO WAHYU'!B:B,0),5)</f>
        <v>0</v>
      </c>
      <c r="K1499" s="34">
        <f>INDEX('BIO WAHYU'!B:G,MATCH(DATA!D1499,'BIO WAHYU'!B:B,0),6)</f>
        <v>0</v>
      </c>
      <c r="L1499" s="35">
        <f>INDEX('BIO WAHYU'!B:H,MATCH(DATA!D1499,'BIO WAHYU'!B:B,0),7)</f>
        <v>0</v>
      </c>
      <c r="M1499" s="34">
        <f>INDEX('BIO WAHYU'!B:H,MATCH(DATA!D1499,'BIO WAHYU'!B:B,0),4)</f>
        <v>0</v>
      </c>
    </row>
    <row r="1500" spans="1:13">
      <c r="A1500" s="43" t="s">
        <v>1672</v>
      </c>
      <c r="B1500" s="43" t="s">
        <v>149</v>
      </c>
      <c r="C1500" s="43" t="s">
        <v>1624</v>
      </c>
      <c r="D1500" s="10">
        <v>12332159</v>
      </c>
      <c r="E1500" s="43" t="s">
        <v>10</v>
      </c>
      <c r="F1500" s="8">
        <f>_xlfn.IFNA(INDEX('OSA | 3GB'!J:L,MATCH(DATA!D1500,'OSA | 3GB'!J:J,0),2),0)</f>
        <v>6</v>
      </c>
      <c r="G1500" s="8">
        <f>_xlfn.IFNA(INDEX('OSA | 3GB'!J:L,MATCH(DATA!D1500,'OSA | 3GB'!J:J,0),3),0)</f>
        <v>1600000</v>
      </c>
      <c r="H1500" s="32" t="str">
        <f>_xlfn.IFNA(INDEX('OSA | 3GB'!A:C,MATCH(DATA!D1500,'OSA | 3GB'!A:A,0),2),0)</f>
        <v xml:space="preserve"> -   </v>
      </c>
      <c r="I1500" s="33">
        <f>_xlfn.IFNA(INDEX('OSA | 3GB'!A:C,MATCH(DATA!D1500,'OSA | 3GB'!A:A,0),3),0)</f>
        <v>1100000</v>
      </c>
      <c r="J1500" s="33">
        <f>INDEX('BIO WAHYU'!B:G,MATCH(DATA!D1500,'BIO WAHYU'!B:B,0),5)</f>
        <v>3</v>
      </c>
      <c r="K1500" s="34">
        <f>INDEX('BIO WAHYU'!B:G,MATCH(DATA!D1500,'BIO WAHYU'!B:B,0),6)</f>
        <v>0</v>
      </c>
      <c r="L1500" s="35">
        <f>INDEX('BIO WAHYU'!B:H,MATCH(DATA!D1500,'BIO WAHYU'!B:B,0),7)</f>
        <v>0</v>
      </c>
      <c r="M1500" s="34">
        <f>INDEX('BIO WAHYU'!B:H,MATCH(DATA!D1500,'BIO WAHYU'!B:B,0),4)</f>
        <v>0</v>
      </c>
    </row>
    <row r="1501" spans="1:13">
      <c r="A1501" s="43" t="s">
        <v>1672</v>
      </c>
      <c r="B1501" s="43" t="s">
        <v>155</v>
      </c>
      <c r="C1501" s="43" t="s">
        <v>927</v>
      </c>
      <c r="D1501" s="10">
        <v>12331996</v>
      </c>
      <c r="E1501" s="43" t="s">
        <v>10</v>
      </c>
      <c r="F1501" s="8">
        <f>_xlfn.IFNA(INDEX('OSA | 3GB'!J:L,MATCH(DATA!D1501,'OSA | 3GB'!J:J,0),2),0)</f>
        <v>4</v>
      </c>
      <c r="G1501" s="8">
        <f>_xlfn.IFNA(INDEX('OSA | 3GB'!J:L,MATCH(DATA!D1501,'OSA | 3GB'!J:J,0),3),0)</f>
        <v>2937000</v>
      </c>
      <c r="H1501" s="32">
        <f>_xlfn.IFNA(INDEX('OSA | 3GB'!A:C,MATCH(DATA!D1501,'OSA | 3GB'!A:A,0),2),0)</f>
        <v>2</v>
      </c>
      <c r="I1501" s="33">
        <f>_xlfn.IFNA(INDEX('OSA | 3GB'!A:C,MATCH(DATA!D1501,'OSA | 3GB'!A:A,0),3),0)</f>
        <v>1200000</v>
      </c>
      <c r="J1501" s="33">
        <f>INDEX('BIO WAHYU'!B:G,MATCH(DATA!D1501,'BIO WAHYU'!B:B,0),5)</f>
        <v>3</v>
      </c>
      <c r="K1501" s="34">
        <f>INDEX('BIO WAHYU'!B:G,MATCH(DATA!D1501,'BIO WAHYU'!B:B,0),6)</f>
        <v>5</v>
      </c>
      <c r="L1501" s="35">
        <f>INDEX('BIO WAHYU'!B:H,MATCH(DATA!D1501,'BIO WAHYU'!B:B,0),7)</f>
        <v>2</v>
      </c>
      <c r="M1501" s="34">
        <f>INDEX('BIO WAHYU'!B:H,MATCH(DATA!D1501,'BIO WAHYU'!B:B,0),4)</f>
        <v>0</v>
      </c>
    </row>
    <row r="1502" spans="1:13">
      <c r="A1502" s="43" t="s">
        <v>1672</v>
      </c>
      <c r="B1502" s="43" t="s">
        <v>149</v>
      </c>
      <c r="C1502" s="43" t="s">
        <v>770</v>
      </c>
      <c r="D1502" s="10">
        <v>12331888</v>
      </c>
      <c r="E1502" s="43" t="s">
        <v>10</v>
      </c>
      <c r="F1502" s="8">
        <f>_xlfn.IFNA(INDEX('OSA | 3GB'!J:L,MATCH(DATA!D1502,'OSA | 3GB'!J:J,0),2),0)</f>
        <v>0</v>
      </c>
      <c r="G1502" s="8">
        <f>_xlfn.IFNA(INDEX('OSA | 3GB'!J:L,MATCH(DATA!D1502,'OSA | 3GB'!J:J,0),3),0)</f>
        <v>0</v>
      </c>
      <c r="H1502" s="32">
        <f>_xlfn.IFNA(INDEX('OSA | 3GB'!A:C,MATCH(DATA!D1502,'OSA | 3GB'!A:A,0),2),0)</f>
        <v>2</v>
      </c>
      <c r="I1502" s="33">
        <f>_xlfn.IFNA(INDEX('OSA | 3GB'!A:C,MATCH(DATA!D1502,'OSA | 3GB'!A:A,0),3),0)</f>
        <v>58000</v>
      </c>
      <c r="J1502" s="33">
        <f>INDEX('BIO WAHYU'!B:G,MATCH(DATA!D1502,'BIO WAHYU'!B:B,0),5)</f>
        <v>0</v>
      </c>
      <c r="K1502" s="34">
        <f>INDEX('BIO WAHYU'!B:G,MATCH(DATA!D1502,'BIO WAHYU'!B:B,0),6)</f>
        <v>0</v>
      </c>
      <c r="L1502" s="35">
        <f>INDEX('BIO WAHYU'!B:H,MATCH(DATA!D1502,'BIO WAHYU'!B:B,0),7)</f>
        <v>0</v>
      </c>
      <c r="M1502" s="34">
        <f>INDEX('BIO WAHYU'!B:H,MATCH(DATA!D1502,'BIO WAHYU'!B:B,0),4)</f>
        <v>0</v>
      </c>
    </row>
    <row r="1503" spans="1:13">
      <c r="A1503" s="43" t="s">
        <v>1674</v>
      </c>
      <c r="B1503" s="43" t="s">
        <v>152</v>
      </c>
      <c r="C1503" s="43" t="s">
        <v>1625</v>
      </c>
      <c r="D1503" s="10">
        <v>12332813</v>
      </c>
      <c r="E1503" s="43" t="s">
        <v>10</v>
      </c>
      <c r="F1503" s="8">
        <f>_xlfn.IFNA(INDEX('OSA | 3GB'!J:L,MATCH(DATA!D1503,'OSA | 3GB'!J:J,0),2),0)</f>
        <v>5</v>
      </c>
      <c r="G1503" s="8">
        <f>_xlfn.IFNA(INDEX('OSA | 3GB'!J:L,MATCH(DATA!D1503,'OSA | 3GB'!J:J,0),3),0)</f>
        <v>700000</v>
      </c>
      <c r="H1503" s="32" t="str">
        <f>_xlfn.IFNA(INDEX('OSA | 3GB'!A:C,MATCH(DATA!D1503,'OSA | 3GB'!A:A,0),2),0)</f>
        <v xml:space="preserve"> -   </v>
      </c>
      <c r="I1503" s="33">
        <f>_xlfn.IFNA(INDEX('OSA | 3GB'!A:C,MATCH(DATA!D1503,'OSA | 3GB'!A:A,0),3),0)</f>
        <v>200000</v>
      </c>
      <c r="J1503" s="33">
        <f>INDEX('BIO WAHYU'!B:G,MATCH(DATA!D1503,'BIO WAHYU'!B:B,0),5)</f>
        <v>1</v>
      </c>
      <c r="K1503" s="34">
        <f>INDEX('BIO WAHYU'!B:G,MATCH(DATA!D1503,'BIO WAHYU'!B:B,0),6)</f>
        <v>1</v>
      </c>
      <c r="L1503" s="35">
        <f>INDEX('BIO WAHYU'!B:H,MATCH(DATA!D1503,'BIO WAHYU'!B:B,0),7)</f>
        <v>0</v>
      </c>
      <c r="M1503" s="34">
        <f>INDEX('BIO WAHYU'!B:H,MATCH(DATA!D1503,'BIO WAHYU'!B:B,0),4)</f>
        <v>0</v>
      </c>
    </row>
    <row r="1504" spans="1:13">
      <c r="A1504" s="43" t="s">
        <v>1673</v>
      </c>
      <c r="B1504" s="43" t="s">
        <v>1136</v>
      </c>
      <c r="C1504" s="43" t="s">
        <v>1626</v>
      </c>
      <c r="D1504" s="10">
        <v>12332390</v>
      </c>
      <c r="E1504" s="43" t="s">
        <v>10</v>
      </c>
      <c r="F1504" s="8">
        <f>_xlfn.IFNA(INDEX('OSA | 3GB'!J:L,MATCH(DATA!D1504,'OSA | 3GB'!J:J,0),2),0)</f>
        <v>109</v>
      </c>
      <c r="G1504" s="8">
        <f>_xlfn.IFNA(INDEX('OSA | 3GB'!J:L,MATCH(DATA!D1504,'OSA | 3GB'!J:J,0),3),0)</f>
        <v>150000</v>
      </c>
      <c r="H1504" s="32" t="str">
        <f>_xlfn.IFNA(INDEX('OSA | 3GB'!A:C,MATCH(DATA!D1504,'OSA | 3GB'!A:A,0),2),0)</f>
        <v xml:space="preserve"> -   </v>
      </c>
      <c r="I1504" s="33">
        <f>_xlfn.IFNA(INDEX('OSA | 3GB'!A:C,MATCH(DATA!D1504,'OSA | 3GB'!A:A,0),3),0)</f>
        <v>220000</v>
      </c>
      <c r="J1504" s="33">
        <f>INDEX('BIO WAHYU'!B:G,MATCH(DATA!D1504,'BIO WAHYU'!B:B,0),5)</f>
        <v>2</v>
      </c>
      <c r="K1504" s="34">
        <f>INDEX('BIO WAHYU'!B:G,MATCH(DATA!D1504,'BIO WAHYU'!B:B,0),6)</f>
        <v>9</v>
      </c>
      <c r="L1504" s="35">
        <f>INDEX('BIO WAHYU'!B:H,MATCH(DATA!D1504,'BIO WAHYU'!B:B,0),7)</f>
        <v>7</v>
      </c>
      <c r="M1504" s="34">
        <f>INDEX('BIO WAHYU'!B:H,MATCH(DATA!D1504,'BIO WAHYU'!B:B,0),4)</f>
        <v>0</v>
      </c>
    </row>
    <row r="1505" spans="1:13">
      <c r="A1505" s="43" t="s">
        <v>1673</v>
      </c>
      <c r="B1505" s="43" t="s">
        <v>143</v>
      </c>
      <c r="C1505" s="43" t="s">
        <v>251</v>
      </c>
      <c r="D1505" s="10">
        <v>12332756</v>
      </c>
      <c r="E1505" s="43" t="s">
        <v>10</v>
      </c>
      <c r="F1505" s="8">
        <f>_xlfn.IFNA(INDEX('OSA | 3GB'!J:L,MATCH(DATA!D1505,'OSA | 3GB'!J:J,0),2),0)</f>
        <v>3</v>
      </c>
      <c r="G1505" s="8">
        <f>_xlfn.IFNA(INDEX('OSA | 3GB'!J:L,MATCH(DATA!D1505,'OSA | 3GB'!J:J,0),3),0)</f>
        <v>3500000</v>
      </c>
      <c r="H1505" s="32" t="str">
        <f>_xlfn.IFNA(INDEX('OSA | 3GB'!A:C,MATCH(DATA!D1505,'OSA | 3GB'!A:A,0),2),0)</f>
        <v xml:space="preserve"> -   </v>
      </c>
      <c r="I1505" s="33" t="str">
        <f>_xlfn.IFNA(INDEX('OSA | 3GB'!A:C,MATCH(DATA!D1505,'OSA | 3GB'!A:A,0),3),0)</f>
        <v xml:space="preserve"> -   </v>
      </c>
      <c r="J1505" s="33">
        <f>INDEX('BIO WAHYU'!B:G,MATCH(DATA!D1505,'BIO WAHYU'!B:B,0),5)</f>
        <v>3</v>
      </c>
      <c r="K1505" s="34">
        <f>INDEX('BIO WAHYU'!B:G,MATCH(DATA!D1505,'BIO WAHYU'!B:B,0),6)</f>
        <v>0</v>
      </c>
      <c r="L1505" s="35">
        <f>INDEX('BIO WAHYU'!B:H,MATCH(DATA!D1505,'BIO WAHYU'!B:B,0),7)</f>
        <v>0</v>
      </c>
      <c r="M1505" s="34">
        <f>INDEX('BIO WAHYU'!B:H,MATCH(DATA!D1505,'BIO WAHYU'!B:B,0),4)</f>
        <v>0</v>
      </c>
    </row>
    <row r="1506" spans="1:13">
      <c r="A1506" s="43" t="s">
        <v>1674</v>
      </c>
      <c r="B1506" s="43" t="s">
        <v>152</v>
      </c>
      <c r="C1506" s="43" t="s">
        <v>1627</v>
      </c>
      <c r="D1506" s="10">
        <v>12332492</v>
      </c>
      <c r="E1506" s="43" t="s">
        <v>10</v>
      </c>
      <c r="F1506" s="8">
        <f>_xlfn.IFNA(INDEX('OSA | 3GB'!J:L,MATCH(DATA!D1506,'OSA | 3GB'!J:J,0),2),0)</f>
        <v>123</v>
      </c>
      <c r="G1506" s="8">
        <f>_xlfn.IFNA(INDEX('OSA | 3GB'!J:L,MATCH(DATA!D1506,'OSA | 3GB'!J:J,0),3),0)</f>
        <v>5376000</v>
      </c>
      <c r="H1506" s="32" t="str">
        <f>_xlfn.IFNA(INDEX('OSA | 3GB'!A:C,MATCH(DATA!D1506,'OSA | 3GB'!A:A,0),2),0)</f>
        <v xml:space="preserve"> -   </v>
      </c>
      <c r="I1506" s="33" t="str">
        <f>_xlfn.IFNA(INDEX('OSA | 3GB'!A:C,MATCH(DATA!D1506,'OSA | 3GB'!A:A,0),3),0)</f>
        <v xml:space="preserve"> -   </v>
      </c>
      <c r="J1506" s="33">
        <f>INDEX('BIO WAHYU'!B:G,MATCH(DATA!D1506,'BIO WAHYU'!B:B,0),5)</f>
        <v>81</v>
      </c>
      <c r="K1506" s="34">
        <f>INDEX('BIO WAHYU'!B:G,MATCH(DATA!D1506,'BIO WAHYU'!B:B,0),6)</f>
        <v>25</v>
      </c>
      <c r="L1506" s="35">
        <f>INDEX('BIO WAHYU'!B:H,MATCH(DATA!D1506,'BIO WAHYU'!B:B,0),7)</f>
        <v>0</v>
      </c>
      <c r="M1506" s="34">
        <f>INDEX('BIO WAHYU'!B:H,MATCH(DATA!D1506,'BIO WAHYU'!B:B,0),4)</f>
        <v>0</v>
      </c>
    </row>
    <row r="1507" spans="1:13">
      <c r="A1507" s="43" t="s">
        <v>1674</v>
      </c>
      <c r="B1507" s="43" t="s">
        <v>148</v>
      </c>
      <c r="C1507" s="43" t="s">
        <v>628</v>
      </c>
      <c r="D1507" s="10">
        <v>12332361</v>
      </c>
      <c r="E1507" s="43" t="s">
        <v>10</v>
      </c>
      <c r="F1507" s="8">
        <f>_xlfn.IFNA(INDEX('OSA | 3GB'!J:L,MATCH(DATA!D1507,'OSA | 3GB'!J:J,0),2),0)</f>
        <v>205</v>
      </c>
      <c r="G1507" s="8">
        <f>_xlfn.IFNA(INDEX('OSA | 3GB'!J:L,MATCH(DATA!D1507,'OSA | 3GB'!J:J,0),3),0)</f>
        <v>6350000</v>
      </c>
      <c r="H1507" s="32" t="str">
        <f>_xlfn.IFNA(INDEX('OSA | 3GB'!A:C,MATCH(DATA!D1507,'OSA | 3GB'!A:A,0),2),0)</f>
        <v xml:space="preserve"> -   </v>
      </c>
      <c r="I1507" s="33">
        <f>_xlfn.IFNA(INDEX('OSA | 3GB'!A:C,MATCH(DATA!D1507,'OSA | 3GB'!A:A,0),3),0)</f>
        <v>1994660</v>
      </c>
      <c r="J1507" s="33">
        <f>INDEX('BIO WAHYU'!B:G,MATCH(DATA!D1507,'BIO WAHYU'!B:B,0),5)</f>
        <v>101</v>
      </c>
      <c r="K1507" s="34">
        <f>INDEX('BIO WAHYU'!B:G,MATCH(DATA!D1507,'BIO WAHYU'!B:B,0),6)</f>
        <v>55</v>
      </c>
      <c r="L1507" s="35">
        <f>INDEX('BIO WAHYU'!B:H,MATCH(DATA!D1507,'BIO WAHYU'!B:B,0),7)</f>
        <v>0</v>
      </c>
      <c r="M1507" s="34">
        <f>INDEX('BIO WAHYU'!B:H,MATCH(DATA!D1507,'BIO WAHYU'!B:B,0),4)</f>
        <v>0</v>
      </c>
    </row>
    <row r="1508" spans="1:13">
      <c r="A1508" s="43" t="s">
        <v>1670</v>
      </c>
      <c r="B1508" s="43" t="s">
        <v>146</v>
      </c>
      <c r="C1508" s="43" t="s">
        <v>536</v>
      </c>
      <c r="D1508" s="10">
        <v>12332439</v>
      </c>
      <c r="E1508" s="43" t="s">
        <v>10</v>
      </c>
      <c r="F1508" s="8">
        <f>_xlfn.IFNA(INDEX('OSA | 3GB'!J:L,MATCH(DATA!D1508,'OSA | 3GB'!J:J,0),2),0)</f>
        <v>78</v>
      </c>
      <c r="G1508" s="8">
        <f>_xlfn.IFNA(INDEX('OSA | 3GB'!J:L,MATCH(DATA!D1508,'OSA | 3GB'!J:J,0),3),0)</f>
        <v>7526250</v>
      </c>
      <c r="H1508" s="32">
        <f>_xlfn.IFNA(INDEX('OSA | 3GB'!A:C,MATCH(DATA!D1508,'OSA | 3GB'!A:A,0),2),0)</f>
        <v>98</v>
      </c>
      <c r="I1508" s="33">
        <f>_xlfn.IFNA(INDEX('OSA | 3GB'!A:C,MATCH(DATA!D1508,'OSA | 3GB'!A:A,0),3),0)</f>
        <v>462000</v>
      </c>
      <c r="J1508" s="33">
        <f>INDEX('BIO WAHYU'!B:G,MATCH(DATA!D1508,'BIO WAHYU'!B:B,0),5)</f>
        <v>68</v>
      </c>
      <c r="K1508" s="34">
        <f>INDEX('BIO WAHYU'!B:G,MATCH(DATA!D1508,'BIO WAHYU'!B:B,0),6)</f>
        <v>28</v>
      </c>
      <c r="L1508" s="35">
        <f>INDEX('BIO WAHYU'!B:H,MATCH(DATA!D1508,'BIO WAHYU'!B:B,0),7)</f>
        <v>0</v>
      </c>
      <c r="M1508" s="34">
        <f>INDEX('BIO WAHYU'!B:H,MATCH(DATA!D1508,'BIO WAHYU'!B:B,0),4)</f>
        <v>0</v>
      </c>
    </row>
    <row r="1509" spans="1:13">
      <c r="A1509" s="43" t="s">
        <v>1670</v>
      </c>
      <c r="B1509" s="43">
        <v>2613051412</v>
      </c>
      <c r="C1509" s="43" t="s">
        <v>1628</v>
      </c>
      <c r="D1509" s="10">
        <v>12332401</v>
      </c>
      <c r="E1509" s="43" t="s">
        <v>10</v>
      </c>
      <c r="F1509" s="8">
        <f>_xlfn.IFNA(INDEX('OSA | 3GB'!J:L,MATCH(DATA!D1509,'OSA | 3GB'!J:J,0),2),0)</f>
        <v>1</v>
      </c>
      <c r="G1509" s="8">
        <f>_xlfn.IFNA(INDEX('OSA | 3GB'!J:L,MATCH(DATA!D1509,'OSA | 3GB'!J:J,0),3),0)</f>
        <v>1429000</v>
      </c>
      <c r="H1509" s="32" t="str">
        <f>_xlfn.IFNA(INDEX('OSA | 3GB'!A:C,MATCH(DATA!D1509,'OSA | 3GB'!A:A,0),2),0)</f>
        <v xml:space="preserve"> -   </v>
      </c>
      <c r="I1509" s="33">
        <f>_xlfn.IFNA(INDEX('OSA | 3GB'!A:C,MATCH(DATA!D1509,'OSA | 3GB'!A:A,0),3),0)</f>
        <v>1000000</v>
      </c>
      <c r="J1509" s="33">
        <f>INDEX('BIO WAHYU'!B:G,MATCH(DATA!D1509,'BIO WAHYU'!B:B,0),5)</f>
        <v>1</v>
      </c>
      <c r="K1509" s="34">
        <f>INDEX('BIO WAHYU'!B:G,MATCH(DATA!D1509,'BIO WAHYU'!B:B,0),6)</f>
        <v>0</v>
      </c>
      <c r="L1509" s="35">
        <f>INDEX('BIO WAHYU'!B:H,MATCH(DATA!D1509,'BIO WAHYU'!B:B,0),7)</f>
        <v>0</v>
      </c>
      <c r="M1509" s="34">
        <f>INDEX('BIO WAHYU'!B:H,MATCH(DATA!D1509,'BIO WAHYU'!B:B,0),4)</f>
        <v>0</v>
      </c>
    </row>
    <row r="1510" spans="1:13">
      <c r="A1510" s="43" t="s">
        <v>1</v>
      </c>
      <c r="B1510" s="43" t="s">
        <v>5</v>
      </c>
      <c r="C1510" s="43" t="s">
        <v>84</v>
      </c>
      <c r="D1510" s="10">
        <v>12332811</v>
      </c>
      <c r="E1510" s="43" t="s">
        <v>10</v>
      </c>
      <c r="F1510" s="8">
        <f>_xlfn.IFNA(INDEX('OSA | 3GB'!J:L,MATCH(DATA!D1510,'OSA | 3GB'!J:J,0),2),0)</f>
        <v>0</v>
      </c>
      <c r="G1510" s="8">
        <f>_xlfn.IFNA(INDEX('OSA | 3GB'!J:L,MATCH(DATA!D1510,'OSA | 3GB'!J:J,0),3),0)</f>
        <v>0</v>
      </c>
      <c r="H1510" s="32" t="str">
        <f>_xlfn.IFNA(INDEX('OSA | 3GB'!A:C,MATCH(DATA!D1510,'OSA | 3GB'!A:A,0),2),0)</f>
        <v xml:space="preserve"> -   </v>
      </c>
      <c r="I1510" s="33" t="str">
        <f>_xlfn.IFNA(INDEX('OSA | 3GB'!A:C,MATCH(DATA!D1510,'OSA | 3GB'!A:A,0),3),0)</f>
        <v xml:space="preserve"> -   </v>
      </c>
      <c r="J1510" s="33">
        <f>INDEX('BIO WAHYU'!B:G,MATCH(DATA!D1510,'BIO WAHYU'!B:B,0),5)</f>
        <v>0</v>
      </c>
      <c r="K1510" s="34">
        <f>INDEX('BIO WAHYU'!B:G,MATCH(DATA!D1510,'BIO WAHYU'!B:B,0),6)</f>
        <v>0</v>
      </c>
      <c r="L1510" s="35">
        <f>INDEX('BIO WAHYU'!B:H,MATCH(DATA!D1510,'BIO WAHYU'!B:B,0),7)</f>
        <v>0</v>
      </c>
      <c r="M1510" s="34">
        <f>INDEX('BIO WAHYU'!B:H,MATCH(DATA!D1510,'BIO WAHYU'!B:B,0),4)</f>
        <v>0</v>
      </c>
    </row>
    <row r="1511" spans="1:13">
      <c r="A1511" s="43" t="s">
        <v>1670</v>
      </c>
      <c r="B1511" s="43" t="s">
        <v>145</v>
      </c>
      <c r="C1511" s="43" t="s">
        <v>1629</v>
      </c>
      <c r="D1511" s="10">
        <v>12332325</v>
      </c>
      <c r="E1511" s="43" t="s">
        <v>10</v>
      </c>
      <c r="F1511" s="8">
        <f>_xlfn.IFNA(INDEX('OSA | 3GB'!J:L,MATCH(DATA!D1511,'OSA | 3GB'!J:J,0),2),0)</f>
        <v>0</v>
      </c>
      <c r="G1511" s="8">
        <f>_xlfn.IFNA(INDEX('OSA | 3GB'!J:L,MATCH(DATA!D1511,'OSA | 3GB'!J:J,0),3),0)</f>
        <v>800000</v>
      </c>
      <c r="H1511" s="32" t="str">
        <f>_xlfn.IFNA(INDEX('OSA | 3GB'!A:C,MATCH(DATA!D1511,'OSA | 3GB'!A:A,0),2),0)</f>
        <v xml:space="preserve"> -   </v>
      </c>
      <c r="I1511" s="33">
        <f>_xlfn.IFNA(INDEX('OSA | 3GB'!A:C,MATCH(DATA!D1511,'OSA | 3GB'!A:A,0),3),0)</f>
        <v>500000</v>
      </c>
      <c r="J1511" s="33">
        <f>INDEX('BIO WAHYU'!B:G,MATCH(DATA!D1511,'BIO WAHYU'!B:B,0),5)</f>
        <v>0</v>
      </c>
      <c r="K1511" s="34">
        <f>INDEX('BIO WAHYU'!B:G,MATCH(DATA!D1511,'BIO WAHYU'!B:B,0),6)</f>
        <v>0</v>
      </c>
      <c r="L1511" s="35">
        <f>INDEX('BIO WAHYU'!B:H,MATCH(DATA!D1511,'BIO WAHYU'!B:B,0),7)</f>
        <v>0</v>
      </c>
      <c r="M1511" s="34">
        <f>INDEX('BIO WAHYU'!B:H,MATCH(DATA!D1511,'BIO WAHYU'!B:B,0),4)</f>
        <v>0</v>
      </c>
    </row>
    <row r="1512" spans="1:13">
      <c r="A1512" s="43" t="s">
        <v>1</v>
      </c>
      <c r="B1512" s="43" t="s">
        <v>5</v>
      </c>
      <c r="C1512" s="43" t="s">
        <v>1122</v>
      </c>
      <c r="D1512" s="10">
        <v>12332670</v>
      </c>
      <c r="E1512" s="43" t="s">
        <v>10</v>
      </c>
      <c r="F1512" s="8">
        <f>_xlfn.IFNA(INDEX('OSA | 3GB'!J:L,MATCH(DATA!D1512,'OSA | 3GB'!J:J,0),2),0)</f>
        <v>0</v>
      </c>
      <c r="G1512" s="8">
        <f>_xlfn.IFNA(INDEX('OSA | 3GB'!J:L,MATCH(DATA!D1512,'OSA | 3GB'!J:J,0),3),0)</f>
        <v>1500000</v>
      </c>
      <c r="H1512" s="32" t="str">
        <f>_xlfn.IFNA(INDEX('OSA | 3GB'!A:C,MATCH(DATA!D1512,'OSA | 3GB'!A:A,0),2),0)</f>
        <v xml:space="preserve"> -   </v>
      </c>
      <c r="I1512" s="33">
        <f>_xlfn.IFNA(INDEX('OSA | 3GB'!A:C,MATCH(DATA!D1512,'OSA | 3GB'!A:A,0),3),0)</f>
        <v>731000</v>
      </c>
      <c r="J1512" s="33">
        <f>INDEX('BIO WAHYU'!B:G,MATCH(DATA!D1512,'BIO WAHYU'!B:B,0),5)</f>
        <v>2</v>
      </c>
      <c r="K1512" s="34">
        <f>INDEX('BIO WAHYU'!B:G,MATCH(DATA!D1512,'BIO WAHYU'!B:B,0),6)</f>
        <v>0</v>
      </c>
      <c r="L1512" s="35">
        <f>INDEX('BIO WAHYU'!B:H,MATCH(DATA!D1512,'BIO WAHYU'!B:B,0),7)</f>
        <v>0</v>
      </c>
      <c r="M1512" s="34">
        <f>INDEX('BIO WAHYU'!B:H,MATCH(DATA!D1512,'BIO WAHYU'!B:B,0),4)</f>
        <v>0</v>
      </c>
    </row>
    <row r="1513" spans="1:13">
      <c r="A1513" s="43" t="s">
        <v>1672</v>
      </c>
      <c r="B1513" s="43" t="s">
        <v>157</v>
      </c>
      <c r="C1513" s="43" t="s">
        <v>1025</v>
      </c>
      <c r="D1513" s="10">
        <v>12332861</v>
      </c>
      <c r="E1513" s="43" t="s">
        <v>15</v>
      </c>
      <c r="F1513" s="8">
        <f>_xlfn.IFNA(INDEX('OSA | 3GB'!J:L,MATCH(DATA!D1513,'OSA | 3GB'!J:J,0),2),0)</f>
        <v>3</v>
      </c>
      <c r="G1513" s="8">
        <f>_xlfn.IFNA(INDEX('OSA | 3GB'!J:L,MATCH(DATA!D1513,'OSA | 3GB'!J:J,0),3),0)</f>
        <v>679000</v>
      </c>
      <c r="H1513" s="32" t="str">
        <f>_xlfn.IFNA(INDEX('OSA | 3GB'!A:C,MATCH(DATA!D1513,'OSA | 3GB'!A:A,0),2),0)</f>
        <v xml:space="preserve"> -   </v>
      </c>
      <c r="I1513" s="33">
        <f>_xlfn.IFNA(INDEX('OSA | 3GB'!A:C,MATCH(DATA!D1513,'OSA | 3GB'!A:A,0),3),0)</f>
        <v>200000</v>
      </c>
      <c r="J1513" s="33">
        <f>INDEX('BIO WAHYU'!B:G,MATCH(DATA!D1513,'BIO WAHYU'!B:B,0),5)</f>
        <v>0</v>
      </c>
      <c r="K1513" s="34">
        <f>INDEX('BIO WAHYU'!B:G,MATCH(DATA!D1513,'BIO WAHYU'!B:B,0),6)</f>
        <v>0</v>
      </c>
      <c r="L1513" s="35">
        <f>INDEX('BIO WAHYU'!B:H,MATCH(DATA!D1513,'BIO WAHYU'!B:B,0),7)</f>
        <v>0</v>
      </c>
      <c r="M1513" s="34">
        <f>INDEX('BIO WAHYU'!B:H,MATCH(DATA!D1513,'BIO WAHYU'!B:B,0),4)</f>
        <v>0</v>
      </c>
    </row>
    <row r="1514" spans="1:13">
      <c r="A1514" s="43" t="s">
        <v>1670</v>
      </c>
      <c r="B1514" s="43" t="s">
        <v>146</v>
      </c>
      <c r="C1514" s="43" t="s">
        <v>535</v>
      </c>
      <c r="D1514" s="10">
        <v>12332347</v>
      </c>
      <c r="E1514" s="43" t="s">
        <v>10</v>
      </c>
      <c r="F1514" s="8">
        <f>_xlfn.IFNA(INDEX('OSA | 3GB'!J:L,MATCH(DATA!D1514,'OSA | 3GB'!J:J,0),2),0)</f>
        <v>168</v>
      </c>
      <c r="G1514" s="8">
        <f>_xlfn.IFNA(INDEX('OSA | 3GB'!J:L,MATCH(DATA!D1514,'OSA | 3GB'!J:J,0),3),0)</f>
        <v>9458250</v>
      </c>
      <c r="H1514" s="32">
        <f>_xlfn.IFNA(INDEX('OSA | 3GB'!A:C,MATCH(DATA!D1514,'OSA | 3GB'!A:A,0),2),0)</f>
        <v>12</v>
      </c>
      <c r="I1514" s="33">
        <f>_xlfn.IFNA(INDEX('OSA | 3GB'!A:C,MATCH(DATA!D1514,'OSA | 3GB'!A:A,0),3),0)</f>
        <v>29000</v>
      </c>
      <c r="J1514" s="33">
        <f>INDEX('BIO WAHYU'!B:G,MATCH(DATA!D1514,'BIO WAHYU'!B:B,0),5)</f>
        <v>10</v>
      </c>
      <c r="K1514" s="34">
        <f>INDEX('BIO WAHYU'!B:G,MATCH(DATA!D1514,'BIO WAHYU'!B:B,0),6)</f>
        <v>34</v>
      </c>
      <c r="L1514" s="35">
        <f>INDEX('BIO WAHYU'!B:H,MATCH(DATA!D1514,'BIO WAHYU'!B:B,0),7)</f>
        <v>24</v>
      </c>
      <c r="M1514" s="34">
        <f>INDEX('BIO WAHYU'!B:H,MATCH(DATA!D1514,'BIO WAHYU'!B:B,0),4)</f>
        <v>0</v>
      </c>
    </row>
    <row r="1515" spans="1:13">
      <c r="A1515" s="43" t="s">
        <v>1674</v>
      </c>
      <c r="B1515" s="43" t="s">
        <v>153</v>
      </c>
      <c r="C1515" s="43" t="s">
        <v>707</v>
      </c>
      <c r="D1515" s="10">
        <v>12333031</v>
      </c>
      <c r="E1515" s="43" t="s">
        <v>10</v>
      </c>
      <c r="F1515" s="8">
        <f>_xlfn.IFNA(INDEX('OSA | 3GB'!J:L,MATCH(DATA!D1515,'OSA | 3GB'!J:J,0),2),0)</f>
        <v>65</v>
      </c>
      <c r="G1515" s="8">
        <f>_xlfn.IFNA(INDEX('OSA | 3GB'!J:L,MATCH(DATA!D1515,'OSA | 3GB'!J:J,0),3),0)</f>
        <v>50524955</v>
      </c>
      <c r="H1515" s="32">
        <f>_xlfn.IFNA(INDEX('OSA | 3GB'!A:C,MATCH(DATA!D1515,'OSA | 3GB'!A:A,0),2),0)</f>
        <v>4</v>
      </c>
      <c r="I1515" s="33">
        <f>_xlfn.IFNA(INDEX('OSA | 3GB'!A:C,MATCH(DATA!D1515,'OSA | 3GB'!A:A,0),3),0)</f>
        <v>12417060</v>
      </c>
      <c r="J1515" s="33">
        <f>INDEX('BIO WAHYU'!B:G,MATCH(DATA!D1515,'BIO WAHYU'!B:B,0),5)</f>
        <v>54</v>
      </c>
      <c r="K1515" s="34">
        <f>INDEX('BIO WAHYU'!B:G,MATCH(DATA!D1515,'BIO WAHYU'!B:B,0),6)</f>
        <v>35</v>
      </c>
      <c r="L1515" s="35">
        <f>INDEX('BIO WAHYU'!B:H,MATCH(DATA!D1515,'BIO WAHYU'!B:B,0),7)</f>
        <v>0</v>
      </c>
      <c r="M1515" s="34">
        <f>INDEX('BIO WAHYU'!B:H,MATCH(DATA!D1515,'BIO WAHYU'!B:B,0),4)</f>
        <v>2</v>
      </c>
    </row>
    <row r="1516" spans="1:13">
      <c r="A1516" s="43" t="s">
        <v>1673</v>
      </c>
      <c r="B1516" s="43" t="s">
        <v>141</v>
      </c>
      <c r="C1516" s="43" t="s">
        <v>193</v>
      </c>
      <c r="D1516" s="10">
        <v>12332971</v>
      </c>
      <c r="E1516" s="43" t="s">
        <v>10</v>
      </c>
      <c r="F1516" s="8">
        <f>_xlfn.IFNA(INDEX('OSA | 3GB'!J:L,MATCH(DATA!D1516,'OSA | 3GB'!J:J,0),2),0)</f>
        <v>0</v>
      </c>
      <c r="G1516" s="8">
        <f>_xlfn.IFNA(INDEX('OSA | 3GB'!J:L,MATCH(DATA!D1516,'OSA | 3GB'!J:J,0),3),0)</f>
        <v>50000</v>
      </c>
      <c r="H1516" s="32" t="str">
        <f>_xlfn.IFNA(INDEX('OSA | 3GB'!A:C,MATCH(DATA!D1516,'OSA | 3GB'!A:A,0),2),0)</f>
        <v xml:space="preserve"> -   </v>
      </c>
      <c r="I1516" s="33" t="str">
        <f>_xlfn.IFNA(INDEX('OSA | 3GB'!A:C,MATCH(DATA!D1516,'OSA | 3GB'!A:A,0),3),0)</f>
        <v xml:space="preserve"> -   </v>
      </c>
      <c r="J1516" s="33">
        <f>INDEX('BIO WAHYU'!B:G,MATCH(DATA!D1516,'BIO WAHYU'!B:B,0),5)</f>
        <v>0</v>
      </c>
      <c r="K1516" s="34">
        <f>INDEX('BIO WAHYU'!B:G,MATCH(DATA!D1516,'BIO WAHYU'!B:B,0),6)</f>
        <v>0</v>
      </c>
      <c r="L1516" s="35">
        <f>INDEX('BIO WAHYU'!B:H,MATCH(DATA!D1516,'BIO WAHYU'!B:B,0),7)</f>
        <v>0</v>
      </c>
      <c r="M1516" s="34">
        <f>INDEX('BIO WAHYU'!B:H,MATCH(DATA!D1516,'BIO WAHYU'!B:B,0),4)</f>
        <v>0</v>
      </c>
    </row>
    <row r="1517" spans="1:13">
      <c r="A1517" s="43" t="s">
        <v>1672</v>
      </c>
      <c r="B1517" s="43" t="s">
        <v>156</v>
      </c>
      <c r="C1517" s="43" t="s">
        <v>1631</v>
      </c>
      <c r="D1517" s="10" t="s">
        <v>1630</v>
      </c>
      <c r="E1517" s="43" t="s">
        <v>10</v>
      </c>
      <c r="F1517" s="8">
        <f>_xlfn.IFNA(INDEX('OSA | 3GB'!J:L,MATCH(DATA!D1517,'OSA | 3GB'!J:J,0),2),0)</f>
        <v>0</v>
      </c>
      <c r="G1517" s="8">
        <f>_xlfn.IFNA(INDEX('OSA | 3GB'!J:L,MATCH(DATA!D1517,'OSA | 3GB'!J:J,0),3),0)</f>
        <v>0</v>
      </c>
      <c r="H1517" s="32" t="str">
        <f>_xlfn.IFNA(INDEX('OSA | 3GB'!A:C,MATCH(DATA!D1517,'OSA | 3GB'!A:A,0),2),0)</f>
        <v xml:space="preserve"> -   </v>
      </c>
      <c r="I1517" s="33" t="str">
        <f>_xlfn.IFNA(INDEX('OSA | 3GB'!A:C,MATCH(DATA!D1517,'OSA | 3GB'!A:A,0),3),0)</f>
        <v xml:space="preserve"> -   </v>
      </c>
      <c r="J1517" s="33">
        <f>INDEX('BIO WAHYU'!B:G,MATCH(DATA!D1517,'BIO WAHYU'!B:B,0),5)</f>
        <v>0</v>
      </c>
      <c r="K1517" s="34">
        <f>INDEX('BIO WAHYU'!B:G,MATCH(DATA!D1517,'BIO WAHYU'!B:B,0),6)</f>
        <v>0</v>
      </c>
      <c r="L1517" s="35">
        <f>INDEX('BIO WAHYU'!B:H,MATCH(DATA!D1517,'BIO WAHYU'!B:B,0),7)</f>
        <v>0</v>
      </c>
      <c r="M1517" s="34">
        <f>INDEX('BIO WAHYU'!B:H,MATCH(DATA!D1517,'BIO WAHYU'!B:B,0),4)</f>
        <v>0</v>
      </c>
    </row>
    <row r="1518" spans="1:13">
      <c r="A1518" s="43" t="s">
        <v>1</v>
      </c>
      <c r="B1518" s="43" t="s">
        <v>5</v>
      </c>
      <c r="C1518" s="43" t="s">
        <v>1123</v>
      </c>
      <c r="D1518" s="10">
        <v>12333237</v>
      </c>
      <c r="E1518" s="43" t="s">
        <v>10</v>
      </c>
      <c r="F1518" s="8">
        <f>_xlfn.IFNA(INDEX('OSA | 3GB'!J:L,MATCH(DATA!D1518,'OSA | 3GB'!J:J,0),2),0)</f>
        <v>4</v>
      </c>
      <c r="G1518" s="8">
        <f>_xlfn.IFNA(INDEX('OSA | 3GB'!J:L,MATCH(DATA!D1518,'OSA | 3GB'!J:J,0),3),0)</f>
        <v>316000</v>
      </c>
      <c r="H1518" s="32">
        <f>_xlfn.IFNA(INDEX('OSA | 3GB'!A:C,MATCH(DATA!D1518,'OSA | 3GB'!A:A,0),2),0)</f>
        <v>4</v>
      </c>
      <c r="I1518" s="33" t="str">
        <f>_xlfn.IFNA(INDEX('OSA | 3GB'!A:C,MATCH(DATA!D1518,'OSA | 3GB'!A:A,0),3),0)</f>
        <v xml:space="preserve"> -   </v>
      </c>
      <c r="J1518" s="33">
        <f>INDEX('BIO WAHYU'!B:G,MATCH(DATA!D1518,'BIO WAHYU'!B:B,0),5)</f>
        <v>13</v>
      </c>
      <c r="K1518" s="34">
        <f>INDEX('BIO WAHYU'!B:G,MATCH(DATA!D1518,'BIO WAHYU'!B:B,0),6)</f>
        <v>11</v>
      </c>
      <c r="L1518" s="35">
        <f>INDEX('BIO WAHYU'!B:H,MATCH(DATA!D1518,'BIO WAHYU'!B:B,0),7)</f>
        <v>0</v>
      </c>
      <c r="M1518" s="34">
        <f>INDEX('BIO WAHYU'!B:H,MATCH(DATA!D1518,'BIO WAHYU'!B:B,0),4)</f>
        <v>0</v>
      </c>
    </row>
    <row r="1519" spans="1:13">
      <c r="A1519" s="43" t="s">
        <v>1670</v>
      </c>
      <c r="B1519" s="43">
        <v>2613051412</v>
      </c>
      <c r="C1519" s="43" t="s">
        <v>566</v>
      </c>
      <c r="D1519" s="10">
        <v>546109</v>
      </c>
      <c r="E1519" s="43" t="s">
        <v>10</v>
      </c>
      <c r="F1519" s="8">
        <f>_xlfn.IFNA(INDEX('OSA | 3GB'!J:L,MATCH(DATA!D1519,'OSA | 3GB'!J:J,0),2),0)</f>
        <v>4</v>
      </c>
      <c r="G1519" s="8">
        <f>_xlfn.IFNA(INDEX('OSA | 3GB'!J:L,MATCH(DATA!D1519,'OSA | 3GB'!J:J,0),3),0)</f>
        <v>1766000</v>
      </c>
      <c r="H1519" s="32" t="str">
        <f>_xlfn.IFNA(INDEX('OSA | 3GB'!A:C,MATCH(DATA!D1519,'OSA | 3GB'!A:A,0),2),0)</f>
        <v xml:space="preserve"> -   </v>
      </c>
      <c r="I1519" s="33">
        <f>_xlfn.IFNA(INDEX('OSA | 3GB'!A:C,MATCH(DATA!D1519,'OSA | 3GB'!A:A,0),3),0)</f>
        <v>29000</v>
      </c>
      <c r="J1519" s="33">
        <f>INDEX('BIO WAHYU'!B:G,MATCH(DATA!D1519,'BIO WAHYU'!B:B,0),5)</f>
        <v>2</v>
      </c>
      <c r="K1519" s="34">
        <f>INDEX('BIO WAHYU'!B:G,MATCH(DATA!D1519,'BIO WAHYU'!B:B,0),6)</f>
        <v>3</v>
      </c>
      <c r="L1519" s="35">
        <f>INDEX('BIO WAHYU'!B:H,MATCH(DATA!D1519,'BIO WAHYU'!B:B,0),7)</f>
        <v>1</v>
      </c>
      <c r="M1519" s="34">
        <f>INDEX('BIO WAHYU'!B:H,MATCH(DATA!D1519,'BIO WAHYU'!B:B,0),4)</f>
        <v>0</v>
      </c>
    </row>
    <row r="1520" spans="1:13">
      <c r="A1520" s="43" t="s">
        <v>1674</v>
      </c>
      <c r="B1520" s="43">
        <v>2613052222</v>
      </c>
      <c r="C1520" s="43" t="s">
        <v>1632</v>
      </c>
      <c r="D1520" s="10">
        <v>480222</v>
      </c>
      <c r="E1520" s="43" t="s">
        <v>10</v>
      </c>
      <c r="F1520" s="8">
        <f>_xlfn.IFNA(INDEX('OSA | 3GB'!J:L,MATCH(DATA!D1520,'OSA | 3GB'!J:J,0),2),0)</f>
        <v>3</v>
      </c>
      <c r="G1520" s="8">
        <f>_xlfn.IFNA(INDEX('OSA | 3GB'!J:L,MATCH(DATA!D1520,'OSA | 3GB'!J:J,0),3),0)</f>
        <v>1200000</v>
      </c>
      <c r="H1520" s="32" t="str">
        <f>_xlfn.IFNA(INDEX('OSA | 3GB'!A:C,MATCH(DATA!D1520,'OSA | 3GB'!A:A,0),2),0)</f>
        <v xml:space="preserve"> -   </v>
      </c>
      <c r="I1520" s="33">
        <f>_xlfn.IFNA(INDEX('OSA | 3GB'!A:C,MATCH(DATA!D1520,'OSA | 3GB'!A:A,0),3),0)</f>
        <v>400000</v>
      </c>
      <c r="J1520" s="33">
        <f>INDEX('BIO WAHYU'!B:G,MATCH(DATA!D1520,'BIO WAHYU'!B:B,0),5)</f>
        <v>1</v>
      </c>
      <c r="K1520" s="34">
        <f>INDEX('BIO WAHYU'!B:G,MATCH(DATA!D1520,'BIO WAHYU'!B:B,0),6)</f>
        <v>2</v>
      </c>
      <c r="L1520" s="35">
        <f>INDEX('BIO WAHYU'!B:H,MATCH(DATA!D1520,'BIO WAHYU'!B:B,0),7)</f>
        <v>1</v>
      </c>
      <c r="M1520" s="34">
        <f>INDEX('BIO WAHYU'!B:H,MATCH(DATA!D1520,'BIO WAHYU'!B:B,0),4)</f>
        <v>0</v>
      </c>
    </row>
    <row r="1521" spans="1:13">
      <c r="A1521" s="43" t="s">
        <v>1674</v>
      </c>
      <c r="B1521" s="43">
        <v>2613052222</v>
      </c>
      <c r="C1521" s="43" t="s">
        <v>1633</v>
      </c>
      <c r="D1521" s="10">
        <v>580677</v>
      </c>
      <c r="E1521" s="43" t="s">
        <v>10</v>
      </c>
      <c r="F1521" s="8">
        <f>_xlfn.IFNA(INDEX('OSA | 3GB'!J:L,MATCH(DATA!D1521,'OSA | 3GB'!J:J,0),2),0)</f>
        <v>0</v>
      </c>
      <c r="G1521" s="8">
        <f>_xlfn.IFNA(INDEX('OSA | 3GB'!J:L,MATCH(DATA!D1521,'OSA | 3GB'!J:J,0),3),0)</f>
        <v>510000</v>
      </c>
      <c r="H1521" s="32" t="str">
        <f>_xlfn.IFNA(INDEX('OSA | 3GB'!A:C,MATCH(DATA!D1521,'OSA | 3GB'!A:A,0),2),0)</f>
        <v xml:space="preserve"> -   </v>
      </c>
      <c r="I1521" s="33">
        <f>_xlfn.IFNA(INDEX('OSA | 3GB'!A:C,MATCH(DATA!D1521,'OSA | 3GB'!A:A,0),3),0)</f>
        <v>570000</v>
      </c>
      <c r="J1521" s="33">
        <f>INDEX('BIO WAHYU'!B:G,MATCH(DATA!D1521,'BIO WAHYU'!B:B,0),5)</f>
        <v>1</v>
      </c>
      <c r="K1521" s="34">
        <f>INDEX('BIO WAHYU'!B:G,MATCH(DATA!D1521,'BIO WAHYU'!B:B,0),6)</f>
        <v>0</v>
      </c>
      <c r="L1521" s="35">
        <f>INDEX('BIO WAHYU'!B:H,MATCH(DATA!D1521,'BIO WAHYU'!B:B,0),7)</f>
        <v>0</v>
      </c>
      <c r="M1521" s="34">
        <f>INDEX('BIO WAHYU'!B:H,MATCH(DATA!D1521,'BIO WAHYU'!B:B,0),4)</f>
        <v>0</v>
      </c>
    </row>
    <row r="1522" spans="1:13">
      <c r="A1522" s="43" t="s">
        <v>1674</v>
      </c>
      <c r="B1522" s="43" t="s">
        <v>152</v>
      </c>
      <c r="C1522" s="43" t="s">
        <v>1092</v>
      </c>
      <c r="D1522" s="10">
        <v>61721</v>
      </c>
      <c r="E1522" s="43" t="s">
        <v>10</v>
      </c>
      <c r="F1522" s="8">
        <f>_xlfn.IFNA(INDEX('OSA | 3GB'!J:L,MATCH(DATA!D1522,'OSA | 3GB'!J:J,0),2),0)</f>
        <v>3</v>
      </c>
      <c r="G1522" s="8">
        <f>_xlfn.IFNA(INDEX('OSA | 3GB'!J:L,MATCH(DATA!D1522,'OSA | 3GB'!J:J,0),3),0)</f>
        <v>500000</v>
      </c>
      <c r="H1522" s="32" t="str">
        <f>_xlfn.IFNA(INDEX('OSA | 3GB'!A:C,MATCH(DATA!D1522,'OSA | 3GB'!A:A,0),2),0)</f>
        <v xml:space="preserve"> -   </v>
      </c>
      <c r="I1522" s="33">
        <f>_xlfn.IFNA(INDEX('OSA | 3GB'!A:C,MATCH(DATA!D1522,'OSA | 3GB'!A:A,0),3),0)</f>
        <v>500000</v>
      </c>
      <c r="J1522" s="33">
        <f>INDEX('BIO WAHYU'!B:G,MATCH(DATA!D1522,'BIO WAHYU'!B:B,0),5)</f>
        <v>1</v>
      </c>
      <c r="K1522" s="34">
        <f>INDEX('BIO WAHYU'!B:G,MATCH(DATA!D1522,'BIO WAHYU'!B:B,0),6)</f>
        <v>0</v>
      </c>
      <c r="L1522" s="35">
        <f>INDEX('BIO WAHYU'!B:H,MATCH(DATA!D1522,'BIO WAHYU'!B:B,0),7)</f>
        <v>0</v>
      </c>
      <c r="M1522" s="34">
        <f>INDEX('BIO WAHYU'!B:H,MATCH(DATA!D1522,'BIO WAHYU'!B:B,0),4)</f>
        <v>0</v>
      </c>
    </row>
    <row r="1523" spans="1:13">
      <c r="A1523" s="43" t="s">
        <v>1674</v>
      </c>
      <c r="B1523" s="43">
        <v>2613052222</v>
      </c>
      <c r="C1523" s="43" t="s">
        <v>693</v>
      </c>
      <c r="D1523" s="10">
        <v>274707</v>
      </c>
      <c r="E1523" s="43" t="s">
        <v>10</v>
      </c>
      <c r="F1523" s="8">
        <f>_xlfn.IFNA(INDEX('OSA | 3GB'!J:L,MATCH(DATA!D1523,'OSA | 3GB'!J:J,0),2),0)</f>
        <v>0</v>
      </c>
      <c r="G1523" s="8">
        <f>_xlfn.IFNA(INDEX('OSA | 3GB'!J:L,MATCH(DATA!D1523,'OSA | 3GB'!J:J,0),3),0)</f>
        <v>0</v>
      </c>
      <c r="H1523" s="32" t="str">
        <f>_xlfn.IFNA(INDEX('OSA | 3GB'!A:C,MATCH(DATA!D1523,'OSA | 3GB'!A:A,0),2),0)</f>
        <v xml:space="preserve"> -   </v>
      </c>
      <c r="I1523" s="33" t="str">
        <f>_xlfn.IFNA(INDEX('OSA | 3GB'!A:C,MATCH(DATA!D1523,'OSA | 3GB'!A:A,0),3),0)</f>
        <v xml:space="preserve"> -   </v>
      </c>
      <c r="J1523" s="33">
        <f>INDEX('BIO WAHYU'!B:G,MATCH(DATA!D1523,'BIO WAHYU'!B:B,0),5)</f>
        <v>0</v>
      </c>
      <c r="K1523" s="34">
        <f>INDEX('BIO WAHYU'!B:G,MATCH(DATA!D1523,'BIO WAHYU'!B:B,0),6)</f>
        <v>1</v>
      </c>
      <c r="L1523" s="35">
        <f>INDEX('BIO WAHYU'!B:H,MATCH(DATA!D1523,'BIO WAHYU'!B:B,0),7)</f>
        <v>1</v>
      </c>
      <c r="M1523" s="34">
        <f>INDEX('BIO WAHYU'!B:H,MATCH(DATA!D1523,'BIO WAHYU'!B:B,0),4)</f>
        <v>0</v>
      </c>
    </row>
    <row r="1524" spans="1:13">
      <c r="A1524" s="43" t="s">
        <v>1674</v>
      </c>
      <c r="B1524" s="43" t="s">
        <v>152</v>
      </c>
      <c r="C1524" s="43" t="s">
        <v>1634</v>
      </c>
      <c r="D1524" s="10">
        <v>478811</v>
      </c>
      <c r="E1524" s="43" t="s">
        <v>10</v>
      </c>
      <c r="F1524" s="8">
        <f>_xlfn.IFNA(INDEX('OSA | 3GB'!J:L,MATCH(DATA!D1524,'OSA | 3GB'!J:J,0),2),0)</f>
        <v>1</v>
      </c>
      <c r="G1524" s="8">
        <f>_xlfn.IFNA(INDEX('OSA | 3GB'!J:L,MATCH(DATA!D1524,'OSA | 3GB'!J:J,0),3),0)</f>
        <v>16430113</v>
      </c>
      <c r="H1524" s="32" t="str">
        <f>_xlfn.IFNA(INDEX('OSA | 3GB'!A:C,MATCH(DATA!D1524,'OSA | 3GB'!A:A,0),2),0)</f>
        <v xml:space="preserve"> -   </v>
      </c>
      <c r="I1524" s="33">
        <f>_xlfn.IFNA(INDEX('OSA | 3GB'!A:C,MATCH(DATA!D1524,'OSA | 3GB'!A:A,0),3),0)</f>
        <v>11000000</v>
      </c>
      <c r="J1524" s="33">
        <f>INDEX('BIO WAHYU'!B:G,MATCH(DATA!D1524,'BIO WAHYU'!B:B,0),5)</f>
        <v>1</v>
      </c>
      <c r="K1524" s="34">
        <f>INDEX('BIO WAHYU'!B:G,MATCH(DATA!D1524,'BIO WAHYU'!B:B,0),6)</f>
        <v>0</v>
      </c>
      <c r="L1524" s="35">
        <f>INDEX('BIO WAHYU'!B:H,MATCH(DATA!D1524,'BIO WAHYU'!B:B,0),7)</f>
        <v>0</v>
      </c>
      <c r="M1524" s="34">
        <f>INDEX('BIO WAHYU'!B:H,MATCH(DATA!D1524,'BIO WAHYU'!B:B,0),4)</f>
        <v>0</v>
      </c>
    </row>
    <row r="1525" spans="1:13">
      <c r="A1525" s="43" t="s">
        <v>1670</v>
      </c>
      <c r="B1525" s="43" t="s">
        <v>140</v>
      </c>
      <c r="C1525" s="43" t="s">
        <v>476</v>
      </c>
      <c r="D1525" s="10">
        <v>542219</v>
      </c>
      <c r="E1525" s="43" t="s">
        <v>10</v>
      </c>
      <c r="F1525" s="8">
        <f>_xlfn.IFNA(INDEX('OSA | 3GB'!J:L,MATCH(DATA!D1525,'OSA | 3GB'!J:J,0),2),0)</f>
        <v>3</v>
      </c>
      <c r="G1525" s="8">
        <f>_xlfn.IFNA(INDEX('OSA | 3GB'!J:L,MATCH(DATA!D1525,'OSA | 3GB'!J:J,0),3),0)</f>
        <v>19800000</v>
      </c>
      <c r="H1525" s="32" t="str">
        <f>_xlfn.IFNA(INDEX('OSA | 3GB'!A:C,MATCH(DATA!D1525,'OSA | 3GB'!A:A,0),2),0)</f>
        <v xml:space="preserve"> -   </v>
      </c>
      <c r="I1525" s="33">
        <f>_xlfn.IFNA(INDEX('OSA | 3GB'!A:C,MATCH(DATA!D1525,'OSA | 3GB'!A:A,0),3),0)</f>
        <v>4000000</v>
      </c>
      <c r="J1525" s="33">
        <f>INDEX('BIO WAHYU'!B:G,MATCH(DATA!D1525,'BIO WAHYU'!B:B,0),5)</f>
        <v>3</v>
      </c>
      <c r="K1525" s="34">
        <f>INDEX('BIO WAHYU'!B:G,MATCH(DATA!D1525,'BIO WAHYU'!B:B,0),6)</f>
        <v>4</v>
      </c>
      <c r="L1525" s="35">
        <f>INDEX('BIO WAHYU'!B:H,MATCH(DATA!D1525,'BIO WAHYU'!B:B,0),7)</f>
        <v>1</v>
      </c>
      <c r="M1525" s="34">
        <f>INDEX('BIO WAHYU'!B:H,MATCH(DATA!D1525,'BIO WAHYU'!B:B,0),4)</f>
        <v>0</v>
      </c>
    </row>
    <row r="1526" spans="1:13">
      <c r="A1526" s="43" t="s">
        <v>1674</v>
      </c>
      <c r="B1526" s="43" t="s">
        <v>148</v>
      </c>
      <c r="C1526" s="43" t="s">
        <v>1635</v>
      </c>
      <c r="D1526" s="10">
        <v>12331261</v>
      </c>
      <c r="E1526" s="43" t="s">
        <v>10</v>
      </c>
      <c r="F1526" s="8">
        <f>_xlfn.IFNA(INDEX('OSA | 3GB'!J:L,MATCH(DATA!D1526,'OSA | 3GB'!J:J,0),2),0)</f>
        <v>34</v>
      </c>
      <c r="G1526" s="8">
        <f>_xlfn.IFNA(INDEX('OSA | 3GB'!J:L,MATCH(DATA!D1526,'OSA | 3GB'!J:J,0),3),0)</f>
        <v>6523000</v>
      </c>
      <c r="H1526" s="32">
        <f>_xlfn.IFNA(INDEX('OSA | 3GB'!A:C,MATCH(DATA!D1526,'OSA | 3GB'!A:A,0),2),0)</f>
        <v>6</v>
      </c>
      <c r="I1526" s="33">
        <f>_xlfn.IFNA(INDEX('OSA | 3GB'!A:C,MATCH(DATA!D1526,'OSA | 3GB'!A:A,0),3),0)</f>
        <v>1348000</v>
      </c>
      <c r="J1526" s="33">
        <f>INDEX('BIO WAHYU'!B:G,MATCH(DATA!D1526,'BIO WAHYU'!B:B,0),5)</f>
        <v>50</v>
      </c>
      <c r="K1526" s="34">
        <f>INDEX('BIO WAHYU'!B:G,MATCH(DATA!D1526,'BIO WAHYU'!B:B,0),6)</f>
        <v>40</v>
      </c>
      <c r="L1526" s="35">
        <f>INDEX('BIO WAHYU'!B:H,MATCH(DATA!D1526,'BIO WAHYU'!B:B,0),7)</f>
        <v>0</v>
      </c>
      <c r="M1526" s="34">
        <f>INDEX('BIO WAHYU'!B:H,MATCH(DATA!D1526,'BIO WAHYU'!B:B,0),4)</f>
        <v>2</v>
      </c>
    </row>
    <row r="1527" spans="1:13">
      <c r="A1527" s="43" t="s">
        <v>1</v>
      </c>
      <c r="B1527" s="43" t="s">
        <v>5</v>
      </c>
      <c r="C1527" s="43" t="s">
        <v>83</v>
      </c>
      <c r="D1527" s="10">
        <v>12331450</v>
      </c>
      <c r="E1527" s="43" t="s">
        <v>10</v>
      </c>
      <c r="F1527" s="8">
        <f>_xlfn.IFNA(INDEX('OSA | 3GB'!J:L,MATCH(DATA!D1527,'OSA | 3GB'!J:J,0),2),0)</f>
        <v>4</v>
      </c>
      <c r="G1527" s="8">
        <f>_xlfn.IFNA(INDEX('OSA | 3GB'!J:L,MATCH(DATA!D1527,'OSA | 3GB'!J:J,0),3),0)</f>
        <v>300000</v>
      </c>
      <c r="H1527" s="32" t="str">
        <f>_xlfn.IFNA(INDEX('OSA | 3GB'!A:C,MATCH(DATA!D1527,'OSA | 3GB'!A:A,0),2),0)</f>
        <v xml:space="preserve"> -   </v>
      </c>
      <c r="I1527" s="33">
        <f>_xlfn.IFNA(INDEX('OSA | 3GB'!A:C,MATCH(DATA!D1527,'OSA | 3GB'!A:A,0),3),0)</f>
        <v>100000</v>
      </c>
      <c r="J1527" s="33">
        <f>INDEX('BIO WAHYU'!B:G,MATCH(DATA!D1527,'BIO WAHYU'!B:B,0),5)</f>
        <v>5</v>
      </c>
      <c r="K1527" s="34">
        <f>INDEX('BIO WAHYU'!B:G,MATCH(DATA!D1527,'BIO WAHYU'!B:B,0),6)</f>
        <v>0</v>
      </c>
      <c r="L1527" s="35">
        <f>INDEX('BIO WAHYU'!B:H,MATCH(DATA!D1527,'BIO WAHYU'!B:B,0),7)</f>
        <v>0</v>
      </c>
      <c r="M1527" s="34">
        <f>INDEX('BIO WAHYU'!B:H,MATCH(DATA!D1527,'BIO WAHYU'!B:B,0),4)</f>
        <v>0</v>
      </c>
    </row>
    <row r="1528" spans="1:13">
      <c r="A1528" s="43" t="s">
        <v>1671</v>
      </c>
      <c r="B1528" s="43">
        <v>2613050886</v>
      </c>
      <c r="C1528" s="43" t="s">
        <v>332</v>
      </c>
      <c r="D1528" s="10">
        <v>532833</v>
      </c>
      <c r="E1528" s="43" t="s">
        <v>15</v>
      </c>
      <c r="F1528" s="8">
        <f>_xlfn.IFNA(INDEX('OSA | 3GB'!J:L,MATCH(DATA!D1528,'OSA | 3GB'!J:J,0),2),0)</f>
        <v>4</v>
      </c>
      <c r="G1528" s="8">
        <f>_xlfn.IFNA(INDEX('OSA | 3GB'!J:L,MATCH(DATA!D1528,'OSA | 3GB'!J:J,0),3),0)</f>
        <v>1050080</v>
      </c>
      <c r="H1528" s="32" t="str">
        <f>_xlfn.IFNA(INDEX('OSA | 3GB'!A:C,MATCH(DATA!D1528,'OSA | 3GB'!A:A,0),2),0)</f>
        <v xml:space="preserve"> -   </v>
      </c>
      <c r="I1528" s="33">
        <f>_xlfn.IFNA(INDEX('OSA | 3GB'!A:C,MATCH(DATA!D1528,'OSA | 3GB'!A:A,0),3),0)</f>
        <v>200000</v>
      </c>
      <c r="J1528" s="33">
        <f>INDEX('BIO WAHYU'!B:G,MATCH(DATA!D1528,'BIO WAHYU'!B:B,0),5)</f>
        <v>4</v>
      </c>
      <c r="K1528" s="34">
        <f>INDEX('BIO WAHYU'!B:G,MATCH(DATA!D1528,'BIO WAHYU'!B:B,0),6)</f>
        <v>1</v>
      </c>
      <c r="L1528" s="35">
        <f>INDEX('BIO WAHYU'!B:H,MATCH(DATA!D1528,'BIO WAHYU'!B:B,0),7)</f>
        <v>0</v>
      </c>
      <c r="M1528" s="34">
        <f>INDEX('BIO WAHYU'!B:H,MATCH(DATA!D1528,'BIO WAHYU'!B:B,0),4)</f>
        <v>0</v>
      </c>
    </row>
    <row r="1529" spans="1:13">
      <c r="A1529" s="43" t="s">
        <v>1670</v>
      </c>
      <c r="B1529" s="43" t="s">
        <v>146</v>
      </c>
      <c r="C1529" s="43" t="s">
        <v>528</v>
      </c>
      <c r="D1529" s="10">
        <v>12321065</v>
      </c>
      <c r="E1529" s="43" t="s">
        <v>10</v>
      </c>
      <c r="F1529" s="8">
        <f>_xlfn.IFNA(INDEX('OSA | 3GB'!J:L,MATCH(DATA!D1529,'OSA | 3GB'!J:J,0),2),0)</f>
        <v>1</v>
      </c>
      <c r="G1529" s="8">
        <f>_xlfn.IFNA(INDEX('OSA | 3GB'!J:L,MATCH(DATA!D1529,'OSA | 3GB'!J:J,0),3),0)</f>
        <v>150000</v>
      </c>
      <c r="H1529" s="32" t="str">
        <f>_xlfn.IFNA(INDEX('OSA | 3GB'!A:C,MATCH(DATA!D1529,'OSA | 3GB'!A:A,0),2),0)</f>
        <v xml:space="preserve"> -   </v>
      </c>
      <c r="I1529" s="33" t="str">
        <f>_xlfn.IFNA(INDEX('OSA | 3GB'!A:C,MATCH(DATA!D1529,'OSA | 3GB'!A:A,0),3),0)</f>
        <v xml:space="preserve"> -   </v>
      </c>
      <c r="J1529" s="33">
        <f>INDEX('BIO WAHYU'!B:G,MATCH(DATA!D1529,'BIO WAHYU'!B:B,0),5)</f>
        <v>1</v>
      </c>
      <c r="K1529" s="34">
        <f>INDEX('BIO WAHYU'!B:G,MATCH(DATA!D1529,'BIO WAHYU'!B:B,0),6)</f>
        <v>0</v>
      </c>
      <c r="L1529" s="35">
        <f>INDEX('BIO WAHYU'!B:H,MATCH(DATA!D1529,'BIO WAHYU'!B:B,0),7)</f>
        <v>0</v>
      </c>
      <c r="M1529" s="34">
        <f>INDEX('BIO WAHYU'!B:H,MATCH(DATA!D1529,'BIO WAHYU'!B:B,0),4)</f>
        <v>0</v>
      </c>
    </row>
    <row r="1530" spans="1:13">
      <c r="A1530" s="43" t="s">
        <v>1</v>
      </c>
      <c r="B1530" s="43" t="s">
        <v>5</v>
      </c>
      <c r="C1530" s="43" t="s">
        <v>1124</v>
      </c>
      <c r="D1530" s="10">
        <v>12321243</v>
      </c>
      <c r="E1530" s="43" t="s">
        <v>10</v>
      </c>
      <c r="F1530" s="8">
        <f>_xlfn.IFNA(INDEX('OSA | 3GB'!J:L,MATCH(DATA!D1530,'OSA | 3GB'!J:J,0),2),0)</f>
        <v>403</v>
      </c>
      <c r="G1530" s="8">
        <f>_xlfn.IFNA(INDEX('OSA | 3GB'!J:L,MATCH(DATA!D1530,'OSA | 3GB'!J:J,0),3),0)</f>
        <v>44203000</v>
      </c>
      <c r="H1530" s="32">
        <f>_xlfn.IFNA(INDEX('OSA | 3GB'!A:C,MATCH(DATA!D1530,'OSA | 3GB'!A:A,0),2),0)</f>
        <v>300</v>
      </c>
      <c r="I1530" s="33">
        <f>_xlfn.IFNA(INDEX('OSA | 3GB'!A:C,MATCH(DATA!D1530,'OSA | 3GB'!A:A,0),3),0)</f>
        <v>16000000</v>
      </c>
      <c r="J1530" s="33">
        <f>INDEX('BIO WAHYU'!B:G,MATCH(DATA!D1530,'BIO WAHYU'!B:B,0),5)</f>
        <v>114</v>
      </c>
      <c r="K1530" s="34">
        <f>INDEX('BIO WAHYU'!B:G,MATCH(DATA!D1530,'BIO WAHYU'!B:B,0),6)</f>
        <v>121</v>
      </c>
      <c r="L1530" s="35">
        <f>INDEX('BIO WAHYU'!B:H,MATCH(DATA!D1530,'BIO WAHYU'!B:B,0),7)</f>
        <v>7</v>
      </c>
      <c r="M1530" s="34">
        <f>INDEX('BIO WAHYU'!B:H,MATCH(DATA!D1530,'BIO WAHYU'!B:B,0),4)</f>
        <v>0</v>
      </c>
    </row>
    <row r="1531" spans="1:13">
      <c r="A1531" s="43" t="s">
        <v>1674</v>
      </c>
      <c r="B1531" s="43" t="s">
        <v>147</v>
      </c>
      <c r="C1531" s="43" t="s">
        <v>607</v>
      </c>
      <c r="D1531" s="10">
        <v>264920</v>
      </c>
      <c r="E1531" s="43" t="s">
        <v>10</v>
      </c>
      <c r="F1531" s="8">
        <f>_xlfn.IFNA(INDEX('OSA | 3GB'!J:L,MATCH(DATA!D1531,'OSA | 3GB'!J:J,0),2),0)</f>
        <v>37</v>
      </c>
      <c r="G1531" s="8">
        <f>_xlfn.IFNA(INDEX('OSA | 3GB'!J:L,MATCH(DATA!D1531,'OSA | 3GB'!J:J,0),3),0)</f>
        <v>0</v>
      </c>
      <c r="H1531" s="32" t="str">
        <f>_xlfn.IFNA(INDEX('OSA | 3GB'!A:C,MATCH(DATA!D1531,'OSA | 3GB'!A:A,0),2),0)</f>
        <v xml:space="preserve"> -   </v>
      </c>
      <c r="I1531" s="33" t="str">
        <f>_xlfn.IFNA(INDEX('OSA | 3GB'!A:C,MATCH(DATA!D1531,'OSA | 3GB'!A:A,0),3),0)</f>
        <v xml:space="preserve"> -   </v>
      </c>
      <c r="J1531" s="33">
        <f>INDEX('BIO WAHYU'!B:G,MATCH(DATA!D1531,'BIO WAHYU'!B:B,0),5)</f>
        <v>32</v>
      </c>
      <c r="K1531" s="34">
        <f>INDEX('BIO WAHYU'!B:G,MATCH(DATA!D1531,'BIO WAHYU'!B:B,0),6)</f>
        <v>3</v>
      </c>
      <c r="L1531" s="35">
        <f>INDEX('BIO WAHYU'!B:H,MATCH(DATA!D1531,'BIO WAHYU'!B:B,0),7)</f>
        <v>0</v>
      </c>
      <c r="M1531" s="34">
        <f>INDEX('BIO WAHYU'!B:H,MATCH(DATA!D1531,'BIO WAHYU'!B:B,0),4)</f>
        <v>0</v>
      </c>
    </row>
    <row r="1532" spans="1:13">
      <c r="A1532" s="43" t="s">
        <v>1672</v>
      </c>
      <c r="B1532" s="43" t="s">
        <v>151</v>
      </c>
      <c r="C1532" s="43" t="s">
        <v>851</v>
      </c>
      <c r="D1532" s="10">
        <v>12304609</v>
      </c>
      <c r="E1532" s="43" t="s">
        <v>10</v>
      </c>
      <c r="F1532" s="8">
        <f>_xlfn.IFNA(INDEX('OSA | 3GB'!J:L,MATCH(DATA!D1532,'OSA | 3GB'!J:J,0),2),0)</f>
        <v>5</v>
      </c>
      <c r="G1532" s="8">
        <f>_xlfn.IFNA(INDEX('OSA | 3GB'!J:L,MATCH(DATA!D1532,'OSA | 3GB'!J:J,0),3),0)</f>
        <v>1750000</v>
      </c>
      <c r="H1532" s="32">
        <f>_xlfn.IFNA(INDEX('OSA | 3GB'!A:C,MATCH(DATA!D1532,'OSA | 3GB'!A:A,0),2),0)</f>
        <v>2</v>
      </c>
      <c r="I1532" s="33">
        <f>_xlfn.IFNA(INDEX('OSA | 3GB'!A:C,MATCH(DATA!D1532,'OSA | 3GB'!A:A,0),3),0)</f>
        <v>408000</v>
      </c>
      <c r="J1532" s="33">
        <f>INDEX('BIO WAHYU'!B:G,MATCH(DATA!D1532,'BIO WAHYU'!B:B,0),5)</f>
        <v>0</v>
      </c>
      <c r="K1532" s="34">
        <f>INDEX('BIO WAHYU'!B:G,MATCH(DATA!D1532,'BIO WAHYU'!B:B,0),6)</f>
        <v>0</v>
      </c>
      <c r="L1532" s="35">
        <f>INDEX('BIO WAHYU'!B:H,MATCH(DATA!D1532,'BIO WAHYU'!B:B,0),7)</f>
        <v>0</v>
      </c>
      <c r="M1532" s="34">
        <f>INDEX('BIO WAHYU'!B:H,MATCH(DATA!D1532,'BIO WAHYU'!B:B,0),4)</f>
        <v>0</v>
      </c>
    </row>
    <row r="1533" spans="1:13">
      <c r="A1533" s="43" t="s">
        <v>1674</v>
      </c>
      <c r="B1533" s="43" t="s">
        <v>152</v>
      </c>
      <c r="C1533" s="43" t="s">
        <v>1636</v>
      </c>
      <c r="D1533" s="10">
        <v>7483</v>
      </c>
      <c r="E1533" s="43" t="s">
        <v>10</v>
      </c>
      <c r="F1533" s="8">
        <f>_xlfn.IFNA(INDEX('OSA | 3GB'!J:L,MATCH(DATA!D1533,'OSA | 3GB'!J:J,0),2),0)</f>
        <v>10</v>
      </c>
      <c r="G1533" s="8">
        <f>_xlfn.IFNA(INDEX('OSA | 3GB'!J:L,MATCH(DATA!D1533,'OSA | 3GB'!J:J,0),3),0)</f>
        <v>300000</v>
      </c>
      <c r="H1533" s="32" t="str">
        <f>_xlfn.IFNA(INDEX('OSA | 3GB'!A:C,MATCH(DATA!D1533,'OSA | 3GB'!A:A,0),2),0)</f>
        <v xml:space="preserve"> -   </v>
      </c>
      <c r="I1533" s="33" t="str">
        <f>_xlfn.IFNA(INDEX('OSA | 3GB'!A:C,MATCH(DATA!D1533,'OSA | 3GB'!A:A,0),3),0)</f>
        <v xml:space="preserve"> -   </v>
      </c>
      <c r="J1533" s="33">
        <f>INDEX('BIO WAHYU'!B:G,MATCH(DATA!D1533,'BIO WAHYU'!B:B,0),5)</f>
        <v>1</v>
      </c>
      <c r="K1533" s="34">
        <f>INDEX('BIO WAHYU'!B:G,MATCH(DATA!D1533,'BIO WAHYU'!B:B,0),6)</f>
        <v>2</v>
      </c>
      <c r="L1533" s="35">
        <f>INDEX('BIO WAHYU'!B:H,MATCH(DATA!D1533,'BIO WAHYU'!B:B,0),7)</f>
        <v>1</v>
      </c>
      <c r="M1533" s="34">
        <f>INDEX('BIO WAHYU'!B:H,MATCH(DATA!D1533,'BIO WAHYU'!B:B,0),4)</f>
        <v>0</v>
      </c>
    </row>
    <row r="1534" spans="1:13">
      <c r="A1534" s="43" t="s">
        <v>1671</v>
      </c>
      <c r="B1534" s="43">
        <v>2613050886</v>
      </c>
      <c r="C1534" s="43" t="s">
        <v>318</v>
      </c>
      <c r="D1534" s="10">
        <v>12322791</v>
      </c>
      <c r="E1534" s="43" t="s">
        <v>15</v>
      </c>
      <c r="F1534" s="8">
        <f>_xlfn.IFNA(INDEX('OSA | 3GB'!J:L,MATCH(DATA!D1534,'OSA | 3GB'!J:J,0),2),0)</f>
        <v>4</v>
      </c>
      <c r="G1534" s="8">
        <f>_xlfn.IFNA(INDEX('OSA | 3GB'!J:L,MATCH(DATA!D1534,'OSA | 3GB'!J:J,0),3),0)</f>
        <v>1750000</v>
      </c>
      <c r="H1534" s="32" t="str">
        <f>_xlfn.IFNA(INDEX('OSA | 3GB'!A:C,MATCH(DATA!D1534,'OSA | 3GB'!A:A,0),2),0)</f>
        <v xml:space="preserve"> -   </v>
      </c>
      <c r="I1534" s="33">
        <f>_xlfn.IFNA(INDEX('OSA | 3GB'!A:C,MATCH(DATA!D1534,'OSA | 3GB'!A:A,0),3),0)</f>
        <v>1000000</v>
      </c>
      <c r="J1534" s="33">
        <f>INDEX('BIO WAHYU'!B:G,MATCH(DATA!D1534,'BIO WAHYU'!B:B,0),5)</f>
        <v>5</v>
      </c>
      <c r="K1534" s="34">
        <f>INDEX('BIO WAHYU'!B:G,MATCH(DATA!D1534,'BIO WAHYU'!B:B,0),6)</f>
        <v>0</v>
      </c>
      <c r="L1534" s="35">
        <f>INDEX('BIO WAHYU'!B:H,MATCH(DATA!D1534,'BIO WAHYU'!B:B,0),7)</f>
        <v>0</v>
      </c>
      <c r="M1534" s="34">
        <f>INDEX('BIO WAHYU'!B:H,MATCH(DATA!D1534,'BIO WAHYU'!B:B,0),4)</f>
        <v>0</v>
      </c>
    </row>
    <row r="1535" spans="1:13">
      <c r="A1535" s="43" t="s">
        <v>1672</v>
      </c>
      <c r="B1535" s="43" t="s">
        <v>157</v>
      </c>
      <c r="C1535" s="43" t="s">
        <v>1066</v>
      </c>
      <c r="D1535" s="10">
        <v>67030</v>
      </c>
      <c r="E1535" s="43" t="s">
        <v>10</v>
      </c>
      <c r="F1535" s="8">
        <f>_xlfn.IFNA(INDEX('OSA | 3GB'!J:L,MATCH(DATA!D1535,'OSA | 3GB'!J:J,0),2),0)</f>
        <v>50</v>
      </c>
      <c r="G1535" s="8">
        <f>_xlfn.IFNA(INDEX('OSA | 3GB'!J:L,MATCH(DATA!D1535,'OSA | 3GB'!J:J,0),3),0)</f>
        <v>558000</v>
      </c>
      <c r="H1535" s="32">
        <f>_xlfn.IFNA(INDEX('OSA | 3GB'!A:C,MATCH(DATA!D1535,'OSA | 3GB'!A:A,0),2),0)</f>
        <v>8</v>
      </c>
      <c r="I1535" s="33">
        <f>_xlfn.IFNA(INDEX('OSA | 3GB'!A:C,MATCH(DATA!D1535,'OSA | 3GB'!A:A,0),3),0)</f>
        <v>116000</v>
      </c>
      <c r="J1535" s="33">
        <f>INDEX('BIO WAHYU'!B:G,MATCH(DATA!D1535,'BIO WAHYU'!B:B,0),5)</f>
        <v>10</v>
      </c>
      <c r="K1535" s="34">
        <f>INDEX('BIO WAHYU'!B:G,MATCH(DATA!D1535,'BIO WAHYU'!B:B,0),6)</f>
        <v>4</v>
      </c>
      <c r="L1535" s="35">
        <f>INDEX('BIO WAHYU'!B:H,MATCH(DATA!D1535,'BIO WAHYU'!B:B,0),7)</f>
        <v>0</v>
      </c>
      <c r="M1535" s="34">
        <f>INDEX('BIO WAHYU'!B:H,MATCH(DATA!D1535,'BIO WAHYU'!B:B,0),4)</f>
        <v>0</v>
      </c>
    </row>
    <row r="1536" spans="1:13">
      <c r="A1536" s="43" t="s">
        <v>1</v>
      </c>
      <c r="B1536" s="43" t="s">
        <v>5</v>
      </c>
      <c r="C1536" s="43" t="s">
        <v>107</v>
      </c>
      <c r="D1536" s="10">
        <v>543826</v>
      </c>
      <c r="E1536" s="43" t="s">
        <v>10</v>
      </c>
      <c r="F1536" s="8">
        <f>_xlfn.IFNA(INDEX('OSA | 3GB'!J:L,MATCH(DATA!D1536,'OSA | 3GB'!J:J,0),2),0)</f>
        <v>69</v>
      </c>
      <c r="G1536" s="8">
        <f>_xlfn.IFNA(INDEX('OSA | 3GB'!J:L,MATCH(DATA!D1536,'OSA | 3GB'!J:J,0),3),0)</f>
        <v>45174000</v>
      </c>
      <c r="H1536" s="32">
        <f>_xlfn.IFNA(INDEX('OSA | 3GB'!A:C,MATCH(DATA!D1536,'OSA | 3GB'!A:A,0),2),0)</f>
        <v>4</v>
      </c>
      <c r="I1536" s="33">
        <f>_xlfn.IFNA(INDEX('OSA | 3GB'!A:C,MATCH(DATA!D1536,'OSA | 3GB'!A:A,0),3),0)</f>
        <v>16000000</v>
      </c>
      <c r="J1536" s="33">
        <f>INDEX('BIO WAHYU'!B:G,MATCH(DATA!D1536,'BIO WAHYU'!B:B,0),5)</f>
        <v>26</v>
      </c>
      <c r="K1536" s="34">
        <f>INDEX('BIO WAHYU'!B:G,MATCH(DATA!D1536,'BIO WAHYU'!B:B,0),6)</f>
        <v>2</v>
      </c>
      <c r="L1536" s="35">
        <f>INDEX('BIO WAHYU'!B:H,MATCH(DATA!D1536,'BIO WAHYU'!B:B,0),7)</f>
        <v>0</v>
      </c>
      <c r="M1536" s="34">
        <f>INDEX('BIO WAHYU'!B:H,MATCH(DATA!D1536,'BIO WAHYU'!B:B,0),4)</f>
        <v>1</v>
      </c>
    </row>
    <row r="1537" spans="1:13">
      <c r="A1537" s="43" t="s">
        <v>1670</v>
      </c>
      <c r="B1537" s="43">
        <v>2613052584</v>
      </c>
      <c r="C1537" s="43" t="s">
        <v>1637</v>
      </c>
      <c r="D1537" s="10">
        <v>312343</v>
      </c>
      <c r="E1537" s="43" t="s">
        <v>10</v>
      </c>
      <c r="F1537" s="8">
        <f>_xlfn.IFNA(INDEX('OSA | 3GB'!J:L,MATCH(DATA!D1537,'OSA | 3GB'!J:J,0),2),0)</f>
        <v>3</v>
      </c>
      <c r="G1537" s="8">
        <f>_xlfn.IFNA(INDEX('OSA | 3GB'!J:L,MATCH(DATA!D1537,'OSA | 3GB'!J:J,0),3),0)</f>
        <v>0</v>
      </c>
      <c r="H1537" s="32" t="str">
        <f>_xlfn.IFNA(INDEX('OSA | 3GB'!A:C,MATCH(DATA!D1537,'OSA | 3GB'!A:A,0),2),0)</f>
        <v xml:space="preserve"> -   </v>
      </c>
      <c r="I1537" s="33">
        <f>_xlfn.IFNA(INDEX('OSA | 3GB'!A:C,MATCH(DATA!D1537,'OSA | 3GB'!A:A,0),3),0)</f>
        <v>100000</v>
      </c>
      <c r="J1537" s="33">
        <f>INDEX('BIO WAHYU'!B:G,MATCH(DATA!D1537,'BIO WAHYU'!B:B,0),5)</f>
        <v>0</v>
      </c>
      <c r="K1537" s="34">
        <f>INDEX('BIO WAHYU'!B:G,MATCH(DATA!D1537,'BIO WAHYU'!B:B,0),6)</f>
        <v>0</v>
      </c>
      <c r="L1537" s="35">
        <f>INDEX('BIO WAHYU'!B:H,MATCH(DATA!D1537,'BIO WAHYU'!B:B,0),7)</f>
        <v>0</v>
      </c>
      <c r="M1537" s="34">
        <f>INDEX('BIO WAHYU'!B:H,MATCH(DATA!D1537,'BIO WAHYU'!B:B,0),4)</f>
        <v>0</v>
      </c>
    </row>
    <row r="1538" spans="1:13">
      <c r="A1538" s="43" t="s">
        <v>1671</v>
      </c>
      <c r="B1538" s="43">
        <v>2613050885</v>
      </c>
      <c r="C1538" s="43" t="s">
        <v>1638</v>
      </c>
      <c r="D1538" s="10">
        <v>286503</v>
      </c>
      <c r="E1538" s="43" t="s">
        <v>15</v>
      </c>
      <c r="F1538" s="8">
        <f>_xlfn.IFNA(INDEX('OSA | 3GB'!J:L,MATCH(DATA!D1538,'OSA | 3GB'!J:J,0),2),0)</f>
        <v>3</v>
      </c>
      <c r="G1538" s="8">
        <f>_xlfn.IFNA(INDEX('OSA | 3GB'!J:L,MATCH(DATA!D1538,'OSA | 3GB'!J:J,0),3),0)</f>
        <v>8562500</v>
      </c>
      <c r="H1538" s="32">
        <f>_xlfn.IFNA(INDEX('OSA | 3GB'!A:C,MATCH(DATA!D1538,'OSA | 3GB'!A:A,0),2),0)</f>
        <v>3</v>
      </c>
      <c r="I1538" s="33">
        <f>_xlfn.IFNA(INDEX('OSA | 3GB'!A:C,MATCH(DATA!D1538,'OSA | 3GB'!A:A,0),3),0)</f>
        <v>1805000</v>
      </c>
      <c r="J1538" s="33">
        <f>INDEX('BIO WAHYU'!B:G,MATCH(DATA!D1538,'BIO WAHYU'!B:B,0),5)</f>
        <v>0</v>
      </c>
      <c r="K1538" s="34">
        <f>INDEX('BIO WAHYU'!B:G,MATCH(DATA!D1538,'BIO WAHYU'!B:B,0),6)</f>
        <v>4</v>
      </c>
      <c r="L1538" s="35">
        <f>INDEX('BIO WAHYU'!B:H,MATCH(DATA!D1538,'BIO WAHYU'!B:B,0),7)</f>
        <v>4</v>
      </c>
      <c r="M1538" s="34">
        <f>INDEX('BIO WAHYU'!B:H,MATCH(DATA!D1538,'BIO WAHYU'!B:B,0),4)</f>
        <v>0</v>
      </c>
    </row>
    <row r="1539" spans="1:13">
      <c r="A1539" s="43" t="s">
        <v>1674</v>
      </c>
      <c r="B1539" s="43" t="s">
        <v>147</v>
      </c>
      <c r="C1539" s="43" t="s">
        <v>1407</v>
      </c>
      <c r="D1539" s="10">
        <v>211751</v>
      </c>
      <c r="E1539" s="43" t="s">
        <v>10</v>
      </c>
      <c r="F1539" s="8">
        <f>_xlfn.IFNA(INDEX('OSA | 3GB'!J:L,MATCH(DATA!D1539,'OSA | 3GB'!J:J,0),2),0)</f>
        <v>0</v>
      </c>
      <c r="G1539" s="8">
        <f>_xlfn.IFNA(INDEX('OSA | 3GB'!J:L,MATCH(DATA!D1539,'OSA | 3GB'!J:J,0),3),0)</f>
        <v>450000</v>
      </c>
      <c r="H1539" s="32" t="str">
        <f>_xlfn.IFNA(INDEX('OSA | 3GB'!A:C,MATCH(DATA!D1539,'OSA | 3GB'!A:A,0),2),0)</f>
        <v xml:space="preserve"> -   </v>
      </c>
      <c r="I1539" s="33" t="str">
        <f>_xlfn.IFNA(INDEX('OSA | 3GB'!A:C,MATCH(DATA!D1539,'OSA | 3GB'!A:A,0),3),0)</f>
        <v xml:space="preserve"> -   </v>
      </c>
      <c r="J1539" s="33">
        <f>INDEX('BIO WAHYU'!B:G,MATCH(DATA!D1539,'BIO WAHYU'!B:B,0),5)</f>
        <v>6</v>
      </c>
      <c r="K1539" s="34">
        <f>INDEX('BIO WAHYU'!B:G,MATCH(DATA!D1539,'BIO WAHYU'!B:B,0),6)</f>
        <v>0</v>
      </c>
      <c r="L1539" s="35">
        <f>INDEX('BIO WAHYU'!B:H,MATCH(DATA!D1539,'BIO WAHYU'!B:B,0),7)</f>
        <v>0</v>
      </c>
      <c r="M1539" s="34">
        <f>INDEX('BIO WAHYU'!B:H,MATCH(DATA!D1539,'BIO WAHYU'!B:B,0),4)</f>
        <v>0</v>
      </c>
    </row>
    <row r="1540" spans="1:13">
      <c r="A1540" s="43" t="s">
        <v>1675</v>
      </c>
      <c r="B1540" s="43">
        <v>2613051451</v>
      </c>
      <c r="C1540" s="43" t="s">
        <v>385</v>
      </c>
      <c r="D1540" s="10">
        <v>188500</v>
      </c>
      <c r="E1540" s="43" t="s">
        <v>10</v>
      </c>
      <c r="F1540" s="8">
        <f>_xlfn.IFNA(INDEX('OSA | 3GB'!J:L,MATCH(DATA!D1540,'OSA | 3GB'!J:J,0),2),0)</f>
        <v>3</v>
      </c>
      <c r="G1540" s="8">
        <f>_xlfn.IFNA(INDEX('OSA | 3GB'!J:L,MATCH(DATA!D1540,'OSA | 3GB'!J:J,0),3),0)</f>
        <v>250000</v>
      </c>
      <c r="H1540" s="32" t="str">
        <f>_xlfn.IFNA(INDEX('OSA | 3GB'!A:C,MATCH(DATA!D1540,'OSA | 3GB'!A:A,0),2),0)</f>
        <v xml:space="preserve"> -   </v>
      </c>
      <c r="I1540" s="33" t="str">
        <f>_xlfn.IFNA(INDEX('OSA | 3GB'!A:C,MATCH(DATA!D1540,'OSA | 3GB'!A:A,0),3),0)</f>
        <v xml:space="preserve"> -   </v>
      </c>
      <c r="J1540" s="33">
        <f>INDEX('BIO WAHYU'!B:G,MATCH(DATA!D1540,'BIO WAHYU'!B:B,0),5)</f>
        <v>3</v>
      </c>
      <c r="K1540" s="34">
        <f>INDEX('BIO WAHYU'!B:G,MATCH(DATA!D1540,'BIO WAHYU'!B:B,0),6)</f>
        <v>0</v>
      </c>
      <c r="L1540" s="35">
        <f>INDEX('BIO WAHYU'!B:H,MATCH(DATA!D1540,'BIO WAHYU'!B:B,0),7)</f>
        <v>0</v>
      </c>
      <c r="M1540" s="34">
        <f>INDEX('BIO WAHYU'!B:H,MATCH(DATA!D1540,'BIO WAHYU'!B:B,0),4)</f>
        <v>0</v>
      </c>
    </row>
    <row r="1541" spans="1:13">
      <c r="A1541" s="43" t="s">
        <v>1672</v>
      </c>
      <c r="B1541" s="43" t="s">
        <v>155</v>
      </c>
      <c r="C1541" s="43" t="s">
        <v>166</v>
      </c>
      <c r="D1541" s="10">
        <v>260562</v>
      </c>
      <c r="E1541" s="43" t="s">
        <v>10</v>
      </c>
      <c r="F1541" s="8">
        <f>_xlfn.IFNA(INDEX('OSA | 3GB'!J:L,MATCH(DATA!D1541,'OSA | 3GB'!J:J,0),2),0)</f>
        <v>4</v>
      </c>
      <c r="G1541" s="8">
        <f>_xlfn.IFNA(INDEX('OSA | 3GB'!J:L,MATCH(DATA!D1541,'OSA | 3GB'!J:J,0),3),0)</f>
        <v>600000</v>
      </c>
      <c r="H1541" s="32">
        <f>_xlfn.IFNA(INDEX('OSA | 3GB'!A:C,MATCH(DATA!D1541,'OSA | 3GB'!A:A,0),2),0)</f>
        <v>3</v>
      </c>
      <c r="I1541" s="33">
        <f>_xlfn.IFNA(INDEX('OSA | 3GB'!A:C,MATCH(DATA!D1541,'OSA | 3GB'!A:A,0),3),0)</f>
        <v>500000</v>
      </c>
      <c r="J1541" s="33">
        <f>INDEX('BIO WAHYU'!B:G,MATCH(DATA!D1541,'BIO WAHYU'!B:B,0),5)</f>
        <v>1</v>
      </c>
      <c r="K1541" s="34">
        <f>INDEX('BIO WAHYU'!B:G,MATCH(DATA!D1541,'BIO WAHYU'!B:B,0),6)</f>
        <v>3</v>
      </c>
      <c r="L1541" s="35">
        <f>INDEX('BIO WAHYU'!B:H,MATCH(DATA!D1541,'BIO WAHYU'!B:B,0),7)</f>
        <v>2</v>
      </c>
      <c r="M1541" s="34">
        <f>INDEX('BIO WAHYU'!B:H,MATCH(DATA!D1541,'BIO WAHYU'!B:B,0),4)</f>
        <v>0</v>
      </c>
    </row>
    <row r="1542" spans="1:13">
      <c r="A1542" s="43" t="s">
        <v>1672</v>
      </c>
      <c r="B1542" s="43" t="s">
        <v>157</v>
      </c>
      <c r="C1542" s="43" t="s">
        <v>1054</v>
      </c>
      <c r="D1542" s="10">
        <v>532883</v>
      </c>
      <c r="E1542" s="43" t="s">
        <v>10</v>
      </c>
      <c r="F1542" s="8">
        <f>_xlfn.IFNA(INDEX('OSA | 3GB'!J:L,MATCH(DATA!D1542,'OSA | 3GB'!J:J,0),2),0)</f>
        <v>13</v>
      </c>
      <c r="G1542" s="8">
        <f>_xlfn.IFNA(INDEX('OSA | 3GB'!J:L,MATCH(DATA!D1542,'OSA | 3GB'!J:J,0),3),0)</f>
        <v>1429000</v>
      </c>
      <c r="H1542" s="32" t="str">
        <f>_xlfn.IFNA(INDEX('OSA | 3GB'!A:C,MATCH(DATA!D1542,'OSA | 3GB'!A:A,0),2),0)</f>
        <v xml:space="preserve"> -   </v>
      </c>
      <c r="I1542" s="33">
        <f>_xlfn.IFNA(INDEX('OSA | 3GB'!A:C,MATCH(DATA!D1542,'OSA | 3GB'!A:A,0),3),0)</f>
        <v>450000</v>
      </c>
      <c r="J1542" s="33">
        <f>INDEX('BIO WAHYU'!B:G,MATCH(DATA!D1542,'BIO WAHYU'!B:B,0),5)</f>
        <v>12</v>
      </c>
      <c r="K1542" s="34">
        <f>INDEX('BIO WAHYU'!B:G,MATCH(DATA!D1542,'BIO WAHYU'!B:B,0),6)</f>
        <v>0</v>
      </c>
      <c r="L1542" s="35">
        <f>INDEX('BIO WAHYU'!B:H,MATCH(DATA!D1542,'BIO WAHYU'!B:B,0),7)</f>
        <v>0</v>
      </c>
      <c r="M1542" s="34">
        <f>INDEX('BIO WAHYU'!B:H,MATCH(DATA!D1542,'BIO WAHYU'!B:B,0),4)</f>
        <v>0</v>
      </c>
    </row>
    <row r="1543" spans="1:13">
      <c r="A1543" s="43" t="s">
        <v>1672</v>
      </c>
      <c r="B1543" s="43" t="s">
        <v>150</v>
      </c>
      <c r="C1543" s="43" t="s">
        <v>839</v>
      </c>
      <c r="D1543" s="10">
        <v>61881</v>
      </c>
      <c r="E1543" s="43" t="s">
        <v>10</v>
      </c>
      <c r="F1543" s="8">
        <f>_xlfn.IFNA(INDEX('OSA | 3GB'!J:L,MATCH(DATA!D1543,'OSA | 3GB'!J:J,0),2),0)</f>
        <v>24</v>
      </c>
      <c r="G1543" s="8">
        <f>_xlfn.IFNA(INDEX('OSA | 3GB'!J:L,MATCH(DATA!D1543,'OSA | 3GB'!J:J,0),3),0)</f>
        <v>18534467</v>
      </c>
      <c r="H1543" s="32" t="str">
        <f>_xlfn.IFNA(INDEX('OSA | 3GB'!A:C,MATCH(DATA!D1543,'OSA | 3GB'!A:A,0),2),0)</f>
        <v xml:space="preserve"> -   </v>
      </c>
      <c r="I1543" s="33">
        <f>_xlfn.IFNA(INDEX('OSA | 3GB'!A:C,MATCH(DATA!D1543,'OSA | 3GB'!A:A,0),3),0)</f>
        <v>5176501</v>
      </c>
      <c r="J1543" s="33">
        <f>INDEX('BIO WAHYU'!B:G,MATCH(DATA!D1543,'BIO WAHYU'!B:B,0),5)</f>
        <v>9</v>
      </c>
      <c r="K1543" s="34">
        <f>INDEX('BIO WAHYU'!B:G,MATCH(DATA!D1543,'BIO WAHYU'!B:B,0),6)</f>
        <v>7</v>
      </c>
      <c r="L1543" s="35">
        <f>INDEX('BIO WAHYU'!B:H,MATCH(DATA!D1543,'BIO WAHYU'!B:B,0),7)</f>
        <v>0</v>
      </c>
      <c r="M1543" s="34">
        <f>INDEX('BIO WAHYU'!B:H,MATCH(DATA!D1543,'BIO WAHYU'!B:B,0),4)</f>
        <v>0</v>
      </c>
    </row>
    <row r="1544" spans="1:13">
      <c r="A1544" s="43" t="s">
        <v>1672</v>
      </c>
      <c r="B1544" s="43" t="s">
        <v>156</v>
      </c>
      <c r="C1544" s="43" t="s">
        <v>1639</v>
      </c>
      <c r="D1544" s="10">
        <v>126737</v>
      </c>
      <c r="E1544" s="43" t="s">
        <v>10</v>
      </c>
      <c r="F1544" s="8">
        <f>_xlfn.IFNA(INDEX('OSA | 3GB'!J:L,MATCH(DATA!D1544,'OSA | 3GB'!J:J,0),2),0)</f>
        <v>0</v>
      </c>
      <c r="G1544" s="8">
        <f>_xlfn.IFNA(INDEX('OSA | 3GB'!J:L,MATCH(DATA!D1544,'OSA | 3GB'!J:J,0),3),0)</f>
        <v>3800000</v>
      </c>
      <c r="H1544" s="32" t="str">
        <f>_xlfn.IFNA(INDEX('OSA | 3GB'!A:C,MATCH(DATA!D1544,'OSA | 3GB'!A:A,0),2),0)</f>
        <v xml:space="preserve"> -   </v>
      </c>
      <c r="I1544" s="33">
        <f>_xlfn.IFNA(INDEX('OSA | 3GB'!A:C,MATCH(DATA!D1544,'OSA | 3GB'!A:A,0),3),0)</f>
        <v>2000000</v>
      </c>
      <c r="J1544" s="33">
        <f>INDEX('BIO WAHYU'!B:G,MATCH(DATA!D1544,'BIO WAHYU'!B:B,0),5)</f>
        <v>0</v>
      </c>
      <c r="K1544" s="34">
        <f>INDEX('BIO WAHYU'!B:G,MATCH(DATA!D1544,'BIO WAHYU'!B:B,0),6)</f>
        <v>0</v>
      </c>
      <c r="L1544" s="35">
        <f>INDEX('BIO WAHYU'!B:H,MATCH(DATA!D1544,'BIO WAHYU'!B:B,0),7)</f>
        <v>0</v>
      </c>
      <c r="M1544" s="34">
        <f>INDEX('BIO WAHYU'!B:H,MATCH(DATA!D1544,'BIO WAHYU'!B:B,0),4)</f>
        <v>1</v>
      </c>
    </row>
    <row r="1545" spans="1:13">
      <c r="A1545" s="43" t="s">
        <v>1</v>
      </c>
      <c r="B1545" s="43" t="s">
        <v>4</v>
      </c>
      <c r="C1545" s="43" t="s">
        <v>1125</v>
      </c>
      <c r="D1545" s="10">
        <v>61690</v>
      </c>
      <c r="E1545" s="43" t="s">
        <v>23</v>
      </c>
      <c r="F1545" s="8">
        <f>_xlfn.IFNA(INDEX('OSA | 3GB'!J:L,MATCH(DATA!D1545,'OSA | 3GB'!J:J,0),2),0)</f>
        <v>4</v>
      </c>
      <c r="G1545" s="8">
        <f>_xlfn.IFNA(INDEX('OSA | 3GB'!J:L,MATCH(DATA!D1545,'OSA | 3GB'!J:J,0),3),0)</f>
        <v>15000000</v>
      </c>
      <c r="H1545" s="32">
        <f>_xlfn.IFNA(INDEX('OSA | 3GB'!A:C,MATCH(DATA!D1545,'OSA | 3GB'!A:A,0),2),0)</f>
        <v>3</v>
      </c>
      <c r="I1545" s="33">
        <f>_xlfn.IFNA(INDEX('OSA | 3GB'!A:C,MATCH(DATA!D1545,'OSA | 3GB'!A:A,0),3),0)</f>
        <v>9000000</v>
      </c>
      <c r="J1545" s="33">
        <f>INDEX('BIO WAHYU'!B:G,MATCH(DATA!D1545,'BIO WAHYU'!B:B,0),5)</f>
        <v>4</v>
      </c>
      <c r="K1545" s="34">
        <f>INDEX('BIO WAHYU'!B:G,MATCH(DATA!D1545,'BIO WAHYU'!B:B,0),6)</f>
        <v>3</v>
      </c>
      <c r="L1545" s="35">
        <f>INDEX('BIO WAHYU'!B:H,MATCH(DATA!D1545,'BIO WAHYU'!B:B,0),7)</f>
        <v>0</v>
      </c>
      <c r="M1545" s="34">
        <f>INDEX('BIO WAHYU'!B:H,MATCH(DATA!D1545,'BIO WAHYU'!B:B,0),4)</f>
        <v>0</v>
      </c>
    </row>
    <row r="1546" spans="1:13">
      <c r="A1546" s="43" t="s">
        <v>1674</v>
      </c>
      <c r="B1546" s="43" t="s">
        <v>153</v>
      </c>
      <c r="C1546" s="43" t="s">
        <v>715</v>
      </c>
      <c r="D1546" s="10">
        <v>219074</v>
      </c>
      <c r="E1546" s="43" t="s">
        <v>10</v>
      </c>
      <c r="F1546" s="8">
        <f>_xlfn.IFNA(INDEX('OSA | 3GB'!J:L,MATCH(DATA!D1546,'OSA | 3GB'!J:J,0),2),0)</f>
        <v>14</v>
      </c>
      <c r="G1546" s="8">
        <f>_xlfn.IFNA(INDEX('OSA | 3GB'!J:L,MATCH(DATA!D1546,'OSA | 3GB'!J:J,0),3),0)</f>
        <v>6858000</v>
      </c>
      <c r="H1546" s="32" t="str">
        <f>_xlfn.IFNA(INDEX('OSA | 3GB'!A:C,MATCH(DATA!D1546,'OSA | 3GB'!A:A,0),2),0)</f>
        <v xml:space="preserve"> -   </v>
      </c>
      <c r="I1546" s="33">
        <f>_xlfn.IFNA(INDEX('OSA | 3GB'!A:C,MATCH(DATA!D1546,'OSA | 3GB'!A:A,0),3),0)</f>
        <v>1850000</v>
      </c>
      <c r="J1546" s="33">
        <f>INDEX('BIO WAHYU'!B:G,MATCH(DATA!D1546,'BIO WAHYU'!B:B,0),5)</f>
        <v>16</v>
      </c>
      <c r="K1546" s="34">
        <f>INDEX('BIO WAHYU'!B:G,MATCH(DATA!D1546,'BIO WAHYU'!B:B,0),6)</f>
        <v>3</v>
      </c>
      <c r="L1546" s="35">
        <f>INDEX('BIO WAHYU'!B:H,MATCH(DATA!D1546,'BIO WAHYU'!B:B,0),7)</f>
        <v>0</v>
      </c>
      <c r="M1546" s="34">
        <f>INDEX('BIO WAHYU'!B:H,MATCH(DATA!D1546,'BIO WAHYU'!B:B,0),4)</f>
        <v>0</v>
      </c>
    </row>
    <row r="1547" spans="1:13">
      <c r="A1547" s="43" t="s">
        <v>1670</v>
      </c>
      <c r="B1547" s="43" t="s">
        <v>140</v>
      </c>
      <c r="C1547" s="43" t="s">
        <v>460</v>
      </c>
      <c r="D1547" s="10">
        <v>13554</v>
      </c>
      <c r="E1547" s="43" t="s">
        <v>10</v>
      </c>
      <c r="F1547" s="8">
        <f>_xlfn.IFNA(INDEX('OSA | 3GB'!J:L,MATCH(DATA!D1547,'OSA | 3GB'!J:J,0),2),0)</f>
        <v>4</v>
      </c>
      <c r="G1547" s="8">
        <f>_xlfn.IFNA(INDEX('OSA | 3GB'!J:L,MATCH(DATA!D1547,'OSA | 3GB'!J:J,0),3),0)</f>
        <v>1049000</v>
      </c>
      <c r="H1547" s="32" t="str">
        <f>_xlfn.IFNA(INDEX('OSA | 3GB'!A:C,MATCH(DATA!D1547,'OSA | 3GB'!A:A,0),2),0)</f>
        <v xml:space="preserve"> -   </v>
      </c>
      <c r="I1547" s="33">
        <f>_xlfn.IFNA(INDEX('OSA | 3GB'!A:C,MATCH(DATA!D1547,'OSA | 3GB'!A:A,0),3),0)</f>
        <v>300000</v>
      </c>
      <c r="J1547" s="33">
        <f>INDEX('BIO WAHYU'!B:G,MATCH(DATA!D1547,'BIO WAHYU'!B:B,0),5)</f>
        <v>3</v>
      </c>
      <c r="K1547" s="34">
        <f>INDEX('BIO WAHYU'!B:G,MATCH(DATA!D1547,'BIO WAHYU'!B:B,0),6)</f>
        <v>1</v>
      </c>
      <c r="L1547" s="35">
        <f>INDEX('BIO WAHYU'!B:H,MATCH(DATA!D1547,'BIO WAHYU'!B:B,0),7)</f>
        <v>0</v>
      </c>
      <c r="M1547" s="34">
        <f>INDEX('BIO WAHYU'!B:H,MATCH(DATA!D1547,'BIO WAHYU'!B:B,0),4)</f>
        <v>0</v>
      </c>
    </row>
    <row r="1548" spans="1:13">
      <c r="A1548" s="43" t="s">
        <v>1674</v>
      </c>
      <c r="B1548" s="43" t="s">
        <v>147</v>
      </c>
      <c r="C1548" s="43" t="s">
        <v>591</v>
      </c>
      <c r="D1548" s="10">
        <v>12304744</v>
      </c>
      <c r="E1548" s="43" t="s">
        <v>10</v>
      </c>
      <c r="F1548" s="8">
        <f>_xlfn.IFNA(INDEX('OSA | 3GB'!J:L,MATCH(DATA!D1548,'OSA | 3GB'!J:J,0),2),0)</f>
        <v>1</v>
      </c>
      <c r="G1548" s="8">
        <f>_xlfn.IFNA(INDEX('OSA | 3GB'!J:L,MATCH(DATA!D1548,'OSA | 3GB'!J:J,0),3),0)</f>
        <v>300000</v>
      </c>
      <c r="H1548" s="32" t="str">
        <f>_xlfn.IFNA(INDEX('OSA | 3GB'!A:C,MATCH(DATA!D1548,'OSA | 3GB'!A:A,0),2),0)</f>
        <v xml:space="preserve"> -   </v>
      </c>
      <c r="I1548" s="33">
        <f>_xlfn.IFNA(INDEX('OSA | 3GB'!A:C,MATCH(DATA!D1548,'OSA | 3GB'!A:A,0),3),0)</f>
        <v>300000</v>
      </c>
      <c r="J1548" s="33">
        <f>INDEX('BIO WAHYU'!B:G,MATCH(DATA!D1548,'BIO WAHYU'!B:B,0),5)</f>
        <v>1</v>
      </c>
      <c r="K1548" s="34">
        <f>INDEX('BIO WAHYU'!B:G,MATCH(DATA!D1548,'BIO WAHYU'!B:B,0),6)</f>
        <v>0</v>
      </c>
      <c r="L1548" s="35">
        <f>INDEX('BIO WAHYU'!B:H,MATCH(DATA!D1548,'BIO WAHYU'!B:B,0),7)</f>
        <v>0</v>
      </c>
      <c r="M1548" s="34">
        <f>INDEX('BIO WAHYU'!B:H,MATCH(DATA!D1548,'BIO WAHYU'!B:B,0),4)</f>
        <v>0</v>
      </c>
    </row>
    <row r="1549" spans="1:13">
      <c r="A1549" s="43" t="s">
        <v>1</v>
      </c>
      <c r="B1549" s="43" t="s">
        <v>5</v>
      </c>
      <c r="C1549" s="43" t="s">
        <v>76</v>
      </c>
      <c r="D1549" s="10">
        <v>12295980</v>
      </c>
      <c r="E1549" s="43" t="s">
        <v>15</v>
      </c>
      <c r="F1549" s="8">
        <f>_xlfn.IFNA(INDEX('OSA | 3GB'!J:L,MATCH(DATA!D1549,'OSA | 3GB'!J:J,0),2),0)</f>
        <v>8</v>
      </c>
      <c r="G1549" s="8">
        <f>_xlfn.IFNA(INDEX('OSA | 3GB'!J:L,MATCH(DATA!D1549,'OSA | 3GB'!J:J,0),3),0)</f>
        <v>0</v>
      </c>
      <c r="H1549" s="32">
        <f>_xlfn.IFNA(INDEX('OSA | 3GB'!A:C,MATCH(DATA!D1549,'OSA | 3GB'!A:A,0),2),0)</f>
        <v>5</v>
      </c>
      <c r="I1549" s="33" t="str">
        <f>_xlfn.IFNA(INDEX('OSA | 3GB'!A:C,MATCH(DATA!D1549,'OSA | 3GB'!A:A,0),3),0)</f>
        <v xml:space="preserve"> -   </v>
      </c>
      <c r="J1549" s="33">
        <f>INDEX('BIO WAHYU'!B:G,MATCH(DATA!D1549,'BIO WAHYU'!B:B,0),5)</f>
        <v>3</v>
      </c>
      <c r="K1549" s="34">
        <f>INDEX('BIO WAHYU'!B:G,MATCH(DATA!D1549,'BIO WAHYU'!B:B,0),6)</f>
        <v>2</v>
      </c>
      <c r="L1549" s="35">
        <f>INDEX('BIO WAHYU'!B:H,MATCH(DATA!D1549,'BIO WAHYU'!B:B,0),7)</f>
        <v>0</v>
      </c>
      <c r="M1549" s="34">
        <f>INDEX('BIO WAHYU'!B:H,MATCH(DATA!D1549,'BIO WAHYU'!B:B,0),4)</f>
        <v>0</v>
      </c>
    </row>
    <row r="1550" spans="1:13">
      <c r="A1550" s="43" t="s">
        <v>1671</v>
      </c>
      <c r="B1550" s="43">
        <v>2613050886</v>
      </c>
      <c r="C1550" s="43" t="s">
        <v>1640</v>
      </c>
      <c r="D1550" s="10">
        <v>458989</v>
      </c>
      <c r="E1550" s="43" t="s">
        <v>10</v>
      </c>
      <c r="F1550" s="8">
        <f>_xlfn.IFNA(INDEX('OSA | 3GB'!J:L,MATCH(DATA!D1550,'OSA | 3GB'!J:J,0),2),0)</f>
        <v>0</v>
      </c>
      <c r="G1550" s="8">
        <f>_xlfn.IFNA(INDEX('OSA | 3GB'!J:L,MATCH(DATA!D1550,'OSA | 3GB'!J:J,0),3),0)</f>
        <v>24500000</v>
      </c>
      <c r="H1550" s="32" t="str">
        <f>_xlfn.IFNA(INDEX('OSA | 3GB'!A:C,MATCH(DATA!D1550,'OSA | 3GB'!A:A,0),2),0)</f>
        <v xml:space="preserve"> -   </v>
      </c>
      <c r="I1550" s="33">
        <f>_xlfn.IFNA(INDEX('OSA | 3GB'!A:C,MATCH(DATA!D1550,'OSA | 3GB'!A:A,0),3),0)</f>
        <v>19000000</v>
      </c>
      <c r="J1550" s="33">
        <f>INDEX('BIO WAHYU'!B:G,MATCH(DATA!D1550,'BIO WAHYU'!B:B,0),5)</f>
        <v>13</v>
      </c>
      <c r="K1550" s="34">
        <f>INDEX('BIO WAHYU'!B:G,MATCH(DATA!D1550,'BIO WAHYU'!B:B,0),6)</f>
        <v>9</v>
      </c>
      <c r="L1550" s="35">
        <f>INDEX('BIO WAHYU'!B:H,MATCH(DATA!D1550,'BIO WAHYU'!B:B,0),7)</f>
        <v>0</v>
      </c>
      <c r="M1550" s="34">
        <f>INDEX('BIO WAHYU'!B:H,MATCH(DATA!D1550,'BIO WAHYU'!B:B,0),4)</f>
        <v>0</v>
      </c>
    </row>
    <row r="1551" spans="1:13">
      <c r="A1551" s="43" t="s">
        <v>1674</v>
      </c>
      <c r="B1551" s="43" t="s">
        <v>152</v>
      </c>
      <c r="C1551" s="43" t="s">
        <v>651</v>
      </c>
      <c r="D1551" s="10">
        <v>12303501</v>
      </c>
      <c r="E1551" s="43" t="s">
        <v>10</v>
      </c>
      <c r="F1551" s="8">
        <f>_xlfn.IFNA(INDEX('OSA | 3GB'!J:L,MATCH(DATA!D1551,'OSA | 3GB'!J:J,0),2),0)</f>
        <v>0</v>
      </c>
      <c r="G1551" s="8">
        <f>_xlfn.IFNA(INDEX('OSA | 3GB'!J:L,MATCH(DATA!D1551,'OSA | 3GB'!J:J,0),3),0)</f>
        <v>51000000</v>
      </c>
      <c r="H1551" s="32" t="str">
        <f>_xlfn.IFNA(INDEX('OSA | 3GB'!A:C,MATCH(DATA!D1551,'OSA | 3GB'!A:A,0),2),0)</f>
        <v xml:space="preserve"> -   </v>
      </c>
      <c r="I1551" s="33">
        <f>_xlfn.IFNA(INDEX('OSA | 3GB'!A:C,MATCH(DATA!D1551,'OSA | 3GB'!A:A,0),3),0)</f>
        <v>35000000</v>
      </c>
      <c r="J1551" s="33">
        <f>INDEX('BIO WAHYU'!B:G,MATCH(DATA!D1551,'BIO WAHYU'!B:B,0),5)</f>
        <v>1</v>
      </c>
      <c r="K1551" s="34">
        <f>INDEX('BIO WAHYU'!B:G,MATCH(DATA!D1551,'BIO WAHYU'!B:B,0),6)</f>
        <v>0</v>
      </c>
      <c r="L1551" s="35">
        <f>INDEX('BIO WAHYU'!B:H,MATCH(DATA!D1551,'BIO WAHYU'!B:B,0),7)</f>
        <v>0</v>
      </c>
      <c r="M1551" s="34">
        <f>INDEX('BIO WAHYU'!B:H,MATCH(DATA!D1551,'BIO WAHYU'!B:B,0),4)</f>
        <v>0</v>
      </c>
    </row>
    <row r="1552" spans="1:13">
      <c r="A1552" s="43" t="s">
        <v>1672</v>
      </c>
      <c r="B1552" s="43" t="s">
        <v>155</v>
      </c>
      <c r="C1552" s="43" t="s">
        <v>925</v>
      </c>
      <c r="D1552" s="10">
        <v>12320273</v>
      </c>
      <c r="E1552" s="43" t="s">
        <v>10</v>
      </c>
      <c r="F1552" s="8">
        <f>_xlfn.IFNA(INDEX('OSA | 3GB'!J:L,MATCH(DATA!D1552,'OSA | 3GB'!J:J,0),2),0)</f>
        <v>84</v>
      </c>
      <c r="G1552" s="8">
        <f>_xlfn.IFNA(INDEX('OSA | 3GB'!J:L,MATCH(DATA!D1552,'OSA | 3GB'!J:J,0),3),0)</f>
        <v>137500</v>
      </c>
      <c r="H1552" s="32">
        <f>_xlfn.IFNA(INDEX('OSA | 3GB'!A:C,MATCH(DATA!D1552,'OSA | 3GB'!A:A,0),2),0)</f>
        <v>3</v>
      </c>
      <c r="I1552" s="33" t="str">
        <f>_xlfn.IFNA(INDEX('OSA | 3GB'!A:C,MATCH(DATA!D1552,'OSA | 3GB'!A:A,0),3),0)</f>
        <v xml:space="preserve"> -   </v>
      </c>
      <c r="J1552" s="33">
        <f>INDEX('BIO WAHYU'!B:G,MATCH(DATA!D1552,'BIO WAHYU'!B:B,0),5)</f>
        <v>9</v>
      </c>
      <c r="K1552" s="34">
        <f>INDEX('BIO WAHYU'!B:G,MATCH(DATA!D1552,'BIO WAHYU'!B:B,0),6)</f>
        <v>3</v>
      </c>
      <c r="L1552" s="35">
        <f>INDEX('BIO WAHYU'!B:H,MATCH(DATA!D1552,'BIO WAHYU'!B:B,0),7)</f>
        <v>0</v>
      </c>
      <c r="M1552" s="34">
        <f>INDEX('BIO WAHYU'!B:H,MATCH(DATA!D1552,'BIO WAHYU'!B:B,0),4)</f>
        <v>0</v>
      </c>
    </row>
    <row r="1553" spans="1:13">
      <c r="A1553" s="43" t="s">
        <v>1673</v>
      </c>
      <c r="B1553" s="43" t="s">
        <v>1136</v>
      </c>
      <c r="C1553" s="43" t="s">
        <v>1641</v>
      </c>
      <c r="D1553" s="10">
        <v>406040</v>
      </c>
      <c r="E1553" s="43" t="s">
        <v>10</v>
      </c>
      <c r="F1553" s="8">
        <f>_xlfn.IFNA(INDEX('OSA | 3GB'!J:L,MATCH(DATA!D1553,'OSA | 3GB'!J:J,0),2),0)</f>
        <v>4</v>
      </c>
      <c r="G1553" s="8">
        <f>_xlfn.IFNA(INDEX('OSA | 3GB'!J:L,MATCH(DATA!D1553,'OSA | 3GB'!J:J,0),3),0)</f>
        <v>1800000</v>
      </c>
      <c r="H1553" s="32" t="str">
        <f>_xlfn.IFNA(INDEX('OSA | 3GB'!A:C,MATCH(DATA!D1553,'OSA | 3GB'!A:A,0),2),0)</f>
        <v xml:space="preserve"> -   </v>
      </c>
      <c r="I1553" s="33">
        <f>_xlfn.IFNA(INDEX('OSA | 3GB'!A:C,MATCH(DATA!D1553,'OSA | 3GB'!A:A,0),3),0)</f>
        <v>900000</v>
      </c>
      <c r="J1553" s="33">
        <f>INDEX('BIO WAHYU'!B:G,MATCH(DATA!D1553,'BIO WAHYU'!B:B,0),5)</f>
        <v>6</v>
      </c>
      <c r="K1553" s="34">
        <f>INDEX('BIO WAHYU'!B:G,MATCH(DATA!D1553,'BIO WAHYU'!B:B,0),6)</f>
        <v>3</v>
      </c>
      <c r="L1553" s="35">
        <f>INDEX('BIO WAHYU'!B:H,MATCH(DATA!D1553,'BIO WAHYU'!B:B,0),7)</f>
        <v>0</v>
      </c>
      <c r="M1553" s="34">
        <f>INDEX('BIO WAHYU'!B:H,MATCH(DATA!D1553,'BIO WAHYU'!B:B,0),4)</f>
        <v>0</v>
      </c>
    </row>
    <row r="1554" spans="1:13">
      <c r="A1554" s="43" t="s">
        <v>1675</v>
      </c>
      <c r="B1554" s="43" t="s">
        <v>136</v>
      </c>
      <c r="C1554" s="43" t="s">
        <v>402</v>
      </c>
      <c r="D1554" s="10">
        <v>211648</v>
      </c>
      <c r="E1554" s="43" t="s">
        <v>10</v>
      </c>
      <c r="F1554" s="8">
        <f>_xlfn.IFNA(INDEX('OSA | 3GB'!J:L,MATCH(DATA!D1554,'OSA | 3GB'!J:J,0),2),0)</f>
        <v>5</v>
      </c>
      <c r="G1554" s="8">
        <f>_xlfn.IFNA(INDEX('OSA | 3GB'!J:L,MATCH(DATA!D1554,'OSA | 3GB'!J:J,0),3),0)</f>
        <v>4758000</v>
      </c>
      <c r="H1554" s="32" t="str">
        <f>_xlfn.IFNA(INDEX('OSA | 3GB'!A:C,MATCH(DATA!D1554,'OSA | 3GB'!A:A,0),2),0)</f>
        <v xml:space="preserve"> -   </v>
      </c>
      <c r="I1554" s="33">
        <f>_xlfn.IFNA(INDEX('OSA | 3GB'!A:C,MATCH(DATA!D1554,'OSA | 3GB'!A:A,0),3),0)</f>
        <v>2200000</v>
      </c>
      <c r="J1554" s="33">
        <f>INDEX('BIO WAHYU'!B:G,MATCH(DATA!D1554,'BIO WAHYU'!B:B,0),5)</f>
        <v>6</v>
      </c>
      <c r="K1554" s="34">
        <f>INDEX('BIO WAHYU'!B:G,MATCH(DATA!D1554,'BIO WAHYU'!B:B,0),6)</f>
        <v>4</v>
      </c>
      <c r="L1554" s="35">
        <f>INDEX('BIO WAHYU'!B:H,MATCH(DATA!D1554,'BIO WAHYU'!B:B,0),7)</f>
        <v>0</v>
      </c>
      <c r="M1554" s="34">
        <f>INDEX('BIO WAHYU'!B:H,MATCH(DATA!D1554,'BIO WAHYU'!B:B,0),4)</f>
        <v>1</v>
      </c>
    </row>
    <row r="1555" spans="1:13">
      <c r="A1555" s="43" t="s">
        <v>1670</v>
      </c>
      <c r="B1555" s="43">
        <v>2613052584</v>
      </c>
      <c r="C1555" s="43" t="s">
        <v>1189</v>
      </c>
      <c r="D1555" s="10">
        <v>533184</v>
      </c>
      <c r="E1555" s="43" t="s">
        <v>10</v>
      </c>
      <c r="F1555" s="8">
        <f>_xlfn.IFNA(INDEX('OSA | 3GB'!J:L,MATCH(DATA!D1555,'OSA | 3GB'!J:J,0),2),0)</f>
        <v>3</v>
      </c>
      <c r="G1555" s="8">
        <f>_xlfn.IFNA(INDEX('OSA | 3GB'!J:L,MATCH(DATA!D1555,'OSA | 3GB'!J:J,0),3),0)</f>
        <v>800000</v>
      </c>
      <c r="H1555" s="32" t="str">
        <f>_xlfn.IFNA(INDEX('OSA | 3GB'!A:C,MATCH(DATA!D1555,'OSA | 3GB'!A:A,0),2),0)</f>
        <v xml:space="preserve"> -   </v>
      </c>
      <c r="I1555" s="33">
        <f>_xlfn.IFNA(INDEX('OSA | 3GB'!A:C,MATCH(DATA!D1555,'OSA | 3GB'!A:A,0),3),0)</f>
        <v>600000</v>
      </c>
      <c r="J1555" s="33">
        <f>INDEX('BIO WAHYU'!B:G,MATCH(DATA!D1555,'BIO WAHYU'!B:B,0),5)</f>
        <v>0</v>
      </c>
      <c r="K1555" s="34">
        <f>INDEX('BIO WAHYU'!B:G,MATCH(DATA!D1555,'BIO WAHYU'!B:B,0),6)</f>
        <v>0</v>
      </c>
      <c r="L1555" s="35">
        <f>INDEX('BIO WAHYU'!B:H,MATCH(DATA!D1555,'BIO WAHYU'!B:B,0),7)</f>
        <v>0</v>
      </c>
      <c r="M1555" s="34">
        <f>INDEX('BIO WAHYU'!B:H,MATCH(DATA!D1555,'BIO WAHYU'!B:B,0),4)</f>
        <v>0</v>
      </c>
    </row>
    <row r="1556" spans="1:13">
      <c r="A1556" s="43" t="s">
        <v>1670</v>
      </c>
      <c r="B1556" s="43">
        <v>2613052584</v>
      </c>
      <c r="C1556" s="43" t="s">
        <v>1642</v>
      </c>
      <c r="D1556" s="10">
        <v>12321917</v>
      </c>
      <c r="E1556" s="43" t="s">
        <v>10</v>
      </c>
      <c r="F1556" s="8">
        <f>_xlfn.IFNA(INDEX('OSA | 3GB'!J:L,MATCH(DATA!D1556,'OSA | 3GB'!J:J,0),2),0)</f>
        <v>3</v>
      </c>
      <c r="G1556" s="8">
        <f>_xlfn.IFNA(INDEX('OSA | 3GB'!J:L,MATCH(DATA!D1556,'OSA | 3GB'!J:J,0),3),0)</f>
        <v>0</v>
      </c>
      <c r="H1556" s="32" t="str">
        <f>_xlfn.IFNA(INDEX('OSA | 3GB'!A:C,MATCH(DATA!D1556,'OSA | 3GB'!A:A,0),2),0)</f>
        <v xml:space="preserve"> -   </v>
      </c>
      <c r="I1556" s="33">
        <f>_xlfn.IFNA(INDEX('OSA | 3GB'!A:C,MATCH(DATA!D1556,'OSA | 3GB'!A:A,0),3),0)</f>
        <v>50000</v>
      </c>
      <c r="J1556" s="33">
        <f>INDEX('BIO WAHYU'!B:G,MATCH(DATA!D1556,'BIO WAHYU'!B:B,0),5)</f>
        <v>3</v>
      </c>
      <c r="K1556" s="34">
        <f>INDEX('BIO WAHYU'!B:G,MATCH(DATA!D1556,'BIO WAHYU'!B:B,0),6)</f>
        <v>3</v>
      </c>
      <c r="L1556" s="35">
        <f>INDEX('BIO WAHYU'!B:H,MATCH(DATA!D1556,'BIO WAHYU'!B:B,0),7)</f>
        <v>0</v>
      </c>
      <c r="M1556" s="34">
        <f>INDEX('BIO WAHYU'!B:H,MATCH(DATA!D1556,'BIO WAHYU'!B:B,0),4)</f>
        <v>0</v>
      </c>
    </row>
    <row r="1557" spans="1:13">
      <c r="A1557" s="43" t="s">
        <v>1673</v>
      </c>
      <c r="B1557" s="43" t="s">
        <v>1136</v>
      </c>
      <c r="C1557" s="43" t="s">
        <v>1643</v>
      </c>
      <c r="D1557" s="10">
        <v>422569</v>
      </c>
      <c r="E1557" s="43" t="s">
        <v>15</v>
      </c>
      <c r="F1557" s="8">
        <f>_xlfn.IFNA(INDEX('OSA | 3GB'!J:L,MATCH(DATA!D1557,'OSA | 3GB'!J:J,0),2),0)</f>
        <v>5</v>
      </c>
      <c r="G1557" s="8">
        <f>_xlfn.IFNA(INDEX('OSA | 3GB'!J:L,MATCH(DATA!D1557,'OSA | 3GB'!J:J,0),3),0)</f>
        <v>50000</v>
      </c>
      <c r="H1557" s="32" t="str">
        <f>_xlfn.IFNA(INDEX('OSA | 3GB'!A:C,MATCH(DATA!D1557,'OSA | 3GB'!A:A,0),2),0)</f>
        <v xml:space="preserve"> -   </v>
      </c>
      <c r="I1557" s="33" t="str">
        <f>_xlfn.IFNA(INDEX('OSA | 3GB'!A:C,MATCH(DATA!D1557,'OSA | 3GB'!A:A,0),3),0)</f>
        <v xml:space="preserve"> -   </v>
      </c>
      <c r="J1557" s="33">
        <f>INDEX('BIO WAHYU'!B:G,MATCH(DATA!D1557,'BIO WAHYU'!B:B,0),5)</f>
        <v>5</v>
      </c>
      <c r="K1557" s="34">
        <f>INDEX('BIO WAHYU'!B:G,MATCH(DATA!D1557,'BIO WAHYU'!B:B,0),6)</f>
        <v>0</v>
      </c>
      <c r="L1557" s="35">
        <f>INDEX('BIO WAHYU'!B:H,MATCH(DATA!D1557,'BIO WAHYU'!B:B,0),7)</f>
        <v>0</v>
      </c>
      <c r="M1557" s="34">
        <f>INDEX('BIO WAHYU'!B:H,MATCH(DATA!D1557,'BIO WAHYU'!B:B,0),4)</f>
        <v>0</v>
      </c>
    </row>
    <row r="1558" spans="1:13">
      <c r="A1558" s="43" t="s">
        <v>1672</v>
      </c>
      <c r="B1558" s="43" t="s">
        <v>155</v>
      </c>
      <c r="C1558" s="43" t="s">
        <v>930</v>
      </c>
      <c r="D1558" s="10">
        <v>196416</v>
      </c>
      <c r="E1558" s="43" t="s">
        <v>10</v>
      </c>
      <c r="F1558" s="8">
        <f>_xlfn.IFNA(INDEX('OSA | 3GB'!J:L,MATCH(DATA!D1558,'OSA | 3GB'!J:J,0),2),0)</f>
        <v>3</v>
      </c>
      <c r="G1558" s="8">
        <f>_xlfn.IFNA(INDEX('OSA | 3GB'!J:L,MATCH(DATA!D1558,'OSA | 3GB'!J:J,0),3),0)</f>
        <v>1300000</v>
      </c>
      <c r="H1558" s="32" t="str">
        <f>_xlfn.IFNA(INDEX('OSA | 3GB'!A:C,MATCH(DATA!D1558,'OSA | 3GB'!A:A,0),2),0)</f>
        <v xml:space="preserve"> -   </v>
      </c>
      <c r="I1558" s="33">
        <f>_xlfn.IFNA(INDEX('OSA | 3GB'!A:C,MATCH(DATA!D1558,'OSA | 3GB'!A:A,0),3),0)</f>
        <v>400000</v>
      </c>
      <c r="J1558" s="33">
        <f>INDEX('BIO WAHYU'!B:G,MATCH(DATA!D1558,'BIO WAHYU'!B:B,0),5)</f>
        <v>2</v>
      </c>
      <c r="K1558" s="34">
        <f>INDEX('BIO WAHYU'!B:G,MATCH(DATA!D1558,'BIO WAHYU'!B:B,0),6)</f>
        <v>0</v>
      </c>
      <c r="L1558" s="35">
        <f>INDEX('BIO WAHYU'!B:H,MATCH(DATA!D1558,'BIO WAHYU'!B:B,0),7)</f>
        <v>0</v>
      </c>
      <c r="M1558" s="34">
        <f>INDEX('BIO WAHYU'!B:H,MATCH(DATA!D1558,'BIO WAHYU'!B:B,0),4)</f>
        <v>0</v>
      </c>
    </row>
    <row r="1559" spans="1:13">
      <c r="A1559" s="43" t="s">
        <v>1</v>
      </c>
      <c r="B1559" s="43" t="s">
        <v>3</v>
      </c>
      <c r="C1559" s="43" t="s">
        <v>1126</v>
      </c>
      <c r="D1559" s="10">
        <v>213944</v>
      </c>
      <c r="E1559" s="43" t="s">
        <v>10</v>
      </c>
      <c r="F1559" s="8">
        <f>_xlfn.IFNA(INDEX('OSA | 3GB'!J:L,MATCH(DATA!D1559,'OSA | 3GB'!J:J,0),2),0)</f>
        <v>3</v>
      </c>
      <c r="G1559" s="8">
        <f>_xlfn.IFNA(INDEX('OSA | 3GB'!J:L,MATCH(DATA!D1559,'OSA | 3GB'!J:J,0),3),0)</f>
        <v>2200000</v>
      </c>
      <c r="H1559" s="32">
        <f>_xlfn.IFNA(INDEX('OSA | 3GB'!A:C,MATCH(DATA!D1559,'OSA | 3GB'!A:A,0),2),0)</f>
        <v>4</v>
      </c>
      <c r="I1559" s="33">
        <f>_xlfn.IFNA(INDEX('OSA | 3GB'!A:C,MATCH(DATA!D1559,'OSA | 3GB'!A:A,0),3),0)</f>
        <v>2425000</v>
      </c>
      <c r="J1559" s="33">
        <f>INDEX('BIO WAHYU'!B:G,MATCH(DATA!D1559,'BIO WAHYU'!B:B,0),5)</f>
        <v>11</v>
      </c>
      <c r="K1559" s="34">
        <f>INDEX('BIO WAHYU'!B:G,MATCH(DATA!D1559,'BIO WAHYU'!B:B,0),6)</f>
        <v>3</v>
      </c>
      <c r="L1559" s="35">
        <f>INDEX('BIO WAHYU'!B:H,MATCH(DATA!D1559,'BIO WAHYU'!B:B,0),7)</f>
        <v>0</v>
      </c>
      <c r="M1559" s="34">
        <f>INDEX('BIO WAHYU'!B:H,MATCH(DATA!D1559,'BIO WAHYU'!B:B,0),4)</f>
        <v>0</v>
      </c>
    </row>
    <row r="1560" spans="1:13">
      <c r="A1560" s="43" t="s">
        <v>1672</v>
      </c>
      <c r="B1560" s="43" t="s">
        <v>155</v>
      </c>
      <c r="C1560" s="43" t="s">
        <v>963</v>
      </c>
      <c r="D1560" s="10" t="s">
        <v>964</v>
      </c>
      <c r="E1560" s="43" t="s">
        <v>10</v>
      </c>
      <c r="F1560" s="8">
        <f>_xlfn.IFNA(INDEX('OSA | 3GB'!J:L,MATCH(DATA!D1560,'OSA | 3GB'!J:J,0),2),0)</f>
        <v>53</v>
      </c>
      <c r="G1560" s="8">
        <f>_xlfn.IFNA(INDEX('OSA | 3GB'!J:L,MATCH(DATA!D1560,'OSA | 3GB'!J:J,0),3),0)</f>
        <v>445000</v>
      </c>
      <c r="H1560" s="32">
        <f>_xlfn.IFNA(INDEX('OSA | 3GB'!A:C,MATCH(DATA!D1560,'OSA | 3GB'!A:A,0),2),0)</f>
        <v>10</v>
      </c>
      <c r="I1560" s="33">
        <f>_xlfn.IFNA(INDEX('OSA | 3GB'!A:C,MATCH(DATA!D1560,'OSA | 3GB'!A:A,0),3),0)</f>
        <v>50000</v>
      </c>
      <c r="J1560" s="33">
        <f>INDEX('BIO WAHYU'!B:G,MATCH(DATA!D1560,'BIO WAHYU'!B:B,0),5)</f>
        <v>48</v>
      </c>
      <c r="K1560" s="34">
        <f>INDEX('BIO WAHYU'!B:G,MATCH(DATA!D1560,'BIO WAHYU'!B:B,0),6)</f>
        <v>14</v>
      </c>
      <c r="L1560" s="35">
        <f>INDEX('BIO WAHYU'!B:H,MATCH(DATA!D1560,'BIO WAHYU'!B:B,0),7)</f>
        <v>0</v>
      </c>
      <c r="M1560" s="34">
        <f>INDEX('BIO WAHYU'!B:H,MATCH(DATA!D1560,'BIO WAHYU'!B:B,0),4)</f>
        <v>1</v>
      </c>
    </row>
    <row r="1561" spans="1:13">
      <c r="A1561" s="43" t="s">
        <v>1</v>
      </c>
      <c r="B1561" s="43" t="s">
        <v>4</v>
      </c>
      <c r="C1561" s="43" t="s">
        <v>1127</v>
      </c>
      <c r="D1561" s="10" t="s">
        <v>72</v>
      </c>
      <c r="E1561" s="43" t="s">
        <v>10</v>
      </c>
      <c r="F1561" s="8">
        <f>_xlfn.IFNA(INDEX('OSA | 3GB'!J:L,MATCH(DATA!D1561,'OSA | 3GB'!J:J,0),2),0)</f>
        <v>0</v>
      </c>
      <c r="G1561" s="8">
        <f>_xlfn.IFNA(INDEX('OSA | 3GB'!J:L,MATCH(DATA!D1561,'OSA | 3GB'!J:J,0),3),0)</f>
        <v>0</v>
      </c>
      <c r="H1561" s="32" t="str">
        <f>_xlfn.IFNA(INDEX('OSA | 3GB'!A:C,MATCH(DATA!D1561,'OSA | 3GB'!A:A,0),2),0)</f>
        <v xml:space="preserve"> -   </v>
      </c>
      <c r="I1561" s="33" t="str">
        <f>_xlfn.IFNA(INDEX('OSA | 3GB'!A:C,MATCH(DATA!D1561,'OSA | 3GB'!A:A,0),3),0)</f>
        <v xml:space="preserve"> -   </v>
      </c>
      <c r="J1561" s="33">
        <f>INDEX('BIO WAHYU'!B:G,MATCH(DATA!D1561,'BIO WAHYU'!B:B,0),5)</f>
        <v>0</v>
      </c>
      <c r="K1561" s="34">
        <f>INDEX('BIO WAHYU'!B:G,MATCH(DATA!D1561,'BIO WAHYU'!B:B,0),6)</f>
        <v>0</v>
      </c>
      <c r="L1561" s="35">
        <f>INDEX('BIO WAHYU'!B:H,MATCH(DATA!D1561,'BIO WAHYU'!B:B,0),7)</f>
        <v>0</v>
      </c>
      <c r="M1561" s="34">
        <f>INDEX('BIO WAHYU'!B:H,MATCH(DATA!D1561,'BIO WAHYU'!B:B,0),4)</f>
        <v>0</v>
      </c>
    </row>
    <row r="1562" spans="1:13">
      <c r="A1562" s="43" t="s">
        <v>1</v>
      </c>
      <c r="B1562" s="43" t="s">
        <v>4</v>
      </c>
      <c r="C1562" s="43" t="s">
        <v>70</v>
      </c>
      <c r="D1562" s="10" t="s">
        <v>71</v>
      </c>
      <c r="E1562" s="43" t="s">
        <v>10</v>
      </c>
      <c r="F1562" s="8">
        <f>_xlfn.IFNA(INDEX('OSA | 3GB'!J:L,MATCH(DATA!D1562,'OSA | 3GB'!J:J,0),2),0)</f>
        <v>6</v>
      </c>
      <c r="G1562" s="8">
        <f>_xlfn.IFNA(INDEX('OSA | 3GB'!J:L,MATCH(DATA!D1562,'OSA | 3GB'!J:J,0),3),0)</f>
        <v>18752000</v>
      </c>
      <c r="H1562" s="32" t="str">
        <f>_xlfn.IFNA(INDEX('OSA | 3GB'!A:C,MATCH(DATA!D1562,'OSA | 3GB'!A:A,0),2),0)</f>
        <v xml:space="preserve"> -   </v>
      </c>
      <c r="I1562" s="33">
        <f>_xlfn.IFNA(INDEX('OSA | 3GB'!A:C,MATCH(DATA!D1562,'OSA | 3GB'!A:A,0),3),0)</f>
        <v>6885000</v>
      </c>
      <c r="J1562" s="33">
        <f>INDEX('BIO WAHYU'!B:G,MATCH(DATA!D1562,'BIO WAHYU'!B:B,0),5)</f>
        <v>9</v>
      </c>
      <c r="K1562" s="34">
        <f>INDEX('BIO WAHYU'!B:G,MATCH(DATA!D1562,'BIO WAHYU'!B:B,0),6)</f>
        <v>0</v>
      </c>
      <c r="L1562" s="35">
        <f>INDEX('BIO WAHYU'!B:H,MATCH(DATA!D1562,'BIO WAHYU'!B:B,0),7)</f>
        <v>0</v>
      </c>
      <c r="M1562" s="34">
        <f>INDEX('BIO WAHYU'!B:H,MATCH(DATA!D1562,'BIO WAHYU'!B:B,0),4)</f>
        <v>0</v>
      </c>
    </row>
    <row r="1563" spans="1:13">
      <c r="A1563" s="43" t="s">
        <v>1674</v>
      </c>
      <c r="B1563" s="43" t="s">
        <v>152</v>
      </c>
      <c r="C1563" s="43" t="s">
        <v>680</v>
      </c>
      <c r="D1563" s="10" t="s">
        <v>681</v>
      </c>
      <c r="E1563" s="43" t="s">
        <v>10</v>
      </c>
      <c r="F1563" s="8">
        <f>_xlfn.IFNA(INDEX('OSA | 3GB'!J:L,MATCH(DATA!D1563,'OSA | 3GB'!J:J,0),2),0)</f>
        <v>3</v>
      </c>
      <c r="G1563" s="8">
        <f>_xlfn.IFNA(INDEX('OSA | 3GB'!J:L,MATCH(DATA!D1563,'OSA | 3GB'!J:J,0),3),0)</f>
        <v>16458000</v>
      </c>
      <c r="H1563" s="32" t="str">
        <f>_xlfn.IFNA(INDEX('OSA | 3GB'!A:C,MATCH(DATA!D1563,'OSA | 3GB'!A:A,0),2),0)</f>
        <v xml:space="preserve"> -   </v>
      </c>
      <c r="I1563" s="33">
        <f>_xlfn.IFNA(INDEX('OSA | 3GB'!A:C,MATCH(DATA!D1563,'OSA | 3GB'!A:A,0),3),0)</f>
        <v>3500000</v>
      </c>
      <c r="J1563" s="33">
        <f>INDEX('BIO WAHYU'!B:G,MATCH(DATA!D1563,'BIO WAHYU'!B:B,0),5)</f>
        <v>1</v>
      </c>
      <c r="K1563" s="34">
        <f>INDEX('BIO WAHYU'!B:G,MATCH(DATA!D1563,'BIO WAHYU'!B:B,0),6)</f>
        <v>0</v>
      </c>
      <c r="L1563" s="35">
        <f>INDEX('BIO WAHYU'!B:H,MATCH(DATA!D1563,'BIO WAHYU'!B:B,0),7)</f>
        <v>0</v>
      </c>
      <c r="M1563" s="34">
        <f>INDEX('BIO WAHYU'!B:H,MATCH(DATA!D1563,'BIO WAHYU'!B:B,0),4)</f>
        <v>0</v>
      </c>
    </row>
    <row r="1564" spans="1:13">
      <c r="A1564" s="43" t="s">
        <v>1672</v>
      </c>
      <c r="B1564" s="43" t="s">
        <v>157</v>
      </c>
      <c r="C1564" s="43" t="s">
        <v>1068</v>
      </c>
      <c r="D1564" s="10" t="s">
        <v>1069</v>
      </c>
      <c r="E1564" s="43" t="s">
        <v>10</v>
      </c>
      <c r="F1564" s="8">
        <f>_xlfn.IFNA(INDEX('OSA | 3GB'!J:L,MATCH(DATA!D1564,'OSA | 3GB'!J:J,0),2),0)</f>
        <v>5</v>
      </c>
      <c r="G1564" s="8">
        <f>_xlfn.IFNA(INDEX('OSA | 3GB'!J:L,MATCH(DATA!D1564,'OSA | 3GB'!J:J,0),3),0)</f>
        <v>5000000</v>
      </c>
      <c r="H1564" s="32" t="str">
        <f>_xlfn.IFNA(INDEX('OSA | 3GB'!A:C,MATCH(DATA!D1564,'OSA | 3GB'!A:A,0),2),0)</f>
        <v xml:space="preserve"> -   </v>
      </c>
      <c r="I1564" s="33">
        <f>_xlfn.IFNA(INDEX('OSA | 3GB'!A:C,MATCH(DATA!D1564,'OSA | 3GB'!A:A,0),3),0)</f>
        <v>500000</v>
      </c>
      <c r="J1564" s="33">
        <f>INDEX('BIO WAHYU'!B:G,MATCH(DATA!D1564,'BIO WAHYU'!B:B,0),5)</f>
        <v>3</v>
      </c>
      <c r="K1564" s="34">
        <f>INDEX('BIO WAHYU'!B:G,MATCH(DATA!D1564,'BIO WAHYU'!B:B,0),6)</f>
        <v>0</v>
      </c>
      <c r="L1564" s="35">
        <f>INDEX('BIO WAHYU'!B:H,MATCH(DATA!D1564,'BIO WAHYU'!B:B,0),7)</f>
        <v>0</v>
      </c>
      <c r="M1564" s="34">
        <f>INDEX('BIO WAHYU'!B:H,MATCH(DATA!D1564,'BIO WAHYU'!B:B,0),4)</f>
        <v>0</v>
      </c>
    </row>
    <row r="1565" spans="1:13">
      <c r="A1565" s="43" t="s">
        <v>1672</v>
      </c>
      <c r="B1565" s="43" t="s">
        <v>156</v>
      </c>
      <c r="C1565" s="43" t="s">
        <v>162</v>
      </c>
      <c r="D1565" s="10" t="s">
        <v>1008</v>
      </c>
      <c r="E1565" s="43" t="s">
        <v>10</v>
      </c>
      <c r="F1565" s="8">
        <f>_xlfn.IFNA(INDEX('OSA | 3GB'!J:L,MATCH(DATA!D1565,'OSA | 3GB'!J:J,0),2),0)</f>
        <v>0</v>
      </c>
      <c r="G1565" s="8">
        <f>_xlfn.IFNA(INDEX('OSA | 3GB'!J:L,MATCH(DATA!D1565,'OSA | 3GB'!J:J,0),3),0)</f>
        <v>200000</v>
      </c>
      <c r="H1565" s="32">
        <f>_xlfn.IFNA(INDEX('OSA | 3GB'!A:C,MATCH(DATA!D1565,'OSA | 3GB'!A:A,0),2),0)</f>
        <v>3</v>
      </c>
      <c r="I1565" s="33">
        <f>_xlfn.IFNA(INDEX('OSA | 3GB'!A:C,MATCH(DATA!D1565,'OSA | 3GB'!A:A,0),3),0)</f>
        <v>87000</v>
      </c>
      <c r="J1565" s="33">
        <f>INDEX('BIO WAHYU'!B:G,MATCH(DATA!D1565,'BIO WAHYU'!B:B,0),5)</f>
        <v>3</v>
      </c>
      <c r="K1565" s="34">
        <f>INDEX('BIO WAHYU'!B:G,MATCH(DATA!D1565,'BIO WAHYU'!B:B,0),6)</f>
        <v>3</v>
      </c>
      <c r="L1565" s="35">
        <f>INDEX('BIO WAHYU'!B:H,MATCH(DATA!D1565,'BIO WAHYU'!B:B,0),7)</f>
        <v>0</v>
      </c>
      <c r="M1565" s="34">
        <f>INDEX('BIO WAHYU'!B:H,MATCH(DATA!D1565,'BIO WAHYU'!B:B,0),4)</f>
        <v>0</v>
      </c>
    </row>
    <row r="1566" spans="1:13">
      <c r="A1566" s="43" t="s">
        <v>1</v>
      </c>
      <c r="B1566" s="43" t="s">
        <v>5</v>
      </c>
      <c r="C1566" s="43" t="s">
        <v>1128</v>
      </c>
      <c r="D1566" s="10" t="s">
        <v>113</v>
      </c>
      <c r="E1566" s="43" t="s">
        <v>10</v>
      </c>
      <c r="F1566" s="8">
        <f>_xlfn.IFNA(INDEX('OSA | 3GB'!J:L,MATCH(DATA!D1566,'OSA | 3GB'!J:J,0),2),0)</f>
        <v>0</v>
      </c>
      <c r="G1566" s="8">
        <f>_xlfn.IFNA(INDEX('OSA | 3GB'!J:L,MATCH(DATA!D1566,'OSA | 3GB'!J:J,0),3),0)</f>
        <v>1500000</v>
      </c>
      <c r="H1566" s="32" t="str">
        <f>_xlfn.IFNA(INDEX('OSA | 3GB'!A:C,MATCH(DATA!D1566,'OSA | 3GB'!A:A,0),2),0)</f>
        <v xml:space="preserve"> -   </v>
      </c>
      <c r="I1566" s="33" t="str">
        <f>_xlfn.IFNA(INDEX('OSA | 3GB'!A:C,MATCH(DATA!D1566,'OSA | 3GB'!A:A,0),3),0)</f>
        <v xml:space="preserve"> -   </v>
      </c>
      <c r="J1566" s="33">
        <f>INDEX('BIO WAHYU'!B:G,MATCH(DATA!D1566,'BIO WAHYU'!B:B,0),5)</f>
        <v>3</v>
      </c>
      <c r="K1566" s="34">
        <f>INDEX('BIO WAHYU'!B:G,MATCH(DATA!D1566,'BIO WAHYU'!B:B,0),6)</f>
        <v>0</v>
      </c>
      <c r="L1566" s="35">
        <f>INDEX('BIO WAHYU'!B:H,MATCH(DATA!D1566,'BIO WAHYU'!B:B,0),7)</f>
        <v>0</v>
      </c>
      <c r="M1566" s="34">
        <f>INDEX('BIO WAHYU'!B:H,MATCH(DATA!D1566,'BIO WAHYU'!B:B,0),4)</f>
        <v>0</v>
      </c>
    </row>
    <row r="1567" spans="1:13">
      <c r="A1567" s="43" t="s">
        <v>1</v>
      </c>
      <c r="B1567" s="43" t="s">
        <v>4</v>
      </c>
      <c r="C1567" s="43" t="s">
        <v>68</v>
      </c>
      <c r="D1567" s="10" t="s">
        <v>69</v>
      </c>
      <c r="E1567" s="43" t="s">
        <v>10</v>
      </c>
      <c r="F1567" s="8">
        <f>_xlfn.IFNA(INDEX('OSA | 3GB'!J:L,MATCH(DATA!D1567,'OSA | 3GB'!J:J,0),2),0)</f>
        <v>33</v>
      </c>
      <c r="G1567" s="8">
        <f>_xlfn.IFNA(INDEX('OSA | 3GB'!J:L,MATCH(DATA!D1567,'OSA | 3GB'!J:J,0),3),0)</f>
        <v>15116000</v>
      </c>
      <c r="H1567" s="32" t="str">
        <f>_xlfn.IFNA(INDEX('OSA | 3GB'!A:C,MATCH(DATA!D1567,'OSA | 3GB'!A:A,0),2),0)</f>
        <v xml:space="preserve"> -   </v>
      </c>
      <c r="I1567" s="33">
        <f>_xlfn.IFNA(INDEX('OSA | 3GB'!A:C,MATCH(DATA!D1567,'OSA | 3GB'!A:A,0),3),0)</f>
        <v>1000000</v>
      </c>
      <c r="J1567" s="33">
        <f>INDEX('BIO WAHYU'!B:G,MATCH(DATA!D1567,'BIO WAHYU'!B:B,0),5)</f>
        <v>9</v>
      </c>
      <c r="K1567" s="34">
        <f>INDEX('BIO WAHYU'!B:G,MATCH(DATA!D1567,'BIO WAHYU'!B:B,0),6)</f>
        <v>3</v>
      </c>
      <c r="L1567" s="35">
        <f>INDEX('BIO WAHYU'!B:H,MATCH(DATA!D1567,'BIO WAHYU'!B:B,0),7)</f>
        <v>0</v>
      </c>
      <c r="M1567" s="34">
        <f>INDEX('BIO WAHYU'!B:H,MATCH(DATA!D1567,'BIO WAHYU'!B:B,0),4)</f>
        <v>0</v>
      </c>
    </row>
    <row r="1568" spans="1:13">
      <c r="A1568" s="43" t="s">
        <v>1672</v>
      </c>
      <c r="B1568" s="43" t="s">
        <v>150</v>
      </c>
      <c r="C1568" s="43" t="s">
        <v>845</v>
      </c>
      <c r="D1568" s="10" t="s">
        <v>846</v>
      </c>
      <c r="E1568" s="43" t="s">
        <v>10</v>
      </c>
      <c r="F1568" s="8">
        <f>_xlfn.IFNA(INDEX('OSA | 3GB'!J:L,MATCH(DATA!D1568,'OSA | 3GB'!J:J,0),2),0)</f>
        <v>215</v>
      </c>
      <c r="G1568" s="8">
        <f>_xlfn.IFNA(INDEX('OSA | 3GB'!J:L,MATCH(DATA!D1568,'OSA | 3GB'!J:J,0),3),0)</f>
        <v>435500</v>
      </c>
      <c r="H1568" s="32">
        <f>_xlfn.IFNA(INDEX('OSA | 3GB'!A:C,MATCH(DATA!D1568,'OSA | 3GB'!A:A,0),2),0)</f>
        <v>1</v>
      </c>
      <c r="I1568" s="33">
        <f>_xlfn.IFNA(INDEX('OSA | 3GB'!A:C,MATCH(DATA!D1568,'OSA | 3GB'!A:A,0),3),0)</f>
        <v>250000</v>
      </c>
      <c r="J1568" s="33">
        <f>INDEX('BIO WAHYU'!B:G,MATCH(DATA!D1568,'BIO WAHYU'!B:B,0),5)</f>
        <v>50</v>
      </c>
      <c r="K1568" s="34">
        <f>INDEX('BIO WAHYU'!B:G,MATCH(DATA!D1568,'BIO WAHYU'!B:B,0),6)</f>
        <v>5</v>
      </c>
      <c r="L1568" s="35">
        <f>INDEX('BIO WAHYU'!B:H,MATCH(DATA!D1568,'BIO WAHYU'!B:B,0),7)</f>
        <v>0</v>
      </c>
      <c r="M1568" s="34">
        <f>INDEX('BIO WAHYU'!B:H,MATCH(DATA!D1568,'BIO WAHYU'!B:B,0),4)</f>
        <v>0</v>
      </c>
    </row>
    <row r="1569" spans="1:13">
      <c r="A1569" s="43" t="s">
        <v>1672</v>
      </c>
      <c r="B1569" s="43" t="s">
        <v>156</v>
      </c>
      <c r="C1569" s="43" t="s">
        <v>1644</v>
      </c>
      <c r="D1569" s="10" t="s">
        <v>1007</v>
      </c>
      <c r="E1569" s="43" t="s">
        <v>10</v>
      </c>
      <c r="F1569" s="8">
        <f>_xlfn.IFNA(INDEX('OSA | 3GB'!J:L,MATCH(DATA!D1569,'OSA | 3GB'!J:J,0),2),0)</f>
        <v>0</v>
      </c>
      <c r="G1569" s="8">
        <f>_xlfn.IFNA(INDEX('OSA | 3GB'!J:L,MATCH(DATA!D1569,'OSA | 3GB'!J:J,0),3),0)</f>
        <v>0</v>
      </c>
      <c r="H1569" s="32" t="str">
        <f>_xlfn.IFNA(INDEX('OSA | 3GB'!A:C,MATCH(DATA!D1569,'OSA | 3GB'!A:A,0),2),0)</f>
        <v xml:space="preserve"> -   </v>
      </c>
      <c r="I1569" s="33" t="str">
        <f>_xlfn.IFNA(INDEX('OSA | 3GB'!A:C,MATCH(DATA!D1569,'OSA | 3GB'!A:A,0),3),0)</f>
        <v xml:space="preserve"> -   </v>
      </c>
      <c r="J1569" s="33">
        <f>INDEX('BIO WAHYU'!B:G,MATCH(DATA!D1569,'BIO WAHYU'!B:B,0),5)</f>
        <v>0</v>
      </c>
      <c r="K1569" s="34">
        <f>INDEX('BIO WAHYU'!B:G,MATCH(DATA!D1569,'BIO WAHYU'!B:B,0),6)</f>
        <v>0</v>
      </c>
      <c r="L1569" s="35">
        <f>INDEX('BIO WAHYU'!B:H,MATCH(DATA!D1569,'BIO WAHYU'!B:B,0),7)</f>
        <v>0</v>
      </c>
      <c r="M1569" s="34">
        <f>INDEX('BIO WAHYU'!B:H,MATCH(DATA!D1569,'BIO WAHYU'!B:B,0),4)</f>
        <v>0</v>
      </c>
    </row>
    <row r="1570" spans="1:13">
      <c r="A1570" s="43" t="s">
        <v>1670</v>
      </c>
      <c r="B1570" s="43" t="s">
        <v>140</v>
      </c>
      <c r="C1570" s="43" t="s">
        <v>482</v>
      </c>
      <c r="D1570" s="10" t="s">
        <v>483</v>
      </c>
      <c r="E1570" s="43" t="s">
        <v>10</v>
      </c>
      <c r="F1570" s="8">
        <f>_xlfn.IFNA(INDEX('OSA | 3GB'!J:L,MATCH(DATA!D1570,'OSA | 3GB'!J:J,0),2),0)</f>
        <v>0</v>
      </c>
      <c r="G1570" s="8">
        <f>_xlfn.IFNA(INDEX('OSA | 3GB'!J:L,MATCH(DATA!D1570,'OSA | 3GB'!J:J,0),3),0)</f>
        <v>0</v>
      </c>
      <c r="H1570" s="32" t="str">
        <f>_xlfn.IFNA(INDEX('OSA | 3GB'!A:C,MATCH(DATA!D1570,'OSA | 3GB'!A:A,0),2),0)</f>
        <v xml:space="preserve"> -   </v>
      </c>
      <c r="I1570" s="33" t="str">
        <f>_xlfn.IFNA(INDEX('OSA | 3GB'!A:C,MATCH(DATA!D1570,'OSA | 3GB'!A:A,0),3),0)</f>
        <v xml:space="preserve"> -   </v>
      </c>
      <c r="J1570" s="33">
        <f>INDEX('BIO WAHYU'!B:G,MATCH(DATA!D1570,'BIO WAHYU'!B:B,0),5)</f>
        <v>2</v>
      </c>
      <c r="K1570" s="34">
        <f>INDEX('BIO WAHYU'!B:G,MATCH(DATA!D1570,'BIO WAHYU'!B:B,0),6)</f>
        <v>0</v>
      </c>
      <c r="L1570" s="35">
        <f>INDEX('BIO WAHYU'!B:H,MATCH(DATA!D1570,'BIO WAHYU'!B:B,0),7)</f>
        <v>0</v>
      </c>
      <c r="M1570" s="34">
        <f>INDEX('BIO WAHYU'!B:H,MATCH(DATA!D1570,'BIO WAHYU'!B:B,0),4)</f>
        <v>0</v>
      </c>
    </row>
    <row r="1571" spans="1:13">
      <c r="A1571" s="43" t="s">
        <v>1</v>
      </c>
      <c r="B1571" s="43" t="s">
        <v>5</v>
      </c>
      <c r="C1571" s="43" t="s">
        <v>85</v>
      </c>
      <c r="D1571" s="10">
        <v>12334635</v>
      </c>
      <c r="E1571" s="43" t="s">
        <v>10</v>
      </c>
      <c r="F1571" s="8">
        <f>_xlfn.IFNA(INDEX('OSA | 3GB'!J:L,MATCH(DATA!D1571,'OSA | 3GB'!J:J,0),2),0)</f>
        <v>5</v>
      </c>
      <c r="G1571" s="8">
        <f>_xlfn.IFNA(INDEX('OSA | 3GB'!J:L,MATCH(DATA!D1571,'OSA | 3GB'!J:J,0),3),0)</f>
        <v>61377000</v>
      </c>
      <c r="H1571" s="32">
        <f>_xlfn.IFNA(INDEX('OSA | 3GB'!A:C,MATCH(DATA!D1571,'OSA | 3GB'!A:A,0),2),0)</f>
        <v>4</v>
      </c>
      <c r="I1571" s="33">
        <f>_xlfn.IFNA(INDEX('OSA | 3GB'!A:C,MATCH(DATA!D1571,'OSA | 3GB'!A:A,0),3),0)</f>
        <v>23000000</v>
      </c>
      <c r="J1571" s="33">
        <f>INDEX('BIO WAHYU'!B:G,MATCH(DATA!D1571,'BIO WAHYU'!B:B,0),5)</f>
        <v>5</v>
      </c>
      <c r="K1571" s="34">
        <f>INDEX('BIO WAHYU'!B:G,MATCH(DATA!D1571,'BIO WAHYU'!B:B,0),6)</f>
        <v>3</v>
      </c>
      <c r="L1571" s="35">
        <f>INDEX('BIO WAHYU'!B:H,MATCH(DATA!D1571,'BIO WAHYU'!B:B,0),7)</f>
        <v>0</v>
      </c>
      <c r="M1571" s="34">
        <f>INDEX('BIO WAHYU'!B:H,MATCH(DATA!D1571,'BIO WAHYU'!B:B,0),4)</f>
        <v>1</v>
      </c>
    </row>
    <row r="1572" spans="1:13">
      <c r="A1572" s="43" t="s">
        <v>1</v>
      </c>
      <c r="B1572" s="43" t="s">
        <v>5</v>
      </c>
      <c r="C1572" s="43" t="s">
        <v>86</v>
      </c>
      <c r="D1572" s="10">
        <v>12334637</v>
      </c>
      <c r="E1572" s="43" t="s">
        <v>10</v>
      </c>
      <c r="F1572" s="8">
        <f>_xlfn.IFNA(INDEX('OSA | 3GB'!J:L,MATCH(DATA!D1572,'OSA | 3GB'!J:J,0),2),0)</f>
        <v>14</v>
      </c>
      <c r="G1572" s="8">
        <f>_xlfn.IFNA(INDEX('OSA | 3GB'!J:L,MATCH(DATA!D1572,'OSA | 3GB'!J:J,0),3),0)</f>
        <v>21624000</v>
      </c>
      <c r="H1572" s="32">
        <f>_xlfn.IFNA(INDEX('OSA | 3GB'!A:C,MATCH(DATA!D1572,'OSA | 3GB'!A:A,0),2),0)</f>
        <v>25</v>
      </c>
      <c r="I1572" s="33">
        <f>_xlfn.IFNA(INDEX('OSA | 3GB'!A:C,MATCH(DATA!D1572,'OSA | 3GB'!A:A,0),3),0)</f>
        <v>10365030</v>
      </c>
      <c r="J1572" s="33">
        <f>INDEX('BIO WAHYU'!B:G,MATCH(DATA!D1572,'BIO WAHYU'!B:B,0),5)</f>
        <v>6</v>
      </c>
      <c r="K1572" s="34">
        <f>INDEX('BIO WAHYU'!B:G,MATCH(DATA!D1572,'BIO WAHYU'!B:B,0),6)</f>
        <v>21</v>
      </c>
      <c r="L1572" s="35">
        <f>INDEX('BIO WAHYU'!B:H,MATCH(DATA!D1572,'BIO WAHYU'!B:B,0),7)</f>
        <v>15</v>
      </c>
      <c r="M1572" s="34">
        <f>INDEX('BIO WAHYU'!B:H,MATCH(DATA!D1572,'BIO WAHYU'!B:B,0),4)</f>
        <v>0</v>
      </c>
    </row>
    <row r="1573" spans="1:13">
      <c r="A1573" s="43" t="s">
        <v>1674</v>
      </c>
      <c r="B1573" s="43" t="s">
        <v>152</v>
      </c>
      <c r="C1573" s="43" t="s">
        <v>653</v>
      </c>
      <c r="D1573" s="10">
        <v>12333967</v>
      </c>
      <c r="E1573" s="43" t="s">
        <v>10</v>
      </c>
      <c r="F1573" s="8">
        <f>_xlfn.IFNA(INDEX('OSA | 3GB'!J:L,MATCH(DATA!D1573,'OSA | 3GB'!J:J,0),2),0)</f>
        <v>1</v>
      </c>
      <c r="G1573" s="8">
        <f>_xlfn.IFNA(INDEX('OSA | 3GB'!J:L,MATCH(DATA!D1573,'OSA | 3GB'!J:J,0),3),0)</f>
        <v>188000</v>
      </c>
      <c r="H1573" s="32" t="str">
        <f>_xlfn.IFNA(INDEX('OSA | 3GB'!A:C,MATCH(DATA!D1573,'OSA | 3GB'!A:A,0),2),0)</f>
        <v xml:space="preserve"> -   </v>
      </c>
      <c r="I1573" s="33" t="str">
        <f>_xlfn.IFNA(INDEX('OSA | 3GB'!A:C,MATCH(DATA!D1573,'OSA | 3GB'!A:A,0),3),0)</f>
        <v xml:space="preserve"> -   </v>
      </c>
      <c r="J1573" s="33">
        <f>INDEX('BIO WAHYU'!B:G,MATCH(DATA!D1573,'BIO WAHYU'!B:B,0),5)</f>
        <v>1</v>
      </c>
      <c r="K1573" s="34">
        <f>INDEX('BIO WAHYU'!B:G,MATCH(DATA!D1573,'BIO WAHYU'!B:B,0),6)</f>
        <v>0</v>
      </c>
      <c r="L1573" s="35">
        <f>INDEX('BIO WAHYU'!B:H,MATCH(DATA!D1573,'BIO WAHYU'!B:B,0),7)</f>
        <v>0</v>
      </c>
      <c r="M1573" s="34">
        <f>INDEX('BIO WAHYU'!B:H,MATCH(DATA!D1573,'BIO WAHYU'!B:B,0),4)</f>
        <v>0</v>
      </c>
    </row>
    <row r="1574" spans="1:13">
      <c r="A1574" s="43" t="s">
        <v>1674</v>
      </c>
      <c r="B1574" s="43" t="s">
        <v>153</v>
      </c>
      <c r="C1574" s="43" t="s">
        <v>708</v>
      </c>
      <c r="D1574" s="10">
        <v>12333670</v>
      </c>
      <c r="E1574" s="43" t="s">
        <v>10</v>
      </c>
      <c r="F1574" s="8">
        <f>_xlfn.IFNA(INDEX('OSA | 3GB'!J:L,MATCH(DATA!D1574,'OSA | 3GB'!J:J,0),2),0)</f>
        <v>5</v>
      </c>
      <c r="G1574" s="8">
        <f>_xlfn.IFNA(INDEX('OSA | 3GB'!J:L,MATCH(DATA!D1574,'OSA | 3GB'!J:J,0),3),0)</f>
        <v>1992000</v>
      </c>
      <c r="H1574" s="32" t="str">
        <f>_xlfn.IFNA(INDEX('OSA | 3GB'!A:C,MATCH(DATA!D1574,'OSA | 3GB'!A:A,0),2),0)</f>
        <v xml:space="preserve"> -   </v>
      </c>
      <c r="I1574" s="33">
        <f>_xlfn.IFNA(INDEX('OSA | 3GB'!A:C,MATCH(DATA!D1574,'OSA | 3GB'!A:A,0),3),0)</f>
        <v>1260000</v>
      </c>
      <c r="J1574" s="33">
        <f>INDEX('BIO WAHYU'!B:G,MATCH(DATA!D1574,'BIO WAHYU'!B:B,0),5)</f>
        <v>4</v>
      </c>
      <c r="K1574" s="34">
        <f>INDEX('BIO WAHYU'!B:G,MATCH(DATA!D1574,'BIO WAHYU'!B:B,0),6)</f>
        <v>4</v>
      </c>
      <c r="L1574" s="35">
        <f>INDEX('BIO WAHYU'!B:H,MATCH(DATA!D1574,'BIO WAHYU'!B:B,0),7)</f>
        <v>0</v>
      </c>
      <c r="M1574" s="34">
        <f>INDEX('BIO WAHYU'!B:H,MATCH(DATA!D1574,'BIO WAHYU'!B:B,0),4)</f>
        <v>0</v>
      </c>
    </row>
    <row r="1575" spans="1:13">
      <c r="A1575" s="43" t="s">
        <v>1673</v>
      </c>
      <c r="B1575" s="43" t="s">
        <v>1136</v>
      </c>
      <c r="C1575" s="43" t="s">
        <v>1645</v>
      </c>
      <c r="D1575" s="10">
        <v>12334713</v>
      </c>
      <c r="E1575" s="43" t="s">
        <v>10</v>
      </c>
      <c r="F1575" s="8">
        <f>_xlfn.IFNA(INDEX('OSA | 3GB'!J:L,MATCH(DATA!D1575,'OSA | 3GB'!J:J,0),2),0)</f>
        <v>5</v>
      </c>
      <c r="G1575" s="8">
        <f>_xlfn.IFNA(INDEX('OSA | 3GB'!J:L,MATCH(DATA!D1575,'OSA | 3GB'!J:J,0),3),0)</f>
        <v>900000</v>
      </c>
      <c r="H1575" s="32" t="str">
        <f>_xlfn.IFNA(INDEX('OSA | 3GB'!A:C,MATCH(DATA!D1575,'OSA | 3GB'!A:A,0),2),0)</f>
        <v xml:space="preserve"> -   </v>
      </c>
      <c r="I1575" s="33">
        <f>_xlfn.IFNA(INDEX('OSA | 3GB'!A:C,MATCH(DATA!D1575,'OSA | 3GB'!A:A,0),3),0)</f>
        <v>350000</v>
      </c>
      <c r="J1575" s="33">
        <f>INDEX('BIO WAHYU'!B:G,MATCH(DATA!D1575,'BIO WAHYU'!B:B,0),5)</f>
        <v>3</v>
      </c>
      <c r="K1575" s="34">
        <f>INDEX('BIO WAHYU'!B:G,MATCH(DATA!D1575,'BIO WAHYU'!B:B,0),6)</f>
        <v>3</v>
      </c>
      <c r="L1575" s="35">
        <f>INDEX('BIO WAHYU'!B:H,MATCH(DATA!D1575,'BIO WAHYU'!B:B,0),7)</f>
        <v>0</v>
      </c>
      <c r="M1575" s="34">
        <f>INDEX('BIO WAHYU'!B:H,MATCH(DATA!D1575,'BIO WAHYU'!B:B,0),4)</f>
        <v>0</v>
      </c>
    </row>
    <row r="1576" spans="1:13">
      <c r="A1576" s="43" t="s">
        <v>1675</v>
      </c>
      <c r="B1576" s="43" t="s">
        <v>136</v>
      </c>
      <c r="C1576" s="43" t="s">
        <v>398</v>
      </c>
      <c r="D1576" s="10">
        <v>12334597</v>
      </c>
      <c r="E1576" s="43" t="s">
        <v>15</v>
      </c>
      <c r="F1576" s="8">
        <f>_xlfn.IFNA(INDEX('OSA | 3GB'!J:L,MATCH(DATA!D1576,'OSA | 3GB'!J:J,0),2),0)</f>
        <v>3</v>
      </c>
      <c r="G1576" s="8">
        <f>_xlfn.IFNA(INDEX('OSA | 3GB'!J:L,MATCH(DATA!D1576,'OSA | 3GB'!J:J,0),3),0)</f>
        <v>0</v>
      </c>
      <c r="H1576" s="32" t="str">
        <f>_xlfn.IFNA(INDEX('OSA | 3GB'!A:C,MATCH(DATA!D1576,'OSA | 3GB'!A:A,0),2),0)</f>
        <v xml:space="preserve"> -   </v>
      </c>
      <c r="I1576" s="33" t="str">
        <f>_xlfn.IFNA(INDEX('OSA | 3GB'!A:C,MATCH(DATA!D1576,'OSA | 3GB'!A:A,0),3),0)</f>
        <v xml:space="preserve"> -   </v>
      </c>
      <c r="J1576" s="33">
        <f>INDEX('BIO WAHYU'!B:G,MATCH(DATA!D1576,'BIO WAHYU'!B:B,0),5)</f>
        <v>4</v>
      </c>
      <c r="K1576" s="34">
        <f>INDEX('BIO WAHYU'!B:G,MATCH(DATA!D1576,'BIO WAHYU'!B:B,0),6)</f>
        <v>0</v>
      </c>
      <c r="L1576" s="35">
        <f>INDEX('BIO WAHYU'!B:H,MATCH(DATA!D1576,'BIO WAHYU'!B:B,0),7)</f>
        <v>0</v>
      </c>
      <c r="M1576" s="34">
        <f>INDEX('BIO WAHYU'!B:H,MATCH(DATA!D1576,'BIO WAHYU'!B:B,0),4)</f>
        <v>0</v>
      </c>
    </row>
    <row r="1577" spans="1:13">
      <c r="A1577" s="43" t="s">
        <v>1674</v>
      </c>
      <c r="B1577" s="43" t="s">
        <v>148</v>
      </c>
      <c r="C1577" s="43" t="s">
        <v>629</v>
      </c>
      <c r="D1577" s="10">
        <v>12334377</v>
      </c>
      <c r="E1577" s="43" t="s">
        <v>10</v>
      </c>
      <c r="F1577" s="8">
        <f>_xlfn.IFNA(INDEX('OSA | 3GB'!J:L,MATCH(DATA!D1577,'OSA | 3GB'!J:J,0),2),0)</f>
        <v>3</v>
      </c>
      <c r="G1577" s="8">
        <f>_xlfn.IFNA(INDEX('OSA | 3GB'!J:L,MATCH(DATA!D1577,'OSA | 3GB'!J:J,0),3),0)</f>
        <v>300000</v>
      </c>
      <c r="H1577" s="32" t="str">
        <f>_xlfn.IFNA(INDEX('OSA | 3GB'!A:C,MATCH(DATA!D1577,'OSA | 3GB'!A:A,0),2),0)</f>
        <v xml:space="preserve"> -   </v>
      </c>
      <c r="I1577" s="33">
        <f>_xlfn.IFNA(INDEX('OSA | 3GB'!A:C,MATCH(DATA!D1577,'OSA | 3GB'!A:A,0),3),0)</f>
        <v>500000</v>
      </c>
      <c r="J1577" s="33">
        <f>INDEX('BIO WAHYU'!B:G,MATCH(DATA!D1577,'BIO WAHYU'!B:B,0),5)</f>
        <v>5</v>
      </c>
      <c r="K1577" s="34">
        <f>INDEX('BIO WAHYU'!B:G,MATCH(DATA!D1577,'BIO WAHYU'!B:B,0),6)</f>
        <v>1</v>
      </c>
      <c r="L1577" s="35">
        <f>INDEX('BIO WAHYU'!B:H,MATCH(DATA!D1577,'BIO WAHYU'!B:B,0),7)</f>
        <v>0</v>
      </c>
      <c r="M1577" s="34">
        <f>INDEX('BIO WAHYU'!B:H,MATCH(DATA!D1577,'BIO WAHYU'!B:B,0),4)</f>
        <v>0</v>
      </c>
    </row>
    <row r="1578" spans="1:13">
      <c r="A1578" s="43" t="s">
        <v>1</v>
      </c>
      <c r="B1578" s="43" t="s">
        <v>4</v>
      </c>
      <c r="C1578" s="43" t="s">
        <v>73</v>
      </c>
      <c r="D1578" s="10" t="s">
        <v>74</v>
      </c>
      <c r="E1578" s="43" t="s">
        <v>10</v>
      </c>
      <c r="F1578" s="8">
        <f>_xlfn.IFNA(INDEX('OSA | 3GB'!J:L,MATCH(DATA!D1578,'OSA | 3GB'!J:J,0),2),0)</f>
        <v>0</v>
      </c>
      <c r="G1578" s="8">
        <f>_xlfn.IFNA(INDEX('OSA | 3GB'!J:L,MATCH(DATA!D1578,'OSA | 3GB'!J:J,0),3),0)</f>
        <v>3000000</v>
      </c>
      <c r="H1578" s="32" t="str">
        <f>_xlfn.IFNA(INDEX('OSA | 3GB'!A:C,MATCH(DATA!D1578,'OSA | 3GB'!A:A,0),2),0)</f>
        <v xml:space="preserve"> -   </v>
      </c>
      <c r="I1578" s="33">
        <f>_xlfn.IFNA(INDEX('OSA | 3GB'!A:C,MATCH(DATA!D1578,'OSA | 3GB'!A:A,0),3),0)</f>
        <v>1300000</v>
      </c>
      <c r="J1578" s="33">
        <f>INDEX('BIO WAHYU'!B:G,MATCH(DATA!D1578,'BIO WAHYU'!B:B,0),5)</f>
        <v>1</v>
      </c>
      <c r="K1578" s="34">
        <f>INDEX('BIO WAHYU'!B:G,MATCH(DATA!D1578,'BIO WAHYU'!B:B,0),6)</f>
        <v>0</v>
      </c>
      <c r="L1578" s="35">
        <f>INDEX('BIO WAHYU'!B:H,MATCH(DATA!D1578,'BIO WAHYU'!B:B,0),7)</f>
        <v>0</v>
      </c>
      <c r="M1578" s="34">
        <f>INDEX('BIO WAHYU'!B:H,MATCH(DATA!D1578,'BIO WAHYU'!B:B,0),4)</f>
        <v>0</v>
      </c>
    </row>
    <row r="1579" spans="1:13">
      <c r="A1579" s="43" t="s">
        <v>1674</v>
      </c>
      <c r="B1579" s="43" t="s">
        <v>147</v>
      </c>
      <c r="C1579" s="43" t="s">
        <v>1646</v>
      </c>
      <c r="D1579" s="10" t="s">
        <v>624</v>
      </c>
      <c r="E1579" s="43" t="s">
        <v>10</v>
      </c>
      <c r="F1579" s="8">
        <f>_xlfn.IFNA(INDEX('OSA | 3GB'!J:L,MATCH(DATA!D1579,'OSA | 3GB'!J:J,0),2),0)</f>
        <v>36</v>
      </c>
      <c r="G1579" s="8">
        <f>_xlfn.IFNA(INDEX('OSA | 3GB'!J:L,MATCH(DATA!D1579,'OSA | 3GB'!J:J,0),3),0)</f>
        <v>18516000</v>
      </c>
      <c r="H1579" s="32">
        <f>_xlfn.IFNA(INDEX('OSA | 3GB'!A:C,MATCH(DATA!D1579,'OSA | 3GB'!A:A,0),2),0)</f>
        <v>1</v>
      </c>
      <c r="I1579" s="33">
        <f>_xlfn.IFNA(INDEX('OSA | 3GB'!A:C,MATCH(DATA!D1579,'OSA | 3GB'!A:A,0),3),0)</f>
        <v>5458000</v>
      </c>
      <c r="J1579" s="33">
        <f>INDEX('BIO WAHYU'!B:G,MATCH(DATA!D1579,'BIO WAHYU'!B:B,0),5)</f>
        <v>7</v>
      </c>
      <c r="K1579" s="34">
        <f>INDEX('BIO WAHYU'!B:G,MATCH(DATA!D1579,'BIO WAHYU'!B:B,0),6)</f>
        <v>10</v>
      </c>
      <c r="L1579" s="35">
        <f>INDEX('BIO WAHYU'!B:H,MATCH(DATA!D1579,'BIO WAHYU'!B:B,0),7)</f>
        <v>3</v>
      </c>
      <c r="M1579" s="34">
        <f>INDEX('BIO WAHYU'!B:H,MATCH(DATA!D1579,'BIO WAHYU'!B:B,0),4)</f>
        <v>0</v>
      </c>
    </row>
    <row r="1580" spans="1:13">
      <c r="A1580" s="43" t="s">
        <v>1674</v>
      </c>
      <c r="B1580" s="43" t="s">
        <v>154</v>
      </c>
      <c r="C1580" s="43" t="s">
        <v>1647</v>
      </c>
      <c r="D1580" s="10" t="s">
        <v>758</v>
      </c>
      <c r="E1580" s="43" t="s">
        <v>15</v>
      </c>
      <c r="F1580" s="8">
        <f>_xlfn.IFNA(INDEX('OSA | 3GB'!J:L,MATCH(DATA!D1580,'OSA | 3GB'!J:J,0),2),0)</f>
        <v>3</v>
      </c>
      <c r="G1580" s="8">
        <f>_xlfn.IFNA(INDEX('OSA | 3GB'!J:L,MATCH(DATA!D1580,'OSA | 3GB'!J:J,0),3),0)</f>
        <v>187000</v>
      </c>
      <c r="H1580" s="32" t="str">
        <f>_xlfn.IFNA(INDEX('OSA | 3GB'!A:C,MATCH(DATA!D1580,'OSA | 3GB'!A:A,0),2),0)</f>
        <v xml:space="preserve"> -   </v>
      </c>
      <c r="I1580" s="33" t="str">
        <f>_xlfn.IFNA(INDEX('OSA | 3GB'!A:C,MATCH(DATA!D1580,'OSA | 3GB'!A:A,0),3),0)</f>
        <v xml:space="preserve"> -   </v>
      </c>
      <c r="J1580" s="33">
        <f>INDEX('BIO WAHYU'!B:G,MATCH(DATA!D1580,'BIO WAHYU'!B:B,0),5)</f>
        <v>0</v>
      </c>
      <c r="K1580" s="34">
        <f>INDEX('BIO WAHYU'!B:G,MATCH(DATA!D1580,'BIO WAHYU'!B:B,0),6)</f>
        <v>0</v>
      </c>
      <c r="L1580" s="35">
        <f>INDEX('BIO WAHYU'!B:H,MATCH(DATA!D1580,'BIO WAHYU'!B:B,0),7)</f>
        <v>0</v>
      </c>
      <c r="M1580" s="34">
        <f>INDEX('BIO WAHYU'!B:H,MATCH(DATA!D1580,'BIO WAHYU'!B:B,0),4)</f>
        <v>0</v>
      </c>
    </row>
    <row r="1581" spans="1:13">
      <c r="A1581" s="43" t="s">
        <v>1674</v>
      </c>
      <c r="B1581" s="43" t="s">
        <v>152</v>
      </c>
      <c r="C1581" s="43" t="s">
        <v>1648</v>
      </c>
      <c r="D1581" s="10" t="s">
        <v>684</v>
      </c>
      <c r="E1581" s="43" t="s">
        <v>10</v>
      </c>
      <c r="F1581" s="8">
        <f>_xlfn.IFNA(INDEX('OSA | 3GB'!J:L,MATCH(DATA!D1581,'OSA | 3GB'!J:J,0),2),0)</f>
        <v>0</v>
      </c>
      <c r="G1581" s="8">
        <f>_xlfn.IFNA(INDEX('OSA | 3GB'!J:L,MATCH(DATA!D1581,'OSA | 3GB'!J:J,0),3),0)</f>
        <v>300000</v>
      </c>
      <c r="H1581" s="32" t="str">
        <f>_xlfn.IFNA(INDEX('OSA | 3GB'!A:C,MATCH(DATA!D1581,'OSA | 3GB'!A:A,0),2),0)</f>
        <v xml:space="preserve"> -   </v>
      </c>
      <c r="I1581" s="33">
        <f>_xlfn.IFNA(INDEX('OSA | 3GB'!A:C,MATCH(DATA!D1581,'OSA | 3GB'!A:A,0),3),0)</f>
        <v>100000</v>
      </c>
      <c r="J1581" s="33">
        <f>INDEX('BIO WAHYU'!B:G,MATCH(DATA!D1581,'BIO WAHYU'!B:B,0),5)</f>
        <v>1</v>
      </c>
      <c r="K1581" s="34">
        <f>INDEX('BIO WAHYU'!B:G,MATCH(DATA!D1581,'BIO WAHYU'!B:B,0),6)</f>
        <v>0</v>
      </c>
      <c r="L1581" s="35">
        <f>INDEX('BIO WAHYU'!B:H,MATCH(DATA!D1581,'BIO WAHYU'!B:B,0),7)</f>
        <v>0</v>
      </c>
      <c r="M1581" s="34">
        <f>INDEX('BIO WAHYU'!B:H,MATCH(DATA!D1581,'BIO WAHYU'!B:B,0),4)</f>
        <v>0</v>
      </c>
    </row>
    <row r="1582" spans="1:13">
      <c r="A1582" s="43" t="s">
        <v>1674</v>
      </c>
      <c r="B1582" s="43">
        <v>2613052222</v>
      </c>
      <c r="C1582" s="43" t="s">
        <v>701</v>
      </c>
      <c r="D1582" s="10" t="s">
        <v>702</v>
      </c>
      <c r="E1582" s="43" t="s">
        <v>10</v>
      </c>
      <c r="F1582" s="8">
        <f>_xlfn.IFNA(INDEX('OSA | 3GB'!J:L,MATCH(DATA!D1582,'OSA | 3GB'!J:J,0),2),0)</f>
        <v>2</v>
      </c>
      <c r="G1582" s="8">
        <f>_xlfn.IFNA(INDEX('OSA | 3GB'!J:L,MATCH(DATA!D1582,'OSA | 3GB'!J:J,0),3),0)</f>
        <v>2000000</v>
      </c>
      <c r="H1582" s="32" t="str">
        <f>_xlfn.IFNA(INDEX('OSA | 3GB'!A:C,MATCH(DATA!D1582,'OSA | 3GB'!A:A,0),2),0)</f>
        <v xml:space="preserve"> -   </v>
      </c>
      <c r="I1582" s="33">
        <f>_xlfn.IFNA(INDEX('OSA | 3GB'!A:C,MATCH(DATA!D1582,'OSA | 3GB'!A:A,0),3),0)</f>
        <v>750000</v>
      </c>
      <c r="J1582" s="33">
        <f>INDEX('BIO WAHYU'!B:G,MATCH(DATA!D1582,'BIO WAHYU'!B:B,0),5)</f>
        <v>1</v>
      </c>
      <c r="K1582" s="34">
        <f>INDEX('BIO WAHYU'!B:G,MATCH(DATA!D1582,'BIO WAHYU'!B:B,0),6)</f>
        <v>1</v>
      </c>
      <c r="L1582" s="35">
        <f>INDEX('BIO WAHYU'!B:H,MATCH(DATA!D1582,'BIO WAHYU'!B:B,0),7)</f>
        <v>0</v>
      </c>
      <c r="M1582" s="34">
        <f>INDEX('BIO WAHYU'!B:H,MATCH(DATA!D1582,'BIO WAHYU'!B:B,0),4)</f>
        <v>0</v>
      </c>
    </row>
    <row r="1583" spans="1:13">
      <c r="A1583" s="43" t="s">
        <v>1674</v>
      </c>
      <c r="B1583" s="43" t="s">
        <v>152</v>
      </c>
      <c r="C1583" s="43" t="s">
        <v>682</v>
      </c>
      <c r="D1583" s="10" t="s">
        <v>683</v>
      </c>
      <c r="E1583" s="43" t="s">
        <v>10</v>
      </c>
      <c r="F1583" s="8">
        <f>_xlfn.IFNA(INDEX('OSA | 3GB'!J:L,MATCH(DATA!D1583,'OSA | 3GB'!J:J,0),2),0)</f>
        <v>20</v>
      </c>
      <c r="G1583" s="8">
        <f>_xlfn.IFNA(INDEX('OSA | 3GB'!J:L,MATCH(DATA!D1583,'OSA | 3GB'!J:J,0),3),0)</f>
        <v>2029000</v>
      </c>
      <c r="H1583" s="32" t="str">
        <f>_xlfn.IFNA(INDEX('OSA | 3GB'!A:C,MATCH(DATA!D1583,'OSA | 3GB'!A:A,0),2),0)</f>
        <v xml:space="preserve"> -   </v>
      </c>
      <c r="I1583" s="33">
        <f>_xlfn.IFNA(INDEX('OSA | 3GB'!A:C,MATCH(DATA!D1583,'OSA | 3GB'!A:A,0),3),0)</f>
        <v>1000000</v>
      </c>
      <c r="J1583" s="33">
        <f>INDEX('BIO WAHYU'!B:G,MATCH(DATA!D1583,'BIO WAHYU'!B:B,0),5)</f>
        <v>3</v>
      </c>
      <c r="K1583" s="34">
        <f>INDEX('BIO WAHYU'!B:G,MATCH(DATA!D1583,'BIO WAHYU'!B:B,0),6)</f>
        <v>1</v>
      </c>
      <c r="L1583" s="35">
        <f>INDEX('BIO WAHYU'!B:H,MATCH(DATA!D1583,'BIO WAHYU'!B:B,0),7)</f>
        <v>0</v>
      </c>
      <c r="M1583" s="34">
        <f>INDEX('BIO WAHYU'!B:H,MATCH(DATA!D1583,'BIO WAHYU'!B:B,0),4)</f>
        <v>0</v>
      </c>
    </row>
    <row r="1584" spans="1:13">
      <c r="A1584" s="43" t="s">
        <v>1674</v>
      </c>
      <c r="B1584" s="43" t="s">
        <v>154</v>
      </c>
      <c r="C1584" s="43" t="s">
        <v>759</v>
      </c>
      <c r="D1584" s="10" t="s">
        <v>760</v>
      </c>
      <c r="E1584" s="43" t="s">
        <v>15</v>
      </c>
      <c r="F1584" s="8">
        <f>_xlfn.IFNA(INDEX('OSA | 3GB'!J:L,MATCH(DATA!D1584,'OSA | 3GB'!J:J,0),2),0)</f>
        <v>3</v>
      </c>
      <c r="G1584" s="8">
        <f>_xlfn.IFNA(INDEX('OSA | 3GB'!J:L,MATCH(DATA!D1584,'OSA | 3GB'!J:J,0),3),0)</f>
        <v>0</v>
      </c>
      <c r="H1584" s="32" t="str">
        <f>_xlfn.IFNA(INDEX('OSA | 3GB'!A:C,MATCH(DATA!D1584,'OSA | 3GB'!A:A,0),2),0)</f>
        <v xml:space="preserve"> -   </v>
      </c>
      <c r="I1584" s="33" t="str">
        <f>_xlfn.IFNA(INDEX('OSA | 3GB'!A:C,MATCH(DATA!D1584,'OSA | 3GB'!A:A,0),3),0)</f>
        <v xml:space="preserve"> -   </v>
      </c>
      <c r="J1584" s="33">
        <f>INDEX('BIO WAHYU'!B:G,MATCH(DATA!D1584,'BIO WAHYU'!B:B,0),5)</f>
        <v>1</v>
      </c>
      <c r="K1584" s="34">
        <f>INDEX('BIO WAHYU'!B:G,MATCH(DATA!D1584,'BIO WAHYU'!B:B,0),6)</f>
        <v>0</v>
      </c>
      <c r="L1584" s="35">
        <f>INDEX('BIO WAHYU'!B:H,MATCH(DATA!D1584,'BIO WAHYU'!B:B,0),7)</f>
        <v>0</v>
      </c>
      <c r="M1584" s="34">
        <f>INDEX('BIO WAHYU'!B:H,MATCH(DATA!D1584,'BIO WAHYU'!B:B,0),4)</f>
        <v>0</v>
      </c>
    </row>
    <row r="1585" spans="1:13">
      <c r="A1585" s="43" t="s">
        <v>1672</v>
      </c>
      <c r="B1585" s="43" t="s">
        <v>155</v>
      </c>
      <c r="C1585" s="43" t="s">
        <v>965</v>
      </c>
      <c r="D1585" s="10" t="s">
        <v>966</v>
      </c>
      <c r="E1585" s="43" t="s">
        <v>10</v>
      </c>
      <c r="F1585" s="8">
        <f>_xlfn.IFNA(INDEX('OSA | 3GB'!J:L,MATCH(DATA!D1585,'OSA | 3GB'!J:J,0),2),0)</f>
        <v>3</v>
      </c>
      <c r="G1585" s="8">
        <f>_xlfn.IFNA(INDEX('OSA | 3GB'!J:L,MATCH(DATA!D1585,'OSA | 3GB'!J:J,0),3),0)</f>
        <v>150000</v>
      </c>
      <c r="H1585" s="32" t="str">
        <f>_xlfn.IFNA(INDEX('OSA | 3GB'!A:C,MATCH(DATA!D1585,'OSA | 3GB'!A:A,0),2),0)</f>
        <v xml:space="preserve"> -   </v>
      </c>
      <c r="I1585" s="33" t="str">
        <f>_xlfn.IFNA(INDEX('OSA | 3GB'!A:C,MATCH(DATA!D1585,'OSA | 3GB'!A:A,0),3),0)</f>
        <v xml:space="preserve"> -   </v>
      </c>
      <c r="J1585" s="33">
        <f>INDEX('BIO WAHYU'!B:G,MATCH(DATA!D1585,'BIO WAHYU'!B:B,0),5)</f>
        <v>1</v>
      </c>
      <c r="K1585" s="34">
        <f>INDEX('BIO WAHYU'!B:G,MATCH(DATA!D1585,'BIO WAHYU'!B:B,0),6)</f>
        <v>0</v>
      </c>
      <c r="L1585" s="35">
        <f>INDEX('BIO WAHYU'!B:H,MATCH(DATA!D1585,'BIO WAHYU'!B:B,0),7)</f>
        <v>0</v>
      </c>
      <c r="M1585" s="34">
        <f>INDEX('BIO WAHYU'!B:H,MATCH(DATA!D1585,'BIO WAHYU'!B:B,0),4)</f>
        <v>0</v>
      </c>
    </row>
    <row r="1586" spans="1:13">
      <c r="A1586" s="43" t="s">
        <v>1672</v>
      </c>
      <c r="B1586" s="43" t="s">
        <v>151</v>
      </c>
      <c r="C1586" s="43" t="s">
        <v>663</v>
      </c>
      <c r="D1586" s="10" t="s">
        <v>884</v>
      </c>
      <c r="E1586" s="43" t="s">
        <v>10</v>
      </c>
      <c r="F1586" s="8">
        <f>_xlfn.IFNA(INDEX('OSA | 3GB'!J:L,MATCH(DATA!D1586,'OSA | 3GB'!J:J,0),2),0)</f>
        <v>51</v>
      </c>
      <c r="G1586" s="8">
        <f>_xlfn.IFNA(INDEX('OSA | 3GB'!J:L,MATCH(DATA!D1586,'OSA | 3GB'!J:J,0),3),0)</f>
        <v>3100000</v>
      </c>
      <c r="H1586" s="32">
        <f>_xlfn.IFNA(INDEX('OSA | 3GB'!A:C,MATCH(DATA!D1586,'OSA | 3GB'!A:A,0),2),0)</f>
        <v>5</v>
      </c>
      <c r="I1586" s="33">
        <f>_xlfn.IFNA(INDEX('OSA | 3GB'!A:C,MATCH(DATA!D1586,'OSA | 3GB'!A:A,0),3),0)</f>
        <v>1925000</v>
      </c>
      <c r="J1586" s="33">
        <f>INDEX('BIO WAHYU'!B:G,MATCH(DATA!D1586,'BIO WAHYU'!B:B,0),5)</f>
        <v>3</v>
      </c>
      <c r="K1586" s="34">
        <f>INDEX('BIO WAHYU'!B:G,MATCH(DATA!D1586,'BIO WAHYU'!B:B,0),6)</f>
        <v>0</v>
      </c>
      <c r="L1586" s="35">
        <f>INDEX('BIO WAHYU'!B:H,MATCH(DATA!D1586,'BIO WAHYU'!B:B,0),7)</f>
        <v>0</v>
      </c>
      <c r="M1586" s="34">
        <f>INDEX('BIO WAHYU'!B:H,MATCH(DATA!D1586,'BIO WAHYU'!B:B,0),4)</f>
        <v>4</v>
      </c>
    </row>
    <row r="1587" spans="1:13">
      <c r="A1587" s="43" t="s">
        <v>1672</v>
      </c>
      <c r="B1587" s="43" t="s">
        <v>149</v>
      </c>
      <c r="C1587" s="43" t="s">
        <v>805</v>
      </c>
      <c r="D1587" s="10" t="s">
        <v>806</v>
      </c>
      <c r="E1587" s="43" t="s">
        <v>10</v>
      </c>
      <c r="F1587" s="8">
        <f>_xlfn.IFNA(INDEX('OSA | 3GB'!J:L,MATCH(DATA!D1587,'OSA | 3GB'!J:J,0),2),0)</f>
        <v>65</v>
      </c>
      <c r="G1587" s="8">
        <f>_xlfn.IFNA(INDEX('OSA | 3GB'!J:L,MATCH(DATA!D1587,'OSA | 3GB'!J:J,0),3),0)</f>
        <v>1407000</v>
      </c>
      <c r="H1587" s="32">
        <f>_xlfn.IFNA(INDEX('OSA | 3GB'!A:C,MATCH(DATA!D1587,'OSA | 3GB'!A:A,0),2),0)</f>
        <v>2</v>
      </c>
      <c r="I1587" s="33">
        <f>_xlfn.IFNA(INDEX('OSA | 3GB'!A:C,MATCH(DATA!D1587,'OSA | 3GB'!A:A,0),3),0)</f>
        <v>358000</v>
      </c>
      <c r="J1587" s="33">
        <f>INDEX('BIO WAHYU'!B:G,MATCH(DATA!D1587,'BIO WAHYU'!B:B,0),5)</f>
        <v>0</v>
      </c>
      <c r="K1587" s="34">
        <f>INDEX('BIO WAHYU'!B:G,MATCH(DATA!D1587,'BIO WAHYU'!B:B,0),6)</f>
        <v>0</v>
      </c>
      <c r="L1587" s="35">
        <f>INDEX('BIO WAHYU'!B:H,MATCH(DATA!D1587,'BIO WAHYU'!B:B,0),7)</f>
        <v>0</v>
      </c>
      <c r="M1587" s="34">
        <f>INDEX('BIO WAHYU'!B:H,MATCH(DATA!D1587,'BIO WAHYU'!B:B,0),4)</f>
        <v>0</v>
      </c>
    </row>
    <row r="1588" spans="1:13">
      <c r="A1588" s="43" t="s">
        <v>1674</v>
      </c>
      <c r="B1588" s="43">
        <v>2613052222</v>
      </c>
      <c r="C1588" s="43" t="s">
        <v>703</v>
      </c>
      <c r="D1588" s="10" t="s">
        <v>704</v>
      </c>
      <c r="E1588" s="43" t="s">
        <v>10</v>
      </c>
      <c r="F1588" s="8">
        <f>_xlfn.IFNA(INDEX('OSA | 3GB'!J:L,MATCH(DATA!D1588,'OSA | 3GB'!J:J,0),2),0)</f>
        <v>47</v>
      </c>
      <c r="G1588" s="8">
        <f>_xlfn.IFNA(INDEX('OSA | 3GB'!J:L,MATCH(DATA!D1588,'OSA | 3GB'!J:J,0),3),0)</f>
        <v>2100000</v>
      </c>
      <c r="H1588" s="32" t="str">
        <f>_xlfn.IFNA(INDEX('OSA | 3GB'!A:C,MATCH(DATA!D1588,'OSA | 3GB'!A:A,0),2),0)</f>
        <v xml:space="preserve"> -   </v>
      </c>
      <c r="I1588" s="33">
        <f>_xlfn.IFNA(INDEX('OSA | 3GB'!A:C,MATCH(DATA!D1588,'OSA | 3GB'!A:A,0),3),0)</f>
        <v>500000</v>
      </c>
      <c r="J1588" s="33">
        <f>INDEX('BIO WAHYU'!B:G,MATCH(DATA!D1588,'BIO WAHYU'!B:B,0),5)</f>
        <v>15</v>
      </c>
      <c r="K1588" s="34">
        <f>INDEX('BIO WAHYU'!B:G,MATCH(DATA!D1588,'BIO WAHYU'!B:B,0),6)</f>
        <v>3</v>
      </c>
      <c r="L1588" s="35">
        <f>INDEX('BIO WAHYU'!B:H,MATCH(DATA!D1588,'BIO WAHYU'!B:B,0),7)</f>
        <v>0</v>
      </c>
      <c r="M1588" s="34">
        <f>INDEX('BIO WAHYU'!B:H,MATCH(DATA!D1588,'BIO WAHYU'!B:B,0),4)</f>
        <v>0</v>
      </c>
    </row>
    <row r="1589" spans="1:13">
      <c r="A1589" s="43" t="s">
        <v>1670</v>
      </c>
      <c r="B1589" s="43" t="s">
        <v>146</v>
      </c>
      <c r="C1589" s="43" t="s">
        <v>1649</v>
      </c>
      <c r="D1589" s="10" t="s">
        <v>548</v>
      </c>
      <c r="E1589" s="43" t="s">
        <v>10</v>
      </c>
      <c r="F1589" s="8">
        <f>_xlfn.IFNA(INDEX('OSA | 3GB'!J:L,MATCH(DATA!D1589,'OSA | 3GB'!J:J,0),2),0)</f>
        <v>1</v>
      </c>
      <c r="G1589" s="8">
        <f>_xlfn.IFNA(INDEX('OSA | 3GB'!J:L,MATCH(DATA!D1589,'OSA | 3GB'!J:J,0),3),0)</f>
        <v>100000</v>
      </c>
      <c r="H1589" s="32" t="str">
        <f>_xlfn.IFNA(INDEX('OSA | 3GB'!A:C,MATCH(DATA!D1589,'OSA | 3GB'!A:A,0),2),0)</f>
        <v xml:space="preserve"> -   </v>
      </c>
      <c r="I1589" s="33" t="str">
        <f>_xlfn.IFNA(INDEX('OSA | 3GB'!A:C,MATCH(DATA!D1589,'OSA | 3GB'!A:A,0),3),0)</f>
        <v xml:space="preserve"> -   </v>
      </c>
      <c r="J1589" s="33">
        <f>INDEX('BIO WAHYU'!B:G,MATCH(DATA!D1589,'BIO WAHYU'!B:B,0),5)</f>
        <v>0</v>
      </c>
      <c r="K1589" s="34">
        <f>INDEX('BIO WAHYU'!B:G,MATCH(DATA!D1589,'BIO WAHYU'!B:B,0),6)</f>
        <v>0</v>
      </c>
      <c r="L1589" s="35">
        <f>INDEX('BIO WAHYU'!B:H,MATCH(DATA!D1589,'BIO WAHYU'!B:B,0),7)</f>
        <v>0</v>
      </c>
      <c r="M1589" s="34">
        <f>INDEX('BIO WAHYU'!B:H,MATCH(DATA!D1589,'BIO WAHYU'!B:B,0),4)</f>
        <v>0</v>
      </c>
    </row>
    <row r="1590" spans="1:13">
      <c r="A1590" s="43" t="s">
        <v>1672</v>
      </c>
      <c r="B1590" s="43" t="s">
        <v>149</v>
      </c>
      <c r="C1590" s="43" t="s">
        <v>1650</v>
      </c>
      <c r="D1590" s="10" t="s">
        <v>804</v>
      </c>
      <c r="E1590" s="43" t="s">
        <v>10</v>
      </c>
      <c r="F1590" s="8">
        <f>_xlfn.IFNA(INDEX('OSA | 3GB'!J:L,MATCH(DATA!D1590,'OSA | 3GB'!J:J,0),2),0)</f>
        <v>35</v>
      </c>
      <c r="G1590" s="8">
        <f>_xlfn.IFNA(INDEX('OSA | 3GB'!J:L,MATCH(DATA!D1590,'OSA | 3GB'!J:J,0),3),0)</f>
        <v>355000</v>
      </c>
      <c r="H1590" s="32">
        <f>_xlfn.IFNA(INDEX('OSA | 3GB'!A:C,MATCH(DATA!D1590,'OSA | 3GB'!A:A,0),2),0)</f>
        <v>2</v>
      </c>
      <c r="I1590" s="33">
        <f>_xlfn.IFNA(INDEX('OSA | 3GB'!A:C,MATCH(DATA!D1590,'OSA | 3GB'!A:A,0),3),0)</f>
        <v>58000</v>
      </c>
      <c r="J1590" s="33">
        <f>INDEX('BIO WAHYU'!B:G,MATCH(DATA!D1590,'BIO WAHYU'!B:B,0),5)</f>
        <v>4</v>
      </c>
      <c r="K1590" s="34">
        <f>INDEX('BIO WAHYU'!B:G,MATCH(DATA!D1590,'BIO WAHYU'!B:B,0),6)</f>
        <v>0</v>
      </c>
      <c r="L1590" s="35">
        <f>INDEX('BIO WAHYU'!B:H,MATCH(DATA!D1590,'BIO WAHYU'!B:B,0),7)</f>
        <v>0</v>
      </c>
      <c r="M1590" s="34">
        <f>INDEX('BIO WAHYU'!B:H,MATCH(DATA!D1590,'BIO WAHYU'!B:B,0),4)</f>
        <v>0</v>
      </c>
    </row>
    <row r="1591" spans="1:13">
      <c r="A1591" s="43" t="s">
        <v>1675</v>
      </c>
      <c r="B1591" s="43" t="s">
        <v>136</v>
      </c>
      <c r="C1591" s="43" t="s">
        <v>1651</v>
      </c>
      <c r="D1591" s="10" t="s">
        <v>416</v>
      </c>
      <c r="E1591" s="43" t="s">
        <v>10</v>
      </c>
      <c r="F1591" s="8">
        <f>_xlfn.IFNA(INDEX('OSA | 3GB'!J:L,MATCH(DATA!D1591,'OSA | 3GB'!J:J,0),2),0)</f>
        <v>0</v>
      </c>
      <c r="G1591" s="8">
        <f>_xlfn.IFNA(INDEX('OSA | 3GB'!J:L,MATCH(DATA!D1591,'OSA | 3GB'!J:J,0),3),0)</f>
        <v>150000</v>
      </c>
      <c r="H1591" s="32" t="str">
        <f>_xlfn.IFNA(INDEX('OSA | 3GB'!A:C,MATCH(DATA!D1591,'OSA | 3GB'!A:A,0),2),0)</f>
        <v xml:space="preserve"> -   </v>
      </c>
      <c r="I1591" s="33" t="str">
        <f>_xlfn.IFNA(INDEX('OSA | 3GB'!A:C,MATCH(DATA!D1591,'OSA | 3GB'!A:A,0),3),0)</f>
        <v xml:space="preserve"> -   </v>
      </c>
      <c r="J1591" s="33">
        <f>INDEX('BIO WAHYU'!B:G,MATCH(DATA!D1591,'BIO WAHYU'!B:B,0),5)</f>
        <v>3</v>
      </c>
      <c r="K1591" s="34">
        <f>INDEX('BIO WAHYU'!B:G,MATCH(DATA!D1591,'BIO WAHYU'!B:B,0),6)</f>
        <v>1</v>
      </c>
      <c r="L1591" s="35">
        <f>INDEX('BIO WAHYU'!B:H,MATCH(DATA!D1591,'BIO WAHYU'!B:B,0),7)</f>
        <v>0</v>
      </c>
      <c r="M1591" s="34">
        <f>INDEX('BIO WAHYU'!B:H,MATCH(DATA!D1591,'BIO WAHYU'!B:B,0),4)</f>
        <v>0</v>
      </c>
    </row>
    <row r="1592" spans="1:13">
      <c r="A1592" s="43" t="s">
        <v>1675</v>
      </c>
      <c r="B1592" s="43">
        <v>2613051043</v>
      </c>
      <c r="C1592" s="43" t="s">
        <v>1652</v>
      </c>
      <c r="D1592" s="10" t="s">
        <v>453</v>
      </c>
      <c r="E1592" s="43" t="s">
        <v>10</v>
      </c>
      <c r="F1592" s="8">
        <f>_xlfn.IFNA(INDEX('OSA | 3GB'!J:L,MATCH(DATA!D1592,'OSA | 3GB'!J:J,0),2),0)</f>
        <v>25</v>
      </c>
      <c r="G1592" s="8">
        <f>_xlfn.IFNA(INDEX('OSA | 3GB'!J:L,MATCH(DATA!D1592,'OSA | 3GB'!J:J,0),3),0)</f>
        <v>421000</v>
      </c>
      <c r="H1592" s="32" t="str">
        <f>_xlfn.IFNA(INDEX('OSA | 3GB'!A:C,MATCH(DATA!D1592,'OSA | 3GB'!A:A,0),2),0)</f>
        <v xml:space="preserve"> -   </v>
      </c>
      <c r="I1592" s="33" t="str">
        <f>_xlfn.IFNA(INDEX('OSA | 3GB'!A:C,MATCH(DATA!D1592,'OSA | 3GB'!A:A,0),3),0)</f>
        <v xml:space="preserve"> -   </v>
      </c>
      <c r="J1592" s="33">
        <f>INDEX('BIO WAHYU'!B:G,MATCH(DATA!D1592,'BIO WAHYU'!B:B,0),5)</f>
        <v>0</v>
      </c>
      <c r="K1592" s="34">
        <f>INDEX('BIO WAHYU'!B:G,MATCH(DATA!D1592,'BIO WAHYU'!B:B,0),6)</f>
        <v>0</v>
      </c>
      <c r="L1592" s="35">
        <f>INDEX('BIO WAHYU'!B:H,MATCH(DATA!D1592,'BIO WAHYU'!B:B,0),7)</f>
        <v>0</v>
      </c>
      <c r="M1592" s="34">
        <f>INDEX('BIO WAHYU'!B:H,MATCH(DATA!D1592,'BIO WAHYU'!B:B,0),4)</f>
        <v>0</v>
      </c>
    </row>
    <row r="1593" spans="1:13">
      <c r="A1593" s="43" t="s">
        <v>1675</v>
      </c>
      <c r="B1593" s="43">
        <v>2613051043</v>
      </c>
      <c r="C1593" s="43" t="s">
        <v>1653</v>
      </c>
      <c r="D1593" s="10" t="s">
        <v>454</v>
      </c>
      <c r="E1593" s="43" t="s">
        <v>10</v>
      </c>
      <c r="F1593" s="8">
        <f>_xlfn.IFNA(INDEX('OSA | 3GB'!J:L,MATCH(DATA!D1593,'OSA | 3GB'!J:J,0),2),0)</f>
        <v>20</v>
      </c>
      <c r="G1593" s="8">
        <f>_xlfn.IFNA(INDEX('OSA | 3GB'!J:L,MATCH(DATA!D1593,'OSA | 3GB'!J:J,0),3),0)</f>
        <v>125000</v>
      </c>
      <c r="H1593" s="32" t="str">
        <f>_xlfn.IFNA(INDEX('OSA | 3GB'!A:C,MATCH(DATA!D1593,'OSA | 3GB'!A:A,0),2),0)</f>
        <v xml:space="preserve"> -   </v>
      </c>
      <c r="I1593" s="33" t="str">
        <f>_xlfn.IFNA(INDEX('OSA | 3GB'!A:C,MATCH(DATA!D1593,'OSA | 3GB'!A:A,0),3),0)</f>
        <v xml:space="preserve"> -   </v>
      </c>
      <c r="J1593" s="33">
        <f>INDEX('BIO WAHYU'!B:G,MATCH(DATA!D1593,'BIO WAHYU'!B:B,0),5)</f>
        <v>0</v>
      </c>
      <c r="K1593" s="34">
        <f>INDEX('BIO WAHYU'!B:G,MATCH(DATA!D1593,'BIO WAHYU'!B:B,0),6)</f>
        <v>0</v>
      </c>
      <c r="L1593" s="35">
        <f>INDEX('BIO WAHYU'!B:H,MATCH(DATA!D1593,'BIO WAHYU'!B:B,0),7)</f>
        <v>0</v>
      </c>
      <c r="M1593" s="34">
        <f>INDEX('BIO WAHYU'!B:H,MATCH(DATA!D1593,'BIO WAHYU'!B:B,0),4)</f>
        <v>0</v>
      </c>
    </row>
    <row r="1594" spans="1:13">
      <c r="A1594" s="43" t="s">
        <v>1675</v>
      </c>
      <c r="B1594" s="43" t="s">
        <v>136</v>
      </c>
      <c r="C1594" s="43" t="s">
        <v>414</v>
      </c>
      <c r="D1594" s="10" t="s">
        <v>415</v>
      </c>
      <c r="E1594" s="43" t="s">
        <v>10</v>
      </c>
      <c r="F1594" s="8">
        <f>_xlfn.IFNA(INDEX('OSA | 3GB'!J:L,MATCH(DATA!D1594,'OSA | 3GB'!J:J,0),2),0)</f>
        <v>3</v>
      </c>
      <c r="G1594" s="8">
        <f>_xlfn.IFNA(INDEX('OSA | 3GB'!J:L,MATCH(DATA!D1594,'OSA | 3GB'!J:J,0),3),0)</f>
        <v>0</v>
      </c>
      <c r="H1594" s="32" t="str">
        <f>_xlfn.IFNA(INDEX('OSA | 3GB'!A:C,MATCH(DATA!D1594,'OSA | 3GB'!A:A,0),2),0)</f>
        <v xml:space="preserve"> -   </v>
      </c>
      <c r="I1594" s="33" t="str">
        <f>_xlfn.IFNA(INDEX('OSA | 3GB'!A:C,MATCH(DATA!D1594,'OSA | 3GB'!A:A,0),3),0)</f>
        <v xml:space="preserve"> -   </v>
      </c>
      <c r="J1594" s="33">
        <f>INDEX('BIO WAHYU'!B:G,MATCH(DATA!D1594,'BIO WAHYU'!B:B,0),5)</f>
        <v>1</v>
      </c>
      <c r="K1594" s="34">
        <f>INDEX('BIO WAHYU'!B:G,MATCH(DATA!D1594,'BIO WAHYU'!B:B,0),6)</f>
        <v>0</v>
      </c>
      <c r="L1594" s="35">
        <f>INDEX('BIO WAHYU'!B:H,MATCH(DATA!D1594,'BIO WAHYU'!B:B,0),7)</f>
        <v>0</v>
      </c>
      <c r="M1594" s="34">
        <f>INDEX('BIO WAHYU'!B:H,MATCH(DATA!D1594,'BIO WAHYU'!B:B,0),4)</f>
        <v>0</v>
      </c>
    </row>
    <row r="1595" spans="1:13">
      <c r="A1595" s="43" t="s">
        <v>1672</v>
      </c>
      <c r="B1595" s="43" t="s">
        <v>156</v>
      </c>
      <c r="C1595" s="43" t="s">
        <v>1018</v>
      </c>
      <c r="D1595" s="10" t="s">
        <v>1019</v>
      </c>
      <c r="E1595" s="43" t="s">
        <v>10</v>
      </c>
      <c r="F1595" s="8">
        <f>_xlfn.IFNA(INDEX('OSA | 3GB'!J:L,MATCH(DATA!D1595,'OSA | 3GB'!J:J,0),2),0)</f>
        <v>1</v>
      </c>
      <c r="G1595" s="8">
        <f>_xlfn.IFNA(INDEX('OSA | 3GB'!J:L,MATCH(DATA!D1595,'OSA | 3GB'!J:J,0),3),0)</f>
        <v>400000</v>
      </c>
      <c r="H1595" s="32">
        <f>_xlfn.IFNA(INDEX('OSA | 3GB'!A:C,MATCH(DATA!D1595,'OSA | 3GB'!A:A,0),2),0)</f>
        <v>3</v>
      </c>
      <c r="I1595" s="33">
        <f>_xlfn.IFNA(INDEX('OSA | 3GB'!A:C,MATCH(DATA!D1595,'OSA | 3GB'!A:A,0),3),0)</f>
        <v>337000</v>
      </c>
      <c r="J1595" s="33">
        <f>INDEX('BIO WAHYU'!B:G,MATCH(DATA!D1595,'BIO WAHYU'!B:B,0),5)</f>
        <v>3</v>
      </c>
      <c r="K1595" s="34">
        <f>INDEX('BIO WAHYU'!B:G,MATCH(DATA!D1595,'BIO WAHYU'!B:B,0),6)</f>
        <v>3</v>
      </c>
      <c r="L1595" s="35">
        <f>INDEX('BIO WAHYU'!B:H,MATCH(DATA!D1595,'BIO WAHYU'!B:B,0),7)</f>
        <v>0</v>
      </c>
      <c r="M1595" s="34">
        <f>INDEX('BIO WAHYU'!B:H,MATCH(DATA!D1595,'BIO WAHYU'!B:B,0),4)</f>
        <v>0</v>
      </c>
    </row>
    <row r="1596" spans="1:13">
      <c r="A1596" s="43" t="s">
        <v>1672</v>
      </c>
      <c r="B1596" s="43" t="s">
        <v>156</v>
      </c>
      <c r="C1596" s="43" t="s">
        <v>1654</v>
      </c>
      <c r="D1596" s="10" t="s">
        <v>1017</v>
      </c>
      <c r="E1596" s="43" t="s">
        <v>10</v>
      </c>
      <c r="F1596" s="8">
        <f>_xlfn.IFNA(INDEX('OSA | 3GB'!J:L,MATCH(DATA!D1596,'OSA | 3GB'!J:J,0),2),0)</f>
        <v>0</v>
      </c>
      <c r="G1596" s="8">
        <f>_xlfn.IFNA(INDEX('OSA | 3GB'!J:L,MATCH(DATA!D1596,'OSA | 3GB'!J:J,0),3),0)</f>
        <v>50000</v>
      </c>
      <c r="H1596" s="32" t="str">
        <f>_xlfn.IFNA(INDEX('OSA | 3GB'!A:C,MATCH(DATA!D1596,'OSA | 3GB'!A:A,0),2),0)</f>
        <v xml:space="preserve"> -   </v>
      </c>
      <c r="I1596" s="33" t="str">
        <f>_xlfn.IFNA(INDEX('OSA | 3GB'!A:C,MATCH(DATA!D1596,'OSA | 3GB'!A:A,0),3),0)</f>
        <v xml:space="preserve"> -   </v>
      </c>
      <c r="J1596" s="33">
        <f>INDEX('BIO WAHYU'!B:G,MATCH(DATA!D1596,'BIO WAHYU'!B:B,0),5)</f>
        <v>2</v>
      </c>
      <c r="K1596" s="34">
        <f>INDEX('BIO WAHYU'!B:G,MATCH(DATA!D1596,'BIO WAHYU'!B:B,0),6)</f>
        <v>0</v>
      </c>
      <c r="L1596" s="35">
        <f>INDEX('BIO WAHYU'!B:H,MATCH(DATA!D1596,'BIO WAHYU'!B:B,0),7)</f>
        <v>0</v>
      </c>
      <c r="M1596" s="34">
        <f>INDEX('BIO WAHYU'!B:H,MATCH(DATA!D1596,'BIO WAHYU'!B:B,0),4)</f>
        <v>0</v>
      </c>
    </row>
    <row r="1597" spans="1:13">
      <c r="A1597" s="43" t="s">
        <v>1675</v>
      </c>
      <c r="B1597" s="43" t="s">
        <v>136</v>
      </c>
      <c r="C1597" s="43" t="s">
        <v>1655</v>
      </c>
      <c r="D1597" s="10" t="s">
        <v>413</v>
      </c>
      <c r="E1597" s="43" t="s">
        <v>10</v>
      </c>
      <c r="F1597" s="8">
        <f>_xlfn.IFNA(INDEX('OSA | 3GB'!J:L,MATCH(DATA!D1597,'OSA | 3GB'!J:J,0),2),0)</f>
        <v>3</v>
      </c>
      <c r="G1597" s="8">
        <f>_xlfn.IFNA(INDEX('OSA | 3GB'!J:L,MATCH(DATA!D1597,'OSA | 3GB'!J:J,0),3),0)</f>
        <v>500000</v>
      </c>
      <c r="H1597" s="32" t="str">
        <f>_xlfn.IFNA(INDEX('OSA | 3GB'!A:C,MATCH(DATA!D1597,'OSA | 3GB'!A:A,0),2),0)</f>
        <v xml:space="preserve"> -   </v>
      </c>
      <c r="I1597" s="33" t="str">
        <f>_xlfn.IFNA(INDEX('OSA | 3GB'!A:C,MATCH(DATA!D1597,'OSA | 3GB'!A:A,0),3),0)</f>
        <v xml:space="preserve"> -   </v>
      </c>
      <c r="J1597" s="33">
        <f>INDEX('BIO WAHYU'!B:G,MATCH(DATA!D1597,'BIO WAHYU'!B:B,0),5)</f>
        <v>3</v>
      </c>
      <c r="K1597" s="34">
        <f>INDEX('BIO WAHYU'!B:G,MATCH(DATA!D1597,'BIO WAHYU'!B:B,0),6)</f>
        <v>0</v>
      </c>
      <c r="L1597" s="35">
        <f>INDEX('BIO WAHYU'!B:H,MATCH(DATA!D1597,'BIO WAHYU'!B:B,0),7)</f>
        <v>0</v>
      </c>
      <c r="M1597" s="34">
        <f>INDEX('BIO WAHYU'!B:H,MATCH(DATA!D1597,'BIO WAHYU'!B:B,0),4)</f>
        <v>0</v>
      </c>
    </row>
    <row r="1598" spans="1:13">
      <c r="A1598" s="43" t="s">
        <v>1672</v>
      </c>
      <c r="B1598" s="43" t="s">
        <v>151</v>
      </c>
      <c r="C1598" s="43" t="s">
        <v>885</v>
      </c>
      <c r="D1598" s="10" t="s">
        <v>886</v>
      </c>
      <c r="E1598" s="43" t="s">
        <v>15</v>
      </c>
      <c r="F1598" s="8">
        <f>_xlfn.IFNA(INDEX('OSA | 3GB'!J:L,MATCH(DATA!D1598,'OSA | 3GB'!J:J,0),2),0)</f>
        <v>0</v>
      </c>
      <c r="G1598" s="8">
        <f>_xlfn.IFNA(INDEX('OSA | 3GB'!J:L,MATCH(DATA!D1598,'OSA | 3GB'!J:J,0),3),0)</f>
        <v>0</v>
      </c>
      <c r="H1598" s="32" t="str">
        <f>_xlfn.IFNA(INDEX('OSA | 3GB'!A:C,MATCH(DATA!D1598,'OSA | 3GB'!A:A,0),2),0)</f>
        <v xml:space="preserve"> -   </v>
      </c>
      <c r="I1598" s="33" t="str">
        <f>_xlfn.IFNA(INDEX('OSA | 3GB'!A:C,MATCH(DATA!D1598,'OSA | 3GB'!A:A,0),3),0)</f>
        <v xml:space="preserve"> -   </v>
      </c>
      <c r="J1598" s="33">
        <f>INDEX('BIO WAHYU'!B:G,MATCH(DATA!D1598,'BIO WAHYU'!B:B,0),5)</f>
        <v>0</v>
      </c>
      <c r="K1598" s="34">
        <f>INDEX('BIO WAHYU'!B:G,MATCH(DATA!D1598,'BIO WAHYU'!B:B,0),6)</f>
        <v>0</v>
      </c>
      <c r="L1598" s="35">
        <f>INDEX('BIO WAHYU'!B:H,MATCH(DATA!D1598,'BIO WAHYU'!B:B,0),7)</f>
        <v>0</v>
      </c>
      <c r="M1598" s="34">
        <f>INDEX('BIO WAHYU'!B:H,MATCH(DATA!D1598,'BIO WAHYU'!B:B,0),4)</f>
        <v>0</v>
      </c>
    </row>
    <row r="1599" spans="1:13">
      <c r="A1599" s="43" t="s">
        <v>1672</v>
      </c>
      <c r="B1599" s="43" t="s">
        <v>156</v>
      </c>
      <c r="C1599" s="43" t="s">
        <v>1015</v>
      </c>
      <c r="D1599" s="10" t="s">
        <v>1016</v>
      </c>
      <c r="E1599" s="43" t="s">
        <v>15</v>
      </c>
      <c r="F1599" s="8">
        <f>_xlfn.IFNA(INDEX('OSA | 3GB'!J:L,MATCH(DATA!D1599,'OSA | 3GB'!J:J,0),2),0)</f>
        <v>0</v>
      </c>
      <c r="G1599" s="8">
        <f>_xlfn.IFNA(INDEX('OSA | 3GB'!J:L,MATCH(DATA!D1599,'OSA | 3GB'!J:J,0),3),0)</f>
        <v>0</v>
      </c>
      <c r="H1599" s="32" t="str">
        <f>_xlfn.IFNA(INDEX('OSA | 3GB'!A:C,MATCH(DATA!D1599,'OSA | 3GB'!A:A,0),2),0)</f>
        <v xml:space="preserve"> -   </v>
      </c>
      <c r="I1599" s="33" t="str">
        <f>_xlfn.IFNA(INDEX('OSA | 3GB'!A:C,MATCH(DATA!D1599,'OSA | 3GB'!A:A,0),3),0)</f>
        <v xml:space="preserve"> -   </v>
      </c>
      <c r="J1599" s="33">
        <f>INDEX('BIO WAHYU'!B:G,MATCH(DATA!D1599,'BIO WAHYU'!B:B,0),5)</f>
        <v>0</v>
      </c>
      <c r="K1599" s="34">
        <f>INDEX('BIO WAHYU'!B:G,MATCH(DATA!D1599,'BIO WAHYU'!B:B,0),6)</f>
        <v>0</v>
      </c>
      <c r="L1599" s="35">
        <f>INDEX('BIO WAHYU'!B:H,MATCH(DATA!D1599,'BIO WAHYU'!B:B,0),7)</f>
        <v>0</v>
      </c>
      <c r="M1599" s="34">
        <f>INDEX('BIO WAHYU'!B:H,MATCH(DATA!D1599,'BIO WAHYU'!B:B,0),4)</f>
        <v>0</v>
      </c>
    </row>
    <row r="1600" spans="1:13">
      <c r="A1600" s="43" t="s">
        <v>1672</v>
      </c>
      <c r="B1600" s="43" t="s">
        <v>156</v>
      </c>
      <c r="C1600" s="43" t="s">
        <v>1013</v>
      </c>
      <c r="D1600" s="10" t="s">
        <v>1014</v>
      </c>
      <c r="E1600" s="43" t="s">
        <v>10</v>
      </c>
      <c r="F1600" s="8">
        <f>_xlfn.IFNA(INDEX('OSA | 3GB'!J:L,MATCH(DATA!D1600,'OSA | 3GB'!J:J,0),2),0)</f>
        <v>0</v>
      </c>
      <c r="G1600" s="8">
        <f>_xlfn.IFNA(INDEX('OSA | 3GB'!J:L,MATCH(DATA!D1600,'OSA | 3GB'!J:J,0),3),0)</f>
        <v>579000</v>
      </c>
      <c r="H1600" s="32">
        <f>_xlfn.IFNA(INDEX('OSA | 3GB'!A:C,MATCH(DATA!D1600,'OSA | 3GB'!A:A,0),2),0)</f>
        <v>3</v>
      </c>
      <c r="I1600" s="33">
        <f>_xlfn.IFNA(INDEX('OSA | 3GB'!A:C,MATCH(DATA!D1600,'OSA | 3GB'!A:A,0),3),0)</f>
        <v>350000</v>
      </c>
      <c r="J1600" s="33">
        <f>INDEX('BIO WAHYU'!B:G,MATCH(DATA!D1600,'BIO WAHYU'!B:B,0),5)</f>
        <v>3</v>
      </c>
      <c r="K1600" s="34">
        <f>INDEX('BIO WAHYU'!B:G,MATCH(DATA!D1600,'BIO WAHYU'!B:B,0),6)</f>
        <v>3</v>
      </c>
      <c r="L1600" s="35">
        <f>INDEX('BIO WAHYU'!B:H,MATCH(DATA!D1600,'BIO WAHYU'!B:B,0),7)</f>
        <v>0</v>
      </c>
      <c r="M1600" s="34">
        <f>INDEX('BIO WAHYU'!B:H,MATCH(DATA!D1600,'BIO WAHYU'!B:B,0),4)</f>
        <v>0</v>
      </c>
    </row>
    <row r="1601" spans="1:13">
      <c r="A1601" s="43" t="s">
        <v>1672</v>
      </c>
      <c r="B1601" s="43" t="s">
        <v>156</v>
      </c>
      <c r="C1601" s="43" t="s">
        <v>1009</v>
      </c>
      <c r="D1601" s="10" t="s">
        <v>1010</v>
      </c>
      <c r="E1601" s="43" t="s">
        <v>10</v>
      </c>
      <c r="F1601" s="8">
        <f>_xlfn.IFNA(INDEX('OSA | 3GB'!J:L,MATCH(DATA!D1601,'OSA | 3GB'!J:J,0),2),0)</f>
        <v>0</v>
      </c>
      <c r="G1601" s="8">
        <f>_xlfn.IFNA(INDEX('OSA | 3GB'!J:L,MATCH(DATA!D1601,'OSA | 3GB'!J:J,0),3),0)</f>
        <v>0</v>
      </c>
      <c r="H1601" s="32" t="str">
        <f>_xlfn.IFNA(INDEX('OSA | 3GB'!A:C,MATCH(DATA!D1601,'OSA | 3GB'!A:A,0),2),0)</f>
        <v xml:space="preserve"> -   </v>
      </c>
      <c r="I1601" s="33" t="str">
        <f>_xlfn.IFNA(INDEX('OSA | 3GB'!A:C,MATCH(DATA!D1601,'OSA | 3GB'!A:A,0),3),0)</f>
        <v xml:space="preserve"> -   </v>
      </c>
      <c r="J1601" s="33">
        <f>INDEX('BIO WAHYU'!B:G,MATCH(DATA!D1601,'BIO WAHYU'!B:B,0),5)</f>
        <v>0</v>
      </c>
      <c r="K1601" s="34">
        <f>INDEX('BIO WAHYU'!B:G,MATCH(DATA!D1601,'BIO WAHYU'!B:B,0),6)</f>
        <v>0</v>
      </c>
      <c r="L1601" s="35">
        <f>INDEX('BIO WAHYU'!B:H,MATCH(DATA!D1601,'BIO WAHYU'!B:B,0),7)</f>
        <v>0</v>
      </c>
      <c r="M1601" s="34">
        <f>INDEX('BIO WAHYU'!B:H,MATCH(DATA!D1601,'BIO WAHYU'!B:B,0),4)</f>
        <v>0</v>
      </c>
    </row>
    <row r="1602" spans="1:13">
      <c r="A1602" s="43" t="s">
        <v>1672</v>
      </c>
      <c r="B1602" s="43" t="s">
        <v>156</v>
      </c>
      <c r="C1602" s="43" t="s">
        <v>1011</v>
      </c>
      <c r="D1602" s="10" t="s">
        <v>1012</v>
      </c>
      <c r="E1602" s="43" t="s">
        <v>10</v>
      </c>
      <c r="F1602" s="8">
        <f>_xlfn.IFNA(INDEX('OSA | 3GB'!J:L,MATCH(DATA!D1602,'OSA | 3GB'!J:J,0),2),0)</f>
        <v>0</v>
      </c>
      <c r="G1602" s="8">
        <f>_xlfn.IFNA(INDEX('OSA | 3GB'!J:L,MATCH(DATA!D1602,'OSA | 3GB'!J:J,0),3),0)</f>
        <v>600000</v>
      </c>
      <c r="H1602" s="32" t="str">
        <f>_xlfn.IFNA(INDEX('OSA | 3GB'!A:C,MATCH(DATA!D1602,'OSA | 3GB'!A:A,0),2),0)</f>
        <v xml:space="preserve"> -   </v>
      </c>
      <c r="I1602" s="33">
        <f>_xlfn.IFNA(INDEX('OSA | 3GB'!A:C,MATCH(DATA!D1602,'OSA | 3GB'!A:A,0),3),0)</f>
        <v>300000</v>
      </c>
      <c r="J1602" s="33">
        <f>INDEX('BIO WAHYU'!B:G,MATCH(DATA!D1602,'BIO WAHYU'!B:B,0),5)</f>
        <v>1</v>
      </c>
      <c r="K1602" s="34">
        <f>INDEX('BIO WAHYU'!B:G,MATCH(DATA!D1602,'BIO WAHYU'!B:B,0),6)</f>
        <v>1</v>
      </c>
      <c r="L1602" s="35">
        <f>INDEX('BIO WAHYU'!B:H,MATCH(DATA!D1602,'BIO WAHYU'!B:B,0),7)</f>
        <v>0</v>
      </c>
      <c r="M1602" s="34">
        <f>INDEX('BIO WAHYU'!B:H,MATCH(DATA!D1602,'BIO WAHYU'!B:B,0),4)</f>
        <v>0</v>
      </c>
    </row>
    <row r="1603" spans="1:13">
      <c r="A1603" s="43" t="s">
        <v>1672</v>
      </c>
      <c r="B1603" s="43" t="s">
        <v>155</v>
      </c>
      <c r="C1603" s="43" t="s">
        <v>161</v>
      </c>
      <c r="D1603" s="10" t="s">
        <v>967</v>
      </c>
      <c r="E1603" s="43" t="s">
        <v>15</v>
      </c>
      <c r="F1603" s="8">
        <f>_xlfn.IFNA(INDEX('OSA | 3GB'!J:L,MATCH(DATA!D1603,'OSA | 3GB'!J:J,0),2),0)</f>
        <v>0</v>
      </c>
      <c r="G1603" s="8">
        <f>_xlfn.IFNA(INDEX('OSA | 3GB'!J:L,MATCH(DATA!D1603,'OSA | 3GB'!J:J,0),3),0)</f>
        <v>0</v>
      </c>
      <c r="H1603" s="32" t="str">
        <f>_xlfn.IFNA(INDEX('OSA | 3GB'!A:C,MATCH(DATA!D1603,'OSA | 3GB'!A:A,0),2),0)</f>
        <v xml:space="preserve"> -   </v>
      </c>
      <c r="I1603" s="33" t="str">
        <f>_xlfn.IFNA(INDEX('OSA | 3GB'!A:C,MATCH(DATA!D1603,'OSA | 3GB'!A:A,0),3),0)</f>
        <v xml:space="preserve"> -   </v>
      </c>
      <c r="J1603" s="33">
        <f>INDEX('BIO WAHYU'!B:G,MATCH(DATA!D1603,'BIO WAHYU'!B:B,0),5)</f>
        <v>0</v>
      </c>
      <c r="K1603" s="34">
        <f>INDEX('BIO WAHYU'!B:G,MATCH(DATA!D1603,'BIO WAHYU'!B:B,0),6)</f>
        <v>0</v>
      </c>
      <c r="L1603" s="35">
        <f>INDEX('BIO WAHYU'!B:H,MATCH(DATA!D1603,'BIO WAHYU'!B:B,0),7)</f>
        <v>0</v>
      </c>
      <c r="M1603" s="34">
        <f>INDEX('BIO WAHYU'!B:H,MATCH(DATA!D1603,'BIO WAHYU'!B:B,0),4)</f>
        <v>0</v>
      </c>
    </row>
    <row r="1604" spans="1:13">
      <c r="A1604" s="43" t="s">
        <v>1674</v>
      </c>
      <c r="B1604" s="43" t="s">
        <v>154</v>
      </c>
      <c r="C1604" s="43" t="s">
        <v>1656</v>
      </c>
      <c r="D1604" s="10" t="s">
        <v>761</v>
      </c>
      <c r="E1604" s="43" t="s">
        <v>10</v>
      </c>
      <c r="F1604" s="8">
        <f>_xlfn.IFNA(INDEX('OSA | 3GB'!J:L,MATCH(DATA!D1604,'OSA | 3GB'!J:J,0),2),0)</f>
        <v>28</v>
      </c>
      <c r="G1604" s="8">
        <f>_xlfn.IFNA(INDEX('OSA | 3GB'!J:L,MATCH(DATA!D1604,'OSA | 3GB'!J:J,0),3),0)</f>
        <v>1987000</v>
      </c>
      <c r="H1604" s="32" t="str">
        <f>_xlfn.IFNA(INDEX('OSA | 3GB'!A:C,MATCH(DATA!D1604,'OSA | 3GB'!A:A,0),2),0)</f>
        <v xml:space="preserve"> -   </v>
      </c>
      <c r="I1604" s="33">
        <f>_xlfn.IFNA(INDEX('OSA | 3GB'!A:C,MATCH(DATA!D1604,'OSA | 3GB'!A:A,0),3),0)</f>
        <v>350000</v>
      </c>
      <c r="J1604" s="33">
        <f>INDEX('BIO WAHYU'!B:G,MATCH(DATA!D1604,'BIO WAHYU'!B:B,0),5)</f>
        <v>24</v>
      </c>
      <c r="K1604" s="34">
        <f>INDEX('BIO WAHYU'!B:G,MATCH(DATA!D1604,'BIO WAHYU'!B:B,0),6)</f>
        <v>18</v>
      </c>
      <c r="L1604" s="35">
        <f>INDEX('BIO WAHYU'!B:H,MATCH(DATA!D1604,'BIO WAHYU'!B:B,0),7)</f>
        <v>0</v>
      </c>
      <c r="M1604" s="34">
        <f>INDEX('BIO WAHYU'!B:H,MATCH(DATA!D1604,'BIO WAHYU'!B:B,0),4)</f>
        <v>0</v>
      </c>
    </row>
    <row r="1605" spans="1:13">
      <c r="A1605" s="43" t="s">
        <v>1675</v>
      </c>
      <c r="B1605" s="43">
        <v>2613051451</v>
      </c>
      <c r="C1605" s="43" t="s">
        <v>1658</v>
      </c>
      <c r="D1605" s="10" t="s">
        <v>1657</v>
      </c>
      <c r="E1605" s="43" t="s">
        <v>10</v>
      </c>
      <c r="F1605" s="8">
        <f>_xlfn.IFNA(INDEX('OSA | 3GB'!J:L,MATCH(DATA!D1605,'OSA | 3GB'!J:J,0),2),0)</f>
        <v>0</v>
      </c>
      <c r="G1605" s="8">
        <f>_xlfn.IFNA(INDEX('OSA | 3GB'!J:L,MATCH(DATA!D1605,'OSA | 3GB'!J:J,0),3),0)</f>
        <v>0</v>
      </c>
      <c r="H1605" s="32">
        <f>_xlfn.IFNA(INDEX('OSA | 3GB'!A:C,MATCH(DATA!D1605,'OSA | 3GB'!A:A,0),2),0)</f>
        <v>11</v>
      </c>
      <c r="I1605" s="33">
        <f>_xlfn.IFNA(INDEX('OSA | 3GB'!A:C,MATCH(DATA!D1605,'OSA | 3GB'!A:A,0),3),0)</f>
        <v>174000</v>
      </c>
      <c r="J1605" s="33">
        <f>INDEX('BIO WAHYU'!B:G,MATCH(DATA!D1605,'BIO WAHYU'!B:B,0),5)</f>
        <v>0</v>
      </c>
      <c r="K1605" s="34">
        <f>INDEX('BIO WAHYU'!B:G,MATCH(DATA!D1605,'BIO WAHYU'!B:B,0),6)</f>
        <v>11</v>
      </c>
      <c r="L1605" s="35">
        <f>INDEX('BIO WAHYU'!B:H,MATCH(DATA!D1605,'BIO WAHYU'!B:B,0),7)</f>
        <v>11</v>
      </c>
      <c r="M1605" s="34">
        <f>INDEX('BIO WAHYU'!B:H,MATCH(DATA!D1605,'BIO WAHYU'!B:B,0),4)</f>
        <v>0</v>
      </c>
    </row>
    <row r="1606" spans="1:13">
      <c r="A1606" s="43" t="s">
        <v>1675</v>
      </c>
      <c r="B1606" s="43">
        <v>2613051451</v>
      </c>
      <c r="C1606" s="43" t="s">
        <v>381</v>
      </c>
      <c r="D1606" s="10" t="s">
        <v>1659</v>
      </c>
      <c r="E1606" s="43" t="s">
        <v>10</v>
      </c>
      <c r="F1606" s="8">
        <f>_xlfn.IFNA(INDEX('OSA | 3GB'!J:L,MATCH(DATA!D1606,'OSA | 3GB'!J:J,0),2),0)</f>
        <v>0</v>
      </c>
      <c r="G1606" s="8">
        <f>_xlfn.IFNA(INDEX('OSA | 3GB'!J:L,MATCH(DATA!D1606,'OSA | 3GB'!J:J,0),3),0)</f>
        <v>0</v>
      </c>
      <c r="H1606" s="32" t="str">
        <f>_xlfn.IFNA(INDEX('OSA | 3GB'!A:C,MATCH(DATA!D1606,'OSA | 3GB'!A:A,0),2),0)</f>
        <v xml:space="preserve"> -   </v>
      </c>
      <c r="I1606" s="33" t="str">
        <f>_xlfn.IFNA(INDEX('OSA | 3GB'!A:C,MATCH(DATA!D1606,'OSA | 3GB'!A:A,0),3),0)</f>
        <v xml:space="preserve"> -   </v>
      </c>
      <c r="J1606" s="33">
        <f>INDEX('BIO WAHYU'!B:G,MATCH(DATA!D1606,'BIO WAHYU'!B:B,0),5)</f>
        <v>0</v>
      </c>
      <c r="K1606" s="34">
        <f>INDEX('BIO WAHYU'!B:G,MATCH(DATA!D1606,'BIO WAHYU'!B:B,0),6)</f>
        <v>0</v>
      </c>
      <c r="L1606" s="35">
        <f>INDEX('BIO WAHYU'!B:H,MATCH(DATA!D1606,'BIO WAHYU'!B:B,0),7)</f>
        <v>0</v>
      </c>
      <c r="M1606" s="34">
        <f>INDEX('BIO WAHYU'!B:H,MATCH(DATA!D1606,'BIO WAHYU'!B:B,0),4)</f>
        <v>0</v>
      </c>
    </row>
    <row r="1607" spans="1:13">
      <c r="A1607" s="43" t="s">
        <v>1674</v>
      </c>
      <c r="B1607" s="43" t="s">
        <v>152</v>
      </c>
      <c r="C1607" s="43" t="s">
        <v>1661</v>
      </c>
      <c r="D1607" s="10" t="s">
        <v>1660</v>
      </c>
      <c r="E1607" s="43" t="s">
        <v>10</v>
      </c>
      <c r="F1607" s="8">
        <f>_xlfn.IFNA(INDEX('OSA | 3GB'!J:L,MATCH(DATA!D1607,'OSA | 3GB'!J:J,0),2),0)</f>
        <v>0</v>
      </c>
      <c r="G1607" s="8">
        <f>_xlfn.IFNA(INDEX('OSA | 3GB'!J:L,MATCH(DATA!D1607,'OSA | 3GB'!J:J,0),3),0)</f>
        <v>0</v>
      </c>
      <c r="H1607" s="32">
        <f>_xlfn.IFNA(INDEX('OSA | 3GB'!A:C,MATCH(DATA!D1607,'OSA | 3GB'!A:A,0),2),0)</f>
        <v>1</v>
      </c>
      <c r="I1607" s="33" t="str">
        <f>_xlfn.IFNA(INDEX('OSA | 3GB'!A:C,MATCH(DATA!D1607,'OSA | 3GB'!A:A,0),3),0)</f>
        <v xml:space="preserve"> -   </v>
      </c>
      <c r="J1607" s="33">
        <f>INDEX('BIO WAHYU'!B:G,MATCH(DATA!D1607,'BIO WAHYU'!B:B,0),5)</f>
        <v>0</v>
      </c>
      <c r="K1607" s="34">
        <f>INDEX('BIO WAHYU'!B:G,MATCH(DATA!D1607,'BIO WAHYU'!B:B,0),6)</f>
        <v>2</v>
      </c>
      <c r="L1607" s="35">
        <f>INDEX('BIO WAHYU'!B:H,MATCH(DATA!D1607,'BIO WAHYU'!B:B,0),7)</f>
        <v>2</v>
      </c>
      <c r="M1607" s="34">
        <f>INDEX('BIO WAHYU'!B:H,MATCH(DATA!D1607,'BIO WAHYU'!B:B,0),4)</f>
        <v>0</v>
      </c>
    </row>
    <row r="1608" spans="1:13">
      <c r="A1608" s="43" t="s">
        <v>1670</v>
      </c>
      <c r="B1608" s="43" t="s">
        <v>146</v>
      </c>
      <c r="C1608" s="43" t="s">
        <v>1663</v>
      </c>
      <c r="D1608" s="10" t="s">
        <v>1662</v>
      </c>
      <c r="E1608" s="43" t="s">
        <v>10</v>
      </c>
      <c r="F1608" s="8">
        <f>_xlfn.IFNA(INDEX('OSA | 3GB'!J:L,MATCH(DATA!D1608,'OSA | 3GB'!J:J,0),2),0)</f>
        <v>0</v>
      </c>
      <c r="G1608" s="8">
        <f>_xlfn.IFNA(INDEX('OSA | 3GB'!J:L,MATCH(DATA!D1608,'OSA | 3GB'!J:J,0),3),0)</f>
        <v>0</v>
      </c>
      <c r="H1608" s="32">
        <f>_xlfn.IFNA(INDEX('OSA | 3GB'!A:C,MATCH(DATA!D1608,'OSA | 3GB'!A:A,0),2),0)</f>
        <v>3</v>
      </c>
      <c r="I1608" s="33">
        <f>_xlfn.IFNA(INDEX('OSA | 3GB'!A:C,MATCH(DATA!D1608,'OSA | 3GB'!A:A,0),3),0)</f>
        <v>700000</v>
      </c>
      <c r="J1608" s="33">
        <f>INDEX('BIO WAHYU'!B:G,MATCH(DATA!D1608,'BIO WAHYU'!B:B,0),5)</f>
        <v>0</v>
      </c>
      <c r="K1608" s="34">
        <f>INDEX('BIO WAHYU'!B:G,MATCH(DATA!D1608,'BIO WAHYU'!B:B,0),6)</f>
        <v>3</v>
      </c>
      <c r="L1608" s="35">
        <f>INDEX('BIO WAHYU'!B:H,MATCH(DATA!D1608,'BIO WAHYU'!B:B,0),7)</f>
        <v>3</v>
      </c>
      <c r="M1608" s="34">
        <f>INDEX('BIO WAHYU'!B:H,MATCH(DATA!D1608,'BIO WAHYU'!B:B,0),4)</f>
        <v>0</v>
      </c>
    </row>
    <row r="1609" spans="1:13">
      <c r="A1609" s="43" t="s">
        <v>1674</v>
      </c>
      <c r="B1609" s="43">
        <v>2613052222</v>
      </c>
      <c r="C1609" s="43" t="s">
        <v>1665</v>
      </c>
      <c r="D1609" s="10" t="s">
        <v>1664</v>
      </c>
      <c r="E1609" s="43" t="s">
        <v>10</v>
      </c>
      <c r="F1609" s="8">
        <f>_xlfn.IFNA(INDEX('OSA | 3GB'!J:L,MATCH(DATA!D1609,'OSA | 3GB'!J:J,0),2),0)</f>
        <v>0</v>
      </c>
      <c r="G1609" s="8">
        <f>_xlfn.IFNA(INDEX('OSA | 3GB'!J:L,MATCH(DATA!D1609,'OSA | 3GB'!J:J,0),3),0)</f>
        <v>0</v>
      </c>
      <c r="H1609" s="32" t="str">
        <f>_xlfn.IFNA(INDEX('OSA | 3GB'!A:C,MATCH(DATA!D1609,'OSA | 3GB'!A:A,0),2),0)</f>
        <v xml:space="preserve"> -   </v>
      </c>
      <c r="I1609" s="33">
        <f>_xlfn.IFNA(INDEX('OSA | 3GB'!A:C,MATCH(DATA!D1609,'OSA | 3GB'!A:A,0),3),0)</f>
        <v>300000</v>
      </c>
      <c r="J1609" s="33">
        <f>INDEX('BIO WAHYU'!B:G,MATCH(DATA!D1609,'BIO WAHYU'!B:B,0),5)</f>
        <v>0</v>
      </c>
      <c r="K1609" s="34">
        <f>INDEX('BIO WAHYU'!B:G,MATCH(DATA!D1609,'BIO WAHYU'!B:B,0),6)</f>
        <v>1</v>
      </c>
      <c r="L1609" s="35">
        <f>INDEX('BIO WAHYU'!B:H,MATCH(DATA!D1609,'BIO WAHYU'!B:B,0),7)</f>
        <v>1</v>
      </c>
      <c r="M1609" s="34">
        <f>INDEX('BIO WAHYU'!B:H,MATCH(DATA!D1609,'BIO WAHYU'!B:B,0),4)</f>
        <v>0</v>
      </c>
    </row>
    <row r="1610" spans="1:13">
      <c r="A1610" s="43" t="s">
        <v>1675</v>
      </c>
      <c r="B1610" s="43">
        <v>2613051451</v>
      </c>
      <c r="C1610" s="43" t="s">
        <v>1667</v>
      </c>
      <c r="D1610" s="10" t="s">
        <v>1666</v>
      </c>
      <c r="E1610" s="43" t="s">
        <v>10</v>
      </c>
      <c r="F1610" s="8">
        <f>_xlfn.IFNA(INDEX('OSA | 3GB'!J:L,MATCH(DATA!D1610,'OSA | 3GB'!J:J,0),2),0)</f>
        <v>0</v>
      </c>
      <c r="G1610" s="8">
        <f>_xlfn.IFNA(INDEX('OSA | 3GB'!J:L,MATCH(DATA!D1610,'OSA | 3GB'!J:J,0),3),0)</f>
        <v>0</v>
      </c>
      <c r="H1610" s="32" t="str">
        <f>_xlfn.IFNA(INDEX('OSA | 3GB'!A:C,MATCH(DATA!D1610,'OSA | 3GB'!A:A,0),2),0)</f>
        <v xml:space="preserve"> -   </v>
      </c>
      <c r="I1610" s="33" t="str">
        <f>_xlfn.IFNA(INDEX('OSA | 3GB'!A:C,MATCH(DATA!D1610,'OSA | 3GB'!A:A,0),3),0)</f>
        <v xml:space="preserve"> -   </v>
      </c>
      <c r="J1610" s="33">
        <f>INDEX('BIO WAHYU'!B:G,MATCH(DATA!D1610,'BIO WAHYU'!B:B,0),5)</f>
        <v>0</v>
      </c>
      <c r="K1610" s="34">
        <f>INDEX('BIO WAHYU'!B:G,MATCH(DATA!D1610,'BIO WAHYU'!B:B,0),6)</f>
        <v>3</v>
      </c>
      <c r="L1610" s="35">
        <f>INDEX('BIO WAHYU'!B:H,MATCH(DATA!D1610,'BIO WAHYU'!B:B,0),7)</f>
        <v>3</v>
      </c>
      <c r="M1610" s="34">
        <f>INDEX('BIO WAHYU'!B:H,MATCH(DATA!D1610,'BIO WAHYU'!B:B,0),4)</f>
        <v>0</v>
      </c>
    </row>
    <row r="1611" spans="1:13">
      <c r="A1611" s="43" t="s">
        <v>1674</v>
      </c>
      <c r="B1611" s="43" t="s">
        <v>153</v>
      </c>
      <c r="C1611" s="43" t="s">
        <v>1669</v>
      </c>
      <c r="D1611" s="10" t="s">
        <v>1668</v>
      </c>
      <c r="E1611" s="43" t="s">
        <v>10</v>
      </c>
      <c r="F1611" s="8">
        <f>_xlfn.IFNA(INDEX('OSA | 3GB'!J:L,MATCH(DATA!D1611,'OSA | 3GB'!J:J,0),2),0)</f>
        <v>0</v>
      </c>
      <c r="G1611" s="8">
        <f>_xlfn.IFNA(INDEX('OSA | 3GB'!J:L,MATCH(DATA!D1611,'OSA | 3GB'!J:J,0),3),0)</f>
        <v>0</v>
      </c>
      <c r="H1611" s="32" t="str">
        <f>_xlfn.IFNA(INDEX('OSA | 3GB'!A:C,MATCH(DATA!D1611,'OSA | 3GB'!A:A,0),2),0)</f>
        <v xml:space="preserve"> -   </v>
      </c>
      <c r="I1611" s="33" t="str">
        <f>_xlfn.IFNA(INDEX('OSA | 3GB'!A:C,MATCH(DATA!D1611,'OSA | 3GB'!A:A,0),3),0)</f>
        <v xml:space="preserve"> -   </v>
      </c>
      <c r="J1611" s="33">
        <f>INDEX('BIO WAHYU'!B:G,MATCH(DATA!D1611,'BIO WAHYU'!B:B,0),5)</f>
        <v>0</v>
      </c>
      <c r="K1611" s="34">
        <f>INDEX('BIO WAHYU'!B:G,MATCH(DATA!D1611,'BIO WAHYU'!B:B,0),6)</f>
        <v>0</v>
      </c>
      <c r="L1611" s="35">
        <f>INDEX('BIO WAHYU'!B:H,MATCH(DATA!D1611,'BIO WAHYU'!B:B,0),7)</f>
        <v>0</v>
      </c>
      <c r="M1611" s="34">
        <f>INDEX('BIO WAHYU'!B:H,MATCH(DATA!D1611,'BIO WAHYU'!B:B,0),4)</f>
        <v>0</v>
      </c>
    </row>
    <row r="1612" spans="1:13">
      <c r="A1612" s="43" t="s">
        <v>1674</v>
      </c>
      <c r="B1612" s="37"/>
      <c r="C1612" s="37"/>
      <c r="D1612" s="39"/>
      <c r="E1612" s="37"/>
      <c r="F1612" s="8"/>
      <c r="G1612" s="8"/>
      <c r="H1612" s="32"/>
      <c r="I1612" s="33"/>
      <c r="J1612" s="33"/>
      <c r="K1612" s="34"/>
      <c r="L1612" s="35"/>
      <c r="M1612" s="34"/>
    </row>
    <row r="1613" spans="1:13">
      <c r="A1613" s="37"/>
      <c r="B1613" s="37"/>
      <c r="C1613" s="37"/>
      <c r="D1613" s="39"/>
      <c r="E1613" s="37"/>
      <c r="F1613" s="8"/>
      <c r="G1613" s="8"/>
      <c r="H1613" s="32"/>
      <c r="I1613" s="33"/>
      <c r="J1613" s="33"/>
      <c r="K1613" s="34"/>
      <c r="L1613" s="35"/>
      <c r="M1613" s="34"/>
    </row>
    <row r="1614" spans="1:13">
      <c r="A1614" s="37"/>
      <c r="B1614" s="37"/>
      <c r="C1614" s="37"/>
      <c r="D1614" s="39"/>
      <c r="E1614" s="37"/>
      <c r="F1614" s="8"/>
      <c r="G1614" s="8"/>
      <c r="H1614" s="32"/>
      <c r="I1614" s="33"/>
      <c r="J1614" s="33"/>
      <c r="K1614" s="34"/>
      <c r="L1614" s="35"/>
      <c r="M1614" s="34"/>
    </row>
    <row r="1615" spans="1:13">
      <c r="A1615" s="37"/>
      <c r="B1615" s="37"/>
      <c r="C1615" s="37"/>
      <c r="D1615" s="39"/>
      <c r="E1615" s="37"/>
      <c r="F1615" s="8"/>
      <c r="G1615" s="8"/>
      <c r="H1615" s="32"/>
      <c r="I1615" s="33"/>
      <c r="J1615" s="33"/>
      <c r="K1615" s="34"/>
      <c r="L1615" s="35"/>
      <c r="M1615" s="34"/>
    </row>
    <row r="1616" spans="1:13">
      <c r="A1616" s="37"/>
      <c r="B1616" s="37"/>
      <c r="C1616" s="37"/>
      <c r="D1616" s="39"/>
      <c r="E1616" s="37"/>
      <c r="F1616" s="8"/>
      <c r="G1616" s="8"/>
      <c r="H1616" s="32"/>
      <c r="I1616" s="33"/>
      <c r="J1616" s="33"/>
      <c r="K1616" s="34"/>
      <c r="L1616" s="35"/>
      <c r="M1616" s="34"/>
    </row>
    <row r="1617" spans="1:13">
      <c r="A1617" s="37"/>
      <c r="B1617" s="37"/>
      <c r="C1617" s="37"/>
      <c r="D1617" s="39"/>
      <c r="E1617" s="37"/>
      <c r="F1617" s="8"/>
      <c r="G1617" s="8"/>
      <c r="H1617" s="32"/>
      <c r="I1617" s="33"/>
      <c r="J1617" s="33"/>
      <c r="K1617" s="34"/>
      <c r="L1617" s="35"/>
      <c r="M1617" s="34"/>
    </row>
    <row r="1618" spans="1:13">
      <c r="A1618" s="37"/>
      <c r="B1618" s="37"/>
      <c r="C1618" s="37"/>
      <c r="D1618" s="39"/>
      <c r="E1618" s="37"/>
      <c r="F1618" s="8"/>
      <c r="G1618" s="8"/>
      <c r="H1618" s="32"/>
      <c r="I1618" s="33"/>
      <c r="J1618" s="33"/>
      <c r="K1618" s="34"/>
      <c r="L1618" s="35"/>
      <c r="M1618" s="34"/>
    </row>
    <row r="1619" spans="1:13">
      <c r="A1619" s="37"/>
      <c r="B1619" s="37"/>
      <c r="C1619" s="37"/>
      <c r="D1619" s="39"/>
      <c r="E1619" s="37"/>
      <c r="F1619" s="8"/>
      <c r="G1619" s="8"/>
      <c r="H1619" s="32"/>
      <c r="I1619" s="33"/>
      <c r="J1619" s="33"/>
      <c r="K1619" s="34"/>
      <c r="L1619" s="35"/>
      <c r="M1619" s="34"/>
    </row>
    <row r="1620" spans="1:13">
      <c r="A1620" s="37"/>
      <c r="B1620" s="37"/>
      <c r="C1620" s="37"/>
      <c r="D1620" s="39"/>
      <c r="E1620" s="37"/>
      <c r="F1620" s="8"/>
      <c r="G1620" s="8"/>
      <c r="H1620" s="32"/>
      <c r="I1620" s="33"/>
      <c r="J1620" s="33"/>
      <c r="K1620" s="34"/>
      <c r="L1620" s="35"/>
      <c r="M1620" s="34"/>
    </row>
    <row r="1621" spans="1:13">
      <c r="A1621" s="37"/>
      <c r="B1621" s="37"/>
      <c r="C1621" s="37"/>
      <c r="D1621" s="39"/>
      <c r="E1621" s="37"/>
      <c r="F1621" s="8"/>
      <c r="G1621" s="8"/>
      <c r="H1621" s="32"/>
      <c r="I1621" s="33"/>
      <c r="J1621" s="33"/>
      <c r="K1621" s="34"/>
      <c r="L1621" s="35"/>
      <c r="M1621" s="34"/>
    </row>
    <row r="1622" spans="1:13">
      <c r="A1622" s="37"/>
      <c r="B1622" s="37"/>
      <c r="C1622" s="37"/>
      <c r="D1622" s="39"/>
      <c r="E1622" s="37"/>
      <c r="F1622" s="8"/>
      <c r="G1622" s="8"/>
      <c r="H1622" s="32"/>
      <c r="I1622" s="33"/>
      <c r="J1622" s="33"/>
      <c r="K1622" s="34"/>
      <c r="L1622" s="35"/>
      <c r="M1622" s="34"/>
    </row>
    <row r="1623" spans="1:13">
      <c r="A1623" s="37"/>
      <c r="B1623" s="37"/>
      <c r="C1623" s="37"/>
      <c r="D1623" s="39"/>
      <c r="E1623" s="37"/>
      <c r="F1623" s="8"/>
      <c r="G1623" s="8"/>
      <c r="H1623" s="32"/>
      <c r="I1623" s="33"/>
      <c r="J1623" s="33"/>
      <c r="K1623" s="34"/>
      <c r="L1623" s="35"/>
      <c r="M1623" s="34"/>
    </row>
    <row r="1624" spans="1:13">
      <c r="A1624" s="37"/>
      <c r="B1624" s="37"/>
      <c r="C1624" s="37"/>
      <c r="D1624" s="39"/>
      <c r="E1624" s="37"/>
      <c r="F1624" s="8"/>
      <c r="G1624" s="8"/>
      <c r="H1624" s="32"/>
      <c r="I1624" s="33"/>
      <c r="J1624" s="33"/>
      <c r="K1624" s="34"/>
      <c r="L1624" s="35"/>
      <c r="M1624" s="34"/>
    </row>
    <row r="1625" spans="1:13">
      <c r="A1625" s="37"/>
      <c r="B1625" s="37"/>
      <c r="C1625" s="37"/>
      <c r="D1625" s="39"/>
      <c r="E1625" s="37"/>
      <c r="F1625" s="8"/>
      <c r="G1625" s="8"/>
      <c r="H1625" s="32"/>
      <c r="I1625" s="33"/>
      <c r="J1625" s="33"/>
      <c r="K1625" s="34"/>
      <c r="L1625" s="35"/>
      <c r="M1625" s="34"/>
    </row>
    <row r="1626" spans="1:13">
      <c r="A1626" s="37"/>
      <c r="B1626" s="37"/>
      <c r="C1626" s="37"/>
      <c r="D1626" s="39"/>
      <c r="E1626" s="37"/>
      <c r="F1626" s="8"/>
      <c r="G1626" s="8"/>
      <c r="H1626" s="32"/>
      <c r="I1626" s="33"/>
      <c r="J1626" s="33"/>
      <c r="K1626" s="34"/>
      <c r="L1626" s="35"/>
      <c r="M1626" s="34"/>
    </row>
    <row r="1627" spans="1:13">
      <c r="A1627" s="37"/>
      <c r="B1627" s="37"/>
      <c r="C1627" s="37"/>
      <c r="D1627" s="39"/>
      <c r="E1627" s="37"/>
      <c r="F1627" s="8"/>
      <c r="G1627" s="8"/>
      <c r="H1627" s="32"/>
      <c r="I1627" s="33"/>
      <c r="J1627" s="33"/>
      <c r="K1627" s="34"/>
      <c r="L1627" s="35"/>
      <c r="M1627" s="34"/>
    </row>
    <row r="1628" spans="1:13">
      <c r="A1628" s="37"/>
      <c r="B1628" s="37"/>
      <c r="C1628" s="37"/>
      <c r="D1628" s="39"/>
      <c r="E1628" s="37"/>
      <c r="F1628" s="8"/>
      <c r="G1628" s="8"/>
      <c r="H1628" s="32"/>
      <c r="I1628" s="33"/>
      <c r="J1628" s="33"/>
      <c r="K1628" s="34"/>
      <c r="L1628" s="35"/>
      <c r="M1628" s="34"/>
    </row>
    <row r="1629" spans="1:13">
      <c r="A1629" s="37"/>
      <c r="B1629" s="37"/>
      <c r="C1629" s="37"/>
      <c r="D1629" s="39"/>
      <c r="E1629" s="37"/>
      <c r="F1629" s="8"/>
      <c r="G1629" s="8"/>
      <c r="H1629" s="32"/>
      <c r="I1629" s="33"/>
      <c r="J1629" s="33"/>
      <c r="K1629" s="34"/>
      <c r="L1629" s="35"/>
      <c r="M1629" s="34"/>
    </row>
    <row r="1630" spans="1:13">
      <c r="A1630" s="37"/>
      <c r="B1630" s="37"/>
      <c r="C1630" s="37"/>
      <c r="D1630" s="39"/>
      <c r="E1630" s="37"/>
      <c r="F1630" s="8"/>
      <c r="G1630" s="8"/>
      <c r="H1630" s="32"/>
      <c r="I1630" s="33"/>
      <c r="J1630" s="33"/>
      <c r="K1630" s="34"/>
      <c r="L1630" s="35"/>
      <c r="M1630" s="34"/>
    </row>
    <row r="1631" spans="1:13">
      <c r="A1631" s="37"/>
      <c r="B1631" s="37"/>
      <c r="C1631" s="37"/>
      <c r="D1631" s="39"/>
      <c r="E1631" s="37"/>
      <c r="F1631" s="8"/>
      <c r="G1631" s="8"/>
      <c r="H1631" s="32"/>
      <c r="I1631" s="33"/>
      <c r="J1631" s="33"/>
      <c r="K1631" s="34"/>
      <c r="L1631" s="35"/>
      <c r="M1631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56D1-6F14-4AB3-B1E2-1E97523234D2}">
  <sheetPr codeName="Sheet2"/>
  <dimension ref="A1:H35"/>
  <sheetViews>
    <sheetView workbookViewId="0">
      <selection activeCell="H5" sqref="H5"/>
    </sheetView>
  </sheetViews>
  <sheetFormatPr defaultRowHeight="15"/>
  <cols>
    <col min="1" max="1" width="26" bestFit="1" customWidth="1"/>
    <col min="2" max="2" width="14.7109375" style="27" bestFit="1" customWidth="1"/>
    <col min="3" max="3" width="19.42578125" style="19" customWidth="1"/>
    <col min="4" max="4" width="18.7109375" style="19" bestFit="1" customWidth="1"/>
    <col min="5" max="5" width="20.42578125" style="19" bestFit="1" customWidth="1"/>
    <col min="6" max="6" width="11.42578125" style="19" bestFit="1" customWidth="1"/>
  </cols>
  <sheetData>
    <row r="1" spans="1:8">
      <c r="A1" s="29" t="s">
        <v>139</v>
      </c>
      <c r="B1" s="29" t="s">
        <v>2</v>
      </c>
      <c r="C1" s="28" t="s">
        <v>1677</v>
      </c>
      <c r="D1" s="9" t="s">
        <v>124</v>
      </c>
      <c r="E1" s="9" t="s">
        <v>131</v>
      </c>
      <c r="F1" s="9" t="s">
        <v>132</v>
      </c>
    </row>
    <row r="2" spans="1:8">
      <c r="A2" s="50" t="s">
        <v>1671</v>
      </c>
      <c r="B2" s="50">
        <v>2613050885</v>
      </c>
      <c r="C2" s="54">
        <v>461334292</v>
      </c>
      <c r="D2" s="53">
        <v>369</v>
      </c>
      <c r="E2" s="19">
        <v>80</v>
      </c>
      <c r="F2" s="19">
        <v>20</v>
      </c>
      <c r="H2" s="26"/>
    </row>
    <row r="3" spans="1:8">
      <c r="A3" s="51" t="s">
        <v>1675</v>
      </c>
      <c r="B3" s="51">
        <v>2613051043</v>
      </c>
      <c r="C3" s="54">
        <v>27846045</v>
      </c>
      <c r="D3" s="53">
        <v>167</v>
      </c>
      <c r="E3" s="19">
        <v>80</v>
      </c>
      <c r="F3" s="19">
        <v>20</v>
      </c>
      <c r="H3" s="26"/>
    </row>
    <row r="4" spans="1:8">
      <c r="A4" s="51" t="s">
        <v>1670</v>
      </c>
      <c r="B4" s="51">
        <v>2613051412</v>
      </c>
      <c r="C4" s="54">
        <v>90000000</v>
      </c>
      <c r="D4" s="53">
        <v>80</v>
      </c>
      <c r="E4" s="19">
        <v>80</v>
      </c>
      <c r="F4" s="19">
        <v>20</v>
      </c>
      <c r="H4" s="26"/>
    </row>
    <row r="5" spans="1:8">
      <c r="A5" s="50" t="s">
        <v>1675</v>
      </c>
      <c r="B5" s="50">
        <v>2613051451</v>
      </c>
      <c r="C5" s="54">
        <v>7241838</v>
      </c>
      <c r="D5" s="53">
        <v>75</v>
      </c>
      <c r="E5" s="19">
        <v>80</v>
      </c>
      <c r="F5" s="19">
        <v>20</v>
      </c>
      <c r="H5" s="26"/>
    </row>
    <row r="6" spans="1:8">
      <c r="A6" s="51" t="s">
        <v>1670</v>
      </c>
      <c r="B6" s="51">
        <v>2613052584</v>
      </c>
      <c r="C6" s="54">
        <v>55000000</v>
      </c>
      <c r="D6" s="53">
        <v>80</v>
      </c>
      <c r="E6" s="19">
        <v>80</v>
      </c>
      <c r="F6" s="19">
        <v>20</v>
      </c>
      <c r="H6" s="26"/>
    </row>
    <row r="7" spans="1:8">
      <c r="A7" s="52" t="s">
        <v>1670</v>
      </c>
      <c r="B7" s="52" t="s">
        <v>140</v>
      </c>
      <c r="C7" s="54">
        <v>275000000</v>
      </c>
      <c r="D7" s="53">
        <v>290</v>
      </c>
      <c r="E7" s="19">
        <v>80</v>
      </c>
      <c r="F7" s="19">
        <v>20</v>
      </c>
      <c r="H7" s="26"/>
    </row>
    <row r="8" spans="1:8">
      <c r="A8" s="52" t="s">
        <v>1675</v>
      </c>
      <c r="B8" s="52" t="s">
        <v>136</v>
      </c>
      <c r="C8" s="54">
        <v>67061661</v>
      </c>
      <c r="D8" s="53">
        <v>256</v>
      </c>
      <c r="E8" s="19">
        <v>80</v>
      </c>
      <c r="F8" s="19">
        <v>20</v>
      </c>
      <c r="H8" s="26"/>
    </row>
    <row r="9" spans="1:8">
      <c r="A9" s="52" t="s">
        <v>1673</v>
      </c>
      <c r="B9" s="52" t="s">
        <v>141</v>
      </c>
      <c r="C9" s="54">
        <v>115112833</v>
      </c>
      <c r="D9" s="53">
        <v>282</v>
      </c>
      <c r="E9" s="19">
        <v>80</v>
      </c>
      <c r="F9" s="19">
        <v>20</v>
      </c>
      <c r="H9" s="26"/>
    </row>
    <row r="10" spans="1:8">
      <c r="A10" s="52" t="s">
        <v>1</v>
      </c>
      <c r="B10" s="52" t="s">
        <v>3</v>
      </c>
      <c r="C10" s="54">
        <v>177222546</v>
      </c>
      <c r="D10" s="53">
        <v>102</v>
      </c>
      <c r="E10" s="19">
        <v>80</v>
      </c>
      <c r="F10" s="19">
        <v>20</v>
      </c>
      <c r="H10" s="26"/>
    </row>
    <row r="11" spans="1:8">
      <c r="A11" s="52" t="s">
        <v>1</v>
      </c>
      <c r="B11" s="52" t="s">
        <v>4</v>
      </c>
      <c r="C11" s="54">
        <v>248682066</v>
      </c>
      <c r="D11" s="53">
        <v>112</v>
      </c>
      <c r="E11" s="19">
        <v>80</v>
      </c>
      <c r="F11" s="19">
        <v>20</v>
      </c>
      <c r="H11" s="26"/>
    </row>
    <row r="12" spans="1:8">
      <c r="A12" s="52" t="s">
        <v>1</v>
      </c>
      <c r="B12" s="52" t="s">
        <v>5</v>
      </c>
      <c r="C12" s="54">
        <v>376871657</v>
      </c>
      <c r="D12" s="53">
        <v>472</v>
      </c>
      <c r="E12" s="19">
        <v>80</v>
      </c>
      <c r="F12" s="19">
        <v>20</v>
      </c>
      <c r="H12" s="26"/>
    </row>
    <row r="13" spans="1:8">
      <c r="A13" s="52" t="s">
        <v>1671</v>
      </c>
      <c r="B13" s="52" t="s">
        <v>142</v>
      </c>
      <c r="C13" s="54">
        <v>396481429</v>
      </c>
      <c r="D13" s="53">
        <v>334</v>
      </c>
      <c r="E13" s="19">
        <v>80</v>
      </c>
      <c r="F13" s="19">
        <v>20</v>
      </c>
      <c r="H13" s="26"/>
    </row>
    <row r="14" spans="1:8">
      <c r="A14" s="52" t="s">
        <v>1673</v>
      </c>
      <c r="B14" s="52" t="s">
        <v>143</v>
      </c>
      <c r="C14" s="54">
        <v>556339824</v>
      </c>
      <c r="D14" s="53">
        <v>272</v>
      </c>
      <c r="E14" s="19">
        <v>80</v>
      </c>
      <c r="F14" s="19">
        <v>20</v>
      </c>
      <c r="H14" s="26"/>
    </row>
    <row r="15" spans="1:8">
      <c r="A15" s="52" t="s">
        <v>1673</v>
      </c>
      <c r="B15" s="52" t="s">
        <v>144</v>
      </c>
      <c r="C15" s="54">
        <v>113519484</v>
      </c>
      <c r="D15" s="53">
        <v>282</v>
      </c>
      <c r="E15" s="19">
        <v>80</v>
      </c>
      <c r="F15" s="19">
        <v>20</v>
      </c>
      <c r="H15" s="26"/>
    </row>
    <row r="16" spans="1:8">
      <c r="A16" s="52" t="s">
        <v>1675</v>
      </c>
      <c r="B16" s="52" t="s">
        <v>137</v>
      </c>
      <c r="C16" s="54">
        <v>23408194</v>
      </c>
      <c r="D16" s="53">
        <v>239</v>
      </c>
      <c r="E16" s="19">
        <v>80</v>
      </c>
      <c r="F16" s="19">
        <v>20</v>
      </c>
      <c r="H16" s="26"/>
    </row>
    <row r="17" spans="1:8">
      <c r="A17" s="52" t="s">
        <v>1670</v>
      </c>
      <c r="B17" s="52" t="s">
        <v>145</v>
      </c>
      <c r="C17" s="54">
        <v>235000000</v>
      </c>
      <c r="D17" s="53">
        <v>350</v>
      </c>
      <c r="E17" s="19">
        <v>80</v>
      </c>
      <c r="F17" s="19">
        <v>20</v>
      </c>
      <c r="H17" s="26"/>
    </row>
    <row r="18" spans="1:8">
      <c r="A18" s="52" t="s">
        <v>1670</v>
      </c>
      <c r="B18" s="52" t="s">
        <v>146</v>
      </c>
      <c r="C18" s="54">
        <v>128418937</v>
      </c>
      <c r="D18" s="53">
        <v>379</v>
      </c>
      <c r="E18" s="19">
        <v>80</v>
      </c>
      <c r="F18" s="19">
        <v>20</v>
      </c>
      <c r="H18" s="26"/>
    </row>
    <row r="19" spans="1:8">
      <c r="A19" s="52" t="s">
        <v>1671</v>
      </c>
      <c r="B19" s="52">
        <v>2613050886</v>
      </c>
      <c r="C19" s="54">
        <v>141407690</v>
      </c>
      <c r="D19" s="53">
        <v>293</v>
      </c>
      <c r="E19" s="19">
        <v>80</v>
      </c>
      <c r="F19" s="19">
        <v>20</v>
      </c>
      <c r="H19" s="26"/>
    </row>
    <row r="20" spans="1:8">
      <c r="A20" s="52" t="s">
        <v>1672</v>
      </c>
      <c r="B20" s="52">
        <v>2613051475</v>
      </c>
      <c r="C20" s="54">
        <v>92771505</v>
      </c>
      <c r="D20" s="53">
        <v>90</v>
      </c>
      <c r="E20" s="19">
        <v>80</v>
      </c>
      <c r="F20" s="19">
        <v>20</v>
      </c>
      <c r="H20" s="26"/>
    </row>
    <row r="21" spans="1:8">
      <c r="A21" s="52" t="s">
        <v>1674</v>
      </c>
      <c r="B21" s="52">
        <v>2613052222</v>
      </c>
      <c r="C21" s="54">
        <v>106403599</v>
      </c>
      <c r="D21" s="53">
        <v>350</v>
      </c>
      <c r="E21" s="19">
        <v>80</v>
      </c>
      <c r="F21" s="19">
        <v>20</v>
      </c>
      <c r="H21" s="26"/>
    </row>
    <row r="22" spans="1:8">
      <c r="A22" s="52" t="s">
        <v>1674</v>
      </c>
      <c r="B22" s="52" t="s">
        <v>147</v>
      </c>
      <c r="C22" s="54">
        <v>239806000</v>
      </c>
      <c r="D22" s="53">
        <v>302</v>
      </c>
      <c r="E22" s="19">
        <v>80</v>
      </c>
      <c r="F22" s="19">
        <v>20</v>
      </c>
      <c r="H22" s="26"/>
    </row>
    <row r="23" spans="1:8">
      <c r="A23" s="52" t="s">
        <v>1674</v>
      </c>
      <c r="B23" s="52" t="s">
        <v>148</v>
      </c>
      <c r="C23" s="54">
        <v>200517646</v>
      </c>
      <c r="D23" s="53">
        <v>206</v>
      </c>
      <c r="E23" s="19">
        <v>80</v>
      </c>
      <c r="F23" s="19">
        <v>20</v>
      </c>
      <c r="H23" s="26"/>
    </row>
    <row r="24" spans="1:8">
      <c r="A24" s="52" t="s">
        <v>1672</v>
      </c>
      <c r="B24" s="52" t="s">
        <v>149</v>
      </c>
      <c r="C24" s="54">
        <v>193855087</v>
      </c>
      <c r="D24" s="53">
        <v>342</v>
      </c>
      <c r="E24" s="19">
        <v>80</v>
      </c>
      <c r="F24" s="19">
        <v>20</v>
      </c>
      <c r="H24" s="26"/>
    </row>
    <row r="25" spans="1:8">
      <c r="A25" s="52" t="s">
        <v>1672</v>
      </c>
      <c r="B25" s="52" t="s">
        <v>150</v>
      </c>
      <c r="C25" s="54">
        <v>156468032</v>
      </c>
      <c r="D25" s="53">
        <v>289</v>
      </c>
      <c r="E25" s="19">
        <v>80</v>
      </c>
      <c r="F25" s="19">
        <v>20</v>
      </c>
      <c r="H25" s="26"/>
    </row>
    <row r="26" spans="1:8">
      <c r="A26" s="52" t="s">
        <v>1672</v>
      </c>
      <c r="B26" s="52" t="s">
        <v>151</v>
      </c>
      <c r="C26" s="54">
        <v>130106674</v>
      </c>
      <c r="D26" s="53">
        <v>305</v>
      </c>
      <c r="E26" s="19">
        <v>80</v>
      </c>
      <c r="F26" s="19">
        <v>20</v>
      </c>
      <c r="H26" s="26"/>
    </row>
    <row r="27" spans="1:8">
      <c r="A27" s="52" t="s">
        <v>1674</v>
      </c>
      <c r="B27" s="52" t="s">
        <v>152</v>
      </c>
      <c r="C27" s="54">
        <v>237839245</v>
      </c>
      <c r="D27" s="53">
        <v>190</v>
      </c>
      <c r="E27" s="19">
        <v>80</v>
      </c>
      <c r="F27" s="19">
        <v>20</v>
      </c>
      <c r="H27" s="26"/>
    </row>
    <row r="28" spans="1:8">
      <c r="A28" s="52" t="s">
        <v>1674</v>
      </c>
      <c r="B28" s="52" t="s">
        <v>153</v>
      </c>
      <c r="C28" s="54">
        <v>280089631</v>
      </c>
      <c r="D28" s="53">
        <v>230</v>
      </c>
      <c r="E28" s="19">
        <v>80</v>
      </c>
      <c r="F28" s="19">
        <v>20</v>
      </c>
      <c r="H28" s="26"/>
    </row>
    <row r="29" spans="1:8">
      <c r="A29" s="52" t="s">
        <v>1674</v>
      </c>
      <c r="B29" s="52" t="s">
        <v>154</v>
      </c>
      <c r="C29" s="54">
        <v>174648041</v>
      </c>
      <c r="D29" s="53">
        <v>209</v>
      </c>
      <c r="E29" s="19">
        <v>80</v>
      </c>
      <c r="F29" s="19">
        <v>20</v>
      </c>
      <c r="H29" s="26"/>
    </row>
    <row r="30" spans="1:8">
      <c r="A30" s="52" t="s">
        <v>1672</v>
      </c>
      <c r="B30" s="52" t="s">
        <v>155</v>
      </c>
      <c r="C30" s="54">
        <v>119093084</v>
      </c>
      <c r="D30" s="53">
        <v>305</v>
      </c>
      <c r="E30" s="19">
        <v>80</v>
      </c>
      <c r="F30" s="19">
        <v>20</v>
      </c>
      <c r="H30" s="26"/>
    </row>
    <row r="31" spans="1:8">
      <c r="A31" s="52" t="s">
        <v>1672</v>
      </c>
      <c r="B31" s="52" t="s">
        <v>156</v>
      </c>
      <c r="C31" s="54">
        <v>173299298</v>
      </c>
      <c r="D31" s="53">
        <v>305</v>
      </c>
      <c r="E31" s="19">
        <v>80</v>
      </c>
      <c r="F31" s="19">
        <v>20</v>
      </c>
      <c r="H31" s="26"/>
    </row>
    <row r="32" spans="1:8">
      <c r="A32" s="52" t="s">
        <v>1672</v>
      </c>
      <c r="B32" s="52" t="s">
        <v>157</v>
      </c>
      <c r="C32" s="54">
        <v>296244976</v>
      </c>
      <c r="D32" s="53">
        <v>420</v>
      </c>
      <c r="E32" s="19">
        <v>80</v>
      </c>
      <c r="F32" s="19">
        <v>20</v>
      </c>
      <c r="H32" s="26"/>
    </row>
    <row r="33" spans="1:8">
      <c r="A33" s="52" t="s">
        <v>1673</v>
      </c>
      <c r="B33" s="52" t="s">
        <v>1140</v>
      </c>
      <c r="C33" s="54">
        <v>182177546</v>
      </c>
      <c r="D33" s="53">
        <v>260</v>
      </c>
      <c r="E33" s="19">
        <v>80</v>
      </c>
      <c r="F33" s="19">
        <v>20</v>
      </c>
      <c r="H33" s="26"/>
    </row>
    <row r="34" spans="1:8">
      <c r="A34" s="52" t="s">
        <v>1673</v>
      </c>
      <c r="B34" s="52" t="s">
        <v>1136</v>
      </c>
      <c r="C34" s="54">
        <v>153601914</v>
      </c>
      <c r="D34" s="53">
        <v>261</v>
      </c>
      <c r="E34" s="19">
        <v>80</v>
      </c>
      <c r="F34" s="19">
        <v>20</v>
      </c>
      <c r="H34" s="26"/>
    </row>
    <row r="35" spans="1:8">
      <c r="A35" s="52" t="s">
        <v>1673</v>
      </c>
      <c r="B35" s="52" t="s">
        <v>158</v>
      </c>
      <c r="C35" s="54">
        <v>63489347</v>
      </c>
      <c r="D35" s="53">
        <v>250</v>
      </c>
      <c r="E35" s="19">
        <v>80</v>
      </c>
      <c r="F35" s="19">
        <v>20</v>
      </c>
      <c r="H35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5235-A8E0-42AF-8D8D-5D5BD306AC0F}">
  <sheetPr codeName="Sheet4"/>
  <dimension ref="A1:M1684"/>
  <sheetViews>
    <sheetView workbookViewId="0">
      <selection activeCell="H15" sqref="H15"/>
    </sheetView>
  </sheetViews>
  <sheetFormatPr defaultRowHeight="15"/>
  <cols>
    <col min="1" max="1" width="19.28515625" bestFit="1" customWidth="1"/>
    <col min="2" max="3" width="12.85546875" bestFit="1" customWidth="1"/>
    <col min="4" max="4" width="11.140625" customWidth="1"/>
    <col min="6" max="7" width="2.5703125" customWidth="1"/>
    <col min="8" max="9" width="9.140625" customWidth="1"/>
    <col min="10" max="10" width="19.28515625" bestFit="1" customWidth="1"/>
    <col min="11" max="11" width="18.5703125" bestFit="1" customWidth="1"/>
    <col min="12" max="12" width="14.140625" customWidth="1"/>
  </cols>
  <sheetData>
    <row r="1" spans="1:13">
      <c r="A1" s="38" t="s">
        <v>7</v>
      </c>
      <c r="B1" s="40" t="s">
        <v>114</v>
      </c>
      <c r="C1" s="42" t="s">
        <v>115</v>
      </c>
      <c r="D1" s="48" t="s">
        <v>1676</v>
      </c>
      <c r="J1" s="6" t="s">
        <v>7</v>
      </c>
      <c r="K1" s="4" t="s">
        <v>1071</v>
      </c>
      <c r="L1" s="5" t="s">
        <v>1070</v>
      </c>
      <c r="M1" s="49" t="s">
        <v>1074</v>
      </c>
    </row>
    <row r="2" spans="1:13">
      <c r="A2" s="10">
        <v>12327959</v>
      </c>
      <c r="B2" s="1">
        <v>3</v>
      </c>
      <c r="C2" s="2">
        <v>2350000</v>
      </c>
      <c r="D2" s="41"/>
      <c r="J2" s="39">
        <v>11201</v>
      </c>
      <c r="K2" s="41">
        <v>0</v>
      </c>
      <c r="L2" s="41">
        <v>400000</v>
      </c>
      <c r="M2" s="41"/>
    </row>
    <row r="3" spans="1:13">
      <c r="A3" s="10">
        <v>12320370</v>
      </c>
      <c r="B3" s="1" t="s">
        <v>1073</v>
      </c>
      <c r="C3" s="2">
        <v>400000</v>
      </c>
      <c r="D3" s="41"/>
      <c r="J3" s="39">
        <v>188722</v>
      </c>
      <c r="K3" s="41">
        <v>3</v>
      </c>
      <c r="L3" s="41">
        <v>5000000</v>
      </c>
      <c r="M3" s="41"/>
    </row>
    <row r="4" spans="1:13">
      <c r="A4" s="10">
        <v>12322404</v>
      </c>
      <c r="B4" s="1" t="s">
        <v>1073</v>
      </c>
      <c r="C4" s="1" t="s">
        <v>1073</v>
      </c>
      <c r="D4" s="41"/>
      <c r="J4" s="39">
        <v>229932</v>
      </c>
      <c r="K4" s="41">
        <v>3</v>
      </c>
      <c r="L4" s="41">
        <v>1129000</v>
      </c>
      <c r="M4" s="41"/>
    </row>
    <row r="5" spans="1:13">
      <c r="A5" s="10">
        <v>188148</v>
      </c>
      <c r="B5" s="1">
        <v>33</v>
      </c>
      <c r="C5" s="2">
        <v>2537000</v>
      </c>
      <c r="D5" s="41"/>
      <c r="J5" s="39">
        <v>240043</v>
      </c>
      <c r="K5" s="41">
        <v>0</v>
      </c>
      <c r="L5" s="41">
        <v>7750000</v>
      </c>
      <c r="M5" s="41"/>
    </row>
    <row r="6" spans="1:13">
      <c r="A6" s="10">
        <v>531889</v>
      </c>
      <c r="B6" s="1" t="s">
        <v>1073</v>
      </c>
      <c r="C6" s="1" t="s">
        <v>1073</v>
      </c>
      <c r="D6" s="41"/>
      <c r="J6" s="39">
        <v>240378</v>
      </c>
      <c r="K6" s="41">
        <v>3</v>
      </c>
      <c r="L6" s="41">
        <v>700000</v>
      </c>
      <c r="M6" s="41"/>
    </row>
    <row r="7" spans="1:13">
      <c r="A7" s="10">
        <v>61982</v>
      </c>
      <c r="B7" s="1" t="s">
        <v>1073</v>
      </c>
      <c r="C7" s="1" t="s">
        <v>1073</v>
      </c>
      <c r="D7" s="41"/>
      <c r="J7" s="39">
        <v>240562</v>
      </c>
      <c r="K7" s="41">
        <v>100</v>
      </c>
      <c r="L7" s="41">
        <v>4610000</v>
      </c>
      <c r="M7" s="41"/>
    </row>
    <row r="8" spans="1:13">
      <c r="A8" s="10">
        <v>116871</v>
      </c>
      <c r="B8" s="1">
        <v>3</v>
      </c>
      <c r="C8" s="2">
        <v>13029000</v>
      </c>
      <c r="D8" s="41"/>
      <c r="J8" s="39">
        <v>2827</v>
      </c>
      <c r="K8" s="41">
        <v>15</v>
      </c>
      <c r="L8" s="41">
        <v>12500000</v>
      </c>
      <c r="M8" s="41"/>
    </row>
    <row r="9" spans="1:13">
      <c r="A9" s="10">
        <v>402240</v>
      </c>
      <c r="B9" s="1">
        <v>2</v>
      </c>
      <c r="C9" s="2">
        <v>3300000</v>
      </c>
      <c r="D9" s="41"/>
      <c r="J9" s="39">
        <v>286444</v>
      </c>
      <c r="K9" s="41">
        <v>107</v>
      </c>
      <c r="L9" s="41">
        <v>7922875</v>
      </c>
      <c r="M9" s="41"/>
    </row>
    <row r="10" spans="1:13">
      <c r="A10" s="10">
        <v>127206</v>
      </c>
      <c r="B10" s="1" t="s">
        <v>1073</v>
      </c>
      <c r="C10" s="2">
        <v>3000000</v>
      </c>
      <c r="D10" s="41"/>
      <c r="J10" s="39">
        <v>286468</v>
      </c>
      <c r="K10" s="41">
        <v>3</v>
      </c>
      <c r="L10" s="41">
        <v>3484000</v>
      </c>
      <c r="M10" s="41"/>
    </row>
    <row r="11" spans="1:13">
      <c r="A11" s="10">
        <v>12320892</v>
      </c>
      <c r="B11" s="1">
        <v>6</v>
      </c>
      <c r="C11" s="2">
        <v>1000000</v>
      </c>
      <c r="D11" s="41"/>
      <c r="J11" s="39">
        <v>287843</v>
      </c>
      <c r="K11" s="41">
        <v>3</v>
      </c>
      <c r="L11" s="41">
        <v>2500000</v>
      </c>
      <c r="M11" s="41"/>
    </row>
    <row r="12" spans="1:13">
      <c r="A12" s="10">
        <v>545720</v>
      </c>
      <c r="B12" s="1">
        <v>3</v>
      </c>
      <c r="C12" s="2">
        <v>650000</v>
      </c>
      <c r="D12" s="41"/>
      <c r="J12" s="39">
        <v>311393</v>
      </c>
      <c r="K12" s="41">
        <v>104</v>
      </c>
      <c r="L12" s="41">
        <v>3027750</v>
      </c>
      <c r="M12" s="41"/>
    </row>
    <row r="13" spans="1:13">
      <c r="A13" s="10">
        <v>479396</v>
      </c>
      <c r="B13" s="1" t="s">
        <v>1073</v>
      </c>
      <c r="C13" s="2">
        <v>4000000</v>
      </c>
      <c r="D13" s="41"/>
      <c r="J13" s="39">
        <v>311453</v>
      </c>
      <c r="K13" s="41">
        <v>3</v>
      </c>
      <c r="L13" s="41">
        <v>150000</v>
      </c>
      <c r="M13" s="41"/>
    </row>
    <row r="14" spans="1:13">
      <c r="A14" s="10">
        <v>329512</v>
      </c>
      <c r="B14" s="1" t="s">
        <v>1073</v>
      </c>
      <c r="C14" s="2">
        <v>2000000</v>
      </c>
      <c r="D14" s="41"/>
      <c r="J14" s="39">
        <v>330557</v>
      </c>
      <c r="K14" s="41">
        <v>4</v>
      </c>
      <c r="L14" s="41">
        <v>3300000</v>
      </c>
      <c r="M14" s="41"/>
    </row>
    <row r="15" spans="1:13">
      <c r="A15" s="10">
        <v>12300128</v>
      </c>
      <c r="B15" s="1">
        <v>4</v>
      </c>
      <c r="C15" s="3">
        <v>116000</v>
      </c>
      <c r="D15" s="41"/>
      <c r="J15" s="39">
        <v>330648</v>
      </c>
      <c r="K15" s="41">
        <v>3</v>
      </c>
      <c r="L15" s="41">
        <v>1200000</v>
      </c>
      <c r="M15" s="41"/>
    </row>
    <row r="16" spans="1:13">
      <c r="A16" s="10">
        <v>114982</v>
      </c>
      <c r="B16" s="1" t="s">
        <v>1073</v>
      </c>
      <c r="C16" s="3">
        <v>200000</v>
      </c>
      <c r="D16" s="41"/>
      <c r="J16" s="39">
        <v>331841</v>
      </c>
      <c r="K16" s="41">
        <v>3</v>
      </c>
      <c r="L16" s="41">
        <v>4700000</v>
      </c>
      <c r="M16" s="41"/>
    </row>
    <row r="17" spans="1:13">
      <c r="A17" s="10">
        <v>199056</v>
      </c>
      <c r="B17" s="1">
        <v>2</v>
      </c>
      <c r="C17" s="2">
        <v>2500000</v>
      </c>
      <c r="D17" s="41"/>
      <c r="J17" s="39">
        <v>334656</v>
      </c>
      <c r="K17" s="41">
        <v>3</v>
      </c>
      <c r="L17" s="41">
        <v>1567250</v>
      </c>
      <c r="M17" s="41"/>
    </row>
    <row r="18" spans="1:13">
      <c r="A18" s="10">
        <v>440364</v>
      </c>
      <c r="B18" s="1" t="s">
        <v>1073</v>
      </c>
      <c r="C18" s="2">
        <v>400000</v>
      </c>
      <c r="D18" s="41"/>
      <c r="J18" s="39">
        <v>344269</v>
      </c>
      <c r="K18" s="41">
        <v>0</v>
      </c>
      <c r="L18" s="41">
        <v>0</v>
      </c>
      <c r="M18" s="41"/>
    </row>
    <row r="19" spans="1:13">
      <c r="A19" s="10">
        <v>228872</v>
      </c>
      <c r="B19" s="1" t="s">
        <v>1073</v>
      </c>
      <c r="C19" s="2">
        <v>2000000</v>
      </c>
      <c r="D19" s="41"/>
      <c r="J19" s="39">
        <v>353047</v>
      </c>
      <c r="K19" s="41">
        <v>3</v>
      </c>
      <c r="L19" s="41">
        <v>150000</v>
      </c>
      <c r="M19" s="41"/>
    </row>
    <row r="20" spans="1:13">
      <c r="A20" s="10">
        <v>12320853</v>
      </c>
      <c r="B20" s="1" t="s">
        <v>1073</v>
      </c>
      <c r="C20" s="1" t="s">
        <v>1073</v>
      </c>
      <c r="D20" s="41"/>
      <c r="J20" s="39">
        <v>362684</v>
      </c>
      <c r="K20" s="41">
        <v>3</v>
      </c>
      <c r="L20" s="41">
        <v>100000</v>
      </c>
      <c r="M20" s="41"/>
    </row>
    <row r="21" spans="1:13">
      <c r="A21" s="10">
        <v>61673</v>
      </c>
      <c r="B21" s="1">
        <v>3</v>
      </c>
      <c r="C21" s="2">
        <v>350000</v>
      </c>
      <c r="D21" s="41"/>
      <c r="J21" s="39">
        <v>364537</v>
      </c>
      <c r="K21" s="41">
        <v>4</v>
      </c>
      <c r="L21" s="41">
        <v>1800000</v>
      </c>
      <c r="M21" s="41"/>
    </row>
    <row r="22" spans="1:13">
      <c r="A22" s="10">
        <v>439681</v>
      </c>
      <c r="B22" s="1">
        <v>3</v>
      </c>
      <c r="C22" s="2">
        <v>986000</v>
      </c>
      <c r="D22" s="41"/>
      <c r="J22" s="39">
        <v>369884</v>
      </c>
      <c r="K22" s="41">
        <v>0</v>
      </c>
      <c r="L22" s="41">
        <v>8500000</v>
      </c>
      <c r="M22" s="41"/>
    </row>
    <row r="23" spans="1:13">
      <c r="A23" s="10">
        <v>405102</v>
      </c>
      <c r="B23" s="1" t="s">
        <v>1073</v>
      </c>
      <c r="C23" s="1" t="s">
        <v>1073</v>
      </c>
      <c r="D23" s="41"/>
      <c r="J23" s="39">
        <v>385480</v>
      </c>
      <c r="K23" s="41">
        <v>6</v>
      </c>
      <c r="L23" s="41">
        <v>2550000</v>
      </c>
      <c r="M23" s="41"/>
    </row>
    <row r="24" spans="1:13">
      <c r="A24" s="10">
        <v>12326118</v>
      </c>
      <c r="B24" s="1">
        <v>3</v>
      </c>
      <c r="C24" s="2">
        <v>911500</v>
      </c>
      <c r="D24" s="41"/>
      <c r="J24" s="39">
        <v>396064</v>
      </c>
      <c r="K24" s="41">
        <v>7</v>
      </c>
      <c r="L24" s="41">
        <v>3150000</v>
      </c>
      <c r="M24" s="41"/>
    </row>
    <row r="25" spans="1:13">
      <c r="A25" s="10">
        <v>522705</v>
      </c>
      <c r="B25" s="1" t="s">
        <v>1073</v>
      </c>
      <c r="C25" s="1" t="s">
        <v>1073</v>
      </c>
      <c r="D25" s="41"/>
      <c r="J25" s="39">
        <v>397893</v>
      </c>
      <c r="K25" s="41">
        <v>18</v>
      </c>
      <c r="L25" s="41">
        <v>8800000</v>
      </c>
      <c r="M25" s="41"/>
    </row>
    <row r="26" spans="1:13">
      <c r="A26" s="10">
        <v>534103</v>
      </c>
      <c r="B26" s="1" t="s">
        <v>1073</v>
      </c>
      <c r="C26" s="2">
        <v>1000000</v>
      </c>
      <c r="D26" s="41"/>
      <c r="J26" s="39">
        <v>405102</v>
      </c>
      <c r="K26" s="41">
        <v>3</v>
      </c>
      <c r="L26" s="41">
        <v>800000</v>
      </c>
      <c r="M26" s="41"/>
    </row>
    <row r="27" spans="1:13">
      <c r="A27" s="10">
        <v>458924</v>
      </c>
      <c r="B27" s="1" t="s">
        <v>1073</v>
      </c>
      <c r="C27" s="1" t="s">
        <v>1073</v>
      </c>
      <c r="D27" s="41"/>
      <c r="J27" s="39">
        <v>405461</v>
      </c>
      <c r="K27" s="41">
        <v>6</v>
      </c>
      <c r="L27" s="41">
        <v>4347000</v>
      </c>
      <c r="M27" s="41"/>
    </row>
    <row r="28" spans="1:13">
      <c r="A28" s="10">
        <v>406831</v>
      </c>
      <c r="B28" s="1" t="s">
        <v>1073</v>
      </c>
      <c r="C28" s="2">
        <v>1200000</v>
      </c>
      <c r="D28" s="41"/>
      <c r="J28" s="39">
        <v>406768</v>
      </c>
      <c r="K28" s="41">
        <v>3</v>
      </c>
      <c r="L28" s="41">
        <v>9500000</v>
      </c>
      <c r="M28" s="41"/>
    </row>
    <row r="29" spans="1:13">
      <c r="A29" s="10">
        <v>400528</v>
      </c>
      <c r="B29" s="1">
        <v>3</v>
      </c>
      <c r="C29" s="1" t="s">
        <v>1073</v>
      </c>
      <c r="D29" s="41"/>
      <c r="J29" s="39">
        <v>413177</v>
      </c>
      <c r="K29" s="41">
        <v>3</v>
      </c>
      <c r="L29" s="41">
        <v>529000</v>
      </c>
      <c r="M29" s="41"/>
    </row>
    <row r="30" spans="1:13">
      <c r="A30" s="10">
        <v>12295826</v>
      </c>
      <c r="B30" s="1" t="s">
        <v>1073</v>
      </c>
      <c r="C30" s="1" t="s">
        <v>1073</v>
      </c>
      <c r="D30" s="41"/>
      <c r="J30" s="39">
        <v>422918</v>
      </c>
      <c r="K30" s="41">
        <v>3</v>
      </c>
      <c r="L30" s="41">
        <v>10000000</v>
      </c>
      <c r="M30" s="41"/>
    </row>
    <row r="31" spans="1:13">
      <c r="A31" s="10">
        <v>12326939</v>
      </c>
      <c r="B31" s="1" t="s">
        <v>1073</v>
      </c>
      <c r="C31" s="2">
        <v>2896000</v>
      </c>
      <c r="D31" s="41"/>
      <c r="J31" s="39">
        <v>424470</v>
      </c>
      <c r="K31" s="41">
        <v>14</v>
      </c>
      <c r="L31" s="41">
        <v>2700000</v>
      </c>
      <c r="M31" s="41"/>
    </row>
    <row r="32" spans="1:13">
      <c r="A32" s="10">
        <v>12295805</v>
      </c>
      <c r="B32" s="1" t="s">
        <v>1073</v>
      </c>
      <c r="C32" s="1" t="s">
        <v>1073</v>
      </c>
      <c r="D32" s="41"/>
      <c r="J32" s="39">
        <v>468202</v>
      </c>
      <c r="K32" s="41">
        <v>2</v>
      </c>
      <c r="L32" s="41">
        <v>1000000</v>
      </c>
      <c r="M32" s="41"/>
    </row>
    <row r="33" spans="1:13">
      <c r="A33" s="10">
        <v>366731</v>
      </c>
      <c r="B33" s="1">
        <v>7</v>
      </c>
      <c r="C33" s="2">
        <v>5030000</v>
      </c>
      <c r="D33" s="41"/>
      <c r="J33" s="39">
        <v>481538</v>
      </c>
      <c r="K33" s="41">
        <v>0</v>
      </c>
      <c r="L33" s="41">
        <v>300000</v>
      </c>
      <c r="M33" s="41"/>
    </row>
    <row r="34" spans="1:13">
      <c r="A34" s="10">
        <v>375678</v>
      </c>
      <c r="B34" s="1" t="s">
        <v>1073</v>
      </c>
      <c r="C34" s="2">
        <v>2000000</v>
      </c>
      <c r="D34" s="41"/>
      <c r="J34" s="39">
        <v>496630</v>
      </c>
      <c r="K34" s="41">
        <v>0</v>
      </c>
      <c r="L34" s="41">
        <v>0</v>
      </c>
      <c r="M34" s="41"/>
    </row>
    <row r="35" spans="1:13">
      <c r="A35" s="10">
        <v>572317</v>
      </c>
      <c r="B35" s="1">
        <v>99</v>
      </c>
      <c r="C35" s="2">
        <v>9355000</v>
      </c>
      <c r="D35" s="41"/>
      <c r="J35" s="39">
        <v>499401</v>
      </c>
      <c r="K35" s="41">
        <v>70</v>
      </c>
      <c r="L35" s="41">
        <v>200000</v>
      </c>
      <c r="M35" s="41"/>
    </row>
    <row r="36" spans="1:13">
      <c r="A36" s="10">
        <v>537259</v>
      </c>
      <c r="B36" s="1" t="s">
        <v>1073</v>
      </c>
      <c r="C36" s="2">
        <v>1150000</v>
      </c>
      <c r="D36" s="41"/>
      <c r="J36" s="39">
        <v>513123</v>
      </c>
      <c r="K36" s="41">
        <v>3</v>
      </c>
      <c r="L36" s="41">
        <v>2100000</v>
      </c>
      <c r="M36" s="41"/>
    </row>
    <row r="37" spans="1:13">
      <c r="A37" s="10">
        <v>12297198</v>
      </c>
      <c r="B37" s="1" t="s">
        <v>1073</v>
      </c>
      <c r="C37" s="1" t="s">
        <v>1073</v>
      </c>
      <c r="D37" s="41"/>
      <c r="J37" s="39">
        <v>513182</v>
      </c>
      <c r="K37" s="41">
        <v>3</v>
      </c>
      <c r="L37" s="41">
        <v>2400000</v>
      </c>
      <c r="M37" s="41"/>
    </row>
    <row r="38" spans="1:13">
      <c r="A38" s="10">
        <v>12295752</v>
      </c>
      <c r="B38" s="1">
        <v>5</v>
      </c>
      <c r="C38" s="1" t="s">
        <v>1073</v>
      </c>
      <c r="D38" s="41"/>
      <c r="J38" s="39">
        <v>517666</v>
      </c>
      <c r="K38" s="41">
        <v>3</v>
      </c>
      <c r="L38" s="41">
        <v>1200000</v>
      </c>
      <c r="M38" s="41"/>
    </row>
    <row r="39" spans="1:13">
      <c r="A39" s="10">
        <v>337270</v>
      </c>
      <c r="B39" s="1" t="s">
        <v>1073</v>
      </c>
      <c r="C39" s="2">
        <v>2800000</v>
      </c>
      <c r="D39" s="41"/>
      <c r="J39" s="39">
        <v>517908</v>
      </c>
      <c r="K39" s="41">
        <v>3</v>
      </c>
      <c r="L39" s="41">
        <v>750000</v>
      </c>
      <c r="M39" s="41"/>
    </row>
    <row r="40" spans="1:13">
      <c r="A40" s="10">
        <v>61487</v>
      </c>
      <c r="B40" s="1">
        <v>3</v>
      </c>
      <c r="C40" s="3">
        <v>100000</v>
      </c>
      <c r="D40" s="41"/>
      <c r="J40" s="39">
        <v>523362</v>
      </c>
      <c r="K40" s="41">
        <v>6</v>
      </c>
      <c r="L40" s="41">
        <v>6050000</v>
      </c>
      <c r="M40" s="41"/>
    </row>
    <row r="41" spans="1:13">
      <c r="A41" s="10">
        <v>532286</v>
      </c>
      <c r="B41" s="1" t="s">
        <v>1073</v>
      </c>
      <c r="C41" s="1" t="s">
        <v>1073</v>
      </c>
      <c r="D41" s="41"/>
      <c r="J41" s="39">
        <v>531522</v>
      </c>
      <c r="K41" s="41">
        <v>3</v>
      </c>
      <c r="L41" s="41">
        <v>1437500</v>
      </c>
      <c r="M41" s="41"/>
    </row>
    <row r="42" spans="1:13">
      <c r="A42" s="10">
        <v>328760</v>
      </c>
      <c r="B42" s="1">
        <v>2</v>
      </c>
      <c r="C42" s="2">
        <v>558000</v>
      </c>
      <c r="D42" s="41"/>
      <c r="J42" s="39">
        <v>532249</v>
      </c>
      <c r="K42" s="41">
        <v>6</v>
      </c>
      <c r="L42" s="41">
        <v>1129000</v>
      </c>
      <c r="M42" s="41"/>
    </row>
    <row r="43" spans="1:13">
      <c r="A43" s="10">
        <v>261639</v>
      </c>
      <c r="B43" s="1" t="s">
        <v>1073</v>
      </c>
      <c r="C43" s="2">
        <v>500000</v>
      </c>
      <c r="D43" s="41"/>
      <c r="J43" s="39">
        <v>532583</v>
      </c>
      <c r="K43" s="41">
        <v>1</v>
      </c>
      <c r="L43" s="41">
        <v>4700000</v>
      </c>
      <c r="M43" s="41"/>
    </row>
    <row r="44" spans="1:13">
      <c r="A44" s="10">
        <v>489716</v>
      </c>
      <c r="B44" s="1" t="s">
        <v>1073</v>
      </c>
      <c r="C44" s="1" t="s">
        <v>1073</v>
      </c>
      <c r="D44" s="41"/>
      <c r="J44" s="39">
        <v>534610</v>
      </c>
      <c r="K44" s="41">
        <v>3</v>
      </c>
      <c r="L44" s="41">
        <v>1500000</v>
      </c>
      <c r="M44" s="41"/>
    </row>
    <row r="45" spans="1:13">
      <c r="A45" s="10">
        <v>563913</v>
      </c>
      <c r="B45" s="1">
        <v>9</v>
      </c>
      <c r="C45" s="1" t="s">
        <v>1073</v>
      </c>
      <c r="D45" s="41"/>
      <c r="J45" s="39">
        <v>544599</v>
      </c>
      <c r="K45" s="41">
        <v>3</v>
      </c>
      <c r="L45" s="41">
        <v>200000</v>
      </c>
      <c r="M45" s="41"/>
    </row>
    <row r="46" spans="1:13">
      <c r="A46" s="10">
        <v>11164</v>
      </c>
      <c r="B46" s="1" t="s">
        <v>1073</v>
      </c>
      <c r="C46" s="1" t="s">
        <v>1073</v>
      </c>
      <c r="D46" s="41"/>
      <c r="J46" s="39">
        <v>545535</v>
      </c>
      <c r="K46" s="41">
        <v>0</v>
      </c>
      <c r="L46" s="41">
        <v>0</v>
      </c>
      <c r="M46" s="41"/>
    </row>
    <row r="47" spans="1:13">
      <c r="A47" s="10">
        <v>385886</v>
      </c>
      <c r="B47" s="1" t="s">
        <v>1073</v>
      </c>
      <c r="C47" s="1" t="s">
        <v>1073</v>
      </c>
      <c r="D47" s="41"/>
      <c r="J47" s="39">
        <v>571265</v>
      </c>
      <c r="K47" s="41">
        <v>3</v>
      </c>
      <c r="L47" s="41">
        <v>1700000</v>
      </c>
      <c r="M47" s="41"/>
    </row>
    <row r="48" spans="1:13">
      <c r="A48" s="10">
        <v>211671</v>
      </c>
      <c r="B48" s="1">
        <v>83</v>
      </c>
      <c r="C48" s="2">
        <v>15145000</v>
      </c>
      <c r="D48" s="41"/>
      <c r="J48" s="39">
        <v>574054</v>
      </c>
      <c r="K48" s="41">
        <v>3</v>
      </c>
      <c r="L48" s="41">
        <v>900000</v>
      </c>
      <c r="M48" s="41"/>
    </row>
    <row r="49" spans="1:13">
      <c r="A49" s="10">
        <v>286665</v>
      </c>
      <c r="B49" s="1" t="s">
        <v>1073</v>
      </c>
      <c r="C49" s="2">
        <v>450000</v>
      </c>
      <c r="D49" s="41"/>
      <c r="J49" s="39">
        <v>5981</v>
      </c>
      <c r="K49" s="41">
        <v>1</v>
      </c>
      <c r="L49" s="41">
        <v>12500000</v>
      </c>
      <c r="M49" s="41"/>
    </row>
    <row r="50" spans="1:13">
      <c r="A50" s="10">
        <v>501630</v>
      </c>
      <c r="B50" s="1" t="s">
        <v>1073</v>
      </c>
      <c r="C50" s="3">
        <v>50000</v>
      </c>
      <c r="D50" s="41"/>
      <c r="J50" s="39">
        <v>61526</v>
      </c>
      <c r="K50" s="41">
        <v>36</v>
      </c>
      <c r="L50" s="41">
        <v>7729000</v>
      </c>
      <c r="M50" s="41"/>
    </row>
    <row r="51" spans="1:13">
      <c r="A51" s="10">
        <v>396064</v>
      </c>
      <c r="B51" s="1" t="s">
        <v>1073</v>
      </c>
      <c r="C51" s="2">
        <v>800000</v>
      </c>
      <c r="D51" s="41"/>
      <c r="J51" s="39">
        <v>61528</v>
      </c>
      <c r="K51" s="41">
        <v>3</v>
      </c>
      <c r="L51" s="41">
        <v>1700000</v>
      </c>
      <c r="M51" s="41"/>
    </row>
    <row r="52" spans="1:13">
      <c r="A52" s="10">
        <v>12323425</v>
      </c>
      <c r="B52" s="1" t="s">
        <v>1073</v>
      </c>
      <c r="C52" s="2">
        <v>4300000</v>
      </c>
      <c r="D52" s="41"/>
      <c r="J52" s="39">
        <v>61664</v>
      </c>
      <c r="K52" s="41">
        <v>3</v>
      </c>
      <c r="L52" s="41">
        <v>8000000</v>
      </c>
      <c r="M52" s="41"/>
    </row>
    <row r="53" spans="1:13">
      <c r="A53" s="10">
        <v>201488</v>
      </c>
      <c r="B53" s="1" t="s">
        <v>1073</v>
      </c>
      <c r="C53" s="2">
        <v>400000</v>
      </c>
      <c r="D53" s="41"/>
      <c r="J53" s="39">
        <v>61953</v>
      </c>
      <c r="K53" s="41">
        <v>14</v>
      </c>
      <c r="L53" s="41">
        <v>4500000</v>
      </c>
      <c r="M53" s="41"/>
    </row>
    <row r="54" spans="1:13">
      <c r="A54" s="10">
        <v>363660</v>
      </c>
      <c r="B54" s="1" t="s">
        <v>1073</v>
      </c>
      <c r="C54" s="2">
        <v>1000000</v>
      </c>
      <c r="D54" s="41"/>
      <c r="J54" s="39">
        <v>62414</v>
      </c>
      <c r="K54" s="41">
        <v>10</v>
      </c>
      <c r="L54" s="41">
        <v>5200000</v>
      </c>
      <c r="M54" s="41"/>
    </row>
    <row r="55" spans="1:13">
      <c r="A55" s="10">
        <v>457300</v>
      </c>
      <c r="B55" s="1" t="s">
        <v>1073</v>
      </c>
      <c r="C55" s="2">
        <v>1200000</v>
      </c>
      <c r="D55" s="41"/>
      <c r="J55" s="39">
        <v>7988</v>
      </c>
      <c r="K55" s="41">
        <v>3</v>
      </c>
      <c r="L55" s="41">
        <v>37101016</v>
      </c>
      <c r="M55" s="41"/>
    </row>
    <row r="56" spans="1:13">
      <c r="A56" s="10">
        <v>12322582</v>
      </c>
      <c r="B56" s="1" t="s">
        <v>1073</v>
      </c>
      <c r="C56" s="1" t="s">
        <v>1073</v>
      </c>
      <c r="D56" s="41"/>
      <c r="J56" s="39">
        <v>11164</v>
      </c>
      <c r="K56" s="41">
        <v>3</v>
      </c>
      <c r="L56" s="41">
        <v>350000</v>
      </c>
      <c r="M56" s="41"/>
    </row>
    <row r="57" spans="1:13">
      <c r="A57" s="10">
        <v>12326196</v>
      </c>
      <c r="B57" s="1">
        <v>5</v>
      </c>
      <c r="C57" s="2">
        <v>1534000</v>
      </c>
      <c r="D57" s="41"/>
      <c r="J57" s="39">
        <v>12295842</v>
      </c>
      <c r="K57" s="41">
        <v>144</v>
      </c>
      <c r="L57" s="41">
        <v>2170000</v>
      </c>
      <c r="M57" s="41"/>
    </row>
    <row r="58" spans="1:13">
      <c r="A58" s="10">
        <v>12327331</v>
      </c>
      <c r="B58" s="1">
        <v>1</v>
      </c>
      <c r="C58" s="3">
        <v>29000</v>
      </c>
      <c r="D58" s="41"/>
      <c r="J58" s="39">
        <v>12303100</v>
      </c>
      <c r="K58" s="41">
        <v>3</v>
      </c>
      <c r="L58" s="41">
        <v>200000</v>
      </c>
      <c r="M58" s="41"/>
    </row>
    <row r="59" spans="1:13">
      <c r="A59" s="10">
        <v>12318984</v>
      </c>
      <c r="B59" s="1" t="s">
        <v>1073</v>
      </c>
      <c r="C59" s="1" t="s">
        <v>1073</v>
      </c>
      <c r="D59" s="41"/>
      <c r="J59" s="39">
        <v>12303554</v>
      </c>
      <c r="K59" s="41">
        <v>3</v>
      </c>
      <c r="L59" s="41">
        <v>450000</v>
      </c>
      <c r="M59" s="41"/>
    </row>
    <row r="60" spans="1:13">
      <c r="A60" s="10">
        <v>240551</v>
      </c>
      <c r="B60" s="1" t="s">
        <v>1073</v>
      </c>
      <c r="C60" s="2">
        <v>1000000</v>
      </c>
      <c r="D60" s="41"/>
      <c r="J60" s="39">
        <v>12312221</v>
      </c>
      <c r="K60" s="41">
        <v>0</v>
      </c>
      <c r="L60" s="41">
        <v>0</v>
      </c>
      <c r="M60" s="41"/>
    </row>
    <row r="61" spans="1:13">
      <c r="A61" s="10">
        <v>224061</v>
      </c>
      <c r="B61" s="1" t="s">
        <v>1073</v>
      </c>
      <c r="C61" s="2">
        <v>3355000</v>
      </c>
      <c r="D61" s="41"/>
      <c r="J61" s="39">
        <v>12320323</v>
      </c>
      <c r="K61" s="41">
        <v>0</v>
      </c>
      <c r="L61" s="41">
        <v>0</v>
      </c>
      <c r="M61" s="41"/>
    </row>
    <row r="62" spans="1:13">
      <c r="A62" s="10">
        <v>553329</v>
      </c>
      <c r="B62" s="1" t="s">
        <v>1073</v>
      </c>
      <c r="C62" s="3">
        <v>200000</v>
      </c>
      <c r="D62" s="41"/>
      <c r="J62" s="39">
        <v>12323668</v>
      </c>
      <c r="K62" s="41">
        <v>0</v>
      </c>
      <c r="L62" s="41">
        <v>50000</v>
      </c>
      <c r="M62" s="41"/>
    </row>
    <row r="63" spans="1:13">
      <c r="A63" s="10">
        <v>12295897</v>
      </c>
      <c r="B63" s="1" t="s">
        <v>1073</v>
      </c>
      <c r="C63" s="1" t="s">
        <v>1073</v>
      </c>
      <c r="D63" s="41"/>
      <c r="J63" s="39">
        <v>12327841</v>
      </c>
      <c r="K63" s="41">
        <v>3</v>
      </c>
      <c r="L63" s="41">
        <v>250000</v>
      </c>
      <c r="M63" s="41"/>
    </row>
    <row r="64" spans="1:13">
      <c r="A64" s="10">
        <v>531527</v>
      </c>
      <c r="B64" s="1" t="s">
        <v>1073</v>
      </c>
      <c r="C64" s="2">
        <v>2500000</v>
      </c>
      <c r="D64" s="41"/>
      <c r="J64" s="39">
        <v>12329048</v>
      </c>
      <c r="K64" s="41">
        <v>0</v>
      </c>
      <c r="L64" s="41">
        <v>50000</v>
      </c>
      <c r="M64" s="41"/>
    </row>
    <row r="65" spans="1:13">
      <c r="A65" s="10">
        <v>240352</v>
      </c>
      <c r="B65" s="1" t="s">
        <v>1073</v>
      </c>
      <c r="C65" s="2">
        <v>11400000</v>
      </c>
      <c r="D65" s="41"/>
      <c r="J65" s="39">
        <v>12332390</v>
      </c>
      <c r="K65" s="41">
        <v>109</v>
      </c>
      <c r="L65" s="41">
        <v>150000</v>
      </c>
      <c r="M65" s="41"/>
    </row>
    <row r="66" spans="1:13">
      <c r="A66" s="10">
        <v>579541</v>
      </c>
      <c r="B66" s="1" t="s">
        <v>1073</v>
      </c>
      <c r="C66" s="2">
        <v>1300000</v>
      </c>
      <c r="D66" s="41"/>
      <c r="J66" s="39">
        <v>12334713</v>
      </c>
      <c r="K66" s="41">
        <v>5</v>
      </c>
      <c r="L66" s="41">
        <v>900000</v>
      </c>
      <c r="M66" s="41"/>
    </row>
    <row r="67" spans="1:13">
      <c r="A67" s="10">
        <v>12326920</v>
      </c>
      <c r="B67" s="1">
        <v>125</v>
      </c>
      <c r="C67" s="2">
        <v>4357500</v>
      </c>
      <c r="D67" s="41"/>
      <c r="J67" s="39">
        <v>127119</v>
      </c>
      <c r="K67" s="41">
        <v>3</v>
      </c>
      <c r="L67" s="41">
        <v>500000</v>
      </c>
      <c r="M67" s="41"/>
    </row>
    <row r="68" spans="1:13">
      <c r="A68" s="10">
        <v>12324280</v>
      </c>
      <c r="B68" s="1" t="s">
        <v>1073</v>
      </c>
      <c r="C68" s="1" t="s">
        <v>1073</v>
      </c>
      <c r="D68" s="41"/>
      <c r="J68" s="39">
        <v>199330</v>
      </c>
      <c r="K68" s="41">
        <v>2</v>
      </c>
      <c r="L68" s="41">
        <v>2400000</v>
      </c>
      <c r="M68" s="41"/>
    </row>
    <row r="69" spans="1:13">
      <c r="A69" s="10">
        <v>3109</v>
      </c>
      <c r="B69" s="1" t="s">
        <v>1073</v>
      </c>
      <c r="C69" s="2">
        <v>600000</v>
      </c>
      <c r="D69" s="41"/>
      <c r="J69" s="39">
        <v>211624</v>
      </c>
      <c r="K69" s="41">
        <v>3</v>
      </c>
      <c r="L69" s="41">
        <v>350000</v>
      </c>
      <c r="M69" s="41"/>
    </row>
    <row r="70" spans="1:13">
      <c r="A70" s="10">
        <v>292836</v>
      </c>
      <c r="B70" s="1" t="s">
        <v>1073</v>
      </c>
      <c r="C70" s="2">
        <v>1000000</v>
      </c>
      <c r="D70" s="41"/>
      <c r="J70" s="39">
        <v>238651</v>
      </c>
      <c r="K70" s="41">
        <v>2</v>
      </c>
      <c r="L70" s="41">
        <v>1000000</v>
      </c>
      <c r="M70" s="41"/>
    </row>
    <row r="71" spans="1:13">
      <c r="A71" s="10">
        <v>127223</v>
      </c>
      <c r="B71" s="1" t="s">
        <v>1073</v>
      </c>
      <c r="C71" s="1" t="s">
        <v>1073</v>
      </c>
      <c r="D71" s="41"/>
      <c r="J71" s="39">
        <v>260931</v>
      </c>
      <c r="K71" s="41">
        <v>3</v>
      </c>
      <c r="L71" s="41">
        <v>20029000</v>
      </c>
      <c r="M71" s="41"/>
    </row>
    <row r="72" spans="1:13">
      <c r="A72" s="10">
        <v>521902</v>
      </c>
      <c r="B72" s="1" t="s">
        <v>1073</v>
      </c>
      <c r="C72" s="2">
        <v>400000</v>
      </c>
      <c r="D72" s="41"/>
      <c r="J72" s="39">
        <v>278296</v>
      </c>
      <c r="K72" s="41">
        <v>5</v>
      </c>
      <c r="L72" s="41">
        <v>7500000</v>
      </c>
      <c r="M72" s="41"/>
    </row>
    <row r="73" spans="1:13">
      <c r="A73" s="10">
        <v>2587</v>
      </c>
      <c r="B73" s="1" t="s">
        <v>1073</v>
      </c>
      <c r="C73" s="2">
        <v>10350000</v>
      </c>
      <c r="D73" s="41"/>
      <c r="J73" s="39">
        <v>325627</v>
      </c>
      <c r="K73" s="41">
        <v>0</v>
      </c>
      <c r="L73" s="41">
        <v>0</v>
      </c>
      <c r="M73" s="41"/>
    </row>
    <row r="74" spans="1:13">
      <c r="A74" s="10">
        <v>12297183</v>
      </c>
      <c r="B74" s="1" t="s">
        <v>1073</v>
      </c>
      <c r="C74" s="1" t="s">
        <v>1073</v>
      </c>
      <c r="D74" s="41"/>
      <c r="J74" s="39">
        <v>329512</v>
      </c>
      <c r="K74" s="41">
        <v>0</v>
      </c>
      <c r="L74" s="41">
        <v>4000000</v>
      </c>
      <c r="M74" s="41"/>
    </row>
    <row r="75" spans="1:13">
      <c r="A75" s="10">
        <v>492248</v>
      </c>
      <c r="B75" s="1">
        <v>1</v>
      </c>
      <c r="C75" s="2">
        <v>6146687</v>
      </c>
      <c r="D75" s="41"/>
      <c r="J75" s="39">
        <v>329519</v>
      </c>
      <c r="K75" s="41">
        <v>0</v>
      </c>
      <c r="L75" s="41">
        <v>8980000</v>
      </c>
      <c r="M75" s="41"/>
    </row>
    <row r="76" spans="1:13">
      <c r="A76" s="10">
        <v>509438</v>
      </c>
      <c r="B76" s="1" t="s">
        <v>1073</v>
      </c>
      <c r="C76" s="3">
        <v>100000</v>
      </c>
      <c r="D76" s="41"/>
      <c r="J76" s="39">
        <v>335803</v>
      </c>
      <c r="K76" s="41">
        <v>0</v>
      </c>
      <c r="L76" s="41">
        <v>0</v>
      </c>
      <c r="M76" s="41"/>
    </row>
    <row r="77" spans="1:13">
      <c r="A77" s="10">
        <v>12295735</v>
      </c>
      <c r="B77" s="1" t="s">
        <v>1073</v>
      </c>
      <c r="C77" s="1" t="s">
        <v>1073</v>
      </c>
      <c r="D77" s="41"/>
      <c r="J77" s="39">
        <v>344532</v>
      </c>
      <c r="K77" s="41">
        <v>3</v>
      </c>
      <c r="L77" s="41">
        <v>1000000</v>
      </c>
      <c r="M77" s="41"/>
    </row>
    <row r="78" spans="1:13">
      <c r="A78" s="10">
        <v>579635</v>
      </c>
      <c r="B78" s="1">
        <v>3</v>
      </c>
      <c r="C78" s="2">
        <v>1200000</v>
      </c>
      <c r="D78" s="41"/>
      <c r="J78" s="39">
        <v>345394</v>
      </c>
      <c r="K78" s="41">
        <v>0</v>
      </c>
      <c r="L78" s="41">
        <v>200000</v>
      </c>
      <c r="M78" s="41"/>
    </row>
    <row r="79" spans="1:13">
      <c r="A79" s="10">
        <v>12303846</v>
      </c>
      <c r="B79" s="1" t="s">
        <v>1073</v>
      </c>
      <c r="C79" s="2">
        <v>900000</v>
      </c>
      <c r="D79" s="41"/>
      <c r="J79" s="39">
        <v>357286</v>
      </c>
      <c r="K79" s="41">
        <v>10</v>
      </c>
      <c r="L79" s="41">
        <v>100000</v>
      </c>
      <c r="M79" s="41"/>
    </row>
    <row r="80" spans="1:13">
      <c r="A80" s="10">
        <v>61609</v>
      </c>
      <c r="B80" s="1" t="s">
        <v>1073</v>
      </c>
      <c r="C80" s="3">
        <v>50000</v>
      </c>
      <c r="D80" s="41"/>
      <c r="J80" s="39">
        <v>366718</v>
      </c>
      <c r="K80" s="41">
        <v>31</v>
      </c>
      <c r="L80" s="41">
        <v>50320000</v>
      </c>
      <c r="M80" s="41"/>
    </row>
    <row r="81" spans="1:13">
      <c r="A81" s="10">
        <v>326560</v>
      </c>
      <c r="B81" s="1" t="s">
        <v>1073</v>
      </c>
      <c r="C81" s="2">
        <v>2200000</v>
      </c>
      <c r="D81" s="41"/>
      <c r="J81" s="39">
        <v>366731</v>
      </c>
      <c r="K81" s="41">
        <v>2</v>
      </c>
      <c r="L81" s="41">
        <v>12534000</v>
      </c>
      <c r="M81" s="41"/>
    </row>
    <row r="82" spans="1:13">
      <c r="A82" s="10">
        <v>454102</v>
      </c>
      <c r="B82" s="1" t="s">
        <v>1073</v>
      </c>
      <c r="C82" s="3">
        <v>100000</v>
      </c>
      <c r="D82" s="41"/>
      <c r="J82" s="39">
        <v>366732</v>
      </c>
      <c r="K82" s="41">
        <v>17</v>
      </c>
      <c r="L82" s="41">
        <v>1512500</v>
      </c>
      <c r="M82" s="41"/>
    </row>
    <row r="83" spans="1:13">
      <c r="A83" s="10">
        <v>510915</v>
      </c>
      <c r="B83" s="1" t="s">
        <v>1073</v>
      </c>
      <c r="C83" s="3">
        <v>50000</v>
      </c>
      <c r="D83" s="41"/>
      <c r="J83" s="39">
        <v>370215</v>
      </c>
      <c r="K83" s="41">
        <v>3</v>
      </c>
      <c r="L83" s="41">
        <v>1500000</v>
      </c>
      <c r="M83" s="41"/>
    </row>
    <row r="84" spans="1:13">
      <c r="A84" s="10">
        <v>324658</v>
      </c>
      <c r="B84" s="1" t="s">
        <v>1073</v>
      </c>
      <c r="C84" s="1" t="s">
        <v>1073</v>
      </c>
      <c r="D84" s="41"/>
      <c r="J84" s="39">
        <v>383700</v>
      </c>
      <c r="K84" s="41">
        <v>0</v>
      </c>
      <c r="L84" s="41">
        <v>2200000</v>
      </c>
      <c r="M84" s="41"/>
    </row>
    <row r="85" spans="1:13">
      <c r="A85" s="10">
        <v>61542</v>
      </c>
      <c r="B85" s="1" t="s">
        <v>1073</v>
      </c>
      <c r="C85" s="2">
        <v>4500000</v>
      </c>
      <c r="D85" s="41"/>
      <c r="J85" s="39">
        <v>404684</v>
      </c>
      <c r="K85" s="41">
        <v>23</v>
      </c>
      <c r="L85" s="41">
        <v>0</v>
      </c>
      <c r="M85" s="41"/>
    </row>
    <row r="86" spans="1:13">
      <c r="A86" s="10">
        <v>513303</v>
      </c>
      <c r="B86" s="1" t="s">
        <v>1073</v>
      </c>
      <c r="C86" s="2">
        <v>850000</v>
      </c>
      <c r="D86" s="41"/>
      <c r="J86" s="39">
        <v>406040</v>
      </c>
      <c r="K86" s="41">
        <v>4</v>
      </c>
      <c r="L86" s="41">
        <v>1800000</v>
      </c>
      <c r="M86" s="41"/>
    </row>
    <row r="87" spans="1:13">
      <c r="A87" s="10">
        <v>483093</v>
      </c>
      <c r="B87" s="1">
        <v>2</v>
      </c>
      <c r="C87" s="2">
        <v>1470000</v>
      </c>
      <c r="D87" s="41"/>
      <c r="J87" s="39">
        <v>411018</v>
      </c>
      <c r="K87" s="41">
        <v>6</v>
      </c>
      <c r="L87" s="41">
        <v>650000</v>
      </c>
      <c r="M87" s="41"/>
    </row>
    <row r="88" spans="1:13">
      <c r="A88" s="10">
        <v>494962</v>
      </c>
      <c r="B88" s="1" t="s">
        <v>1073</v>
      </c>
      <c r="C88" s="2">
        <v>2500000</v>
      </c>
      <c r="D88" s="41"/>
      <c r="J88" s="39">
        <v>418829</v>
      </c>
      <c r="K88" s="41">
        <v>3</v>
      </c>
      <c r="L88" s="41">
        <v>0</v>
      </c>
      <c r="M88" s="41"/>
    </row>
    <row r="89" spans="1:13">
      <c r="A89" s="10">
        <v>388</v>
      </c>
      <c r="B89" s="1" t="s">
        <v>1073</v>
      </c>
      <c r="C89" s="2">
        <v>450000</v>
      </c>
      <c r="D89" s="41"/>
      <c r="J89" s="39">
        <v>422569</v>
      </c>
      <c r="K89" s="41">
        <v>5</v>
      </c>
      <c r="L89" s="41">
        <v>50000</v>
      </c>
      <c r="M89" s="41"/>
    </row>
    <row r="90" spans="1:13">
      <c r="A90" s="10">
        <v>521231</v>
      </c>
      <c r="B90" s="1" t="s">
        <v>1073</v>
      </c>
      <c r="C90" s="2">
        <v>610000</v>
      </c>
      <c r="D90" s="41"/>
      <c r="J90" s="39">
        <v>458896</v>
      </c>
      <c r="K90" s="41">
        <v>10</v>
      </c>
      <c r="L90" s="41">
        <v>850000</v>
      </c>
      <c r="M90" s="41"/>
    </row>
    <row r="91" spans="1:13">
      <c r="A91" s="10">
        <v>482760</v>
      </c>
      <c r="B91" s="1">
        <v>2</v>
      </c>
      <c r="C91" s="2">
        <v>1570000</v>
      </c>
      <c r="D91" s="41"/>
      <c r="J91" s="39">
        <v>459694</v>
      </c>
      <c r="K91" s="41">
        <v>9</v>
      </c>
      <c r="L91" s="41">
        <v>0</v>
      </c>
      <c r="M91" s="41"/>
    </row>
    <row r="92" spans="1:13">
      <c r="A92" s="10">
        <v>63885</v>
      </c>
      <c r="B92" s="1">
        <v>350</v>
      </c>
      <c r="C92" s="2">
        <v>1920000</v>
      </c>
      <c r="D92" s="41"/>
      <c r="J92" s="39">
        <v>487986</v>
      </c>
      <c r="K92" s="41">
        <v>3</v>
      </c>
      <c r="L92" s="41">
        <v>12500000</v>
      </c>
      <c r="M92" s="41"/>
    </row>
    <row r="93" spans="1:13">
      <c r="A93" s="10">
        <v>526575</v>
      </c>
      <c r="B93" s="1" t="s">
        <v>1073</v>
      </c>
      <c r="C93" s="2">
        <v>600000</v>
      </c>
      <c r="D93" s="41"/>
      <c r="J93" s="39">
        <v>531527</v>
      </c>
      <c r="K93" s="41">
        <v>0</v>
      </c>
      <c r="L93" s="41">
        <v>8000000</v>
      </c>
      <c r="M93" s="41"/>
    </row>
    <row r="94" spans="1:13">
      <c r="A94" s="10">
        <v>559133</v>
      </c>
      <c r="B94" s="1" t="s">
        <v>1073</v>
      </c>
      <c r="C94" s="2">
        <v>1850000</v>
      </c>
      <c r="D94" s="41"/>
      <c r="J94" s="39">
        <v>536320</v>
      </c>
      <c r="K94" s="41">
        <v>0</v>
      </c>
      <c r="L94" s="41">
        <v>450000</v>
      </c>
      <c r="M94" s="41"/>
    </row>
    <row r="95" spans="1:13">
      <c r="A95" s="10">
        <v>536010</v>
      </c>
      <c r="B95" s="1" t="s">
        <v>1073</v>
      </c>
      <c r="C95" s="1" t="s">
        <v>1073</v>
      </c>
      <c r="D95" s="41"/>
      <c r="J95" s="39">
        <v>540749</v>
      </c>
      <c r="K95" s="41">
        <v>0</v>
      </c>
      <c r="L95" s="41">
        <v>400000</v>
      </c>
      <c r="M95" s="41"/>
    </row>
    <row r="96" spans="1:13">
      <c r="A96" s="10">
        <v>547539</v>
      </c>
      <c r="B96" s="1" t="s">
        <v>1073</v>
      </c>
      <c r="C96" s="2">
        <v>2200000</v>
      </c>
      <c r="D96" s="41"/>
      <c r="J96" s="39">
        <v>553329</v>
      </c>
      <c r="K96" s="41">
        <v>3</v>
      </c>
      <c r="L96" s="41">
        <v>400000</v>
      </c>
      <c r="M96" s="41"/>
    </row>
    <row r="97" spans="1:13">
      <c r="A97" s="10">
        <v>529246</v>
      </c>
      <c r="B97" s="1" t="s">
        <v>1073</v>
      </c>
      <c r="C97" s="1" t="s">
        <v>1073</v>
      </c>
      <c r="D97" s="41"/>
      <c r="J97" s="39">
        <v>553964</v>
      </c>
      <c r="K97" s="41">
        <v>0</v>
      </c>
      <c r="L97" s="41">
        <v>4458000</v>
      </c>
      <c r="M97" s="41"/>
    </row>
    <row r="98" spans="1:13">
      <c r="A98" s="10">
        <v>211600</v>
      </c>
      <c r="B98" s="1">
        <v>3</v>
      </c>
      <c r="C98" s="1" t="s">
        <v>1073</v>
      </c>
      <c r="D98" s="41"/>
      <c r="J98" s="39">
        <v>564427</v>
      </c>
      <c r="K98" s="41">
        <v>0</v>
      </c>
      <c r="L98" s="41">
        <v>0</v>
      </c>
      <c r="M98" s="41"/>
    </row>
    <row r="99" spans="1:13">
      <c r="A99" s="10">
        <v>61653</v>
      </c>
      <c r="B99" s="1" t="s">
        <v>1073</v>
      </c>
      <c r="C99" s="3">
        <v>200000</v>
      </c>
      <c r="D99" s="41"/>
      <c r="J99" s="39">
        <v>579115</v>
      </c>
      <c r="K99" s="41">
        <v>3</v>
      </c>
      <c r="L99" s="41">
        <v>300000</v>
      </c>
      <c r="M99" s="41"/>
    </row>
    <row r="100" spans="1:13">
      <c r="A100" s="10">
        <v>532091</v>
      </c>
      <c r="B100" s="1" t="s">
        <v>1073</v>
      </c>
      <c r="C100" s="2">
        <v>1500000</v>
      </c>
      <c r="D100" s="41"/>
      <c r="J100" s="39">
        <v>61603</v>
      </c>
      <c r="K100" s="41">
        <v>1</v>
      </c>
      <c r="L100" s="41">
        <v>2129000</v>
      </c>
      <c r="M100" s="41"/>
    </row>
    <row r="101" spans="1:13">
      <c r="A101" s="10">
        <v>211809</v>
      </c>
      <c r="B101" s="1" t="s">
        <v>1073</v>
      </c>
      <c r="C101" s="2">
        <v>1700000</v>
      </c>
      <c r="D101" s="41"/>
      <c r="J101" s="39">
        <v>61609</v>
      </c>
      <c r="K101" s="41">
        <v>97</v>
      </c>
      <c r="L101" s="41">
        <v>200000</v>
      </c>
      <c r="M101" s="41"/>
    </row>
    <row r="102" spans="1:13">
      <c r="A102" s="10">
        <v>370040</v>
      </c>
      <c r="B102" s="1" t="s">
        <v>1073</v>
      </c>
      <c r="C102" s="3">
        <v>200000</v>
      </c>
      <c r="D102" s="41"/>
      <c r="J102" s="39">
        <v>61799</v>
      </c>
      <c r="K102" s="41">
        <v>11</v>
      </c>
      <c r="L102" s="41">
        <v>750000</v>
      </c>
      <c r="M102" s="41"/>
    </row>
    <row r="103" spans="1:13">
      <c r="A103" s="10">
        <v>62062</v>
      </c>
      <c r="B103" s="1" t="s">
        <v>1073</v>
      </c>
      <c r="C103" s="3">
        <v>100000</v>
      </c>
      <c r="D103" s="41"/>
      <c r="J103" s="39">
        <v>61800</v>
      </c>
      <c r="K103" s="41">
        <v>1</v>
      </c>
      <c r="L103" s="41">
        <v>10050000</v>
      </c>
      <c r="M103" s="41"/>
    </row>
    <row r="104" spans="1:13">
      <c r="A104" s="10">
        <v>145245</v>
      </c>
      <c r="B104" s="1" t="s">
        <v>1073</v>
      </c>
      <c r="C104" s="2">
        <v>1600000</v>
      </c>
      <c r="D104" s="41"/>
      <c r="J104" s="39">
        <v>8220</v>
      </c>
      <c r="K104" s="41">
        <v>4</v>
      </c>
      <c r="L104" s="41">
        <v>4050000</v>
      </c>
      <c r="M104" s="41"/>
    </row>
    <row r="105" spans="1:13">
      <c r="A105" s="10">
        <v>219804</v>
      </c>
      <c r="B105" s="1">
        <v>3</v>
      </c>
      <c r="C105" s="3">
        <v>50000</v>
      </c>
      <c r="D105" s="41"/>
      <c r="J105" s="39">
        <v>9512</v>
      </c>
      <c r="K105" s="41">
        <v>0</v>
      </c>
      <c r="L105" s="41">
        <v>0</v>
      </c>
      <c r="M105" s="41"/>
    </row>
    <row r="106" spans="1:13">
      <c r="A106" s="10">
        <v>63887</v>
      </c>
      <c r="B106" s="1" t="s">
        <v>1073</v>
      </c>
      <c r="C106" s="2">
        <v>300000</v>
      </c>
      <c r="D106" s="41"/>
      <c r="J106" s="39">
        <v>12319847</v>
      </c>
      <c r="K106" s="41">
        <v>3</v>
      </c>
      <c r="L106" s="41">
        <v>5000000</v>
      </c>
      <c r="M106" s="41"/>
    </row>
    <row r="107" spans="1:13">
      <c r="A107" s="10">
        <v>240562</v>
      </c>
      <c r="B107" s="1" t="s">
        <v>1073</v>
      </c>
      <c r="C107" s="3">
        <v>100000</v>
      </c>
      <c r="D107" s="41"/>
      <c r="J107" s="39">
        <v>12322493</v>
      </c>
      <c r="K107" s="41">
        <v>103</v>
      </c>
      <c r="L107" s="41">
        <v>75000</v>
      </c>
      <c r="M107" s="41"/>
    </row>
    <row r="108" spans="1:13">
      <c r="A108" s="10">
        <v>61593</v>
      </c>
      <c r="B108" s="1" t="s">
        <v>1073</v>
      </c>
      <c r="C108" s="2">
        <v>500000</v>
      </c>
      <c r="D108" s="41"/>
      <c r="J108" s="39">
        <v>12323735</v>
      </c>
      <c r="K108" s="41">
        <v>0</v>
      </c>
      <c r="L108" s="41">
        <v>2000000</v>
      </c>
      <c r="M108" s="41"/>
    </row>
    <row r="109" spans="1:13">
      <c r="A109" s="10">
        <v>345127</v>
      </c>
      <c r="B109" s="1">
        <v>3</v>
      </c>
      <c r="C109" s="1" t="s">
        <v>1073</v>
      </c>
      <c r="D109" s="41"/>
      <c r="J109" s="39">
        <v>12324062</v>
      </c>
      <c r="K109" s="41">
        <v>85</v>
      </c>
      <c r="L109" s="41">
        <v>378500</v>
      </c>
      <c r="M109" s="41"/>
    </row>
    <row r="110" spans="1:13">
      <c r="A110" s="10">
        <v>12312295</v>
      </c>
      <c r="B110" s="1">
        <v>5</v>
      </c>
      <c r="C110" s="2">
        <v>300000</v>
      </c>
      <c r="D110" s="41"/>
      <c r="J110" s="39">
        <v>12330562</v>
      </c>
      <c r="K110" s="41">
        <v>4</v>
      </c>
      <c r="L110" s="41">
        <v>429000</v>
      </c>
      <c r="M110" s="41"/>
    </row>
    <row r="111" spans="1:13">
      <c r="A111" s="10">
        <v>404051</v>
      </c>
      <c r="B111" s="1">
        <v>23</v>
      </c>
      <c r="C111" s="3">
        <v>150000</v>
      </c>
      <c r="D111" s="41"/>
      <c r="J111" s="39">
        <v>188236</v>
      </c>
      <c r="K111" s="41">
        <v>4</v>
      </c>
      <c r="L111" s="41">
        <v>3129000</v>
      </c>
      <c r="M111" s="41"/>
    </row>
    <row r="112" spans="1:13">
      <c r="A112" s="10">
        <v>480251</v>
      </c>
      <c r="B112" s="1">
        <v>4</v>
      </c>
      <c r="C112" s="2">
        <v>608000</v>
      </c>
      <c r="D112" s="41"/>
      <c r="J112" s="39">
        <v>199056</v>
      </c>
      <c r="K112" s="41">
        <v>13</v>
      </c>
      <c r="L112" s="41">
        <v>6500000</v>
      </c>
      <c r="M112" s="41"/>
    </row>
    <row r="113" spans="1:13">
      <c r="A113" s="10">
        <v>426546</v>
      </c>
      <c r="B113" s="1" t="s">
        <v>1073</v>
      </c>
      <c r="C113" s="2">
        <v>300000</v>
      </c>
      <c r="D113" s="41"/>
      <c r="J113" s="39">
        <v>199058</v>
      </c>
      <c r="K113" s="41">
        <v>103</v>
      </c>
      <c r="L113" s="41">
        <v>1228250</v>
      </c>
      <c r="M113" s="41"/>
    </row>
    <row r="114" spans="1:13">
      <c r="A114" s="10">
        <v>286444</v>
      </c>
      <c r="B114" s="1" t="s">
        <v>1073</v>
      </c>
      <c r="C114" s="2">
        <v>3900000</v>
      </c>
      <c r="D114" s="41"/>
      <c r="J114" s="39">
        <v>199185</v>
      </c>
      <c r="K114" s="41">
        <v>7</v>
      </c>
      <c r="L114" s="41">
        <v>1379000</v>
      </c>
      <c r="M114" s="41"/>
    </row>
    <row r="115" spans="1:13">
      <c r="A115" s="10">
        <v>12303100</v>
      </c>
      <c r="B115" s="1" t="s">
        <v>1073</v>
      </c>
      <c r="C115" s="1" t="s">
        <v>1073</v>
      </c>
      <c r="D115" s="41"/>
      <c r="J115" s="39">
        <v>199324</v>
      </c>
      <c r="K115" s="41">
        <v>3</v>
      </c>
      <c r="L115" s="41">
        <v>150000</v>
      </c>
      <c r="M115" s="41"/>
    </row>
    <row r="116" spans="1:13">
      <c r="A116" s="10">
        <v>199207</v>
      </c>
      <c r="B116" s="1" t="s">
        <v>1073</v>
      </c>
      <c r="C116" s="1" t="s">
        <v>1073</v>
      </c>
      <c r="D116" s="41"/>
      <c r="J116" s="39">
        <v>201488</v>
      </c>
      <c r="K116" s="41">
        <v>3</v>
      </c>
      <c r="L116" s="41">
        <v>1050000</v>
      </c>
      <c r="M116" s="41"/>
    </row>
    <row r="117" spans="1:13">
      <c r="A117" s="10">
        <v>127209</v>
      </c>
      <c r="B117" s="1" t="s">
        <v>1073</v>
      </c>
      <c r="C117" s="2">
        <v>350000</v>
      </c>
      <c r="D117" s="41"/>
      <c r="J117" s="39">
        <v>211621</v>
      </c>
      <c r="K117" s="41">
        <v>3</v>
      </c>
      <c r="L117" s="41">
        <v>1500000</v>
      </c>
      <c r="M117" s="41"/>
    </row>
    <row r="118" spans="1:13">
      <c r="A118" s="10">
        <v>544123</v>
      </c>
      <c r="B118" s="1">
        <v>3</v>
      </c>
      <c r="C118" s="1" t="s">
        <v>1073</v>
      </c>
      <c r="D118" s="41"/>
      <c r="J118" s="39">
        <v>211622</v>
      </c>
      <c r="K118" s="41">
        <v>53</v>
      </c>
      <c r="L118" s="41">
        <v>612500</v>
      </c>
      <c r="M118" s="41"/>
    </row>
    <row r="119" spans="1:13">
      <c r="A119" s="10">
        <v>523849</v>
      </c>
      <c r="B119" s="1" t="s">
        <v>1073</v>
      </c>
      <c r="C119" s="1" t="s">
        <v>1073</v>
      </c>
      <c r="D119" s="41"/>
      <c r="J119" s="39">
        <v>214409</v>
      </c>
      <c r="K119" s="41">
        <v>0</v>
      </c>
      <c r="L119" s="41">
        <v>0</v>
      </c>
      <c r="M119" s="41"/>
    </row>
    <row r="120" spans="1:13">
      <c r="A120" s="10">
        <v>199135</v>
      </c>
      <c r="B120" s="1">
        <v>3</v>
      </c>
      <c r="C120" s="1" t="s">
        <v>1073</v>
      </c>
      <c r="D120" s="41"/>
      <c r="J120" s="39">
        <v>227846</v>
      </c>
      <c r="K120" s="41">
        <v>3</v>
      </c>
      <c r="L120" s="41">
        <v>1800000</v>
      </c>
      <c r="M120" s="41"/>
    </row>
    <row r="121" spans="1:13">
      <c r="A121" s="10">
        <v>478963</v>
      </c>
      <c r="B121" s="1" t="s">
        <v>1073</v>
      </c>
      <c r="C121" s="1" t="s">
        <v>1073</v>
      </c>
      <c r="D121" s="41"/>
      <c r="J121" s="39">
        <v>231086</v>
      </c>
      <c r="K121" s="41">
        <v>3</v>
      </c>
      <c r="L121" s="41">
        <v>1300000</v>
      </c>
      <c r="M121" s="41"/>
    </row>
    <row r="122" spans="1:13">
      <c r="A122" s="10">
        <v>12295785</v>
      </c>
      <c r="B122" s="1" t="s">
        <v>1073</v>
      </c>
      <c r="C122" s="1" t="s">
        <v>1073</v>
      </c>
      <c r="D122" s="41"/>
      <c r="J122" s="39">
        <v>234536</v>
      </c>
      <c r="K122" s="41">
        <v>3</v>
      </c>
      <c r="L122" s="41">
        <v>0</v>
      </c>
      <c r="M122" s="41"/>
    </row>
    <row r="123" spans="1:13">
      <c r="A123" s="10">
        <v>12297170</v>
      </c>
      <c r="B123" s="1" t="s">
        <v>1073</v>
      </c>
      <c r="C123" s="1" t="s">
        <v>1073</v>
      </c>
      <c r="D123" s="41"/>
      <c r="J123" s="39">
        <v>236374</v>
      </c>
      <c r="K123" s="41">
        <v>3</v>
      </c>
      <c r="L123" s="41">
        <v>2800000</v>
      </c>
      <c r="M123" s="41"/>
    </row>
    <row r="124" spans="1:13">
      <c r="A124" s="10">
        <v>267428</v>
      </c>
      <c r="B124" s="1">
        <v>2</v>
      </c>
      <c r="C124" s="2">
        <v>6465952</v>
      </c>
      <c r="D124" s="41"/>
      <c r="J124" s="39">
        <v>240092</v>
      </c>
      <c r="K124" s="41">
        <v>5</v>
      </c>
      <c r="L124" s="41">
        <v>1000000</v>
      </c>
      <c r="M124" s="41"/>
    </row>
    <row r="125" spans="1:13">
      <c r="A125" s="10">
        <v>526916</v>
      </c>
      <c r="B125" s="1" t="s">
        <v>1073</v>
      </c>
      <c r="C125" s="2">
        <v>300000</v>
      </c>
      <c r="D125" s="41"/>
      <c r="J125" s="39">
        <v>240104</v>
      </c>
      <c r="K125" s="41">
        <v>3</v>
      </c>
      <c r="L125" s="41">
        <v>800000</v>
      </c>
      <c r="M125" s="41"/>
    </row>
    <row r="126" spans="1:13">
      <c r="A126" s="10">
        <v>398006</v>
      </c>
      <c r="B126" s="1">
        <v>5</v>
      </c>
      <c r="C126" s="1" t="s">
        <v>1073</v>
      </c>
      <c r="D126" s="41"/>
      <c r="J126" s="39">
        <v>281419</v>
      </c>
      <c r="K126" s="41">
        <v>5</v>
      </c>
      <c r="L126" s="41">
        <v>9975000</v>
      </c>
      <c r="M126" s="41"/>
    </row>
    <row r="127" spans="1:13">
      <c r="A127" s="10">
        <v>355412</v>
      </c>
      <c r="B127" s="1">
        <v>10</v>
      </c>
      <c r="C127" s="2">
        <v>1500000</v>
      </c>
      <c r="D127" s="41"/>
      <c r="J127" s="39">
        <v>289467</v>
      </c>
      <c r="K127" s="41">
        <v>3</v>
      </c>
      <c r="L127" s="41">
        <v>1500000</v>
      </c>
      <c r="M127" s="41"/>
    </row>
    <row r="128" spans="1:13">
      <c r="A128" s="10">
        <v>533137</v>
      </c>
      <c r="B128" s="1" t="s">
        <v>1073</v>
      </c>
      <c r="C128" s="1" t="s">
        <v>1073</v>
      </c>
      <c r="D128" s="41"/>
      <c r="J128" s="39">
        <v>341960</v>
      </c>
      <c r="K128" s="41">
        <v>3</v>
      </c>
      <c r="L128" s="41">
        <v>500000</v>
      </c>
      <c r="M128" s="41"/>
    </row>
    <row r="129" spans="1:13">
      <c r="A129" s="10">
        <v>408140</v>
      </c>
      <c r="B129" s="1" t="s">
        <v>1073</v>
      </c>
      <c r="C129" s="2">
        <v>15100000</v>
      </c>
      <c r="D129" s="41"/>
      <c r="J129" s="39">
        <v>342882</v>
      </c>
      <c r="K129" s="41">
        <v>5</v>
      </c>
      <c r="L129" s="41">
        <v>1550000</v>
      </c>
      <c r="M129" s="41"/>
    </row>
    <row r="130" spans="1:13">
      <c r="A130" s="10">
        <v>199058</v>
      </c>
      <c r="B130" s="1" t="s">
        <v>1073</v>
      </c>
      <c r="C130" s="2">
        <v>670000</v>
      </c>
      <c r="D130" s="41"/>
      <c r="J130" s="39">
        <v>343974</v>
      </c>
      <c r="K130" s="41">
        <v>3</v>
      </c>
      <c r="L130" s="41">
        <v>1400000</v>
      </c>
      <c r="M130" s="41"/>
    </row>
    <row r="131" spans="1:13">
      <c r="A131" s="10">
        <v>516674</v>
      </c>
      <c r="B131" s="1">
        <v>2</v>
      </c>
      <c r="C131" s="3">
        <v>158000</v>
      </c>
      <c r="D131" s="41"/>
      <c r="J131" s="39">
        <v>358978</v>
      </c>
      <c r="K131" s="41">
        <v>4</v>
      </c>
      <c r="L131" s="41">
        <v>2329000</v>
      </c>
      <c r="M131" s="41"/>
    </row>
    <row r="132" spans="1:13">
      <c r="A132" s="10">
        <v>560100</v>
      </c>
      <c r="B132" s="1" t="s">
        <v>1073</v>
      </c>
      <c r="C132" s="2">
        <v>900000</v>
      </c>
      <c r="D132" s="41"/>
      <c r="J132" s="39">
        <v>373926</v>
      </c>
      <c r="K132" s="41">
        <v>3</v>
      </c>
      <c r="L132" s="41">
        <v>500000</v>
      </c>
      <c r="M132" s="41"/>
    </row>
    <row r="133" spans="1:13">
      <c r="A133" s="10">
        <v>12296256</v>
      </c>
      <c r="B133" s="1" t="s">
        <v>1073</v>
      </c>
      <c r="C133" s="1" t="s">
        <v>1073</v>
      </c>
      <c r="D133" s="41"/>
      <c r="J133" s="39">
        <v>391846</v>
      </c>
      <c r="K133" s="41">
        <v>3</v>
      </c>
      <c r="L133" s="41">
        <v>1300000</v>
      </c>
      <c r="M133" s="41"/>
    </row>
    <row r="134" spans="1:13">
      <c r="A134" s="10">
        <v>539617</v>
      </c>
      <c r="B134" s="1" t="s">
        <v>1073</v>
      </c>
      <c r="C134" s="2">
        <v>600000</v>
      </c>
      <c r="D134" s="41"/>
      <c r="J134" s="39">
        <v>398997</v>
      </c>
      <c r="K134" s="41">
        <v>0</v>
      </c>
      <c r="L134" s="41">
        <v>0</v>
      </c>
      <c r="M134" s="41"/>
    </row>
    <row r="135" spans="1:13">
      <c r="A135" s="10">
        <v>12296278</v>
      </c>
      <c r="B135" s="1" t="s">
        <v>1073</v>
      </c>
      <c r="C135" s="1" t="s">
        <v>1073</v>
      </c>
      <c r="D135" s="41"/>
      <c r="J135" s="39">
        <v>401140</v>
      </c>
      <c r="K135" s="41">
        <v>5</v>
      </c>
      <c r="L135" s="41">
        <v>4500000</v>
      </c>
      <c r="M135" s="41"/>
    </row>
    <row r="136" spans="1:13">
      <c r="A136" s="10">
        <v>12304939</v>
      </c>
      <c r="B136" s="1">
        <v>3</v>
      </c>
      <c r="C136" s="2">
        <v>1400000</v>
      </c>
      <c r="D136" s="41"/>
      <c r="J136" s="39">
        <v>403930</v>
      </c>
      <c r="K136" s="41">
        <v>3</v>
      </c>
      <c r="L136" s="41">
        <v>0</v>
      </c>
      <c r="M136" s="41"/>
    </row>
    <row r="137" spans="1:13">
      <c r="A137" s="10">
        <v>2872</v>
      </c>
      <c r="B137" s="1">
        <v>1</v>
      </c>
      <c r="C137" s="2">
        <v>329000</v>
      </c>
      <c r="D137" s="41"/>
      <c r="J137" s="39">
        <v>489157</v>
      </c>
      <c r="K137" s="41">
        <v>3</v>
      </c>
      <c r="L137" s="41">
        <v>2223000</v>
      </c>
      <c r="M137" s="41"/>
    </row>
    <row r="138" spans="1:13">
      <c r="A138" s="10">
        <v>12322440</v>
      </c>
      <c r="B138" s="1" t="s">
        <v>1073</v>
      </c>
      <c r="C138" s="2">
        <v>1150000</v>
      </c>
      <c r="D138" s="41"/>
      <c r="J138" s="39">
        <v>492959</v>
      </c>
      <c r="K138" s="41">
        <v>2</v>
      </c>
      <c r="L138" s="41">
        <v>0</v>
      </c>
      <c r="M138" s="41"/>
    </row>
    <row r="139" spans="1:13">
      <c r="A139" s="10">
        <v>9512</v>
      </c>
      <c r="B139" s="1" t="s">
        <v>1073</v>
      </c>
      <c r="C139" s="1" t="s">
        <v>1073</v>
      </c>
      <c r="D139" s="41"/>
      <c r="J139" s="39">
        <v>517257</v>
      </c>
      <c r="K139" s="41">
        <v>0</v>
      </c>
      <c r="L139" s="41">
        <v>300000</v>
      </c>
      <c r="M139" s="41"/>
    </row>
    <row r="140" spans="1:13">
      <c r="A140" s="10">
        <v>237432</v>
      </c>
      <c r="B140" s="1" t="s">
        <v>1073</v>
      </c>
      <c r="C140" s="2">
        <v>9300000</v>
      </c>
      <c r="D140" s="41"/>
      <c r="J140" s="39">
        <v>524038</v>
      </c>
      <c r="K140" s="41">
        <v>0</v>
      </c>
      <c r="L140" s="41">
        <v>0</v>
      </c>
      <c r="M140" s="41"/>
    </row>
    <row r="141" spans="1:13">
      <c r="A141" s="10">
        <v>156336</v>
      </c>
      <c r="B141" s="1">
        <v>1</v>
      </c>
      <c r="C141" s="2">
        <v>35020725</v>
      </c>
      <c r="D141" s="41"/>
      <c r="J141" s="39">
        <v>526020</v>
      </c>
      <c r="K141" s="41">
        <v>3</v>
      </c>
      <c r="L141" s="41">
        <v>2200000</v>
      </c>
      <c r="M141" s="41"/>
    </row>
    <row r="142" spans="1:13">
      <c r="A142" s="10">
        <v>357589</v>
      </c>
      <c r="B142" s="1" t="s">
        <v>1073</v>
      </c>
      <c r="C142" s="1" t="s">
        <v>1073</v>
      </c>
      <c r="D142" s="41"/>
      <c r="J142" s="39">
        <v>529785</v>
      </c>
      <c r="K142" s="41">
        <v>3</v>
      </c>
      <c r="L142" s="41">
        <v>0</v>
      </c>
      <c r="M142" s="41"/>
    </row>
    <row r="143" spans="1:13">
      <c r="A143" s="10">
        <v>560999</v>
      </c>
      <c r="B143" s="1">
        <v>3</v>
      </c>
      <c r="C143" s="2">
        <v>937000</v>
      </c>
      <c r="D143" s="41"/>
      <c r="J143" s="39">
        <v>534103</v>
      </c>
      <c r="K143" s="41">
        <v>3</v>
      </c>
      <c r="L143" s="41">
        <v>1950000</v>
      </c>
      <c r="M143" s="41"/>
    </row>
    <row r="144" spans="1:13">
      <c r="A144" s="10">
        <v>199324</v>
      </c>
      <c r="B144" s="1" t="s">
        <v>1073</v>
      </c>
      <c r="C144" s="2">
        <v>300000</v>
      </c>
      <c r="D144" s="41"/>
      <c r="J144" s="39">
        <v>534186</v>
      </c>
      <c r="K144" s="41">
        <v>0</v>
      </c>
      <c r="L144" s="41">
        <v>100000</v>
      </c>
      <c r="M144" s="41"/>
    </row>
    <row r="145" spans="1:13">
      <c r="A145" s="10">
        <v>533579</v>
      </c>
      <c r="B145" s="1" t="s">
        <v>1073</v>
      </c>
      <c r="C145" s="2">
        <v>1100000</v>
      </c>
      <c r="D145" s="41"/>
      <c r="J145" s="39">
        <v>539830</v>
      </c>
      <c r="K145" s="41">
        <v>3</v>
      </c>
      <c r="L145" s="41">
        <v>2100000</v>
      </c>
      <c r="M145" s="41"/>
    </row>
    <row r="146" spans="1:13">
      <c r="A146" s="10">
        <v>276648</v>
      </c>
      <c r="B146" s="1" t="s">
        <v>1073</v>
      </c>
      <c r="C146" s="1" t="s">
        <v>1073</v>
      </c>
      <c r="D146" s="41"/>
      <c r="J146" s="39">
        <v>540514</v>
      </c>
      <c r="K146" s="41">
        <v>103</v>
      </c>
      <c r="L146" s="41">
        <v>903000</v>
      </c>
      <c r="M146" s="41"/>
    </row>
    <row r="147" spans="1:13">
      <c r="A147" s="10">
        <v>211854</v>
      </c>
      <c r="B147" s="1" t="s">
        <v>1073</v>
      </c>
      <c r="C147" s="2">
        <v>5000000</v>
      </c>
      <c r="D147" s="41"/>
      <c r="J147" s="39">
        <v>551512</v>
      </c>
      <c r="K147" s="41">
        <v>3</v>
      </c>
      <c r="L147" s="41">
        <v>3700000</v>
      </c>
      <c r="M147" s="41"/>
    </row>
    <row r="148" spans="1:13">
      <c r="A148" s="10">
        <v>107298</v>
      </c>
      <c r="B148" s="1" t="s">
        <v>1073</v>
      </c>
      <c r="C148" s="2">
        <v>1000000</v>
      </c>
      <c r="D148" s="41"/>
      <c r="J148" s="39">
        <v>565427</v>
      </c>
      <c r="K148" s="41">
        <v>3</v>
      </c>
      <c r="L148" s="41">
        <v>1350000</v>
      </c>
      <c r="M148" s="41"/>
    </row>
    <row r="149" spans="1:13">
      <c r="A149" s="10">
        <v>305323</v>
      </c>
      <c r="B149" s="1" t="s">
        <v>1073</v>
      </c>
      <c r="C149" s="1" t="s">
        <v>1073</v>
      </c>
      <c r="D149" s="41"/>
      <c r="J149" s="39">
        <v>12295813</v>
      </c>
      <c r="K149" s="41">
        <v>5</v>
      </c>
      <c r="L149" s="41">
        <v>900000</v>
      </c>
      <c r="M149" s="41"/>
    </row>
    <row r="150" spans="1:13">
      <c r="A150" s="10">
        <v>278868</v>
      </c>
      <c r="B150" s="1" t="s">
        <v>1073</v>
      </c>
      <c r="C150" s="3">
        <v>200000</v>
      </c>
      <c r="D150" s="41"/>
      <c r="J150" s="39">
        <v>12295821</v>
      </c>
      <c r="K150" s="41">
        <v>0</v>
      </c>
      <c r="L150" s="41">
        <v>300000</v>
      </c>
      <c r="M150" s="41"/>
    </row>
    <row r="151" spans="1:13">
      <c r="A151" s="10">
        <v>357182</v>
      </c>
      <c r="B151" s="1" t="s">
        <v>1073</v>
      </c>
      <c r="C151" s="1" t="s">
        <v>1073</v>
      </c>
      <c r="D151" s="41"/>
      <c r="J151" s="39">
        <v>12295824</v>
      </c>
      <c r="K151" s="41">
        <v>6</v>
      </c>
      <c r="L151" s="41">
        <v>1323000</v>
      </c>
      <c r="M151" s="41"/>
    </row>
    <row r="152" spans="1:13">
      <c r="A152" s="10">
        <v>12325965</v>
      </c>
      <c r="B152" s="1" t="s">
        <v>1073</v>
      </c>
      <c r="C152" s="1" t="s">
        <v>1073</v>
      </c>
      <c r="D152" s="41"/>
      <c r="J152" s="39">
        <v>12295831</v>
      </c>
      <c r="K152" s="41">
        <v>44</v>
      </c>
      <c r="L152" s="41">
        <v>150000</v>
      </c>
      <c r="M152" s="41"/>
    </row>
    <row r="153" spans="1:13">
      <c r="A153" s="10">
        <v>12300218</v>
      </c>
      <c r="B153" s="1">
        <v>18</v>
      </c>
      <c r="C153" s="2">
        <v>2487000</v>
      </c>
      <c r="D153" s="41"/>
      <c r="J153" s="39">
        <v>12295864</v>
      </c>
      <c r="K153" s="41">
        <v>3</v>
      </c>
      <c r="L153" s="41">
        <v>400000</v>
      </c>
      <c r="M153" s="41"/>
    </row>
    <row r="154" spans="1:13">
      <c r="A154" s="10">
        <v>12296823</v>
      </c>
      <c r="B154" s="1" t="s">
        <v>1073</v>
      </c>
      <c r="C154" s="2">
        <v>700000</v>
      </c>
      <c r="D154" s="41"/>
      <c r="J154" s="39">
        <v>12295897</v>
      </c>
      <c r="K154" s="41">
        <v>11</v>
      </c>
      <c r="L154" s="41">
        <v>50000</v>
      </c>
      <c r="M154" s="41"/>
    </row>
    <row r="155" spans="1:13">
      <c r="A155" s="10">
        <v>63849</v>
      </c>
      <c r="B155" s="1" t="s">
        <v>1073</v>
      </c>
      <c r="C155" s="2">
        <v>1500000</v>
      </c>
      <c r="D155" s="41"/>
      <c r="J155" s="39">
        <v>12296062</v>
      </c>
      <c r="K155" s="41">
        <v>3</v>
      </c>
      <c r="L155" s="41">
        <v>1500000</v>
      </c>
      <c r="M155" s="41"/>
    </row>
    <row r="156" spans="1:13">
      <c r="A156" s="10">
        <v>62420</v>
      </c>
      <c r="B156" s="1">
        <v>2</v>
      </c>
      <c r="C156" s="2">
        <v>300000</v>
      </c>
      <c r="D156" s="41"/>
      <c r="J156" s="39">
        <v>12296070</v>
      </c>
      <c r="K156" s="41">
        <v>3</v>
      </c>
      <c r="L156" s="41">
        <v>294000</v>
      </c>
      <c r="M156" s="41"/>
    </row>
    <row r="157" spans="1:13">
      <c r="A157" s="10">
        <v>533758</v>
      </c>
      <c r="B157" s="1" t="s">
        <v>1073</v>
      </c>
      <c r="C157" s="3">
        <v>200000</v>
      </c>
      <c r="D157" s="41"/>
      <c r="J157" s="39">
        <v>12296084</v>
      </c>
      <c r="K157" s="41">
        <v>0</v>
      </c>
      <c r="L157" s="41">
        <v>579000</v>
      </c>
      <c r="M157" s="41"/>
    </row>
    <row r="158" spans="1:13">
      <c r="A158" s="10">
        <v>358156</v>
      </c>
      <c r="B158" s="1">
        <v>29</v>
      </c>
      <c r="C158" s="2">
        <v>5296000</v>
      </c>
      <c r="D158" s="41"/>
      <c r="J158" s="39">
        <v>12296086</v>
      </c>
      <c r="K158" s="41">
        <v>5</v>
      </c>
      <c r="L158" s="41">
        <v>1500000</v>
      </c>
      <c r="M158" s="41"/>
    </row>
    <row r="159" spans="1:13">
      <c r="A159" s="10">
        <v>211825</v>
      </c>
      <c r="B159" s="1" t="s">
        <v>1073</v>
      </c>
      <c r="C159" s="1" t="s">
        <v>1073</v>
      </c>
      <c r="D159" s="41"/>
      <c r="J159" s="39">
        <v>12299376</v>
      </c>
      <c r="K159" s="41">
        <v>0</v>
      </c>
      <c r="L159" s="41">
        <v>58000</v>
      </c>
      <c r="M159" s="41"/>
    </row>
    <row r="160" spans="1:13">
      <c r="A160" s="10">
        <v>61816</v>
      </c>
      <c r="B160" s="1">
        <v>9</v>
      </c>
      <c r="C160" s="3">
        <v>298000</v>
      </c>
      <c r="D160" s="41"/>
      <c r="J160" s="39">
        <v>12299378</v>
      </c>
      <c r="K160" s="41">
        <v>6</v>
      </c>
      <c r="L160" s="41">
        <v>50000</v>
      </c>
      <c r="M160" s="41"/>
    </row>
    <row r="161" spans="1:13">
      <c r="A161" s="10">
        <v>550632</v>
      </c>
      <c r="B161" s="1" t="s">
        <v>1073</v>
      </c>
      <c r="C161" s="1" t="s">
        <v>1073</v>
      </c>
      <c r="D161" s="41"/>
      <c r="J161" s="39">
        <v>12299381</v>
      </c>
      <c r="K161" s="41">
        <v>0</v>
      </c>
      <c r="L161" s="41">
        <v>50000</v>
      </c>
      <c r="M161" s="41"/>
    </row>
    <row r="162" spans="1:13">
      <c r="A162" s="10">
        <v>522468</v>
      </c>
      <c r="B162" s="1" t="s">
        <v>1073</v>
      </c>
      <c r="C162" s="3">
        <v>100000</v>
      </c>
      <c r="D162" s="41"/>
      <c r="J162" s="39">
        <v>12299382</v>
      </c>
      <c r="K162" s="41">
        <v>3</v>
      </c>
      <c r="L162" s="41">
        <v>50000</v>
      </c>
      <c r="M162" s="41"/>
    </row>
    <row r="163" spans="1:13">
      <c r="A163" s="10">
        <v>300024</v>
      </c>
      <c r="B163" s="1" t="s">
        <v>1073</v>
      </c>
      <c r="C163" s="1" t="s">
        <v>1073</v>
      </c>
      <c r="D163" s="41"/>
      <c r="J163" s="39">
        <v>12299384</v>
      </c>
      <c r="K163" s="41">
        <v>3</v>
      </c>
      <c r="L163" s="41">
        <v>915000</v>
      </c>
      <c r="M163" s="41"/>
    </row>
    <row r="164" spans="1:13">
      <c r="A164" s="10">
        <v>535762</v>
      </c>
      <c r="B164" s="1" t="s">
        <v>1073</v>
      </c>
      <c r="C164" s="1" t="s">
        <v>1073</v>
      </c>
      <c r="D164" s="41"/>
      <c r="J164" s="39">
        <v>12319246</v>
      </c>
      <c r="K164" s="41">
        <v>3</v>
      </c>
      <c r="L164" s="41">
        <v>3000000</v>
      </c>
      <c r="M164" s="41"/>
    </row>
    <row r="165" spans="1:13">
      <c r="A165" s="10">
        <v>238651</v>
      </c>
      <c r="B165" s="1" t="s">
        <v>1073</v>
      </c>
      <c r="C165" s="2">
        <v>400000</v>
      </c>
      <c r="D165" s="41"/>
      <c r="J165" s="39">
        <v>12319319</v>
      </c>
      <c r="K165" s="41">
        <v>3</v>
      </c>
      <c r="L165" s="41">
        <v>0</v>
      </c>
      <c r="M165" s="41"/>
    </row>
    <row r="166" spans="1:13">
      <c r="A166" s="10">
        <v>127079</v>
      </c>
      <c r="B166" s="1" t="s">
        <v>1073</v>
      </c>
      <c r="C166" s="2">
        <v>5500000</v>
      </c>
      <c r="D166" s="41"/>
      <c r="J166" s="39">
        <v>12319342</v>
      </c>
      <c r="K166" s="41">
        <v>3</v>
      </c>
      <c r="L166" s="41">
        <v>1050000</v>
      </c>
      <c r="M166" s="41"/>
    </row>
    <row r="167" spans="1:13">
      <c r="A167" s="10">
        <v>12327278</v>
      </c>
      <c r="B167" s="1" t="s">
        <v>1073</v>
      </c>
      <c r="C167" s="2">
        <v>700000</v>
      </c>
      <c r="D167" s="41"/>
      <c r="J167" s="39">
        <v>12322463</v>
      </c>
      <c r="K167" s="41">
        <v>0</v>
      </c>
      <c r="L167" s="41">
        <v>24358000</v>
      </c>
      <c r="M167" s="41"/>
    </row>
    <row r="168" spans="1:13">
      <c r="A168" s="10">
        <v>528795</v>
      </c>
      <c r="B168" s="1" t="s">
        <v>1073</v>
      </c>
      <c r="C168" s="3">
        <v>100000</v>
      </c>
      <c r="D168" s="41"/>
      <c r="J168" s="39">
        <v>12330602</v>
      </c>
      <c r="K168" s="41">
        <v>55</v>
      </c>
      <c r="L168" s="41">
        <v>350000</v>
      </c>
      <c r="M168" s="41"/>
    </row>
    <row r="169" spans="1:13">
      <c r="A169" s="10">
        <v>12324316</v>
      </c>
      <c r="B169" s="1" t="s">
        <v>1073</v>
      </c>
      <c r="C169" s="1" t="s">
        <v>1073</v>
      </c>
      <c r="D169" s="41"/>
      <c r="J169" s="39">
        <v>12332971</v>
      </c>
      <c r="K169" s="41">
        <v>0</v>
      </c>
      <c r="L169" s="41">
        <v>50000</v>
      </c>
      <c r="M169" s="41"/>
    </row>
    <row r="170" spans="1:13">
      <c r="A170" s="10">
        <v>12300160</v>
      </c>
      <c r="B170" s="1">
        <v>279</v>
      </c>
      <c r="C170" s="2">
        <v>8971000</v>
      </c>
      <c r="D170" s="41"/>
      <c r="J170" s="39">
        <v>126976</v>
      </c>
      <c r="K170" s="41">
        <v>3</v>
      </c>
      <c r="L170" s="41">
        <v>5415000</v>
      </c>
      <c r="M170" s="41"/>
    </row>
    <row r="171" spans="1:13">
      <c r="A171" s="10">
        <v>551710</v>
      </c>
      <c r="B171" s="1">
        <v>2</v>
      </c>
      <c r="C171" s="2">
        <v>458000</v>
      </c>
      <c r="D171" s="41"/>
      <c r="J171" s="39">
        <v>2111</v>
      </c>
      <c r="K171" s="41">
        <v>19</v>
      </c>
      <c r="L171" s="41">
        <v>600000</v>
      </c>
      <c r="M171" s="41"/>
    </row>
    <row r="172" spans="1:13">
      <c r="A172" s="10">
        <v>2111</v>
      </c>
      <c r="B172" s="1" t="s">
        <v>1073</v>
      </c>
      <c r="C172" s="2">
        <v>350000</v>
      </c>
      <c r="D172" s="41"/>
      <c r="J172" s="39">
        <v>347681</v>
      </c>
      <c r="K172" s="41">
        <v>31</v>
      </c>
      <c r="L172" s="41">
        <v>450000</v>
      </c>
      <c r="M172" s="41"/>
    </row>
    <row r="173" spans="1:13">
      <c r="A173" s="10">
        <v>244443</v>
      </c>
      <c r="B173" s="1" t="s">
        <v>1073</v>
      </c>
      <c r="C173" s="2">
        <v>7615000</v>
      </c>
      <c r="D173" s="41"/>
      <c r="J173" s="39">
        <v>347687</v>
      </c>
      <c r="K173" s="41">
        <v>25</v>
      </c>
      <c r="L173" s="41">
        <v>1787000</v>
      </c>
      <c r="M173" s="41"/>
    </row>
    <row r="174" spans="1:13">
      <c r="A174" s="10">
        <v>12325929</v>
      </c>
      <c r="B174" s="1" t="s">
        <v>1073</v>
      </c>
      <c r="C174" s="3">
        <v>150000</v>
      </c>
      <c r="D174" s="41"/>
      <c r="J174" s="39">
        <v>390324</v>
      </c>
      <c r="K174" s="41">
        <v>6</v>
      </c>
      <c r="L174" s="41">
        <v>1365000</v>
      </c>
      <c r="M174" s="41"/>
    </row>
    <row r="175" spans="1:13">
      <c r="A175" s="10">
        <v>12319342</v>
      </c>
      <c r="B175" s="1" t="s">
        <v>1073</v>
      </c>
      <c r="C175" s="1" t="s">
        <v>1073</v>
      </c>
      <c r="D175" s="41"/>
      <c r="J175" s="39">
        <v>402344</v>
      </c>
      <c r="K175" s="41">
        <v>0</v>
      </c>
      <c r="L175" s="41">
        <v>0</v>
      </c>
      <c r="M175" s="41"/>
    </row>
    <row r="176" spans="1:13">
      <c r="A176" s="10">
        <v>12297387</v>
      </c>
      <c r="B176" s="1" t="s">
        <v>1073</v>
      </c>
      <c r="C176" s="2">
        <v>600000</v>
      </c>
      <c r="D176" s="41"/>
      <c r="J176" s="39">
        <v>410675</v>
      </c>
      <c r="K176" s="41">
        <v>29</v>
      </c>
      <c r="L176" s="41">
        <v>850000</v>
      </c>
      <c r="M176" s="41"/>
    </row>
    <row r="177" spans="1:13">
      <c r="A177" s="10">
        <v>244518</v>
      </c>
      <c r="B177" s="1" t="s">
        <v>1073</v>
      </c>
      <c r="C177" s="2">
        <v>2500000</v>
      </c>
      <c r="D177" s="41"/>
      <c r="J177" s="39">
        <v>416899</v>
      </c>
      <c r="K177" s="41">
        <v>30</v>
      </c>
      <c r="L177" s="41">
        <v>650000</v>
      </c>
      <c r="M177" s="41"/>
    </row>
    <row r="178" spans="1:13">
      <c r="A178" s="10">
        <v>347681</v>
      </c>
      <c r="B178" s="1" t="s">
        <v>1073</v>
      </c>
      <c r="C178" s="3">
        <v>150000</v>
      </c>
      <c r="D178" s="41"/>
      <c r="J178" s="39">
        <v>440819</v>
      </c>
      <c r="K178" s="41">
        <v>6</v>
      </c>
      <c r="L178" s="41">
        <v>2500000</v>
      </c>
      <c r="M178" s="41"/>
    </row>
    <row r="179" spans="1:13">
      <c r="A179" s="10">
        <v>579763</v>
      </c>
      <c r="B179" s="1">
        <v>3</v>
      </c>
      <c r="C179" s="2">
        <v>2587000</v>
      </c>
      <c r="D179" s="41"/>
      <c r="J179" s="39">
        <v>440835</v>
      </c>
      <c r="K179" s="41">
        <v>6</v>
      </c>
      <c r="L179" s="41">
        <v>1129000</v>
      </c>
      <c r="M179" s="41"/>
    </row>
    <row r="180" spans="1:13">
      <c r="A180" s="10">
        <v>377602</v>
      </c>
      <c r="B180" s="1" t="s">
        <v>1073</v>
      </c>
      <c r="C180" s="3">
        <v>100000</v>
      </c>
      <c r="D180" s="41"/>
      <c r="J180" s="39">
        <v>454102</v>
      </c>
      <c r="K180" s="41">
        <v>10</v>
      </c>
      <c r="L180" s="41">
        <v>250000</v>
      </c>
      <c r="M180" s="41"/>
    </row>
    <row r="181" spans="1:13">
      <c r="A181" s="10">
        <v>243830</v>
      </c>
      <c r="B181" s="1" t="s">
        <v>1073</v>
      </c>
      <c r="C181" s="1" t="s">
        <v>1073</v>
      </c>
      <c r="D181" s="41"/>
      <c r="J181" s="39">
        <v>473619</v>
      </c>
      <c r="K181" s="41">
        <v>3</v>
      </c>
      <c r="L181" s="41">
        <v>1550000</v>
      </c>
      <c r="M181" s="41"/>
    </row>
    <row r="182" spans="1:13">
      <c r="A182" s="10">
        <v>1222</v>
      </c>
      <c r="B182" s="1" t="s">
        <v>1073</v>
      </c>
      <c r="C182" s="3">
        <v>100000</v>
      </c>
      <c r="D182" s="41"/>
      <c r="J182" s="39">
        <v>4761</v>
      </c>
      <c r="K182" s="41">
        <v>3</v>
      </c>
      <c r="L182" s="41">
        <v>1500000</v>
      </c>
      <c r="M182" s="41"/>
    </row>
    <row r="183" spans="1:13">
      <c r="A183" s="10">
        <v>211616</v>
      </c>
      <c r="B183" s="1">
        <v>3</v>
      </c>
      <c r="C183" s="1" t="s">
        <v>1073</v>
      </c>
      <c r="D183" s="41"/>
      <c r="J183" s="39">
        <v>476239</v>
      </c>
      <c r="K183" s="41">
        <v>0</v>
      </c>
      <c r="L183" s="41">
        <v>250000</v>
      </c>
      <c r="M183" s="41"/>
    </row>
    <row r="184" spans="1:13">
      <c r="A184" s="10">
        <v>225921</v>
      </c>
      <c r="B184" s="1">
        <v>13</v>
      </c>
      <c r="C184" s="2">
        <v>390000</v>
      </c>
      <c r="D184" s="41"/>
      <c r="J184" s="39">
        <v>515338</v>
      </c>
      <c r="K184" s="41">
        <v>4</v>
      </c>
      <c r="L184" s="41">
        <v>4648000</v>
      </c>
      <c r="M184" s="41"/>
    </row>
    <row r="185" spans="1:13">
      <c r="A185" s="10">
        <v>366732</v>
      </c>
      <c r="B185" s="1" t="s">
        <v>1073</v>
      </c>
      <c r="C185" s="2">
        <v>500000</v>
      </c>
      <c r="D185" s="41"/>
      <c r="J185" s="39">
        <v>527188</v>
      </c>
      <c r="K185" s="41">
        <v>8</v>
      </c>
      <c r="L185" s="41">
        <v>1100000</v>
      </c>
      <c r="M185" s="41"/>
    </row>
    <row r="186" spans="1:13">
      <c r="A186" s="10">
        <v>422775</v>
      </c>
      <c r="B186" s="1">
        <v>4</v>
      </c>
      <c r="C186" s="2">
        <v>23380986</v>
      </c>
      <c r="D186" s="41"/>
      <c r="J186" s="39">
        <v>527203</v>
      </c>
      <c r="K186" s="41">
        <v>3</v>
      </c>
      <c r="L186" s="41">
        <v>2300000</v>
      </c>
      <c r="M186" s="41"/>
    </row>
    <row r="187" spans="1:13">
      <c r="A187" s="10">
        <v>186842</v>
      </c>
      <c r="B187" s="1">
        <v>4</v>
      </c>
      <c r="C187" s="2">
        <v>3300000</v>
      </c>
      <c r="D187" s="41"/>
      <c r="J187" s="39">
        <v>541322</v>
      </c>
      <c r="K187" s="41">
        <v>4</v>
      </c>
      <c r="L187" s="41">
        <v>450000</v>
      </c>
      <c r="M187" s="41"/>
    </row>
    <row r="188" spans="1:13">
      <c r="A188" s="10">
        <v>362684</v>
      </c>
      <c r="B188" s="1" t="s">
        <v>1073</v>
      </c>
      <c r="C188" s="1" t="s">
        <v>1073</v>
      </c>
      <c r="D188" s="41"/>
      <c r="J188" s="39">
        <v>541331</v>
      </c>
      <c r="K188" s="41">
        <v>13</v>
      </c>
      <c r="L188" s="41">
        <v>400000</v>
      </c>
      <c r="M188" s="41"/>
    </row>
    <row r="189" spans="1:13">
      <c r="A189" s="10">
        <v>509739</v>
      </c>
      <c r="B189" s="1">
        <v>2</v>
      </c>
      <c r="C189" s="2">
        <v>358000</v>
      </c>
      <c r="D189" s="41"/>
      <c r="J189" s="39">
        <v>549031</v>
      </c>
      <c r="K189" s="41">
        <v>0</v>
      </c>
      <c r="L189" s="41">
        <v>0</v>
      </c>
      <c r="M189" s="41"/>
    </row>
    <row r="190" spans="1:13">
      <c r="A190" s="10">
        <v>526700</v>
      </c>
      <c r="B190" s="1" t="s">
        <v>1073</v>
      </c>
      <c r="C190" s="2">
        <v>1930000</v>
      </c>
      <c r="D190" s="41"/>
      <c r="J190" s="39">
        <v>549294</v>
      </c>
      <c r="K190" s="41">
        <v>3</v>
      </c>
      <c r="L190" s="41">
        <v>2600000</v>
      </c>
      <c r="M190" s="41"/>
    </row>
    <row r="191" spans="1:13">
      <c r="A191" s="10">
        <v>117823</v>
      </c>
      <c r="B191" s="1" t="s">
        <v>1073</v>
      </c>
      <c r="C191" s="3">
        <v>100000</v>
      </c>
      <c r="D191" s="41"/>
      <c r="J191" s="39">
        <v>550632</v>
      </c>
      <c r="K191" s="41">
        <v>0</v>
      </c>
      <c r="L191" s="41">
        <v>100000</v>
      </c>
      <c r="M191" s="41"/>
    </row>
    <row r="192" spans="1:13">
      <c r="A192" s="10">
        <v>12295992</v>
      </c>
      <c r="B192" s="1" t="s">
        <v>1073</v>
      </c>
      <c r="C192" s="3">
        <v>150000</v>
      </c>
      <c r="D192" s="41"/>
      <c r="J192" s="39">
        <v>557984</v>
      </c>
      <c r="K192" s="41">
        <v>8</v>
      </c>
      <c r="L192" s="41">
        <v>100000</v>
      </c>
      <c r="M192" s="41"/>
    </row>
    <row r="193" spans="1:13">
      <c r="A193" s="10">
        <v>366702</v>
      </c>
      <c r="B193" s="1" t="s">
        <v>1073</v>
      </c>
      <c r="C193" s="2">
        <v>1600000</v>
      </c>
      <c r="D193" s="41"/>
      <c r="J193" s="39">
        <v>568255</v>
      </c>
      <c r="K193" s="41">
        <v>16</v>
      </c>
      <c r="L193" s="41">
        <v>1550000</v>
      </c>
      <c r="M193" s="41"/>
    </row>
    <row r="194" spans="1:13">
      <c r="A194" s="10">
        <v>497599</v>
      </c>
      <c r="B194" s="1" t="s">
        <v>1073</v>
      </c>
      <c r="C194" s="2">
        <v>350000</v>
      </c>
      <c r="D194" s="41"/>
      <c r="J194" s="39">
        <v>572944</v>
      </c>
      <c r="K194" s="41">
        <v>6</v>
      </c>
      <c r="L194" s="41">
        <v>50000</v>
      </c>
      <c r="M194" s="41"/>
    </row>
    <row r="195" spans="1:13">
      <c r="A195" s="10">
        <v>62304</v>
      </c>
      <c r="B195" s="1" t="s">
        <v>1073</v>
      </c>
      <c r="C195" s="2">
        <v>400000</v>
      </c>
      <c r="D195" s="41"/>
      <c r="J195" s="39">
        <v>62012</v>
      </c>
      <c r="K195" s="41">
        <v>0</v>
      </c>
      <c r="L195" s="41">
        <v>100000</v>
      </c>
      <c r="M195" s="41"/>
    </row>
    <row r="196" spans="1:13">
      <c r="A196" s="10">
        <v>317775</v>
      </c>
      <c r="B196" s="1" t="s">
        <v>1073</v>
      </c>
      <c r="C196" s="2">
        <v>500000</v>
      </c>
      <c r="D196" s="41"/>
      <c r="J196" s="39">
        <v>12296292</v>
      </c>
      <c r="K196" s="41">
        <v>0</v>
      </c>
      <c r="L196" s="41">
        <v>0</v>
      </c>
      <c r="M196" s="41"/>
    </row>
    <row r="197" spans="1:13">
      <c r="A197" s="10">
        <v>160260</v>
      </c>
      <c r="B197" s="1" t="s">
        <v>1073</v>
      </c>
      <c r="C197" s="3">
        <v>150000</v>
      </c>
      <c r="D197" s="41"/>
      <c r="J197" s="39">
        <v>12300143</v>
      </c>
      <c r="K197" s="41">
        <v>30</v>
      </c>
      <c r="L197" s="41">
        <v>8387000</v>
      </c>
      <c r="M197" s="41"/>
    </row>
    <row r="198" spans="1:13">
      <c r="A198" s="10">
        <v>492959</v>
      </c>
      <c r="B198" s="1" t="s">
        <v>1073</v>
      </c>
      <c r="C198" s="1" t="s">
        <v>1073</v>
      </c>
      <c r="D198" s="41"/>
      <c r="J198" s="39">
        <v>12303846</v>
      </c>
      <c r="K198" s="41">
        <v>3</v>
      </c>
      <c r="L198" s="41">
        <v>994000</v>
      </c>
      <c r="M198" s="41"/>
    </row>
    <row r="199" spans="1:13">
      <c r="A199" s="10">
        <v>298581</v>
      </c>
      <c r="B199" s="1" t="s">
        <v>1073</v>
      </c>
      <c r="C199" s="2">
        <v>1800000</v>
      </c>
      <c r="D199" s="41"/>
      <c r="J199" s="39">
        <v>12305135</v>
      </c>
      <c r="K199" s="41">
        <v>5</v>
      </c>
      <c r="L199" s="41">
        <v>245000</v>
      </c>
      <c r="M199" s="41"/>
    </row>
    <row r="200" spans="1:13">
      <c r="A200" s="10">
        <v>159895</v>
      </c>
      <c r="B200" s="1" t="s">
        <v>1073</v>
      </c>
      <c r="C200" s="2">
        <v>2000000</v>
      </c>
      <c r="D200" s="41"/>
      <c r="J200" s="39">
        <v>12305580</v>
      </c>
      <c r="K200" s="41">
        <v>3</v>
      </c>
      <c r="L200" s="41">
        <v>1500000</v>
      </c>
      <c r="M200" s="41"/>
    </row>
    <row r="201" spans="1:13">
      <c r="A201" s="10">
        <v>520800</v>
      </c>
      <c r="B201" s="1">
        <v>3</v>
      </c>
      <c r="C201" s="3">
        <v>150000</v>
      </c>
      <c r="D201" s="41"/>
      <c r="J201" s="39">
        <v>12305636</v>
      </c>
      <c r="K201" s="41">
        <v>2</v>
      </c>
      <c r="L201" s="41">
        <v>495000</v>
      </c>
      <c r="M201" s="41"/>
    </row>
    <row r="202" spans="1:13">
      <c r="A202" s="10">
        <v>541331</v>
      </c>
      <c r="B202" s="1" t="s">
        <v>1073</v>
      </c>
      <c r="C202" s="3">
        <v>150000</v>
      </c>
      <c r="D202" s="41"/>
      <c r="J202" s="39">
        <v>12306416</v>
      </c>
      <c r="K202" s="41">
        <v>3</v>
      </c>
      <c r="L202" s="41">
        <v>2029000</v>
      </c>
      <c r="M202" s="41"/>
    </row>
    <row r="203" spans="1:13">
      <c r="A203" s="10">
        <v>236236</v>
      </c>
      <c r="B203" s="1" t="s">
        <v>1073</v>
      </c>
      <c r="C203" s="2">
        <v>350000</v>
      </c>
      <c r="D203" s="41"/>
      <c r="J203" s="39">
        <v>12318668</v>
      </c>
      <c r="K203" s="41">
        <v>6</v>
      </c>
      <c r="L203" s="41">
        <v>400000</v>
      </c>
      <c r="M203" s="41"/>
    </row>
    <row r="204" spans="1:13">
      <c r="A204" s="10">
        <v>501141</v>
      </c>
      <c r="B204" s="1" t="s">
        <v>1073</v>
      </c>
      <c r="C204" s="1" t="s">
        <v>1073</v>
      </c>
      <c r="D204" s="41"/>
      <c r="J204" s="39">
        <v>12326166</v>
      </c>
      <c r="K204" s="41">
        <v>9</v>
      </c>
      <c r="L204" s="41">
        <v>2839000</v>
      </c>
      <c r="M204" s="41"/>
    </row>
    <row r="205" spans="1:13">
      <c r="A205" s="10">
        <v>298944</v>
      </c>
      <c r="B205" s="1">
        <v>4</v>
      </c>
      <c r="C205" s="3">
        <v>116000</v>
      </c>
      <c r="D205" s="41"/>
      <c r="J205" s="39">
        <v>127104</v>
      </c>
      <c r="K205" s="41">
        <v>2</v>
      </c>
      <c r="L205" s="41">
        <v>7851000</v>
      </c>
      <c r="M205" s="41"/>
    </row>
    <row r="206" spans="1:13">
      <c r="A206" s="10">
        <v>214409</v>
      </c>
      <c r="B206" s="1" t="s">
        <v>1073</v>
      </c>
      <c r="C206" s="1" t="s">
        <v>1073</v>
      </c>
      <c r="D206" s="41"/>
      <c r="J206" s="39">
        <v>211570</v>
      </c>
      <c r="K206" s="41">
        <v>0</v>
      </c>
      <c r="L206" s="41">
        <v>2412000</v>
      </c>
      <c r="M206" s="41"/>
    </row>
    <row r="207" spans="1:13">
      <c r="A207" s="10">
        <v>228736</v>
      </c>
      <c r="B207" s="1" t="s">
        <v>1073</v>
      </c>
      <c r="C207" s="2">
        <v>1000000</v>
      </c>
      <c r="D207" s="41"/>
      <c r="J207" s="39">
        <v>211686</v>
      </c>
      <c r="K207" s="41">
        <v>0</v>
      </c>
      <c r="L207" s="41">
        <v>429000</v>
      </c>
      <c r="M207" s="41"/>
    </row>
    <row r="208" spans="1:13">
      <c r="A208" s="10">
        <v>568255</v>
      </c>
      <c r="B208" s="1" t="s">
        <v>1073</v>
      </c>
      <c r="C208" s="2">
        <v>600000</v>
      </c>
      <c r="D208" s="41"/>
      <c r="J208" s="39">
        <v>211840</v>
      </c>
      <c r="K208" s="41">
        <v>0</v>
      </c>
      <c r="L208" s="41">
        <v>1850000</v>
      </c>
      <c r="M208" s="41"/>
    </row>
    <row r="209" spans="1:13">
      <c r="A209" s="10">
        <v>325845</v>
      </c>
      <c r="B209" s="1" t="s">
        <v>1073</v>
      </c>
      <c r="C209" s="3">
        <v>42000</v>
      </c>
      <c r="D209" s="41"/>
      <c r="J209" s="39">
        <v>240734</v>
      </c>
      <c r="K209" s="41">
        <v>5</v>
      </c>
      <c r="L209" s="41">
        <v>1800000</v>
      </c>
      <c r="M209" s="41"/>
    </row>
    <row r="210" spans="1:13">
      <c r="A210" s="10">
        <v>511396</v>
      </c>
      <c r="B210" s="1" t="s">
        <v>1073</v>
      </c>
      <c r="C210" s="2">
        <v>900000</v>
      </c>
      <c r="D210" s="41"/>
      <c r="J210" s="39">
        <v>279169</v>
      </c>
      <c r="K210" s="41">
        <v>0</v>
      </c>
      <c r="L210" s="41">
        <v>50000</v>
      </c>
      <c r="M210" s="41"/>
    </row>
    <row r="211" spans="1:13">
      <c r="A211" s="10">
        <v>388487</v>
      </c>
      <c r="B211" s="1">
        <v>3</v>
      </c>
      <c r="C211" s="2">
        <v>500000</v>
      </c>
      <c r="D211" s="41"/>
      <c r="J211" s="39">
        <v>2815</v>
      </c>
      <c r="K211" s="41">
        <v>3</v>
      </c>
      <c r="L211" s="41">
        <v>1115000</v>
      </c>
      <c r="M211" s="41"/>
    </row>
    <row r="212" spans="1:13">
      <c r="A212" s="10">
        <v>12323037</v>
      </c>
      <c r="B212" s="1" t="s">
        <v>1073</v>
      </c>
      <c r="C212" s="2">
        <v>700000</v>
      </c>
      <c r="D212" s="41"/>
      <c r="J212" s="39">
        <v>2845</v>
      </c>
      <c r="K212" s="41">
        <v>19</v>
      </c>
      <c r="L212" s="41">
        <v>1900000</v>
      </c>
      <c r="M212" s="41"/>
    </row>
    <row r="213" spans="1:13">
      <c r="A213" s="10">
        <v>12319702</v>
      </c>
      <c r="B213" s="1" t="s">
        <v>1073</v>
      </c>
      <c r="C213" s="1" t="s">
        <v>1073</v>
      </c>
      <c r="D213" s="41"/>
      <c r="J213" s="39">
        <v>309555</v>
      </c>
      <c r="K213" s="41">
        <v>0</v>
      </c>
      <c r="L213" s="41">
        <v>50000</v>
      </c>
      <c r="M213" s="41"/>
    </row>
    <row r="214" spans="1:13">
      <c r="A214" s="10">
        <v>13053</v>
      </c>
      <c r="B214" s="1" t="s">
        <v>1073</v>
      </c>
      <c r="C214" s="1" t="s">
        <v>1073</v>
      </c>
      <c r="D214" s="41"/>
      <c r="J214" s="39">
        <v>366741</v>
      </c>
      <c r="K214" s="41">
        <v>3</v>
      </c>
      <c r="L214" s="41">
        <v>565000</v>
      </c>
      <c r="M214" s="41"/>
    </row>
    <row r="215" spans="1:13">
      <c r="A215" s="10">
        <v>459969</v>
      </c>
      <c r="B215" s="1" t="s">
        <v>1073</v>
      </c>
      <c r="C215" s="2">
        <v>1000000</v>
      </c>
      <c r="D215" s="41"/>
      <c r="J215" s="39">
        <v>387721</v>
      </c>
      <c r="K215" s="41">
        <v>1</v>
      </c>
      <c r="L215" s="41">
        <v>437000</v>
      </c>
      <c r="M215" s="41"/>
    </row>
    <row r="216" spans="1:13">
      <c r="A216" s="10">
        <v>548720</v>
      </c>
      <c r="B216" s="1" t="s">
        <v>1073</v>
      </c>
      <c r="C216" s="1" t="s">
        <v>1073</v>
      </c>
      <c r="D216" s="41"/>
      <c r="J216" s="39">
        <v>392253</v>
      </c>
      <c r="K216" s="41">
        <v>0</v>
      </c>
      <c r="L216" s="41">
        <v>1087000</v>
      </c>
      <c r="M216" s="41"/>
    </row>
    <row r="217" spans="1:13">
      <c r="A217" s="10">
        <v>269588</v>
      </c>
      <c r="B217" s="1" t="s">
        <v>1073</v>
      </c>
      <c r="C217" s="3">
        <v>50000</v>
      </c>
      <c r="D217" s="41"/>
      <c r="J217" s="39">
        <v>397314</v>
      </c>
      <c r="K217" s="41">
        <v>12</v>
      </c>
      <c r="L217" s="41">
        <v>150000</v>
      </c>
      <c r="M217" s="41"/>
    </row>
    <row r="218" spans="1:13">
      <c r="A218" s="10">
        <v>263476</v>
      </c>
      <c r="B218" s="1" t="s">
        <v>1073</v>
      </c>
      <c r="C218" s="1" t="s">
        <v>1073</v>
      </c>
      <c r="D218" s="41"/>
      <c r="J218" s="39">
        <v>399230</v>
      </c>
      <c r="K218" s="41">
        <v>0</v>
      </c>
      <c r="L218" s="41">
        <v>0</v>
      </c>
      <c r="M218" s="41"/>
    </row>
    <row r="219" spans="1:13">
      <c r="A219" s="10">
        <v>12297190</v>
      </c>
      <c r="B219" s="1" t="s">
        <v>1073</v>
      </c>
      <c r="C219" s="1" t="s">
        <v>1073</v>
      </c>
      <c r="D219" s="41"/>
      <c r="J219" s="39">
        <v>423729</v>
      </c>
      <c r="K219" s="41">
        <v>0</v>
      </c>
      <c r="L219" s="41">
        <v>0</v>
      </c>
      <c r="M219" s="41"/>
    </row>
    <row r="220" spans="1:13">
      <c r="A220" s="10">
        <v>258245</v>
      </c>
      <c r="B220" s="1" t="s">
        <v>1073</v>
      </c>
      <c r="C220" s="1" t="s">
        <v>1073</v>
      </c>
      <c r="D220" s="41"/>
      <c r="J220" s="39">
        <v>455508</v>
      </c>
      <c r="K220" s="41">
        <v>0</v>
      </c>
      <c r="L220" s="41">
        <v>1094000</v>
      </c>
      <c r="M220" s="41"/>
    </row>
    <row r="221" spans="1:13">
      <c r="A221" s="10">
        <v>260825</v>
      </c>
      <c r="B221" s="1" t="s">
        <v>1073</v>
      </c>
      <c r="C221" s="3">
        <v>250000</v>
      </c>
      <c r="D221" s="41"/>
      <c r="J221" s="39">
        <v>501630</v>
      </c>
      <c r="K221" s="41">
        <v>15</v>
      </c>
      <c r="L221" s="41">
        <v>200000</v>
      </c>
      <c r="M221" s="41"/>
    </row>
    <row r="222" spans="1:13">
      <c r="A222" s="10">
        <v>344001</v>
      </c>
      <c r="B222" s="1" t="s">
        <v>1073</v>
      </c>
      <c r="C222" s="2">
        <v>750000</v>
      </c>
      <c r="D222" s="41"/>
      <c r="J222" s="39">
        <v>512404</v>
      </c>
      <c r="K222" s="41">
        <v>8</v>
      </c>
      <c r="L222" s="41">
        <v>3708000</v>
      </c>
      <c r="M222" s="41"/>
    </row>
    <row r="223" spans="1:13">
      <c r="A223" s="10">
        <v>62439</v>
      </c>
      <c r="B223" s="1" t="s">
        <v>1073</v>
      </c>
      <c r="C223" s="1" t="s">
        <v>1073</v>
      </c>
      <c r="D223" s="41"/>
      <c r="J223" s="39">
        <v>513017</v>
      </c>
      <c r="K223" s="41">
        <v>4</v>
      </c>
      <c r="L223" s="41">
        <v>6068000</v>
      </c>
      <c r="M223" s="41"/>
    </row>
    <row r="224" spans="1:13">
      <c r="A224" s="10">
        <v>572944</v>
      </c>
      <c r="B224" s="1" t="s">
        <v>1073</v>
      </c>
      <c r="C224" s="1" t="s">
        <v>1073</v>
      </c>
      <c r="D224" s="41"/>
      <c r="J224" s="39">
        <v>513078</v>
      </c>
      <c r="K224" s="41">
        <v>3</v>
      </c>
      <c r="L224" s="41">
        <v>129000</v>
      </c>
      <c r="M224" s="41"/>
    </row>
    <row r="225" spans="1:13">
      <c r="A225" s="10">
        <v>358177</v>
      </c>
      <c r="B225" s="1" t="s">
        <v>1073</v>
      </c>
      <c r="C225" s="1" t="s">
        <v>1073</v>
      </c>
      <c r="D225" s="41"/>
      <c r="J225" s="39">
        <v>513639</v>
      </c>
      <c r="K225" s="41">
        <v>0</v>
      </c>
      <c r="L225" s="41">
        <v>1400000</v>
      </c>
      <c r="M225" s="41"/>
    </row>
    <row r="226" spans="1:13">
      <c r="A226" s="10">
        <v>527832</v>
      </c>
      <c r="B226" s="1" t="s">
        <v>1073</v>
      </c>
      <c r="C226" s="1" t="s">
        <v>1073</v>
      </c>
      <c r="D226" s="41"/>
      <c r="J226" s="39">
        <v>515755</v>
      </c>
      <c r="K226" s="41">
        <v>3</v>
      </c>
      <c r="L226" s="41">
        <v>1429000</v>
      </c>
      <c r="M226" s="41"/>
    </row>
    <row r="227" spans="1:13">
      <c r="A227" s="10">
        <v>12296276</v>
      </c>
      <c r="B227" s="1" t="s">
        <v>1073</v>
      </c>
      <c r="C227" s="1" t="s">
        <v>1073</v>
      </c>
      <c r="D227" s="41"/>
      <c r="J227" s="39">
        <v>516003</v>
      </c>
      <c r="K227" s="41">
        <v>16</v>
      </c>
      <c r="L227" s="41">
        <v>4074000</v>
      </c>
      <c r="M227" s="41"/>
    </row>
    <row r="228" spans="1:13">
      <c r="A228" s="10">
        <v>327725</v>
      </c>
      <c r="B228" s="1" t="s">
        <v>1073</v>
      </c>
      <c r="C228" s="2">
        <v>600000</v>
      </c>
      <c r="D228" s="41"/>
      <c r="J228" s="39">
        <v>516144</v>
      </c>
      <c r="K228" s="41">
        <v>0</v>
      </c>
      <c r="L228" s="41">
        <v>687000</v>
      </c>
      <c r="M228" s="41"/>
    </row>
    <row r="229" spans="1:13">
      <c r="A229" s="10">
        <v>336387</v>
      </c>
      <c r="B229" s="1" t="s">
        <v>1073</v>
      </c>
      <c r="C229" s="3">
        <v>50000</v>
      </c>
      <c r="D229" s="41"/>
      <c r="J229" s="39">
        <v>516280</v>
      </c>
      <c r="K229" s="41">
        <v>5</v>
      </c>
      <c r="L229" s="41">
        <v>150000</v>
      </c>
      <c r="M229" s="41"/>
    </row>
    <row r="230" spans="1:13">
      <c r="A230" s="10">
        <v>529785</v>
      </c>
      <c r="B230" s="1" t="s">
        <v>1073</v>
      </c>
      <c r="C230" s="1" t="s">
        <v>1073</v>
      </c>
      <c r="D230" s="41"/>
      <c r="J230" s="39">
        <v>516570</v>
      </c>
      <c r="K230" s="41">
        <v>0</v>
      </c>
      <c r="L230" s="41">
        <v>0</v>
      </c>
      <c r="M230" s="41"/>
    </row>
    <row r="231" spans="1:13">
      <c r="A231" s="10">
        <v>366676</v>
      </c>
      <c r="B231" s="1" t="s">
        <v>1073</v>
      </c>
      <c r="C231" s="3">
        <v>150000</v>
      </c>
      <c r="D231" s="41"/>
      <c r="J231" s="39">
        <v>516651</v>
      </c>
      <c r="K231" s="41">
        <v>0</v>
      </c>
      <c r="L231" s="41">
        <v>0</v>
      </c>
      <c r="M231" s="41"/>
    </row>
    <row r="232" spans="1:13">
      <c r="A232" s="10">
        <v>211644</v>
      </c>
      <c r="B232" s="1">
        <v>3</v>
      </c>
      <c r="C232" s="2">
        <v>1200000</v>
      </c>
      <c r="D232" s="41"/>
      <c r="J232" s="39">
        <v>516674</v>
      </c>
      <c r="K232" s="41">
        <v>10</v>
      </c>
      <c r="L232" s="41">
        <v>150000</v>
      </c>
      <c r="M232" s="41"/>
    </row>
    <row r="233" spans="1:13">
      <c r="A233" s="10">
        <v>221350</v>
      </c>
      <c r="B233" s="1" t="s">
        <v>1073</v>
      </c>
      <c r="C233" s="1" t="s">
        <v>1073</v>
      </c>
      <c r="D233" s="41"/>
      <c r="J233" s="39">
        <v>517562</v>
      </c>
      <c r="K233" s="41">
        <v>0</v>
      </c>
      <c r="L233" s="41">
        <v>0</v>
      </c>
      <c r="M233" s="41"/>
    </row>
    <row r="234" spans="1:13">
      <c r="A234" s="10">
        <v>399091</v>
      </c>
      <c r="B234" s="1" t="s">
        <v>1073</v>
      </c>
      <c r="C234" s="3">
        <v>200000</v>
      </c>
      <c r="D234" s="41"/>
      <c r="J234" s="39">
        <v>518491</v>
      </c>
      <c r="K234" s="41">
        <v>5</v>
      </c>
      <c r="L234" s="41">
        <v>0</v>
      </c>
      <c r="M234" s="41"/>
    </row>
    <row r="235" spans="1:13">
      <c r="A235" s="10">
        <v>211752</v>
      </c>
      <c r="B235" s="1">
        <v>10</v>
      </c>
      <c r="C235" s="1" t="s">
        <v>1073</v>
      </c>
      <c r="D235" s="41"/>
      <c r="J235" s="39">
        <v>524127</v>
      </c>
      <c r="K235" s="41">
        <v>0</v>
      </c>
      <c r="L235" s="41">
        <v>0</v>
      </c>
      <c r="M235" s="41"/>
    </row>
    <row r="236" spans="1:13">
      <c r="A236" s="10">
        <v>12321896</v>
      </c>
      <c r="B236" s="1" t="s">
        <v>1073</v>
      </c>
      <c r="C236" s="2">
        <v>500000</v>
      </c>
      <c r="D236" s="41"/>
      <c r="J236" s="39">
        <v>534088</v>
      </c>
      <c r="K236" s="41">
        <v>0</v>
      </c>
      <c r="L236" s="41">
        <v>0</v>
      </c>
      <c r="M236" s="41"/>
    </row>
    <row r="237" spans="1:13">
      <c r="A237" s="10">
        <v>8334</v>
      </c>
      <c r="B237" s="1" t="s">
        <v>1073</v>
      </c>
      <c r="C237" s="2">
        <v>400000</v>
      </c>
      <c r="D237" s="41"/>
      <c r="J237" s="39">
        <v>537701</v>
      </c>
      <c r="K237" s="41">
        <v>0</v>
      </c>
      <c r="L237" s="41">
        <v>0</v>
      </c>
      <c r="M237" s="41"/>
    </row>
    <row r="238" spans="1:13">
      <c r="A238" s="10">
        <v>63914</v>
      </c>
      <c r="B238" s="1" t="s">
        <v>1073</v>
      </c>
      <c r="C238" s="1" t="s">
        <v>1073</v>
      </c>
      <c r="D238" s="41"/>
      <c r="J238" s="39">
        <v>551630</v>
      </c>
      <c r="K238" s="41">
        <v>10</v>
      </c>
      <c r="L238" s="41">
        <v>337000</v>
      </c>
      <c r="M238" s="41"/>
    </row>
    <row r="239" spans="1:13">
      <c r="A239" s="10">
        <v>416899</v>
      </c>
      <c r="B239" s="1" t="s">
        <v>1073</v>
      </c>
      <c r="C239" s="2">
        <v>400000</v>
      </c>
      <c r="D239" s="41"/>
      <c r="J239" s="39">
        <v>555965</v>
      </c>
      <c r="K239" s="41">
        <v>3</v>
      </c>
      <c r="L239" s="41">
        <v>150000</v>
      </c>
      <c r="M239" s="41"/>
    </row>
    <row r="240" spans="1:13">
      <c r="A240" s="10">
        <v>2385</v>
      </c>
      <c r="B240" s="1">
        <v>3</v>
      </c>
      <c r="C240" s="2">
        <v>1200000</v>
      </c>
      <c r="D240" s="41"/>
      <c r="J240" s="39">
        <v>579337</v>
      </c>
      <c r="K240" s="41">
        <v>11</v>
      </c>
      <c r="L240" s="41">
        <v>3002000</v>
      </c>
      <c r="M240" s="41"/>
    </row>
    <row r="241" spans="1:13">
      <c r="A241" s="10">
        <v>523878</v>
      </c>
      <c r="B241" s="1">
        <v>1</v>
      </c>
      <c r="C241" s="2">
        <v>3470000</v>
      </c>
      <c r="D241" s="41"/>
      <c r="J241" s="39">
        <v>580284</v>
      </c>
      <c r="K241" s="41">
        <v>20</v>
      </c>
      <c r="L241" s="41">
        <v>100000</v>
      </c>
      <c r="M241" s="41"/>
    </row>
    <row r="242" spans="1:13">
      <c r="A242" s="10">
        <v>240661</v>
      </c>
      <c r="B242" s="1" t="s">
        <v>1073</v>
      </c>
      <c r="C242" s="2">
        <v>500000</v>
      </c>
      <c r="D242" s="41"/>
      <c r="J242" s="39">
        <v>61981</v>
      </c>
      <c r="K242" s="41">
        <v>3</v>
      </c>
      <c r="L242" s="41">
        <v>3829000</v>
      </c>
      <c r="M242" s="41"/>
    </row>
    <row r="243" spans="1:13">
      <c r="A243" s="10">
        <v>440835</v>
      </c>
      <c r="B243" s="1" t="s">
        <v>1073</v>
      </c>
      <c r="C243" s="3">
        <v>100000</v>
      </c>
      <c r="D243" s="41"/>
      <c r="J243" s="39">
        <v>61982</v>
      </c>
      <c r="K243" s="41">
        <v>3</v>
      </c>
      <c r="L243" s="41">
        <v>1915000</v>
      </c>
      <c r="M243" s="41"/>
    </row>
    <row r="244" spans="1:13">
      <c r="A244" s="10">
        <v>12303072</v>
      </c>
      <c r="B244" s="1" t="s">
        <v>1073</v>
      </c>
      <c r="C244" s="1" t="s">
        <v>1073</v>
      </c>
      <c r="D244" s="41"/>
      <c r="J244" s="39">
        <v>62014</v>
      </c>
      <c r="K244" s="41">
        <v>6</v>
      </c>
      <c r="L244" s="41">
        <v>4400000</v>
      </c>
      <c r="M244" s="41"/>
    </row>
    <row r="245" spans="1:13">
      <c r="A245" s="10">
        <v>526409</v>
      </c>
      <c r="B245" s="1" t="s">
        <v>1073</v>
      </c>
      <c r="C245" s="2">
        <v>400000</v>
      </c>
      <c r="D245" s="41"/>
      <c r="J245" s="39">
        <v>9707</v>
      </c>
      <c r="K245" s="41">
        <v>5</v>
      </c>
      <c r="L245" s="41">
        <v>650000</v>
      </c>
      <c r="M245" s="41"/>
    </row>
    <row r="246" spans="1:13">
      <c r="A246" s="10">
        <v>513078</v>
      </c>
      <c r="B246" s="1" t="s">
        <v>1073</v>
      </c>
      <c r="C246" s="1" t="s">
        <v>1073</v>
      </c>
      <c r="D246" s="41"/>
      <c r="J246" s="39">
        <v>11178</v>
      </c>
      <c r="K246" s="41">
        <v>3</v>
      </c>
      <c r="L246" s="41">
        <v>4658000</v>
      </c>
      <c r="M246" s="41"/>
    </row>
    <row r="247" spans="1:13">
      <c r="A247" s="10">
        <v>264668</v>
      </c>
      <c r="B247" s="1" t="s">
        <v>1073</v>
      </c>
      <c r="C247" s="2">
        <v>950000</v>
      </c>
      <c r="D247" s="41"/>
      <c r="J247" s="39">
        <v>11484</v>
      </c>
      <c r="K247" s="41">
        <v>10</v>
      </c>
      <c r="L247" s="41">
        <v>9328000</v>
      </c>
      <c r="M247" s="41"/>
    </row>
    <row r="248" spans="1:13">
      <c r="A248" s="10">
        <v>61603</v>
      </c>
      <c r="B248" s="1" t="s">
        <v>1073</v>
      </c>
      <c r="C248" s="2">
        <v>600000</v>
      </c>
      <c r="D248" s="41"/>
      <c r="J248" s="39">
        <v>12301184</v>
      </c>
      <c r="K248" s="41">
        <v>3</v>
      </c>
      <c r="L248" s="41">
        <v>1208000</v>
      </c>
      <c r="M248" s="41"/>
    </row>
    <row r="249" spans="1:13">
      <c r="A249" s="10">
        <v>12327984</v>
      </c>
      <c r="B249" s="1">
        <v>3</v>
      </c>
      <c r="C249" s="2">
        <v>900000</v>
      </c>
      <c r="D249" s="41"/>
      <c r="J249" s="39">
        <v>12301709</v>
      </c>
      <c r="K249" s="41">
        <v>6</v>
      </c>
      <c r="L249" s="41">
        <v>2108000</v>
      </c>
      <c r="M249" s="41"/>
    </row>
    <row r="250" spans="1:13">
      <c r="A250" s="10">
        <v>12323735</v>
      </c>
      <c r="B250" s="1" t="s">
        <v>1073</v>
      </c>
      <c r="C250" s="2">
        <v>1700000</v>
      </c>
      <c r="D250" s="41"/>
      <c r="J250" s="39">
        <v>12332756</v>
      </c>
      <c r="K250" s="41">
        <v>3</v>
      </c>
      <c r="L250" s="41">
        <v>3500000</v>
      </c>
      <c r="M250" s="41"/>
    </row>
    <row r="251" spans="1:13">
      <c r="A251" s="10">
        <v>339975</v>
      </c>
      <c r="B251" s="1" t="s">
        <v>1073</v>
      </c>
      <c r="C251" s="2">
        <v>500000</v>
      </c>
      <c r="D251" s="41"/>
      <c r="J251" s="39">
        <v>126926</v>
      </c>
      <c r="K251" s="41">
        <v>4</v>
      </c>
      <c r="L251" s="41">
        <v>18500000</v>
      </c>
      <c r="M251" s="41"/>
    </row>
    <row r="252" spans="1:13">
      <c r="A252" s="10">
        <v>531733</v>
      </c>
      <c r="B252" s="1">
        <v>3</v>
      </c>
      <c r="C252" s="2">
        <v>3300000</v>
      </c>
      <c r="D252" s="41"/>
      <c r="J252" s="39">
        <v>1978</v>
      </c>
      <c r="K252" s="41">
        <v>3</v>
      </c>
      <c r="L252" s="41">
        <v>1558000</v>
      </c>
      <c r="M252" s="41"/>
    </row>
    <row r="253" spans="1:13">
      <c r="A253" s="10">
        <v>546628</v>
      </c>
      <c r="B253" s="1">
        <v>10</v>
      </c>
      <c r="C253" s="1" t="s">
        <v>1073</v>
      </c>
      <c r="D253" s="41"/>
      <c r="J253" s="39">
        <v>241230</v>
      </c>
      <c r="K253" s="41">
        <v>6</v>
      </c>
      <c r="L253" s="41">
        <v>4500290</v>
      </c>
      <c r="M253" s="41"/>
    </row>
    <row r="254" spans="1:13">
      <c r="A254" s="10">
        <v>13057</v>
      </c>
      <c r="B254" s="1">
        <v>2</v>
      </c>
      <c r="C254" s="2">
        <v>4558000</v>
      </c>
      <c r="D254" s="41"/>
      <c r="J254" s="39">
        <v>241320</v>
      </c>
      <c r="K254" s="41">
        <v>0</v>
      </c>
      <c r="L254" s="41">
        <v>0</v>
      </c>
      <c r="M254" s="41"/>
    </row>
    <row r="255" spans="1:13">
      <c r="A255" s="10">
        <v>61851</v>
      </c>
      <c r="B255" s="1" t="s">
        <v>1073</v>
      </c>
      <c r="C255" s="2">
        <v>400000</v>
      </c>
      <c r="D255" s="41"/>
      <c r="J255" s="39">
        <v>254004</v>
      </c>
      <c r="K255" s="41">
        <v>4</v>
      </c>
      <c r="L255" s="41">
        <v>1658000</v>
      </c>
      <c r="M255" s="41"/>
    </row>
    <row r="256" spans="1:13">
      <c r="A256" s="10">
        <v>62152</v>
      </c>
      <c r="B256" s="1" t="s">
        <v>1073</v>
      </c>
      <c r="C256" s="1" t="s">
        <v>1073</v>
      </c>
      <c r="D256" s="41"/>
      <c r="J256" s="39">
        <v>254042</v>
      </c>
      <c r="K256" s="41">
        <v>3</v>
      </c>
      <c r="L256" s="41">
        <v>1158000</v>
      </c>
      <c r="M256" s="41"/>
    </row>
    <row r="257" spans="1:13">
      <c r="A257" s="10">
        <v>107297</v>
      </c>
      <c r="B257" s="1">
        <v>3</v>
      </c>
      <c r="C257" s="2">
        <v>3087000</v>
      </c>
      <c r="D257" s="41"/>
      <c r="J257" s="39">
        <v>3135</v>
      </c>
      <c r="K257" s="41">
        <v>3</v>
      </c>
      <c r="L257" s="41">
        <v>128000000</v>
      </c>
      <c r="M257" s="41"/>
    </row>
    <row r="258" spans="1:13">
      <c r="A258" s="10">
        <v>512103</v>
      </c>
      <c r="B258" s="1" t="s">
        <v>1073</v>
      </c>
      <c r="C258" s="2">
        <v>1000000</v>
      </c>
      <c r="D258" s="41"/>
      <c r="J258" s="39">
        <v>339299</v>
      </c>
      <c r="K258" s="41">
        <v>4</v>
      </c>
      <c r="L258" s="41">
        <v>3850000</v>
      </c>
      <c r="M258" s="41"/>
    </row>
    <row r="259" spans="1:13">
      <c r="A259" s="10">
        <v>516003</v>
      </c>
      <c r="B259" s="1">
        <v>3</v>
      </c>
      <c r="C259" s="2">
        <v>1937000</v>
      </c>
      <c r="D259" s="41"/>
      <c r="J259" s="39">
        <v>370055</v>
      </c>
      <c r="K259" s="41">
        <v>4</v>
      </c>
      <c r="L259" s="41">
        <v>1458000</v>
      </c>
      <c r="M259" s="41"/>
    </row>
    <row r="260" spans="1:13">
      <c r="A260" s="10">
        <v>261367</v>
      </c>
      <c r="B260" s="1">
        <v>11</v>
      </c>
      <c r="C260" s="2">
        <v>5750000</v>
      </c>
      <c r="D260" s="41"/>
      <c r="J260" s="39">
        <v>399790</v>
      </c>
      <c r="K260" s="41">
        <v>3</v>
      </c>
      <c r="L260" s="41">
        <v>13158000</v>
      </c>
      <c r="M260" s="41"/>
    </row>
    <row r="261" spans="1:13">
      <c r="A261" s="10">
        <v>402411</v>
      </c>
      <c r="B261" s="1" t="s">
        <v>1073</v>
      </c>
      <c r="C261" s="1" t="s">
        <v>1073</v>
      </c>
      <c r="D261" s="41"/>
      <c r="J261" s="39">
        <v>401367</v>
      </c>
      <c r="K261" s="41">
        <v>4</v>
      </c>
      <c r="L261" s="41">
        <v>3158000</v>
      </c>
      <c r="M261" s="41"/>
    </row>
    <row r="262" spans="1:13">
      <c r="A262" s="10">
        <v>572180</v>
      </c>
      <c r="B262" s="1" t="s">
        <v>1073</v>
      </c>
      <c r="C262" s="2">
        <v>2000000</v>
      </c>
      <c r="D262" s="41"/>
      <c r="J262" s="39">
        <v>407121</v>
      </c>
      <c r="K262" s="41">
        <v>4</v>
      </c>
      <c r="L262" s="41">
        <v>1358000</v>
      </c>
      <c r="M262" s="41"/>
    </row>
    <row r="263" spans="1:13">
      <c r="A263" s="10">
        <v>62014</v>
      </c>
      <c r="B263" s="1" t="s">
        <v>1073</v>
      </c>
      <c r="C263" s="2">
        <v>500000</v>
      </c>
      <c r="D263" s="41"/>
      <c r="J263" s="39">
        <v>407149</v>
      </c>
      <c r="K263" s="41">
        <v>2</v>
      </c>
      <c r="L263" s="41">
        <v>1108000</v>
      </c>
      <c r="M263" s="41"/>
    </row>
    <row r="264" spans="1:13">
      <c r="A264" s="10">
        <v>513017</v>
      </c>
      <c r="B264" s="1" t="s">
        <v>1073</v>
      </c>
      <c r="C264" s="2">
        <v>1700000</v>
      </c>
      <c r="D264" s="41"/>
      <c r="J264" s="39">
        <v>408140</v>
      </c>
      <c r="K264" s="41">
        <v>4</v>
      </c>
      <c r="L264" s="41">
        <v>39400000</v>
      </c>
      <c r="M264" s="41"/>
    </row>
    <row r="265" spans="1:13">
      <c r="A265" s="10">
        <v>244663</v>
      </c>
      <c r="B265" s="1" t="s">
        <v>1073</v>
      </c>
      <c r="C265" s="2">
        <v>1100000</v>
      </c>
      <c r="D265" s="41"/>
      <c r="J265" s="39">
        <v>408617</v>
      </c>
      <c r="K265" s="41">
        <v>4</v>
      </c>
      <c r="L265" s="41">
        <v>1531000</v>
      </c>
      <c r="M265" s="41"/>
    </row>
    <row r="266" spans="1:13">
      <c r="A266" s="10">
        <v>199313</v>
      </c>
      <c r="B266" s="1" t="s">
        <v>1073</v>
      </c>
      <c r="C266" s="2">
        <v>400000</v>
      </c>
      <c r="D266" s="41"/>
      <c r="J266" s="39">
        <v>410976</v>
      </c>
      <c r="K266" s="41">
        <v>3</v>
      </c>
      <c r="L266" s="41">
        <v>400000</v>
      </c>
      <c r="M266" s="41"/>
    </row>
    <row r="267" spans="1:13">
      <c r="A267" s="10">
        <v>547256</v>
      </c>
      <c r="B267" s="1">
        <v>3</v>
      </c>
      <c r="C267" s="3">
        <v>50000</v>
      </c>
      <c r="D267" s="41"/>
      <c r="J267" s="39">
        <v>414586</v>
      </c>
      <c r="K267" s="41">
        <v>4</v>
      </c>
      <c r="L267" s="41">
        <v>3158000</v>
      </c>
      <c r="M267" s="41"/>
    </row>
    <row r="268" spans="1:13">
      <c r="A268" s="10">
        <v>517908</v>
      </c>
      <c r="B268" s="1" t="s">
        <v>1073</v>
      </c>
      <c r="C268" s="2">
        <v>575000</v>
      </c>
      <c r="D268" s="41"/>
      <c r="J268" s="39">
        <v>415949</v>
      </c>
      <c r="K268" s="41">
        <v>107</v>
      </c>
      <c r="L268" s="41">
        <v>7003000</v>
      </c>
      <c r="M268" s="41"/>
    </row>
    <row r="269" spans="1:13">
      <c r="A269" s="10">
        <v>12297195</v>
      </c>
      <c r="B269" s="1" t="s">
        <v>1073</v>
      </c>
      <c r="C269" s="1" t="s">
        <v>1073</v>
      </c>
      <c r="D269" s="41"/>
      <c r="J269" s="39">
        <v>418007</v>
      </c>
      <c r="K269" s="41">
        <v>1</v>
      </c>
      <c r="L269" s="41">
        <v>1400000</v>
      </c>
      <c r="M269" s="41"/>
    </row>
    <row r="270" spans="1:13">
      <c r="A270" s="10">
        <v>480116</v>
      </c>
      <c r="B270" s="1" t="s">
        <v>1073</v>
      </c>
      <c r="C270" s="1" t="s">
        <v>1073</v>
      </c>
      <c r="D270" s="41"/>
      <c r="J270" s="39">
        <v>457300</v>
      </c>
      <c r="K270" s="41">
        <v>2</v>
      </c>
      <c r="L270" s="41">
        <v>7050000</v>
      </c>
      <c r="M270" s="41"/>
    </row>
    <row r="271" spans="1:13">
      <c r="A271" s="10">
        <v>127119</v>
      </c>
      <c r="B271" s="1" t="s">
        <v>1073</v>
      </c>
      <c r="C271" s="2">
        <v>300000</v>
      </c>
      <c r="D271" s="41"/>
      <c r="J271" s="39">
        <v>468349</v>
      </c>
      <c r="K271" s="41">
        <v>3</v>
      </c>
      <c r="L271" s="41">
        <v>1300000</v>
      </c>
      <c r="M271" s="41"/>
    </row>
    <row r="272" spans="1:13">
      <c r="A272" s="10">
        <v>12326492</v>
      </c>
      <c r="B272" s="1">
        <v>5</v>
      </c>
      <c r="C272" s="2">
        <v>9170000</v>
      </c>
      <c r="D272" s="41"/>
      <c r="J272" s="39">
        <v>482760</v>
      </c>
      <c r="K272" s="41">
        <v>7</v>
      </c>
      <c r="L272" s="41">
        <v>3000000</v>
      </c>
      <c r="M272" s="41"/>
    </row>
    <row r="273" spans="1:13">
      <c r="A273" s="10">
        <v>115396</v>
      </c>
      <c r="B273" s="1" t="s">
        <v>1073</v>
      </c>
      <c r="C273" s="3">
        <v>200000</v>
      </c>
      <c r="D273" s="41"/>
      <c r="J273" s="39">
        <v>483093</v>
      </c>
      <c r="K273" s="41">
        <v>4</v>
      </c>
      <c r="L273" s="41">
        <v>1458000</v>
      </c>
      <c r="M273" s="41"/>
    </row>
    <row r="274" spans="1:13">
      <c r="A274" s="10">
        <v>342882</v>
      </c>
      <c r="B274" s="1" t="s">
        <v>1073</v>
      </c>
      <c r="C274" s="2">
        <v>450000</v>
      </c>
      <c r="D274" s="41"/>
      <c r="J274" s="39">
        <v>489186</v>
      </c>
      <c r="K274" s="41">
        <v>4</v>
      </c>
      <c r="L274" s="41">
        <v>6458000</v>
      </c>
      <c r="M274" s="41"/>
    </row>
    <row r="275" spans="1:13">
      <c r="A275" s="10">
        <v>489186</v>
      </c>
      <c r="B275" s="1">
        <v>2</v>
      </c>
      <c r="C275" s="2">
        <v>2970000</v>
      </c>
      <c r="D275" s="41"/>
      <c r="J275" s="39">
        <v>489481</v>
      </c>
      <c r="K275" s="41">
        <v>4</v>
      </c>
      <c r="L275" s="41">
        <v>8383000</v>
      </c>
      <c r="M275" s="41"/>
    </row>
    <row r="276" spans="1:13">
      <c r="A276" s="10">
        <v>186913</v>
      </c>
      <c r="B276" s="1">
        <v>3</v>
      </c>
      <c r="C276" s="2">
        <v>2816000</v>
      </c>
      <c r="D276" s="41"/>
      <c r="J276" s="39">
        <v>489935</v>
      </c>
      <c r="K276" s="41">
        <v>0</v>
      </c>
      <c r="L276" s="41">
        <v>176000000</v>
      </c>
      <c r="M276" s="41"/>
    </row>
    <row r="277" spans="1:13">
      <c r="A277" s="10">
        <v>546124</v>
      </c>
      <c r="B277" s="1">
        <v>46</v>
      </c>
      <c r="C277" s="2">
        <v>422000</v>
      </c>
      <c r="D277" s="41"/>
      <c r="J277" s="39">
        <v>510981</v>
      </c>
      <c r="K277" s="41">
        <v>131</v>
      </c>
      <c r="L277" s="41">
        <v>28000000</v>
      </c>
      <c r="M277" s="41"/>
    </row>
    <row r="278" spans="1:13">
      <c r="A278" s="10">
        <v>2628</v>
      </c>
      <c r="B278" s="1" t="s">
        <v>1073</v>
      </c>
      <c r="C278" s="2">
        <v>2293924</v>
      </c>
      <c r="D278" s="41"/>
      <c r="J278" s="39">
        <v>512103</v>
      </c>
      <c r="K278" s="41">
        <v>5</v>
      </c>
      <c r="L278" s="41">
        <v>3000000</v>
      </c>
      <c r="M278" s="41"/>
    </row>
    <row r="279" spans="1:13">
      <c r="A279" s="10">
        <v>12306416</v>
      </c>
      <c r="B279" s="1" t="s">
        <v>1073</v>
      </c>
      <c r="C279" s="1" t="s">
        <v>1073</v>
      </c>
      <c r="D279" s="41"/>
      <c r="J279" s="39">
        <v>514404</v>
      </c>
      <c r="K279" s="41">
        <v>0</v>
      </c>
      <c r="L279" s="41">
        <v>0</v>
      </c>
      <c r="M279" s="41"/>
    </row>
    <row r="280" spans="1:13">
      <c r="A280" s="10">
        <v>12325950</v>
      </c>
      <c r="B280" s="1">
        <v>5</v>
      </c>
      <c r="C280" s="3">
        <v>50000</v>
      </c>
      <c r="D280" s="41"/>
      <c r="J280" s="39">
        <v>517137</v>
      </c>
      <c r="K280" s="41">
        <v>3</v>
      </c>
      <c r="L280" s="41">
        <v>900000</v>
      </c>
      <c r="M280" s="41"/>
    </row>
    <row r="281" spans="1:13">
      <c r="A281" s="10">
        <v>127104</v>
      </c>
      <c r="B281" s="1" t="s">
        <v>1073</v>
      </c>
      <c r="C281" s="3">
        <v>200000</v>
      </c>
      <c r="D281" s="41"/>
      <c r="J281" s="39">
        <v>523878</v>
      </c>
      <c r="K281" s="41">
        <v>4</v>
      </c>
      <c r="L281" s="41">
        <v>5200000</v>
      </c>
      <c r="M281" s="41"/>
    </row>
    <row r="282" spans="1:13">
      <c r="A282" s="10">
        <v>355431</v>
      </c>
      <c r="B282" s="1">
        <v>1</v>
      </c>
      <c r="C282" s="3">
        <v>229000</v>
      </c>
      <c r="D282" s="41"/>
      <c r="J282" s="39">
        <v>524858</v>
      </c>
      <c r="K282" s="41">
        <v>4</v>
      </c>
      <c r="L282" s="41">
        <v>1308000</v>
      </c>
      <c r="M282" s="41"/>
    </row>
    <row r="283" spans="1:13">
      <c r="A283" s="10">
        <v>559287</v>
      </c>
      <c r="B283" s="1" t="s">
        <v>1073</v>
      </c>
      <c r="C283" s="2">
        <v>4600000</v>
      </c>
      <c r="D283" s="41"/>
      <c r="J283" s="39">
        <v>525728</v>
      </c>
      <c r="K283" s="41">
        <v>4</v>
      </c>
      <c r="L283" s="41">
        <v>1308000</v>
      </c>
      <c r="M283" s="41"/>
    </row>
    <row r="284" spans="1:13">
      <c r="A284" s="10">
        <v>234536</v>
      </c>
      <c r="B284" s="1" t="s">
        <v>1073</v>
      </c>
      <c r="C284" s="3">
        <v>150000</v>
      </c>
      <c r="D284" s="41"/>
      <c r="J284" s="39">
        <v>532091</v>
      </c>
      <c r="K284" s="41">
        <v>4</v>
      </c>
      <c r="L284" s="41">
        <v>4500000</v>
      </c>
      <c r="M284" s="41"/>
    </row>
    <row r="285" spans="1:13">
      <c r="A285" s="10">
        <v>347320</v>
      </c>
      <c r="B285" s="1">
        <v>2</v>
      </c>
      <c r="C285" s="2">
        <v>2738000</v>
      </c>
      <c r="D285" s="41"/>
      <c r="J285" s="39">
        <v>545397</v>
      </c>
      <c r="K285" s="41">
        <v>3</v>
      </c>
      <c r="L285" s="41">
        <v>1225000</v>
      </c>
      <c r="M285" s="41"/>
    </row>
    <row r="286" spans="1:13">
      <c r="A286" s="10">
        <v>260342</v>
      </c>
      <c r="B286" s="1" t="s">
        <v>1073</v>
      </c>
      <c r="C286" s="2">
        <v>1600000</v>
      </c>
      <c r="D286" s="41"/>
      <c r="J286" s="39">
        <v>559146</v>
      </c>
      <c r="K286" s="41">
        <v>3</v>
      </c>
      <c r="L286" s="41">
        <v>1008000</v>
      </c>
      <c r="M286" s="41"/>
    </row>
    <row r="287" spans="1:13">
      <c r="A287" s="10">
        <v>458953</v>
      </c>
      <c r="B287" s="1" t="s">
        <v>1073</v>
      </c>
      <c r="C287" s="1" t="s">
        <v>1073</v>
      </c>
      <c r="D287" s="41"/>
      <c r="J287" s="39">
        <v>560095</v>
      </c>
      <c r="K287" s="41">
        <v>4</v>
      </c>
      <c r="L287" s="41">
        <v>1308000</v>
      </c>
      <c r="M287" s="41"/>
    </row>
    <row r="288" spans="1:13">
      <c r="A288" s="10">
        <v>383011</v>
      </c>
      <c r="B288" s="1">
        <v>3</v>
      </c>
      <c r="C288" s="1" t="s">
        <v>1073</v>
      </c>
      <c r="D288" s="41"/>
      <c r="J288" s="39">
        <v>560100</v>
      </c>
      <c r="K288" s="41">
        <v>0</v>
      </c>
      <c r="L288" s="41">
        <v>2500000</v>
      </c>
      <c r="M288" s="41"/>
    </row>
    <row r="289" spans="1:13">
      <c r="A289" s="10">
        <v>229466</v>
      </c>
      <c r="B289" s="1" t="s">
        <v>1073</v>
      </c>
      <c r="C289" s="2">
        <v>9000000</v>
      </c>
      <c r="D289" s="41"/>
      <c r="J289" s="39">
        <v>562928</v>
      </c>
      <c r="K289" s="41">
        <v>3</v>
      </c>
      <c r="L289" s="41">
        <v>758000</v>
      </c>
      <c r="M289" s="41"/>
    </row>
    <row r="290" spans="1:13">
      <c r="A290" s="10">
        <v>12318668</v>
      </c>
      <c r="B290" s="1">
        <v>5</v>
      </c>
      <c r="C290" s="3">
        <v>295000</v>
      </c>
      <c r="D290" s="41"/>
      <c r="J290" s="39">
        <v>570466</v>
      </c>
      <c r="K290" s="41">
        <v>4</v>
      </c>
      <c r="L290" s="41">
        <v>1008000</v>
      </c>
      <c r="M290" s="41"/>
    </row>
    <row r="291" spans="1:13">
      <c r="A291" s="10">
        <v>418007</v>
      </c>
      <c r="B291" s="1">
        <v>2</v>
      </c>
      <c r="C291" s="2">
        <v>1070000</v>
      </c>
      <c r="D291" s="41"/>
      <c r="J291" s="39">
        <v>570472</v>
      </c>
      <c r="K291" s="41">
        <v>4</v>
      </c>
      <c r="L291" s="41">
        <v>1008000</v>
      </c>
      <c r="M291" s="41"/>
    </row>
    <row r="292" spans="1:13">
      <c r="A292" s="10">
        <v>506237</v>
      </c>
      <c r="B292" s="1" t="s">
        <v>1073</v>
      </c>
      <c r="C292" s="2">
        <v>2600000</v>
      </c>
      <c r="D292" s="41"/>
      <c r="J292" s="39">
        <v>570685</v>
      </c>
      <c r="K292" s="41">
        <v>3</v>
      </c>
      <c r="L292" s="41">
        <v>1158000</v>
      </c>
      <c r="M292" s="41"/>
    </row>
    <row r="293" spans="1:13">
      <c r="A293" s="10">
        <v>373755</v>
      </c>
      <c r="B293" s="1" t="s">
        <v>1073</v>
      </c>
      <c r="C293" s="2">
        <v>350000</v>
      </c>
      <c r="D293" s="41"/>
      <c r="J293" s="39">
        <v>570748</v>
      </c>
      <c r="K293" s="41">
        <v>3</v>
      </c>
      <c r="L293" s="41">
        <v>4300000</v>
      </c>
      <c r="M293" s="41"/>
    </row>
    <row r="294" spans="1:13">
      <c r="A294" s="10">
        <v>240316</v>
      </c>
      <c r="B294" s="1">
        <v>3</v>
      </c>
      <c r="C294" s="1" t="s">
        <v>1073</v>
      </c>
      <c r="D294" s="41"/>
      <c r="J294" s="39">
        <v>570754</v>
      </c>
      <c r="K294" s="41">
        <v>4</v>
      </c>
      <c r="L294" s="41">
        <v>1308000</v>
      </c>
      <c r="M294" s="41"/>
    </row>
    <row r="295" spans="1:13">
      <c r="A295" s="10">
        <v>518940</v>
      </c>
      <c r="B295" s="1">
        <v>2</v>
      </c>
      <c r="C295" s="2">
        <v>2300000</v>
      </c>
      <c r="D295" s="41"/>
      <c r="J295" s="39">
        <v>62119</v>
      </c>
      <c r="K295" s="41">
        <v>0</v>
      </c>
      <c r="L295" s="41">
        <v>812000</v>
      </c>
      <c r="M295" s="41"/>
    </row>
    <row r="296" spans="1:13">
      <c r="A296" s="10">
        <v>551969</v>
      </c>
      <c r="B296" s="1" t="s">
        <v>1073</v>
      </c>
      <c r="C296" s="1" t="s">
        <v>1073</v>
      </c>
      <c r="D296" s="41"/>
      <c r="J296" s="39">
        <v>62419</v>
      </c>
      <c r="K296" s="41">
        <v>3</v>
      </c>
      <c r="L296" s="41">
        <v>858000</v>
      </c>
      <c r="M296" s="41"/>
    </row>
    <row r="297" spans="1:13">
      <c r="A297" s="10">
        <v>526539</v>
      </c>
      <c r="B297" s="1" t="s">
        <v>1073</v>
      </c>
      <c r="C297" s="2">
        <v>300000</v>
      </c>
      <c r="D297" s="41"/>
      <c r="J297" s="39">
        <v>62420</v>
      </c>
      <c r="K297" s="41">
        <v>3</v>
      </c>
      <c r="L297" s="41">
        <v>812000</v>
      </c>
      <c r="M297" s="41"/>
    </row>
    <row r="298" spans="1:13">
      <c r="A298" s="10">
        <v>500429</v>
      </c>
      <c r="B298" s="1" t="s">
        <v>1073</v>
      </c>
      <c r="C298" s="2">
        <v>300000</v>
      </c>
      <c r="D298" s="41"/>
      <c r="J298" s="39">
        <v>67311</v>
      </c>
      <c r="K298" s="41">
        <v>3</v>
      </c>
      <c r="L298" s="41">
        <v>3900000</v>
      </c>
      <c r="M298" s="41"/>
    </row>
    <row r="299" spans="1:13">
      <c r="A299" s="10">
        <v>211706</v>
      </c>
      <c r="B299" s="1">
        <v>3</v>
      </c>
      <c r="C299" s="2">
        <v>300000</v>
      </c>
      <c r="D299" s="41"/>
      <c r="J299" s="39">
        <v>115236</v>
      </c>
      <c r="K299" s="41">
        <v>0</v>
      </c>
      <c r="L299" s="41">
        <v>1200000</v>
      </c>
      <c r="M299" s="41"/>
    </row>
    <row r="300" spans="1:13">
      <c r="A300" s="10">
        <v>480658</v>
      </c>
      <c r="B300" s="1">
        <v>8</v>
      </c>
      <c r="C300" s="2">
        <v>400000</v>
      </c>
      <c r="D300" s="41"/>
      <c r="J300" s="39">
        <v>12300897</v>
      </c>
      <c r="K300" s="41">
        <v>0</v>
      </c>
      <c r="L300" s="41">
        <v>20000000</v>
      </c>
      <c r="M300" s="41"/>
    </row>
    <row r="301" spans="1:13">
      <c r="A301" s="10">
        <v>13450</v>
      </c>
      <c r="B301" s="1" t="s">
        <v>1073</v>
      </c>
      <c r="C301" s="1" t="s">
        <v>1073</v>
      </c>
      <c r="D301" s="41"/>
      <c r="J301" s="39">
        <v>12325666</v>
      </c>
      <c r="K301" s="41">
        <v>6</v>
      </c>
      <c r="L301" s="41">
        <v>12180000</v>
      </c>
      <c r="M301" s="41"/>
    </row>
    <row r="302" spans="1:13">
      <c r="A302" s="10">
        <v>126982</v>
      </c>
      <c r="B302" s="1" t="s">
        <v>1073</v>
      </c>
      <c r="C302" s="3">
        <v>200000</v>
      </c>
      <c r="D302" s="41"/>
      <c r="J302" s="39">
        <v>12325673</v>
      </c>
      <c r="K302" s="41">
        <v>6</v>
      </c>
      <c r="L302" s="41">
        <v>12180000</v>
      </c>
      <c r="M302" s="41"/>
    </row>
    <row r="303" spans="1:13">
      <c r="A303" s="10">
        <v>501860</v>
      </c>
      <c r="B303" s="1">
        <v>4</v>
      </c>
      <c r="C303" s="2">
        <v>500000</v>
      </c>
      <c r="D303" s="41"/>
      <c r="J303" s="39">
        <v>149221</v>
      </c>
      <c r="K303" s="41">
        <v>0</v>
      </c>
      <c r="L303" s="41">
        <v>0</v>
      </c>
      <c r="M303" s="41"/>
    </row>
    <row r="304" spans="1:13">
      <c r="A304" s="10">
        <v>12319785</v>
      </c>
      <c r="B304" s="1" t="s">
        <v>1073</v>
      </c>
      <c r="C304" s="1" t="s">
        <v>1073</v>
      </c>
      <c r="D304" s="41"/>
      <c r="J304" s="39">
        <v>160207</v>
      </c>
      <c r="K304" s="41">
        <v>1</v>
      </c>
      <c r="L304" s="41">
        <v>1950000</v>
      </c>
      <c r="M304" s="41"/>
    </row>
    <row r="305" spans="1:13">
      <c r="A305" s="10">
        <v>211709</v>
      </c>
      <c r="B305" s="1" t="s">
        <v>1073</v>
      </c>
      <c r="C305" s="2">
        <v>300000</v>
      </c>
      <c r="D305" s="41"/>
      <c r="J305" s="39">
        <v>199165</v>
      </c>
      <c r="K305" s="41">
        <v>0</v>
      </c>
      <c r="L305" s="41">
        <v>700000</v>
      </c>
      <c r="M305" s="41"/>
    </row>
    <row r="306" spans="1:13">
      <c r="A306" s="10">
        <v>12304067</v>
      </c>
      <c r="B306" s="1" t="s">
        <v>1073</v>
      </c>
      <c r="C306" s="2">
        <v>475000</v>
      </c>
      <c r="D306" s="41"/>
      <c r="J306" s="39">
        <v>211677</v>
      </c>
      <c r="K306" s="41">
        <v>0</v>
      </c>
      <c r="L306" s="41">
        <v>0</v>
      </c>
      <c r="M306" s="41"/>
    </row>
    <row r="307" spans="1:13">
      <c r="A307" s="10">
        <v>529182</v>
      </c>
      <c r="B307" s="1" t="s">
        <v>1073</v>
      </c>
      <c r="C307" s="1" t="s">
        <v>1073</v>
      </c>
      <c r="D307" s="41"/>
      <c r="J307" s="39">
        <v>240316</v>
      </c>
      <c r="K307" s="41">
        <v>6</v>
      </c>
      <c r="L307" s="41">
        <v>12180000</v>
      </c>
      <c r="M307" s="41"/>
    </row>
    <row r="308" spans="1:13">
      <c r="A308" s="10">
        <v>62397</v>
      </c>
      <c r="B308" s="1" t="s">
        <v>1073</v>
      </c>
      <c r="C308" s="2">
        <v>1700000</v>
      </c>
      <c r="D308" s="41"/>
      <c r="J308" s="39">
        <v>276648</v>
      </c>
      <c r="K308" s="41">
        <v>3</v>
      </c>
      <c r="L308" s="41">
        <v>4101500</v>
      </c>
      <c r="M308" s="41"/>
    </row>
    <row r="309" spans="1:13">
      <c r="A309" s="10">
        <v>524038</v>
      </c>
      <c r="B309" s="1" t="s">
        <v>1073</v>
      </c>
      <c r="C309" s="1" t="s">
        <v>1073</v>
      </c>
      <c r="D309" s="41"/>
      <c r="J309" s="39">
        <v>286503</v>
      </c>
      <c r="K309" s="41">
        <v>3</v>
      </c>
      <c r="L309" s="41">
        <v>8562500</v>
      </c>
      <c r="M309" s="41"/>
    </row>
    <row r="310" spans="1:13">
      <c r="A310" s="10">
        <v>199165</v>
      </c>
      <c r="B310" s="1" t="s">
        <v>1073</v>
      </c>
      <c r="C310" s="2">
        <v>400000</v>
      </c>
      <c r="D310" s="41"/>
      <c r="J310" s="39">
        <v>323376</v>
      </c>
      <c r="K310" s="41">
        <v>3</v>
      </c>
      <c r="L310" s="41">
        <v>12808300</v>
      </c>
      <c r="M310" s="41"/>
    </row>
    <row r="311" spans="1:13">
      <c r="A311" s="10">
        <v>234565</v>
      </c>
      <c r="B311" s="1" t="s">
        <v>1073</v>
      </c>
      <c r="C311" s="1" t="s">
        <v>1073</v>
      </c>
      <c r="D311" s="41"/>
      <c r="J311" s="39">
        <v>341164</v>
      </c>
      <c r="K311" s="41">
        <v>4</v>
      </c>
      <c r="L311" s="41">
        <v>12867500</v>
      </c>
      <c r="M311" s="41"/>
    </row>
    <row r="312" spans="1:13">
      <c r="A312" s="10">
        <v>12296312</v>
      </c>
      <c r="B312" s="1">
        <v>34</v>
      </c>
      <c r="C312" s="1" t="s">
        <v>1073</v>
      </c>
      <c r="D312" s="41"/>
      <c r="J312" s="39">
        <v>356600</v>
      </c>
      <c r="K312" s="41">
        <v>0</v>
      </c>
      <c r="L312" s="41">
        <v>55000000</v>
      </c>
      <c r="M312" s="41"/>
    </row>
    <row r="313" spans="1:13">
      <c r="A313" s="10">
        <v>537570</v>
      </c>
      <c r="B313" s="1" t="s">
        <v>1073</v>
      </c>
      <c r="C313" s="2">
        <v>6000000</v>
      </c>
      <c r="D313" s="41"/>
      <c r="J313" s="39">
        <v>376433</v>
      </c>
      <c r="K313" s="41">
        <v>7</v>
      </c>
      <c r="L313" s="41">
        <v>13187000</v>
      </c>
      <c r="M313" s="41"/>
    </row>
    <row r="314" spans="1:13">
      <c r="A314" s="10">
        <v>238637</v>
      </c>
      <c r="B314" s="1" t="s">
        <v>1073</v>
      </c>
      <c r="C314" s="1" t="s">
        <v>1073</v>
      </c>
      <c r="D314" s="41"/>
      <c r="J314" s="39">
        <v>383011</v>
      </c>
      <c r="K314" s="41">
        <v>3</v>
      </c>
      <c r="L314" s="41">
        <v>6015000</v>
      </c>
      <c r="M314" s="41"/>
    </row>
    <row r="315" spans="1:13">
      <c r="A315" s="10">
        <v>61600</v>
      </c>
      <c r="B315" s="1" t="s">
        <v>1073</v>
      </c>
      <c r="C315" s="2">
        <v>300000</v>
      </c>
      <c r="D315" s="41"/>
      <c r="J315" s="39">
        <v>400528</v>
      </c>
      <c r="K315" s="41">
        <v>3</v>
      </c>
      <c r="L315" s="41">
        <v>13015000</v>
      </c>
      <c r="M315" s="41"/>
    </row>
    <row r="316" spans="1:13">
      <c r="A316" s="10">
        <v>315088</v>
      </c>
      <c r="B316" s="1" t="s">
        <v>1073</v>
      </c>
      <c r="C316" s="2">
        <v>1000000</v>
      </c>
      <c r="D316" s="41"/>
      <c r="J316" s="39">
        <v>403481</v>
      </c>
      <c r="K316" s="41">
        <v>4</v>
      </c>
      <c r="L316" s="41">
        <v>20180000</v>
      </c>
      <c r="M316" s="41"/>
    </row>
    <row r="317" spans="1:13">
      <c r="A317" s="10">
        <v>12296068</v>
      </c>
      <c r="B317" s="1" t="s">
        <v>1073</v>
      </c>
      <c r="C317" s="1" t="s">
        <v>1073</v>
      </c>
      <c r="D317" s="41"/>
      <c r="J317" s="39">
        <v>403576</v>
      </c>
      <c r="K317" s="41">
        <v>6</v>
      </c>
      <c r="L317" s="41">
        <v>3914000</v>
      </c>
      <c r="M317" s="41"/>
    </row>
    <row r="318" spans="1:13">
      <c r="A318" s="10">
        <v>543771</v>
      </c>
      <c r="B318" s="1" t="s">
        <v>1073</v>
      </c>
      <c r="C318" s="1" t="s">
        <v>1073</v>
      </c>
      <c r="D318" s="41"/>
      <c r="J318" s="39">
        <v>403618</v>
      </c>
      <c r="K318" s="41">
        <v>10</v>
      </c>
      <c r="L318" s="41">
        <v>15512000</v>
      </c>
      <c r="M318" s="41"/>
    </row>
    <row r="319" spans="1:13">
      <c r="A319" s="10">
        <v>519379</v>
      </c>
      <c r="B319" s="1">
        <v>2</v>
      </c>
      <c r="C319" s="3">
        <v>229000</v>
      </c>
      <c r="D319" s="41"/>
      <c r="J319" s="39">
        <v>404499</v>
      </c>
      <c r="K319" s="41">
        <v>0</v>
      </c>
      <c r="L319" s="41">
        <v>0</v>
      </c>
      <c r="M319" s="41"/>
    </row>
    <row r="320" spans="1:13">
      <c r="A320" s="10">
        <v>551512</v>
      </c>
      <c r="B320" s="1" t="s">
        <v>1073</v>
      </c>
      <c r="C320" s="2">
        <v>1900000</v>
      </c>
      <c r="D320" s="41"/>
      <c r="J320" s="39">
        <v>490411</v>
      </c>
      <c r="K320" s="41">
        <v>4</v>
      </c>
      <c r="L320" s="41">
        <v>13137000</v>
      </c>
      <c r="M320" s="41"/>
    </row>
    <row r="321" spans="1:13">
      <c r="A321" s="10">
        <v>12326539</v>
      </c>
      <c r="B321" s="1" t="s">
        <v>1073</v>
      </c>
      <c r="C321" s="3">
        <v>200000</v>
      </c>
      <c r="D321" s="41"/>
      <c r="J321" s="39">
        <v>511386</v>
      </c>
      <c r="K321" s="41">
        <v>2</v>
      </c>
      <c r="L321" s="41">
        <v>8000000</v>
      </c>
      <c r="M321" s="41"/>
    </row>
    <row r="322" spans="1:13">
      <c r="A322" s="10">
        <v>12315185</v>
      </c>
      <c r="B322" s="1" t="s">
        <v>1073</v>
      </c>
      <c r="C322" s="2">
        <v>350000</v>
      </c>
      <c r="D322" s="41"/>
      <c r="J322" s="39">
        <v>512770</v>
      </c>
      <c r="K322" s="41">
        <v>0</v>
      </c>
      <c r="L322" s="41">
        <v>0</v>
      </c>
      <c r="M322" s="41"/>
    </row>
    <row r="323" spans="1:13">
      <c r="A323" s="10">
        <v>107296</v>
      </c>
      <c r="B323" s="1">
        <v>2</v>
      </c>
      <c r="C323" s="3">
        <v>58000</v>
      </c>
      <c r="D323" s="41"/>
      <c r="J323" s="39">
        <v>512777</v>
      </c>
      <c r="K323" s="41">
        <v>9</v>
      </c>
      <c r="L323" s="41">
        <v>13137000</v>
      </c>
      <c r="M323" s="41"/>
    </row>
    <row r="324" spans="1:13">
      <c r="A324" s="10">
        <v>61483</v>
      </c>
      <c r="B324" s="1">
        <v>6</v>
      </c>
      <c r="C324" s="2">
        <v>1174000</v>
      </c>
      <c r="D324" s="41"/>
      <c r="J324" s="39">
        <v>512798</v>
      </c>
      <c r="K324" s="41">
        <v>4</v>
      </c>
      <c r="L324" s="41">
        <v>3510300</v>
      </c>
      <c r="M324" s="41"/>
    </row>
    <row r="325" spans="1:13">
      <c r="A325" s="10">
        <v>521465</v>
      </c>
      <c r="B325" s="1" t="s">
        <v>1073</v>
      </c>
      <c r="C325" s="2">
        <v>1160000</v>
      </c>
      <c r="D325" s="41"/>
      <c r="J325" s="39">
        <v>514233</v>
      </c>
      <c r="K325" s="41">
        <v>7</v>
      </c>
      <c r="L325" s="41">
        <v>12582000</v>
      </c>
      <c r="M325" s="41"/>
    </row>
    <row r="326" spans="1:13">
      <c r="A326" s="10">
        <v>369362</v>
      </c>
      <c r="B326" s="1">
        <v>9</v>
      </c>
      <c r="C326" s="1" t="s">
        <v>1073</v>
      </c>
      <c r="D326" s="41"/>
      <c r="J326" s="39">
        <v>514319</v>
      </c>
      <c r="K326" s="41">
        <v>0</v>
      </c>
      <c r="L326" s="41">
        <v>700000</v>
      </c>
      <c r="M326" s="41"/>
    </row>
    <row r="327" spans="1:13">
      <c r="A327" s="10">
        <v>2109</v>
      </c>
      <c r="B327" s="1" t="s">
        <v>1073</v>
      </c>
      <c r="C327" s="2">
        <v>700000</v>
      </c>
      <c r="D327" s="41"/>
      <c r="J327" s="39">
        <v>518161</v>
      </c>
      <c r="K327" s="41">
        <v>0</v>
      </c>
      <c r="L327" s="41">
        <v>800000</v>
      </c>
      <c r="M327" s="41"/>
    </row>
    <row r="328" spans="1:13">
      <c r="A328" s="10">
        <v>12296062</v>
      </c>
      <c r="B328" s="1" t="s">
        <v>1073</v>
      </c>
      <c r="C328" s="2">
        <v>1000000</v>
      </c>
      <c r="D328" s="41"/>
      <c r="J328" s="39">
        <v>518674</v>
      </c>
      <c r="K328" s="41">
        <v>3</v>
      </c>
      <c r="L328" s="41">
        <v>3812000</v>
      </c>
      <c r="M328" s="41"/>
    </row>
    <row r="329" spans="1:13">
      <c r="A329" s="10">
        <v>571304</v>
      </c>
      <c r="B329" s="1" t="s">
        <v>1073</v>
      </c>
      <c r="C329" s="2">
        <v>500000</v>
      </c>
      <c r="D329" s="41"/>
      <c r="J329" s="39">
        <v>518940</v>
      </c>
      <c r="K329" s="41">
        <v>0</v>
      </c>
      <c r="L329" s="41">
        <v>5000000</v>
      </c>
      <c r="M329" s="41"/>
    </row>
    <row r="330" spans="1:13">
      <c r="A330" s="10">
        <v>12312221</v>
      </c>
      <c r="B330" s="1" t="s">
        <v>1073</v>
      </c>
      <c r="C330" s="1" t="s">
        <v>1073</v>
      </c>
      <c r="D330" s="41"/>
      <c r="J330" s="39">
        <v>523859</v>
      </c>
      <c r="K330" s="41">
        <v>3</v>
      </c>
      <c r="L330" s="41">
        <v>8285000</v>
      </c>
      <c r="M330" s="41"/>
    </row>
    <row r="331" spans="1:13">
      <c r="A331" s="10">
        <v>222816</v>
      </c>
      <c r="B331" s="1" t="s">
        <v>1073</v>
      </c>
      <c r="C331" s="2">
        <v>4100000</v>
      </c>
      <c r="D331" s="41"/>
      <c r="J331" s="39">
        <v>523871</v>
      </c>
      <c r="K331" s="41">
        <v>0</v>
      </c>
      <c r="L331" s="41">
        <v>100000000</v>
      </c>
      <c r="M331" s="41"/>
    </row>
    <row r="332" spans="1:13">
      <c r="A332" s="10">
        <v>513639</v>
      </c>
      <c r="B332" s="1" t="s">
        <v>1073</v>
      </c>
      <c r="C332" s="2">
        <v>800000</v>
      </c>
      <c r="D332" s="41"/>
      <c r="J332" s="39">
        <v>523875</v>
      </c>
      <c r="K332" s="41">
        <v>6</v>
      </c>
      <c r="L332" s="41">
        <v>16130000</v>
      </c>
      <c r="M332" s="41"/>
    </row>
    <row r="333" spans="1:13">
      <c r="A333" s="10">
        <v>548043</v>
      </c>
      <c r="B333" s="1" t="s">
        <v>1073</v>
      </c>
      <c r="C333" s="2">
        <v>448000</v>
      </c>
      <c r="D333" s="41"/>
      <c r="J333" s="39">
        <v>523915</v>
      </c>
      <c r="K333" s="41">
        <v>6</v>
      </c>
      <c r="L333" s="41">
        <v>16130000</v>
      </c>
      <c r="M333" s="41"/>
    </row>
    <row r="334" spans="1:13">
      <c r="A334" s="10">
        <v>557984</v>
      </c>
      <c r="B334" s="1" t="s">
        <v>1073</v>
      </c>
      <c r="C334" s="3">
        <v>50000</v>
      </c>
      <c r="D334" s="41"/>
      <c r="J334" s="39">
        <v>523918</v>
      </c>
      <c r="K334" s="41">
        <v>3</v>
      </c>
      <c r="L334" s="41">
        <v>16130000</v>
      </c>
      <c r="M334" s="41"/>
    </row>
    <row r="335" spans="1:13">
      <c r="A335" s="10">
        <v>12316130</v>
      </c>
      <c r="B335" s="1" t="s">
        <v>1073</v>
      </c>
      <c r="C335" s="2">
        <v>1470000</v>
      </c>
      <c r="D335" s="41"/>
      <c r="J335" s="39">
        <v>523919</v>
      </c>
      <c r="K335" s="41">
        <v>10</v>
      </c>
      <c r="L335" s="41">
        <v>12180000</v>
      </c>
      <c r="M335" s="41"/>
    </row>
    <row r="336" spans="1:13">
      <c r="A336" s="10">
        <v>439091</v>
      </c>
      <c r="B336" s="1" t="s">
        <v>1073</v>
      </c>
      <c r="C336" s="3">
        <v>200000</v>
      </c>
      <c r="D336" s="41"/>
      <c r="J336" s="39">
        <v>527179</v>
      </c>
      <c r="K336" s="41">
        <v>0</v>
      </c>
      <c r="L336" s="41">
        <v>484500</v>
      </c>
      <c r="M336" s="41"/>
    </row>
    <row r="337" spans="1:13">
      <c r="A337" s="10">
        <v>12302519</v>
      </c>
      <c r="B337" s="1">
        <v>6</v>
      </c>
      <c r="C337" s="2">
        <v>489000</v>
      </c>
      <c r="D337" s="41"/>
      <c r="J337" s="39">
        <v>527422</v>
      </c>
      <c r="K337" s="41">
        <v>0</v>
      </c>
      <c r="L337" s="41">
        <v>0</v>
      </c>
      <c r="M337" s="41"/>
    </row>
    <row r="338" spans="1:13">
      <c r="A338" s="10">
        <v>369875</v>
      </c>
      <c r="B338" s="1" t="s">
        <v>1073</v>
      </c>
      <c r="C338" s="2">
        <v>500000</v>
      </c>
      <c r="D338" s="41"/>
      <c r="J338" s="39">
        <v>529182</v>
      </c>
      <c r="K338" s="41">
        <v>0</v>
      </c>
      <c r="L338" s="41">
        <v>0</v>
      </c>
      <c r="M338" s="41"/>
    </row>
    <row r="339" spans="1:13">
      <c r="A339" s="10">
        <v>199245</v>
      </c>
      <c r="B339" s="1">
        <v>3</v>
      </c>
      <c r="C339" s="2">
        <v>400000</v>
      </c>
      <c r="D339" s="41"/>
      <c r="J339" s="39">
        <v>529245</v>
      </c>
      <c r="K339" s="41">
        <v>3</v>
      </c>
      <c r="L339" s="41">
        <v>13035000</v>
      </c>
      <c r="M339" s="41"/>
    </row>
    <row r="340" spans="1:13">
      <c r="A340" s="10">
        <v>390838</v>
      </c>
      <c r="B340" s="1">
        <v>1</v>
      </c>
      <c r="C340" s="2">
        <v>2029000</v>
      </c>
      <c r="D340" s="41"/>
      <c r="J340" s="39">
        <v>531622</v>
      </c>
      <c r="K340" s="41">
        <v>0</v>
      </c>
      <c r="L340" s="41">
        <v>400000</v>
      </c>
      <c r="M340" s="41"/>
    </row>
    <row r="341" spans="1:13">
      <c r="A341" s="10">
        <v>522623</v>
      </c>
      <c r="B341" s="1">
        <v>3</v>
      </c>
      <c r="C341" s="2">
        <v>2325000</v>
      </c>
      <c r="D341" s="41"/>
      <c r="J341" s="39">
        <v>532286</v>
      </c>
      <c r="K341" s="41">
        <v>0</v>
      </c>
      <c r="L341" s="41">
        <v>0</v>
      </c>
      <c r="M341" s="41"/>
    </row>
    <row r="342" spans="1:13">
      <c r="A342" s="10">
        <v>12301356</v>
      </c>
      <c r="B342" s="1" t="s">
        <v>1073</v>
      </c>
      <c r="C342" s="1" t="s">
        <v>1073</v>
      </c>
      <c r="D342" s="41"/>
      <c r="J342" s="39">
        <v>532798</v>
      </c>
      <c r="K342" s="41">
        <v>0</v>
      </c>
      <c r="L342" s="41">
        <v>50000000</v>
      </c>
      <c r="M342" s="41"/>
    </row>
    <row r="343" spans="1:13">
      <c r="A343" s="10">
        <v>541874</v>
      </c>
      <c r="B343" s="1" t="s">
        <v>1073</v>
      </c>
      <c r="C343" s="2">
        <v>3000000</v>
      </c>
      <c r="D343" s="41"/>
      <c r="J343" s="39">
        <v>533137</v>
      </c>
      <c r="K343" s="41">
        <v>0</v>
      </c>
      <c r="L343" s="41">
        <v>0</v>
      </c>
      <c r="M343" s="41"/>
    </row>
    <row r="344" spans="1:13">
      <c r="A344" s="10">
        <v>440819</v>
      </c>
      <c r="B344" s="1" t="s">
        <v>1073</v>
      </c>
      <c r="C344" s="2">
        <v>500000</v>
      </c>
      <c r="D344" s="41"/>
      <c r="J344" s="39">
        <v>536010</v>
      </c>
      <c r="K344" s="41">
        <v>0</v>
      </c>
      <c r="L344" s="41">
        <v>0</v>
      </c>
      <c r="M344" s="41"/>
    </row>
    <row r="345" spans="1:13">
      <c r="A345" s="10">
        <v>427198</v>
      </c>
      <c r="B345" s="1" t="s">
        <v>1073</v>
      </c>
      <c r="C345" s="3">
        <v>200000</v>
      </c>
      <c r="D345" s="41"/>
      <c r="J345" s="39">
        <v>542767</v>
      </c>
      <c r="K345" s="41">
        <v>6</v>
      </c>
      <c r="L345" s="41">
        <v>13385000</v>
      </c>
      <c r="M345" s="41"/>
    </row>
    <row r="346" spans="1:13">
      <c r="A346" s="10">
        <v>405122</v>
      </c>
      <c r="B346" s="1" t="s">
        <v>1073</v>
      </c>
      <c r="C346" s="1" t="s">
        <v>1073</v>
      </c>
      <c r="D346" s="41"/>
      <c r="J346" s="39">
        <v>543616</v>
      </c>
      <c r="K346" s="41">
        <v>0</v>
      </c>
      <c r="L346" s="41">
        <v>0</v>
      </c>
      <c r="M346" s="41"/>
    </row>
    <row r="347" spans="1:13">
      <c r="A347" s="10">
        <v>211570</v>
      </c>
      <c r="B347" s="1" t="s">
        <v>1073</v>
      </c>
      <c r="C347" s="2">
        <v>1400000</v>
      </c>
      <c r="D347" s="41"/>
      <c r="J347" s="39">
        <v>544123</v>
      </c>
      <c r="K347" s="41">
        <v>3</v>
      </c>
      <c r="L347" s="41">
        <v>15137000</v>
      </c>
      <c r="M347" s="41"/>
    </row>
    <row r="348" spans="1:13">
      <c r="A348" s="10">
        <v>12295724</v>
      </c>
      <c r="B348" s="1">
        <v>3</v>
      </c>
      <c r="C348" s="3">
        <v>50000</v>
      </c>
      <c r="D348" s="41"/>
      <c r="J348" s="39">
        <v>545433</v>
      </c>
      <c r="K348" s="41">
        <v>0</v>
      </c>
      <c r="L348" s="41">
        <v>300000</v>
      </c>
      <c r="M348" s="41"/>
    </row>
    <row r="349" spans="1:13">
      <c r="A349" s="10">
        <v>227846</v>
      </c>
      <c r="B349" s="1" t="s">
        <v>1073</v>
      </c>
      <c r="C349" s="2">
        <v>1200000</v>
      </c>
      <c r="D349" s="41"/>
      <c r="J349" s="39">
        <v>548910</v>
      </c>
      <c r="K349" s="41">
        <v>6</v>
      </c>
      <c r="L349" s="41">
        <v>14834300</v>
      </c>
      <c r="M349" s="41"/>
    </row>
    <row r="350" spans="1:13">
      <c r="A350" s="10">
        <v>399936</v>
      </c>
      <c r="B350" s="1" t="s">
        <v>1073</v>
      </c>
      <c r="C350" s="3">
        <v>200000</v>
      </c>
      <c r="D350" s="41"/>
      <c r="J350" s="39">
        <v>566515</v>
      </c>
      <c r="K350" s="41">
        <v>0</v>
      </c>
      <c r="L350" s="41">
        <v>200000</v>
      </c>
      <c r="M350" s="41"/>
    </row>
    <row r="351" spans="1:13">
      <c r="A351" s="10">
        <v>149756</v>
      </c>
      <c r="B351" s="1" t="s">
        <v>1073</v>
      </c>
      <c r="C351" s="2">
        <v>600000</v>
      </c>
      <c r="D351" s="41"/>
      <c r="J351" s="39">
        <v>61612</v>
      </c>
      <c r="K351" s="41">
        <v>0</v>
      </c>
      <c r="L351" s="41">
        <v>200000</v>
      </c>
      <c r="M351" s="41"/>
    </row>
    <row r="352" spans="1:13">
      <c r="A352" s="10">
        <v>237416</v>
      </c>
      <c r="B352" s="1">
        <v>2</v>
      </c>
      <c r="C352" s="2">
        <v>300000</v>
      </c>
      <c r="D352" s="41"/>
      <c r="J352" s="39">
        <v>62131</v>
      </c>
      <c r="K352" s="41">
        <v>0</v>
      </c>
      <c r="L352" s="41">
        <v>600000</v>
      </c>
      <c r="M352" s="41"/>
    </row>
    <row r="353" spans="1:13">
      <c r="A353" s="10">
        <v>403930</v>
      </c>
      <c r="B353" s="1" t="s">
        <v>1073</v>
      </c>
      <c r="C353" s="1" t="s">
        <v>1073</v>
      </c>
      <c r="D353" s="41"/>
      <c r="J353" s="39">
        <v>62277</v>
      </c>
      <c r="K353" s="41">
        <v>371</v>
      </c>
      <c r="L353" s="41">
        <v>10414000</v>
      </c>
      <c r="M353" s="41"/>
    </row>
    <row r="354" spans="1:13">
      <c r="A354" s="10">
        <v>240546</v>
      </c>
      <c r="B354" s="1" t="s">
        <v>1073</v>
      </c>
      <c r="C354" s="1" t="s">
        <v>1073</v>
      </c>
      <c r="D354" s="41"/>
      <c r="J354" s="39">
        <v>12295051</v>
      </c>
      <c r="K354" s="41">
        <v>8</v>
      </c>
      <c r="L354" s="41">
        <v>1800000</v>
      </c>
      <c r="M354" s="41"/>
    </row>
    <row r="355" spans="1:13">
      <c r="A355" s="10">
        <v>407275</v>
      </c>
      <c r="B355" s="1" t="s">
        <v>1073</v>
      </c>
      <c r="C355" s="2">
        <v>1500000</v>
      </c>
      <c r="D355" s="41"/>
      <c r="J355" s="39">
        <v>12296204</v>
      </c>
      <c r="K355" s="41">
        <v>4</v>
      </c>
      <c r="L355" s="41">
        <v>250000</v>
      </c>
      <c r="M355" s="41"/>
    </row>
    <row r="356" spans="1:13">
      <c r="A356" s="10">
        <v>211624</v>
      </c>
      <c r="B356" s="1" t="s">
        <v>1073</v>
      </c>
      <c r="C356" s="3">
        <v>150000</v>
      </c>
      <c r="D356" s="41"/>
      <c r="J356" s="39">
        <v>12322361</v>
      </c>
      <c r="K356" s="41">
        <v>97</v>
      </c>
      <c r="L356" s="41">
        <v>150000</v>
      </c>
      <c r="M356" s="41"/>
    </row>
    <row r="357" spans="1:13">
      <c r="A357" s="10">
        <v>61718</v>
      </c>
      <c r="B357" s="1">
        <v>2</v>
      </c>
      <c r="C357" s="2">
        <v>1983000</v>
      </c>
      <c r="D357" s="41"/>
      <c r="J357" s="39">
        <v>12322371</v>
      </c>
      <c r="K357" s="41">
        <v>6</v>
      </c>
      <c r="L357" s="41">
        <v>2800000</v>
      </c>
      <c r="M357" s="41"/>
    </row>
    <row r="358" spans="1:13">
      <c r="A358" s="10">
        <v>520960</v>
      </c>
      <c r="B358" s="1">
        <v>3</v>
      </c>
      <c r="C358" s="2">
        <v>600000</v>
      </c>
      <c r="D358" s="41"/>
      <c r="J358" s="39">
        <v>12322396</v>
      </c>
      <c r="K358" s="41">
        <v>62</v>
      </c>
      <c r="L358" s="41">
        <v>0</v>
      </c>
      <c r="M358" s="41"/>
    </row>
    <row r="359" spans="1:13">
      <c r="A359" s="10">
        <v>365502</v>
      </c>
      <c r="B359" s="1" t="s">
        <v>1073</v>
      </c>
      <c r="C359" s="1" t="s">
        <v>1073</v>
      </c>
      <c r="D359" s="41"/>
      <c r="J359" s="39">
        <v>12322404</v>
      </c>
      <c r="K359" s="41">
        <v>23</v>
      </c>
      <c r="L359" s="41">
        <v>0</v>
      </c>
      <c r="M359" s="41"/>
    </row>
    <row r="360" spans="1:13">
      <c r="A360" s="10">
        <v>347564</v>
      </c>
      <c r="B360" s="1">
        <v>2</v>
      </c>
      <c r="C360" s="2">
        <v>858000</v>
      </c>
      <c r="D360" s="41"/>
      <c r="J360" s="39">
        <v>12322409</v>
      </c>
      <c r="K360" s="41">
        <v>7</v>
      </c>
      <c r="L360" s="41">
        <v>165000</v>
      </c>
      <c r="M360" s="41"/>
    </row>
    <row r="361" spans="1:13">
      <c r="A361" s="10">
        <v>517562</v>
      </c>
      <c r="B361" s="1" t="s">
        <v>1073</v>
      </c>
      <c r="C361" s="1" t="s">
        <v>1073</v>
      </c>
      <c r="D361" s="41"/>
      <c r="J361" s="39">
        <v>12322791</v>
      </c>
      <c r="K361" s="41">
        <v>4</v>
      </c>
      <c r="L361" s="41">
        <v>1750000</v>
      </c>
      <c r="M361" s="41"/>
    </row>
    <row r="362" spans="1:13">
      <c r="A362" s="10">
        <v>479735</v>
      </c>
      <c r="B362" s="1" t="s">
        <v>1073</v>
      </c>
      <c r="C362" s="3">
        <v>200000</v>
      </c>
      <c r="D362" s="41"/>
      <c r="J362" s="39">
        <v>127206</v>
      </c>
      <c r="K362" s="41">
        <v>4</v>
      </c>
      <c r="L362" s="41">
        <v>12000000</v>
      </c>
      <c r="M362" s="41"/>
    </row>
    <row r="363" spans="1:13">
      <c r="A363" s="10">
        <v>512721</v>
      </c>
      <c r="B363" s="1" t="s">
        <v>1073</v>
      </c>
      <c r="C363" s="3">
        <v>150000</v>
      </c>
      <c r="D363" s="41"/>
      <c r="J363" s="39">
        <v>159895</v>
      </c>
      <c r="K363" s="41">
        <v>3</v>
      </c>
      <c r="L363" s="41">
        <v>6500000</v>
      </c>
      <c r="M363" s="41"/>
    </row>
    <row r="364" spans="1:13">
      <c r="A364" s="10">
        <v>516144</v>
      </c>
      <c r="B364" s="1" t="s">
        <v>1073</v>
      </c>
      <c r="C364" s="3">
        <v>200000</v>
      </c>
      <c r="D364" s="41"/>
      <c r="J364" s="39">
        <v>199108</v>
      </c>
      <c r="K364" s="41">
        <v>1</v>
      </c>
      <c r="L364" s="41">
        <v>950000</v>
      </c>
      <c r="M364" s="41"/>
    </row>
    <row r="365" spans="1:13">
      <c r="A365" s="10">
        <v>62315</v>
      </c>
      <c r="B365" s="1" t="s">
        <v>1073</v>
      </c>
      <c r="C365" s="2">
        <v>1500000</v>
      </c>
      <c r="D365" s="41"/>
      <c r="J365" s="39">
        <v>240661</v>
      </c>
      <c r="K365" s="41">
        <v>4</v>
      </c>
      <c r="L365" s="41">
        <v>2000000</v>
      </c>
      <c r="M365" s="41"/>
    </row>
    <row r="366" spans="1:13">
      <c r="A366" s="10">
        <v>12300225</v>
      </c>
      <c r="B366" s="1">
        <v>18</v>
      </c>
      <c r="C366" s="2">
        <v>1287000</v>
      </c>
      <c r="D366" s="41"/>
      <c r="J366" s="39">
        <v>260597</v>
      </c>
      <c r="K366" s="41">
        <v>1</v>
      </c>
      <c r="L366" s="41">
        <v>3000000</v>
      </c>
      <c r="M366" s="41"/>
    </row>
    <row r="367" spans="1:13">
      <c r="A367" s="10">
        <v>67035</v>
      </c>
      <c r="B367" s="1" t="s">
        <v>1073</v>
      </c>
      <c r="C367" s="2">
        <v>3150000</v>
      </c>
      <c r="D367" s="41"/>
      <c r="J367" s="39">
        <v>283130</v>
      </c>
      <c r="K367" s="41">
        <v>4</v>
      </c>
      <c r="L367" s="41">
        <v>2529000</v>
      </c>
      <c r="M367" s="41"/>
    </row>
    <row r="368" spans="1:13">
      <c r="A368" s="10">
        <v>268428</v>
      </c>
      <c r="B368" s="1">
        <v>3</v>
      </c>
      <c r="C368" s="1" t="s">
        <v>1073</v>
      </c>
      <c r="D368" s="41"/>
      <c r="J368" s="39">
        <v>287452</v>
      </c>
      <c r="K368" s="41">
        <v>3</v>
      </c>
      <c r="L368" s="41">
        <v>150000</v>
      </c>
      <c r="M368" s="41"/>
    </row>
    <row r="369" spans="1:13">
      <c r="A369" s="10">
        <v>236975</v>
      </c>
      <c r="B369" s="1" t="s">
        <v>1073</v>
      </c>
      <c r="C369" s="3">
        <v>100000</v>
      </c>
      <c r="D369" s="41"/>
      <c r="J369" s="39">
        <v>313780</v>
      </c>
      <c r="K369" s="41">
        <v>3</v>
      </c>
      <c r="L369" s="41">
        <v>19750000</v>
      </c>
      <c r="M369" s="41"/>
    </row>
    <row r="370" spans="1:13">
      <c r="A370" s="10">
        <v>12297173</v>
      </c>
      <c r="B370" s="1" t="s">
        <v>1073</v>
      </c>
      <c r="C370" s="1" t="s">
        <v>1073</v>
      </c>
      <c r="D370" s="41"/>
      <c r="J370" s="39">
        <v>325994</v>
      </c>
      <c r="K370" s="41">
        <v>3</v>
      </c>
      <c r="L370" s="41">
        <v>400000</v>
      </c>
      <c r="M370" s="41"/>
    </row>
    <row r="371" spans="1:13">
      <c r="A371" s="10">
        <v>539088</v>
      </c>
      <c r="B371" s="1">
        <v>10</v>
      </c>
      <c r="C371" s="2">
        <v>7095000</v>
      </c>
      <c r="D371" s="41"/>
      <c r="J371" s="39">
        <v>385886</v>
      </c>
      <c r="K371" s="41">
        <v>3</v>
      </c>
      <c r="L371" s="41">
        <v>29000</v>
      </c>
      <c r="M371" s="41"/>
    </row>
    <row r="372" spans="1:13">
      <c r="A372" s="10">
        <v>557418</v>
      </c>
      <c r="B372" s="1" t="s">
        <v>1073</v>
      </c>
      <c r="C372" s="2">
        <v>900000</v>
      </c>
      <c r="D372" s="41"/>
      <c r="J372" s="39">
        <v>437019</v>
      </c>
      <c r="K372" s="41">
        <v>4</v>
      </c>
      <c r="L372" s="41">
        <v>3529000</v>
      </c>
      <c r="M372" s="41"/>
    </row>
    <row r="373" spans="1:13">
      <c r="A373" s="10">
        <v>531522</v>
      </c>
      <c r="B373" s="1" t="s">
        <v>1073</v>
      </c>
      <c r="C373" s="2">
        <v>500000</v>
      </c>
      <c r="D373" s="41"/>
      <c r="J373" s="39">
        <v>458989</v>
      </c>
      <c r="K373" s="41">
        <v>0</v>
      </c>
      <c r="L373" s="41">
        <v>24500000</v>
      </c>
      <c r="M373" s="41"/>
    </row>
    <row r="374" spans="1:13">
      <c r="A374" s="10">
        <v>534186</v>
      </c>
      <c r="B374" s="1" t="s">
        <v>1073</v>
      </c>
      <c r="C374" s="1" t="s">
        <v>1073</v>
      </c>
      <c r="D374" s="41"/>
      <c r="J374" s="39">
        <v>468701</v>
      </c>
      <c r="K374" s="41">
        <v>6</v>
      </c>
      <c r="L374" s="41">
        <v>10587000</v>
      </c>
      <c r="M374" s="41"/>
    </row>
    <row r="375" spans="1:13">
      <c r="A375" s="10">
        <v>199043</v>
      </c>
      <c r="B375" s="1" t="s">
        <v>1073</v>
      </c>
      <c r="C375" s="1" t="s">
        <v>1073</v>
      </c>
      <c r="D375" s="41"/>
      <c r="J375" s="39">
        <v>488681</v>
      </c>
      <c r="K375" s="41">
        <v>5</v>
      </c>
      <c r="L375" s="41">
        <v>600000</v>
      </c>
      <c r="M375" s="41"/>
    </row>
    <row r="376" spans="1:13">
      <c r="A376" s="10">
        <v>357392</v>
      </c>
      <c r="B376" s="1" t="s">
        <v>1073</v>
      </c>
      <c r="C376" s="1" t="s">
        <v>1073</v>
      </c>
      <c r="D376" s="41"/>
      <c r="J376" s="39">
        <v>511938</v>
      </c>
      <c r="K376" s="41">
        <v>7</v>
      </c>
      <c r="L376" s="41">
        <v>400000</v>
      </c>
      <c r="M376" s="41"/>
    </row>
    <row r="377" spans="1:13">
      <c r="A377" s="10">
        <v>211840</v>
      </c>
      <c r="B377" s="1">
        <v>1</v>
      </c>
      <c r="C377" s="3">
        <v>229000</v>
      </c>
      <c r="D377" s="41"/>
      <c r="J377" s="39">
        <v>512273</v>
      </c>
      <c r="K377" s="41">
        <v>4</v>
      </c>
      <c r="L377" s="41">
        <v>550000</v>
      </c>
      <c r="M377" s="41"/>
    </row>
    <row r="378" spans="1:13">
      <c r="A378" s="10">
        <v>127145</v>
      </c>
      <c r="B378" s="1" t="s">
        <v>1073</v>
      </c>
      <c r="C378" s="1" t="s">
        <v>1073</v>
      </c>
      <c r="D378" s="41"/>
      <c r="J378" s="39">
        <v>512469</v>
      </c>
      <c r="K378" s="41">
        <v>0</v>
      </c>
      <c r="L378" s="41">
        <v>1500000</v>
      </c>
      <c r="M378" s="41"/>
    </row>
    <row r="379" spans="1:13">
      <c r="A379" s="10">
        <v>458943</v>
      </c>
      <c r="B379" s="1" t="s">
        <v>1073</v>
      </c>
      <c r="C379" s="2">
        <v>300000</v>
      </c>
      <c r="D379" s="41"/>
      <c r="J379" s="39">
        <v>513303</v>
      </c>
      <c r="K379" s="41">
        <v>0</v>
      </c>
      <c r="L379" s="41">
        <v>3090000</v>
      </c>
      <c r="M379" s="41"/>
    </row>
    <row r="380" spans="1:13">
      <c r="A380" s="10">
        <v>211665</v>
      </c>
      <c r="B380" s="1" t="s">
        <v>1073</v>
      </c>
      <c r="C380" s="2">
        <v>1200000</v>
      </c>
      <c r="D380" s="41"/>
      <c r="J380" s="39">
        <v>516126</v>
      </c>
      <c r="K380" s="41">
        <v>3</v>
      </c>
      <c r="L380" s="41">
        <v>4000000</v>
      </c>
      <c r="M380" s="41"/>
    </row>
    <row r="381" spans="1:13">
      <c r="A381" s="10">
        <v>12325944</v>
      </c>
      <c r="B381" s="1" t="s">
        <v>1073</v>
      </c>
      <c r="C381" s="1" t="s">
        <v>1073</v>
      </c>
      <c r="D381" s="41"/>
      <c r="J381" s="39">
        <v>517546</v>
      </c>
      <c r="K381" s="41">
        <v>5</v>
      </c>
      <c r="L381" s="41">
        <v>450000</v>
      </c>
      <c r="M381" s="41"/>
    </row>
    <row r="382" spans="1:13">
      <c r="A382" s="10">
        <v>394067</v>
      </c>
      <c r="B382" s="1" t="s">
        <v>1073</v>
      </c>
      <c r="C382" s="3">
        <v>150000</v>
      </c>
      <c r="D382" s="41"/>
      <c r="J382" s="39">
        <v>519950</v>
      </c>
      <c r="K382" s="41">
        <v>0</v>
      </c>
      <c r="L382" s="41">
        <v>1500000</v>
      </c>
      <c r="M382" s="41"/>
    </row>
    <row r="383" spans="1:13">
      <c r="A383" s="10">
        <v>458978</v>
      </c>
      <c r="B383" s="1" t="s">
        <v>1073</v>
      </c>
      <c r="C383" s="1" t="s">
        <v>1073</v>
      </c>
      <c r="D383" s="41"/>
      <c r="J383" s="39">
        <v>528795</v>
      </c>
      <c r="K383" s="41">
        <v>4</v>
      </c>
      <c r="L383" s="41">
        <v>1200000</v>
      </c>
      <c r="M383" s="41"/>
    </row>
    <row r="384" spans="1:13">
      <c r="A384" s="10">
        <v>61861</v>
      </c>
      <c r="B384" s="1">
        <v>30</v>
      </c>
      <c r="C384" s="2">
        <v>870000</v>
      </c>
      <c r="D384" s="41"/>
      <c r="J384" s="39">
        <v>532833</v>
      </c>
      <c r="K384" s="41">
        <v>4</v>
      </c>
      <c r="L384" s="41">
        <v>1050080</v>
      </c>
      <c r="M384" s="41"/>
    </row>
    <row r="385" spans="1:13">
      <c r="A385" s="10">
        <v>493188</v>
      </c>
      <c r="B385" s="1">
        <v>3</v>
      </c>
      <c r="C385" s="3">
        <v>200000</v>
      </c>
      <c r="D385" s="41"/>
      <c r="J385" s="39">
        <v>533758</v>
      </c>
      <c r="K385" s="41">
        <v>1</v>
      </c>
      <c r="L385" s="41">
        <v>400000</v>
      </c>
      <c r="M385" s="41"/>
    </row>
    <row r="386" spans="1:13">
      <c r="A386" s="10">
        <v>61688</v>
      </c>
      <c r="B386" s="1">
        <v>4</v>
      </c>
      <c r="C386" s="3">
        <v>200000</v>
      </c>
      <c r="D386" s="41"/>
      <c r="J386" s="39">
        <v>533910</v>
      </c>
      <c r="K386" s="41">
        <v>101</v>
      </c>
      <c r="L386" s="41">
        <v>25000</v>
      </c>
      <c r="M386" s="41"/>
    </row>
    <row r="387" spans="1:13">
      <c r="A387" s="10">
        <v>12297044</v>
      </c>
      <c r="B387" s="1" t="s">
        <v>1073</v>
      </c>
      <c r="C387" s="1" t="s">
        <v>1073</v>
      </c>
      <c r="D387" s="41"/>
      <c r="J387" s="39">
        <v>537259</v>
      </c>
      <c r="K387" s="41">
        <v>22</v>
      </c>
      <c r="L387" s="41">
        <v>2829000</v>
      </c>
      <c r="M387" s="41"/>
    </row>
    <row r="388" spans="1:13">
      <c r="A388" s="10">
        <v>517546</v>
      </c>
      <c r="B388" s="1" t="s">
        <v>1073</v>
      </c>
      <c r="C388" s="3">
        <v>150000</v>
      </c>
      <c r="D388" s="41"/>
      <c r="J388" s="39">
        <v>537323</v>
      </c>
      <c r="K388" s="41">
        <v>29</v>
      </c>
      <c r="L388" s="41">
        <v>2800000</v>
      </c>
      <c r="M388" s="41"/>
    </row>
    <row r="389" spans="1:13">
      <c r="A389" s="10">
        <v>12322963</v>
      </c>
      <c r="B389" s="1" t="s">
        <v>1073</v>
      </c>
      <c r="C389" s="1" t="s">
        <v>1073</v>
      </c>
      <c r="D389" s="41"/>
      <c r="J389" s="39">
        <v>537570</v>
      </c>
      <c r="K389" s="41">
        <v>4</v>
      </c>
      <c r="L389" s="41">
        <v>15000000</v>
      </c>
      <c r="M389" s="41"/>
    </row>
    <row r="390" spans="1:13">
      <c r="A390" s="10">
        <v>211692</v>
      </c>
      <c r="B390" s="1" t="s">
        <v>1073</v>
      </c>
      <c r="C390" s="2">
        <v>300000</v>
      </c>
      <c r="D390" s="41"/>
      <c r="J390" s="39">
        <v>544108</v>
      </c>
      <c r="K390" s="41">
        <v>6</v>
      </c>
      <c r="L390" s="41">
        <v>700000</v>
      </c>
      <c r="M390" s="41"/>
    </row>
    <row r="391" spans="1:13">
      <c r="A391" s="10">
        <v>9171</v>
      </c>
      <c r="B391" s="1">
        <v>3</v>
      </c>
      <c r="C391" s="2">
        <v>2750000</v>
      </c>
      <c r="D391" s="41"/>
      <c r="J391" s="39">
        <v>547539</v>
      </c>
      <c r="K391" s="41">
        <v>3</v>
      </c>
      <c r="L391" s="41">
        <v>5350000</v>
      </c>
      <c r="M391" s="41"/>
    </row>
    <row r="392" spans="1:13">
      <c r="A392" s="10">
        <v>281776</v>
      </c>
      <c r="B392" s="1" t="s">
        <v>1073</v>
      </c>
      <c r="C392" s="2">
        <v>700000</v>
      </c>
      <c r="D392" s="41"/>
      <c r="J392" s="39">
        <v>561473</v>
      </c>
      <c r="K392" s="41">
        <v>3</v>
      </c>
      <c r="L392" s="41">
        <v>350000</v>
      </c>
      <c r="M392" s="41"/>
    </row>
    <row r="393" spans="1:13">
      <c r="A393" s="10">
        <v>211672</v>
      </c>
      <c r="B393" s="1" t="s">
        <v>1073</v>
      </c>
      <c r="C393" s="2">
        <v>16300000</v>
      </c>
      <c r="D393" s="41"/>
      <c r="J393" s="39">
        <v>562457</v>
      </c>
      <c r="K393" s="41">
        <v>3</v>
      </c>
      <c r="L393" s="41">
        <v>2800000</v>
      </c>
      <c r="M393" s="41"/>
    </row>
    <row r="394" spans="1:13">
      <c r="A394" s="10">
        <v>62414</v>
      </c>
      <c r="B394" s="1" t="s">
        <v>1073</v>
      </c>
      <c r="C394" s="2">
        <v>1800000</v>
      </c>
      <c r="D394" s="41"/>
      <c r="J394" s="39">
        <v>569708</v>
      </c>
      <c r="K394" s="41">
        <v>0</v>
      </c>
      <c r="L394" s="41">
        <v>0</v>
      </c>
      <c r="M394" s="41"/>
    </row>
    <row r="395" spans="1:13">
      <c r="A395" s="10">
        <v>403618</v>
      </c>
      <c r="B395" s="1">
        <v>3</v>
      </c>
      <c r="C395" s="1" t="s">
        <v>1073</v>
      </c>
      <c r="D395" s="41"/>
      <c r="J395" s="39">
        <v>571304</v>
      </c>
      <c r="K395" s="41">
        <v>4</v>
      </c>
      <c r="L395" s="41">
        <v>400000</v>
      </c>
      <c r="M395" s="41"/>
    </row>
    <row r="396" spans="1:13">
      <c r="A396" s="10">
        <v>12323991</v>
      </c>
      <c r="B396" s="1" t="s">
        <v>1073</v>
      </c>
      <c r="C396" s="3">
        <v>100000</v>
      </c>
      <c r="D396" s="41"/>
      <c r="J396" s="39">
        <v>571604</v>
      </c>
      <c r="K396" s="41">
        <v>105</v>
      </c>
      <c r="L396" s="41">
        <v>72500</v>
      </c>
      <c r="M396" s="41"/>
    </row>
    <row r="397" spans="1:13">
      <c r="A397" s="10">
        <v>62204</v>
      </c>
      <c r="B397" s="1">
        <v>3</v>
      </c>
      <c r="C397" s="2">
        <v>740000</v>
      </c>
      <c r="D397" s="41"/>
      <c r="J397" s="39">
        <v>571637</v>
      </c>
      <c r="K397" s="41">
        <v>3</v>
      </c>
      <c r="L397" s="41">
        <v>400000</v>
      </c>
      <c r="M397" s="41"/>
    </row>
    <row r="398" spans="1:13">
      <c r="A398" s="10">
        <v>12304943</v>
      </c>
      <c r="B398" s="1" t="s">
        <v>1073</v>
      </c>
      <c r="C398" s="3">
        <v>200000</v>
      </c>
      <c r="D398" s="41"/>
      <c r="J398" s="39">
        <v>115177</v>
      </c>
      <c r="K398" s="41">
        <v>0</v>
      </c>
      <c r="L398" s="41">
        <v>0</v>
      </c>
      <c r="M398" s="41"/>
    </row>
    <row r="399" spans="1:13">
      <c r="A399" s="10">
        <v>127194</v>
      </c>
      <c r="B399" s="1">
        <v>1</v>
      </c>
      <c r="C399" s="3">
        <v>29000</v>
      </c>
      <c r="D399" s="41"/>
      <c r="J399" s="39">
        <v>12300218</v>
      </c>
      <c r="K399" s="41">
        <v>6</v>
      </c>
      <c r="L399" s="41">
        <v>8037000</v>
      </c>
      <c r="M399" s="41"/>
    </row>
    <row r="400" spans="1:13">
      <c r="A400" s="10">
        <v>533959</v>
      </c>
      <c r="B400" s="1">
        <v>18</v>
      </c>
      <c r="C400" s="2">
        <v>1237000</v>
      </c>
      <c r="D400" s="41"/>
      <c r="J400" s="39">
        <v>12300221</v>
      </c>
      <c r="K400" s="41">
        <v>6</v>
      </c>
      <c r="L400" s="41">
        <v>8000000</v>
      </c>
      <c r="M400" s="41"/>
    </row>
    <row r="401" spans="1:13">
      <c r="A401" s="10">
        <v>12326243</v>
      </c>
      <c r="B401" s="1">
        <v>5</v>
      </c>
      <c r="C401" s="1" t="s">
        <v>1073</v>
      </c>
      <c r="D401" s="41"/>
      <c r="J401" s="39">
        <v>12300225</v>
      </c>
      <c r="K401" s="41">
        <v>3</v>
      </c>
      <c r="L401" s="41">
        <v>8200000</v>
      </c>
      <c r="M401" s="41"/>
    </row>
    <row r="402" spans="1:13">
      <c r="A402" s="10">
        <v>408828</v>
      </c>
      <c r="B402" s="1">
        <v>1</v>
      </c>
      <c r="C402" s="3">
        <v>29000</v>
      </c>
      <c r="D402" s="41"/>
      <c r="J402" s="39">
        <v>12307587</v>
      </c>
      <c r="K402" s="41">
        <v>6</v>
      </c>
      <c r="L402" s="41">
        <v>3579000</v>
      </c>
      <c r="M402" s="41"/>
    </row>
    <row r="403" spans="1:13">
      <c r="A403" s="10">
        <v>573314</v>
      </c>
      <c r="B403" s="1" t="s">
        <v>1073</v>
      </c>
      <c r="C403" s="1" t="s">
        <v>1073</v>
      </c>
      <c r="D403" s="41"/>
      <c r="J403" s="39">
        <v>145245</v>
      </c>
      <c r="K403" s="41">
        <v>0</v>
      </c>
      <c r="L403" s="41">
        <v>4700000</v>
      </c>
      <c r="M403" s="41"/>
    </row>
    <row r="404" spans="1:13">
      <c r="A404" s="10">
        <v>580633</v>
      </c>
      <c r="B404" s="1">
        <v>2</v>
      </c>
      <c r="C404" s="2">
        <v>758000</v>
      </c>
      <c r="D404" s="41"/>
      <c r="J404" s="39">
        <v>188148</v>
      </c>
      <c r="K404" s="41">
        <v>4</v>
      </c>
      <c r="L404" s="41">
        <v>8037000</v>
      </c>
      <c r="M404" s="41"/>
    </row>
    <row r="405" spans="1:13">
      <c r="A405" s="10">
        <v>304264</v>
      </c>
      <c r="B405" s="1" t="s">
        <v>1073</v>
      </c>
      <c r="C405" s="3">
        <v>150000</v>
      </c>
      <c r="D405" s="41"/>
      <c r="J405" s="39">
        <v>199097</v>
      </c>
      <c r="K405" s="41">
        <v>1</v>
      </c>
      <c r="L405" s="41">
        <v>5000000</v>
      </c>
      <c r="M405" s="41"/>
    </row>
    <row r="406" spans="1:13">
      <c r="A406" s="10">
        <v>12296816</v>
      </c>
      <c r="B406" s="1" t="s">
        <v>1073</v>
      </c>
      <c r="C406" s="2">
        <v>1000000</v>
      </c>
      <c r="D406" s="41"/>
      <c r="J406" s="39">
        <v>211662</v>
      </c>
      <c r="K406" s="41">
        <v>1</v>
      </c>
      <c r="L406" s="41">
        <v>46600000</v>
      </c>
      <c r="M406" s="41"/>
    </row>
    <row r="407" spans="1:13">
      <c r="A407" s="10">
        <v>126951</v>
      </c>
      <c r="B407" s="1" t="s">
        <v>1073</v>
      </c>
      <c r="C407" s="2">
        <v>2000000</v>
      </c>
      <c r="D407" s="41"/>
      <c r="J407" s="39">
        <v>211665</v>
      </c>
      <c r="K407" s="41">
        <v>1</v>
      </c>
      <c r="L407" s="41">
        <v>2250000</v>
      </c>
      <c r="M407" s="41"/>
    </row>
    <row r="408" spans="1:13">
      <c r="A408" s="10">
        <v>282957</v>
      </c>
      <c r="B408" s="1" t="s">
        <v>1073</v>
      </c>
      <c r="C408" s="2">
        <v>300000</v>
      </c>
      <c r="D408" s="41"/>
      <c r="J408" s="39">
        <v>211669</v>
      </c>
      <c r="K408" s="41">
        <v>0</v>
      </c>
      <c r="L408" s="41">
        <v>0</v>
      </c>
      <c r="M408" s="41"/>
    </row>
    <row r="409" spans="1:13">
      <c r="A409" s="10">
        <v>458928</v>
      </c>
      <c r="B409" s="1" t="s">
        <v>1073</v>
      </c>
      <c r="C409" s="2">
        <v>3000000</v>
      </c>
      <c r="D409" s="41"/>
      <c r="J409" s="39">
        <v>211671</v>
      </c>
      <c r="K409" s="41">
        <v>111</v>
      </c>
      <c r="L409" s="41">
        <v>45261000</v>
      </c>
      <c r="M409" s="41"/>
    </row>
    <row r="410" spans="1:13">
      <c r="A410" s="10">
        <v>328949</v>
      </c>
      <c r="B410" s="1" t="s">
        <v>1073</v>
      </c>
      <c r="C410" s="2">
        <v>300000</v>
      </c>
      <c r="D410" s="41"/>
      <c r="J410" s="39">
        <v>211672</v>
      </c>
      <c r="K410" s="41">
        <v>5</v>
      </c>
      <c r="L410" s="41">
        <v>34750000</v>
      </c>
      <c r="M410" s="41"/>
    </row>
    <row r="411" spans="1:13">
      <c r="A411" s="10">
        <v>579546</v>
      </c>
      <c r="B411" s="1" t="s">
        <v>1073</v>
      </c>
      <c r="C411" s="1" t="s">
        <v>1073</v>
      </c>
      <c r="D411" s="41"/>
      <c r="J411" s="39">
        <v>211674</v>
      </c>
      <c r="K411" s="41">
        <v>3</v>
      </c>
      <c r="L411" s="41">
        <v>1550000</v>
      </c>
      <c r="M411" s="41"/>
    </row>
    <row r="412" spans="1:13">
      <c r="A412" s="10">
        <v>573761</v>
      </c>
      <c r="B412" s="1" t="s">
        <v>1073</v>
      </c>
      <c r="C412" s="3">
        <v>150000</v>
      </c>
      <c r="D412" s="41"/>
      <c r="J412" s="39">
        <v>238956</v>
      </c>
      <c r="K412" s="41">
        <v>1</v>
      </c>
      <c r="L412" s="41">
        <v>400000</v>
      </c>
      <c r="M412" s="41"/>
    </row>
    <row r="413" spans="1:13">
      <c r="A413" s="10">
        <v>63866</v>
      </c>
      <c r="B413" s="1" t="s">
        <v>1073</v>
      </c>
      <c r="C413" s="3">
        <v>100000</v>
      </c>
      <c r="D413" s="41"/>
      <c r="J413" s="39">
        <v>277306</v>
      </c>
      <c r="K413" s="41">
        <v>1</v>
      </c>
      <c r="L413" s="41">
        <v>500000</v>
      </c>
      <c r="M413" s="41"/>
    </row>
    <row r="414" spans="1:13">
      <c r="A414" s="10">
        <v>2513</v>
      </c>
      <c r="B414" s="1">
        <v>3</v>
      </c>
      <c r="C414" s="2">
        <v>2587000</v>
      </c>
      <c r="D414" s="41"/>
      <c r="J414" s="39">
        <v>326560</v>
      </c>
      <c r="K414" s="41">
        <v>0</v>
      </c>
      <c r="L414" s="41">
        <v>2300000</v>
      </c>
      <c r="M414" s="41"/>
    </row>
    <row r="415" spans="1:13">
      <c r="A415" s="10">
        <v>12322841</v>
      </c>
      <c r="B415" s="1" t="s">
        <v>1073</v>
      </c>
      <c r="C415" s="2">
        <v>300000</v>
      </c>
      <c r="D415" s="41"/>
      <c r="J415" s="39">
        <v>373755</v>
      </c>
      <c r="K415" s="41">
        <v>3</v>
      </c>
      <c r="L415" s="41">
        <v>700000</v>
      </c>
      <c r="M415" s="41"/>
    </row>
    <row r="416" spans="1:13">
      <c r="A416" s="10">
        <v>62286</v>
      </c>
      <c r="B416" s="1">
        <v>3</v>
      </c>
      <c r="C416" s="3">
        <v>100000</v>
      </c>
      <c r="D416" s="41"/>
      <c r="J416" s="39">
        <v>383463</v>
      </c>
      <c r="K416" s="41">
        <v>1</v>
      </c>
      <c r="L416" s="41">
        <v>1800000</v>
      </c>
      <c r="M416" s="41"/>
    </row>
    <row r="417" spans="1:13">
      <c r="A417" s="10">
        <v>397893</v>
      </c>
      <c r="B417" s="1" t="s">
        <v>1073</v>
      </c>
      <c r="C417" s="2">
        <v>3500000</v>
      </c>
      <c r="D417" s="41"/>
      <c r="J417" s="39">
        <v>400027</v>
      </c>
      <c r="K417" s="41">
        <v>0</v>
      </c>
      <c r="L417" s="41">
        <v>3500000</v>
      </c>
      <c r="M417" s="41"/>
    </row>
    <row r="418" spans="1:13">
      <c r="A418" s="10">
        <v>63912</v>
      </c>
      <c r="B418" s="1" t="s">
        <v>1073</v>
      </c>
      <c r="C418" s="3">
        <v>250000</v>
      </c>
      <c r="D418" s="41"/>
      <c r="J418" s="39">
        <v>401238</v>
      </c>
      <c r="K418" s="41">
        <v>18</v>
      </c>
      <c r="L418" s="41">
        <v>19237000</v>
      </c>
      <c r="M418" s="41"/>
    </row>
    <row r="419" spans="1:13">
      <c r="A419" s="10">
        <v>12954</v>
      </c>
      <c r="B419" s="1" t="s">
        <v>1073</v>
      </c>
      <c r="C419" s="2">
        <v>400000</v>
      </c>
      <c r="D419" s="41"/>
      <c r="J419" s="39">
        <v>412232</v>
      </c>
      <c r="K419" s="41">
        <v>3</v>
      </c>
      <c r="L419" s="41">
        <v>4800000</v>
      </c>
      <c r="M419" s="41"/>
    </row>
    <row r="420" spans="1:13">
      <c r="A420" s="10">
        <v>402344</v>
      </c>
      <c r="B420" s="1" t="s">
        <v>1073</v>
      </c>
      <c r="C420" s="1" t="s">
        <v>1073</v>
      </c>
      <c r="D420" s="41"/>
      <c r="J420" s="39">
        <v>458986</v>
      </c>
      <c r="K420" s="41">
        <v>0</v>
      </c>
      <c r="L420" s="41">
        <v>0</v>
      </c>
      <c r="M420" s="41"/>
    </row>
    <row r="421" spans="1:13">
      <c r="A421" s="10">
        <v>346185</v>
      </c>
      <c r="B421" s="1">
        <v>3</v>
      </c>
      <c r="C421" s="2">
        <v>300000</v>
      </c>
      <c r="D421" s="41"/>
      <c r="J421" s="39">
        <v>497599</v>
      </c>
      <c r="K421" s="41">
        <v>1</v>
      </c>
      <c r="L421" s="41">
        <v>1350000</v>
      </c>
      <c r="M421" s="41"/>
    </row>
    <row r="422" spans="1:13">
      <c r="A422" s="10">
        <v>288206</v>
      </c>
      <c r="B422" s="1">
        <v>3</v>
      </c>
      <c r="C422" s="2">
        <v>1500000</v>
      </c>
      <c r="D422" s="41"/>
      <c r="J422" s="39">
        <v>510915</v>
      </c>
      <c r="K422" s="41">
        <v>0</v>
      </c>
      <c r="L422" s="41">
        <v>350000</v>
      </c>
      <c r="M422" s="41"/>
    </row>
    <row r="423" spans="1:13">
      <c r="A423" s="10">
        <v>511386</v>
      </c>
      <c r="B423" s="1">
        <v>2</v>
      </c>
      <c r="C423" s="2">
        <v>2500000</v>
      </c>
      <c r="D423" s="41"/>
      <c r="J423" s="39">
        <v>511076</v>
      </c>
      <c r="K423" s="41">
        <v>0</v>
      </c>
      <c r="L423" s="41">
        <v>0</v>
      </c>
      <c r="M423" s="41"/>
    </row>
    <row r="424" spans="1:13">
      <c r="A424" s="10">
        <v>523915</v>
      </c>
      <c r="B424" s="1" t="s">
        <v>1073</v>
      </c>
      <c r="C424" s="1" t="s">
        <v>1073</v>
      </c>
      <c r="D424" s="41"/>
      <c r="J424" s="39">
        <v>513384</v>
      </c>
      <c r="K424" s="41">
        <v>5</v>
      </c>
      <c r="L424" s="41">
        <v>9000000</v>
      </c>
      <c r="M424" s="41"/>
    </row>
    <row r="425" spans="1:13">
      <c r="A425" s="10">
        <v>511076</v>
      </c>
      <c r="B425" s="1" t="s">
        <v>1073</v>
      </c>
      <c r="C425" s="1" t="s">
        <v>1073</v>
      </c>
      <c r="D425" s="41"/>
      <c r="J425" s="39">
        <v>514827</v>
      </c>
      <c r="K425" s="41">
        <v>18</v>
      </c>
      <c r="L425" s="41">
        <v>11137000</v>
      </c>
      <c r="M425" s="41"/>
    </row>
    <row r="426" spans="1:13">
      <c r="A426" s="10">
        <v>12305580</v>
      </c>
      <c r="B426" s="1" t="s">
        <v>1073</v>
      </c>
      <c r="C426" s="3">
        <v>250000</v>
      </c>
      <c r="D426" s="41"/>
      <c r="J426" s="39">
        <v>514871</v>
      </c>
      <c r="K426" s="41">
        <v>7</v>
      </c>
      <c r="L426" s="41">
        <v>11379000</v>
      </c>
      <c r="M426" s="41"/>
    </row>
    <row r="427" spans="1:13">
      <c r="A427" s="10">
        <v>301600</v>
      </c>
      <c r="B427" s="1">
        <v>3</v>
      </c>
      <c r="C427" s="2">
        <v>2000000</v>
      </c>
      <c r="D427" s="41"/>
      <c r="J427" s="39">
        <v>521830</v>
      </c>
      <c r="K427" s="41">
        <v>5</v>
      </c>
      <c r="L427" s="41">
        <v>7600000</v>
      </c>
      <c r="M427" s="41"/>
    </row>
    <row r="428" spans="1:13">
      <c r="A428" s="10">
        <v>524408</v>
      </c>
      <c r="B428" s="1">
        <v>3</v>
      </c>
      <c r="C428" s="2">
        <v>1500000</v>
      </c>
      <c r="D428" s="41"/>
      <c r="J428" s="39">
        <v>522823</v>
      </c>
      <c r="K428" s="41">
        <v>0</v>
      </c>
      <c r="L428" s="41">
        <v>0</v>
      </c>
      <c r="M428" s="41"/>
    </row>
    <row r="429" spans="1:13">
      <c r="A429" s="10">
        <v>61612</v>
      </c>
      <c r="B429" s="1" t="s">
        <v>1073</v>
      </c>
      <c r="C429" s="3">
        <v>100000</v>
      </c>
      <c r="D429" s="41"/>
      <c r="J429" s="39">
        <v>523417</v>
      </c>
      <c r="K429" s="41">
        <v>1</v>
      </c>
      <c r="L429" s="41">
        <v>1400000</v>
      </c>
      <c r="M429" s="41"/>
    </row>
    <row r="430" spans="1:13">
      <c r="A430" s="10">
        <v>459694</v>
      </c>
      <c r="B430" s="1" t="s">
        <v>1073</v>
      </c>
      <c r="C430" s="1" t="s">
        <v>1073</v>
      </c>
      <c r="D430" s="41"/>
      <c r="J430" s="39">
        <v>523503</v>
      </c>
      <c r="K430" s="41">
        <v>3</v>
      </c>
      <c r="L430" s="41">
        <v>100000</v>
      </c>
      <c r="M430" s="41"/>
    </row>
    <row r="431" spans="1:13">
      <c r="A431" s="10">
        <v>537134</v>
      </c>
      <c r="B431" s="1">
        <v>5</v>
      </c>
      <c r="C431" s="2">
        <v>4000000</v>
      </c>
      <c r="D431" s="41"/>
      <c r="J431" s="39">
        <v>526409</v>
      </c>
      <c r="K431" s="41">
        <v>3</v>
      </c>
      <c r="L431" s="41">
        <v>450000</v>
      </c>
      <c r="M431" s="41"/>
    </row>
    <row r="432" spans="1:13">
      <c r="A432" s="10">
        <v>61618</v>
      </c>
      <c r="B432" s="1" t="s">
        <v>1073</v>
      </c>
      <c r="C432" s="3">
        <v>100000</v>
      </c>
      <c r="D432" s="41"/>
      <c r="J432" s="39">
        <v>529781</v>
      </c>
      <c r="K432" s="41">
        <v>11</v>
      </c>
      <c r="L432" s="41">
        <v>9337000</v>
      </c>
      <c r="M432" s="41"/>
    </row>
    <row r="433" spans="1:13">
      <c r="A433" s="10">
        <v>126981</v>
      </c>
      <c r="B433" s="1" t="s">
        <v>1073</v>
      </c>
      <c r="C433" s="1" t="s">
        <v>1073</v>
      </c>
      <c r="D433" s="41"/>
      <c r="J433" s="39">
        <v>532034</v>
      </c>
      <c r="K433" s="41">
        <v>4</v>
      </c>
      <c r="L433" s="41">
        <v>3800000</v>
      </c>
      <c r="M433" s="41"/>
    </row>
    <row r="434" spans="1:13">
      <c r="A434" s="10">
        <v>12300897</v>
      </c>
      <c r="B434" s="1" t="s">
        <v>1073</v>
      </c>
      <c r="C434" s="2">
        <v>3000000</v>
      </c>
      <c r="D434" s="41"/>
      <c r="J434" s="39">
        <v>533959</v>
      </c>
      <c r="K434" s="41">
        <v>4</v>
      </c>
      <c r="L434" s="41">
        <v>7950000</v>
      </c>
      <c r="M434" s="41"/>
    </row>
    <row r="435" spans="1:13">
      <c r="A435" s="10">
        <v>369696</v>
      </c>
      <c r="B435" s="1">
        <v>1</v>
      </c>
      <c r="C435" s="2">
        <v>2579000</v>
      </c>
      <c r="D435" s="41"/>
      <c r="J435" s="39">
        <v>537116</v>
      </c>
      <c r="K435" s="41">
        <v>4</v>
      </c>
      <c r="L435" s="41">
        <v>3487000</v>
      </c>
      <c r="M435" s="41"/>
    </row>
    <row r="436" spans="1:13">
      <c r="A436" s="10">
        <v>211577</v>
      </c>
      <c r="B436" s="1">
        <v>3</v>
      </c>
      <c r="C436" s="2">
        <v>3029000</v>
      </c>
      <c r="D436" s="41"/>
      <c r="J436" s="39">
        <v>538207</v>
      </c>
      <c r="K436" s="41">
        <v>7</v>
      </c>
      <c r="L436" s="41">
        <v>7987000</v>
      </c>
      <c r="M436" s="41"/>
    </row>
    <row r="437" spans="1:13">
      <c r="A437" s="10">
        <v>523194</v>
      </c>
      <c r="B437" s="1" t="s">
        <v>1073</v>
      </c>
      <c r="C437" s="2">
        <v>500000</v>
      </c>
      <c r="D437" s="41"/>
      <c r="J437" s="39">
        <v>538731</v>
      </c>
      <c r="K437" s="41">
        <v>11</v>
      </c>
      <c r="L437" s="41">
        <v>5879000</v>
      </c>
      <c r="M437" s="41"/>
    </row>
    <row r="438" spans="1:13">
      <c r="A438" s="10">
        <v>509643</v>
      </c>
      <c r="B438" s="1" t="s">
        <v>1073</v>
      </c>
      <c r="C438" s="2">
        <v>587000</v>
      </c>
      <c r="D438" s="41"/>
      <c r="J438" s="39">
        <v>544721</v>
      </c>
      <c r="K438" s="41">
        <v>0</v>
      </c>
      <c r="L438" s="41">
        <v>9550000</v>
      </c>
      <c r="M438" s="41"/>
    </row>
    <row r="439" spans="1:13">
      <c r="A439" s="10">
        <v>248829</v>
      </c>
      <c r="B439" s="1">
        <v>3</v>
      </c>
      <c r="C439" s="2">
        <v>300000</v>
      </c>
      <c r="D439" s="41"/>
      <c r="J439" s="39">
        <v>545547</v>
      </c>
      <c r="K439" s="41">
        <v>1</v>
      </c>
      <c r="L439" s="41">
        <v>2400000</v>
      </c>
      <c r="M439" s="41"/>
    </row>
    <row r="440" spans="1:13">
      <c r="A440" s="10">
        <v>533799</v>
      </c>
      <c r="B440" s="1">
        <v>2</v>
      </c>
      <c r="C440" s="3">
        <v>258000</v>
      </c>
      <c r="D440" s="41"/>
      <c r="J440" s="39">
        <v>547188</v>
      </c>
      <c r="K440" s="41">
        <v>65</v>
      </c>
      <c r="L440" s="41">
        <v>6629000</v>
      </c>
      <c r="M440" s="41"/>
    </row>
    <row r="441" spans="1:13">
      <c r="A441" s="10">
        <v>2787</v>
      </c>
      <c r="B441" s="1">
        <v>4</v>
      </c>
      <c r="C441" s="2">
        <v>6000000</v>
      </c>
      <c r="D441" s="41"/>
      <c r="J441" s="39">
        <v>547191</v>
      </c>
      <c r="K441" s="41">
        <v>19</v>
      </c>
      <c r="L441" s="41">
        <v>15379000</v>
      </c>
      <c r="M441" s="41"/>
    </row>
    <row r="442" spans="1:13">
      <c r="A442" s="10">
        <v>409940</v>
      </c>
      <c r="B442" s="1" t="s">
        <v>1073</v>
      </c>
      <c r="C442" s="2">
        <v>2000000</v>
      </c>
      <c r="D442" s="41"/>
      <c r="J442" s="39">
        <v>547197</v>
      </c>
      <c r="K442" s="41">
        <v>2</v>
      </c>
      <c r="L442" s="41">
        <v>1550000</v>
      </c>
      <c r="M442" s="41"/>
    </row>
    <row r="443" spans="1:13">
      <c r="A443" s="10">
        <v>126968</v>
      </c>
      <c r="B443" s="1" t="s">
        <v>1073</v>
      </c>
      <c r="C443" s="2">
        <v>500000</v>
      </c>
      <c r="D443" s="41"/>
      <c r="J443" s="39">
        <v>547285</v>
      </c>
      <c r="K443" s="41">
        <v>6</v>
      </c>
      <c r="L443" s="41">
        <v>3600000</v>
      </c>
      <c r="M443" s="41"/>
    </row>
    <row r="444" spans="1:13">
      <c r="A444" s="10">
        <v>211622</v>
      </c>
      <c r="B444" s="1" t="s">
        <v>1073</v>
      </c>
      <c r="C444" s="3">
        <v>150000</v>
      </c>
      <c r="D444" s="41"/>
      <c r="J444" s="39">
        <v>547291</v>
      </c>
      <c r="K444" s="41">
        <v>8</v>
      </c>
      <c r="L444" s="41">
        <v>9137000</v>
      </c>
      <c r="M444" s="41"/>
    </row>
    <row r="445" spans="1:13">
      <c r="A445" s="10">
        <v>5981</v>
      </c>
      <c r="B445" s="1" t="s">
        <v>1073</v>
      </c>
      <c r="C445" s="2">
        <v>4000000</v>
      </c>
      <c r="D445" s="41"/>
      <c r="J445" s="39">
        <v>553531</v>
      </c>
      <c r="K445" s="41">
        <v>0</v>
      </c>
      <c r="L445" s="41">
        <v>0</v>
      </c>
      <c r="M445" s="41"/>
    </row>
    <row r="446" spans="1:13">
      <c r="A446" s="10">
        <v>281419</v>
      </c>
      <c r="B446" s="1" t="s">
        <v>1073</v>
      </c>
      <c r="C446" s="2">
        <v>3750000</v>
      </c>
      <c r="D446" s="41"/>
      <c r="J446" s="39">
        <v>555323</v>
      </c>
      <c r="K446" s="41">
        <v>38</v>
      </c>
      <c r="L446" s="41">
        <v>8979000</v>
      </c>
      <c r="M446" s="41"/>
    </row>
    <row r="447" spans="1:13">
      <c r="A447" s="10">
        <v>12322361</v>
      </c>
      <c r="B447" s="1" t="s">
        <v>1073</v>
      </c>
      <c r="C447" s="1" t="s">
        <v>1073</v>
      </c>
      <c r="D447" s="41"/>
      <c r="J447" s="39">
        <v>555648</v>
      </c>
      <c r="K447" s="41">
        <v>4</v>
      </c>
      <c r="L447" s="41">
        <v>9650000</v>
      </c>
      <c r="M447" s="41"/>
    </row>
    <row r="448" spans="1:13">
      <c r="A448" s="10">
        <v>62012</v>
      </c>
      <c r="B448" s="1" t="s">
        <v>1073</v>
      </c>
      <c r="C448" s="1" t="s">
        <v>1073</v>
      </c>
      <c r="D448" s="41"/>
      <c r="J448" s="39">
        <v>557542</v>
      </c>
      <c r="K448" s="41">
        <v>1</v>
      </c>
      <c r="L448" s="41">
        <v>100000</v>
      </c>
      <c r="M448" s="41"/>
    </row>
    <row r="449" spans="1:13">
      <c r="A449" s="10">
        <v>401140</v>
      </c>
      <c r="B449" s="1">
        <v>1</v>
      </c>
      <c r="C449" s="2">
        <v>2027000</v>
      </c>
      <c r="D449" s="41"/>
      <c r="J449" s="39">
        <v>565559</v>
      </c>
      <c r="K449" s="41">
        <v>0</v>
      </c>
      <c r="L449" s="41">
        <v>0</v>
      </c>
      <c r="M449" s="41"/>
    </row>
    <row r="450" spans="1:13">
      <c r="A450" s="10">
        <v>12325652</v>
      </c>
      <c r="B450" s="1" t="s">
        <v>1073</v>
      </c>
      <c r="C450" s="1" t="s">
        <v>1073</v>
      </c>
      <c r="D450" s="41"/>
      <c r="J450" s="39">
        <v>572343</v>
      </c>
      <c r="K450" s="41">
        <v>4</v>
      </c>
      <c r="L450" s="41">
        <v>8087000</v>
      </c>
      <c r="M450" s="41"/>
    </row>
    <row r="451" spans="1:13">
      <c r="A451" s="10">
        <v>238956</v>
      </c>
      <c r="B451" s="1" t="s">
        <v>1073</v>
      </c>
      <c r="C451" s="3">
        <v>100000</v>
      </c>
      <c r="D451" s="41"/>
      <c r="J451" s="39">
        <v>572380</v>
      </c>
      <c r="K451" s="41">
        <v>3</v>
      </c>
      <c r="L451" s="41">
        <v>850000</v>
      </c>
      <c r="M451" s="41"/>
    </row>
    <row r="452" spans="1:13">
      <c r="A452" s="10">
        <v>211794</v>
      </c>
      <c r="B452" s="1" t="s">
        <v>1073</v>
      </c>
      <c r="C452" s="2">
        <v>300000</v>
      </c>
      <c r="D452" s="41"/>
      <c r="J452" s="39">
        <v>61618</v>
      </c>
      <c r="K452" s="41">
        <v>4</v>
      </c>
      <c r="L452" s="41">
        <v>250000</v>
      </c>
      <c r="M452" s="41"/>
    </row>
    <row r="453" spans="1:13">
      <c r="A453" s="10">
        <v>574633</v>
      </c>
      <c r="B453" s="1">
        <v>5</v>
      </c>
      <c r="C453" s="1" t="s">
        <v>1073</v>
      </c>
      <c r="D453" s="41"/>
      <c r="J453" s="39">
        <v>62139</v>
      </c>
      <c r="K453" s="41">
        <v>1</v>
      </c>
      <c r="L453" s="41">
        <v>6900000</v>
      </c>
      <c r="M453" s="41"/>
    </row>
    <row r="454" spans="1:13">
      <c r="A454" s="10">
        <v>558955</v>
      </c>
      <c r="B454" s="1">
        <v>5</v>
      </c>
      <c r="C454" s="1" t="s">
        <v>1073</v>
      </c>
      <c r="D454" s="41"/>
      <c r="J454" s="39">
        <v>62403</v>
      </c>
      <c r="K454" s="41">
        <v>1</v>
      </c>
      <c r="L454" s="41">
        <v>30129000</v>
      </c>
      <c r="M454" s="41"/>
    </row>
    <row r="455" spans="1:13">
      <c r="A455" s="10">
        <v>12322894</v>
      </c>
      <c r="B455" s="1" t="s">
        <v>1073</v>
      </c>
      <c r="C455" s="1" t="s">
        <v>1073</v>
      </c>
      <c r="D455" s="41"/>
      <c r="J455" s="39">
        <v>12300575</v>
      </c>
      <c r="K455" s="41">
        <v>0</v>
      </c>
      <c r="L455" s="41">
        <v>0</v>
      </c>
      <c r="M455" s="41"/>
    </row>
    <row r="456" spans="1:13">
      <c r="A456" s="10">
        <v>12295820</v>
      </c>
      <c r="B456" s="1" t="s">
        <v>1073</v>
      </c>
      <c r="C456" s="2">
        <v>2000000</v>
      </c>
      <c r="D456" s="41"/>
      <c r="J456" s="39">
        <v>12300880</v>
      </c>
      <c r="K456" s="41">
        <v>3</v>
      </c>
      <c r="L456" s="41">
        <v>1000000</v>
      </c>
      <c r="M456" s="41"/>
    </row>
    <row r="457" spans="1:13">
      <c r="A457" s="10">
        <v>12296255</v>
      </c>
      <c r="B457" s="1" t="s">
        <v>1073</v>
      </c>
      <c r="C457" s="3">
        <v>59000</v>
      </c>
      <c r="D457" s="41"/>
      <c r="J457" s="39">
        <v>12300882</v>
      </c>
      <c r="K457" s="41">
        <v>0</v>
      </c>
      <c r="L457" s="41">
        <v>0</v>
      </c>
      <c r="M457" s="41"/>
    </row>
    <row r="458" spans="1:13">
      <c r="A458" s="10">
        <v>403481</v>
      </c>
      <c r="B458" s="1">
        <v>3</v>
      </c>
      <c r="C458" s="1" t="s">
        <v>1073</v>
      </c>
      <c r="D458" s="41"/>
      <c r="J458" s="39">
        <v>12324006</v>
      </c>
      <c r="K458" s="41">
        <v>0</v>
      </c>
      <c r="L458" s="41">
        <v>0</v>
      </c>
      <c r="M458" s="41"/>
    </row>
    <row r="459" spans="1:13">
      <c r="A459" s="10">
        <v>12299789</v>
      </c>
      <c r="B459" s="1" t="s">
        <v>1073</v>
      </c>
      <c r="C459" s="1" t="s">
        <v>1073</v>
      </c>
      <c r="D459" s="41"/>
      <c r="J459" s="39">
        <v>12324021</v>
      </c>
      <c r="K459" s="41">
        <v>0</v>
      </c>
      <c r="L459" s="41">
        <v>0</v>
      </c>
      <c r="M459" s="41"/>
    </row>
    <row r="460" spans="1:13">
      <c r="A460" s="10">
        <v>12296250</v>
      </c>
      <c r="B460" s="1" t="s">
        <v>1073</v>
      </c>
      <c r="C460" s="2">
        <v>1700000</v>
      </c>
      <c r="D460" s="41"/>
      <c r="J460" s="39">
        <v>12324029</v>
      </c>
      <c r="K460" s="41">
        <v>0</v>
      </c>
      <c r="L460" s="41">
        <v>0</v>
      </c>
      <c r="M460" s="41"/>
    </row>
    <row r="461" spans="1:13">
      <c r="A461" s="10">
        <v>62338</v>
      </c>
      <c r="B461" s="1" t="s">
        <v>1073</v>
      </c>
      <c r="C461" s="1" t="s">
        <v>1073</v>
      </c>
      <c r="D461" s="41"/>
      <c r="J461" s="39">
        <v>12324167</v>
      </c>
      <c r="K461" s="41">
        <v>0</v>
      </c>
      <c r="L461" s="41">
        <v>0</v>
      </c>
      <c r="M461" s="41"/>
    </row>
    <row r="462" spans="1:13">
      <c r="A462" s="10">
        <v>555648</v>
      </c>
      <c r="B462" s="1">
        <v>17</v>
      </c>
      <c r="C462" s="2">
        <v>1208000</v>
      </c>
      <c r="D462" s="41"/>
      <c r="J462" s="39">
        <v>12324263</v>
      </c>
      <c r="K462" s="41">
        <v>0</v>
      </c>
      <c r="L462" s="41">
        <v>0</v>
      </c>
      <c r="M462" s="41"/>
    </row>
    <row r="463" spans="1:13">
      <c r="A463" s="10">
        <v>240000</v>
      </c>
      <c r="B463" s="1">
        <v>2</v>
      </c>
      <c r="C463" s="2">
        <v>558000</v>
      </c>
      <c r="D463" s="41"/>
      <c r="J463" s="39">
        <v>12324280</v>
      </c>
      <c r="K463" s="41">
        <v>5</v>
      </c>
      <c r="L463" s="41">
        <v>100000</v>
      </c>
      <c r="M463" s="41"/>
    </row>
    <row r="464" spans="1:13">
      <c r="A464" s="10">
        <v>62075</v>
      </c>
      <c r="B464" s="1" t="s">
        <v>1073</v>
      </c>
      <c r="C464" s="2">
        <v>1900000</v>
      </c>
      <c r="D464" s="41"/>
      <c r="J464" s="39">
        <v>12324291</v>
      </c>
      <c r="K464" s="41">
        <v>0</v>
      </c>
      <c r="L464" s="41">
        <v>0</v>
      </c>
      <c r="M464" s="41"/>
    </row>
    <row r="465" spans="1:13">
      <c r="A465" s="10">
        <v>277793</v>
      </c>
      <c r="B465" s="1">
        <v>2</v>
      </c>
      <c r="C465" s="2">
        <v>5029000</v>
      </c>
      <c r="D465" s="41"/>
      <c r="J465" s="39">
        <v>12324321</v>
      </c>
      <c r="K465" s="41">
        <v>0</v>
      </c>
      <c r="L465" s="41">
        <v>0</v>
      </c>
      <c r="M465" s="41"/>
    </row>
    <row r="466" spans="1:13">
      <c r="A466" s="10">
        <v>262895</v>
      </c>
      <c r="B466" s="1" t="s">
        <v>1073</v>
      </c>
      <c r="C466" s="1" t="s">
        <v>1073</v>
      </c>
      <c r="D466" s="41"/>
      <c r="J466" s="39">
        <v>126981</v>
      </c>
      <c r="K466" s="41">
        <v>0</v>
      </c>
      <c r="L466" s="41">
        <v>0</v>
      </c>
      <c r="M466" s="41"/>
    </row>
    <row r="467" spans="1:13">
      <c r="A467" s="10">
        <v>334656</v>
      </c>
      <c r="B467" s="1" t="s">
        <v>1073</v>
      </c>
      <c r="C467" s="2">
        <v>500000</v>
      </c>
      <c r="D467" s="41"/>
      <c r="J467" s="39">
        <v>188500</v>
      </c>
      <c r="K467" s="41">
        <v>3</v>
      </c>
      <c r="L467" s="41">
        <v>250000</v>
      </c>
      <c r="M467" s="41"/>
    </row>
    <row r="468" spans="1:13">
      <c r="A468" s="10">
        <v>535182</v>
      </c>
      <c r="B468" s="1">
        <v>3</v>
      </c>
      <c r="C468" s="2">
        <v>2200000</v>
      </c>
      <c r="D468" s="41"/>
      <c r="J468" s="39">
        <v>211709</v>
      </c>
      <c r="K468" s="41">
        <v>40</v>
      </c>
      <c r="L468" s="41">
        <v>1280000</v>
      </c>
      <c r="M468" s="41"/>
    </row>
    <row r="469" spans="1:13">
      <c r="A469" s="10">
        <v>549294</v>
      </c>
      <c r="B469" s="1" t="s">
        <v>1073</v>
      </c>
      <c r="C469" s="1" t="s">
        <v>1073</v>
      </c>
      <c r="D469" s="41"/>
      <c r="J469" s="39">
        <v>328211</v>
      </c>
      <c r="K469" s="41">
        <v>0</v>
      </c>
      <c r="L469" s="41">
        <v>0</v>
      </c>
      <c r="M469" s="41"/>
    </row>
    <row r="470" spans="1:13">
      <c r="A470" s="10">
        <v>12301666</v>
      </c>
      <c r="B470" s="1" t="s">
        <v>1073</v>
      </c>
      <c r="C470" s="2">
        <v>500000</v>
      </c>
      <c r="D470" s="41"/>
      <c r="J470" s="39">
        <v>344776</v>
      </c>
      <c r="K470" s="41">
        <v>3</v>
      </c>
      <c r="L470" s="41">
        <v>558000</v>
      </c>
      <c r="M470" s="41"/>
    </row>
    <row r="471" spans="1:13">
      <c r="A471" s="10">
        <v>127191</v>
      </c>
      <c r="B471" s="1" t="s">
        <v>1073</v>
      </c>
      <c r="C471" s="2">
        <v>300000</v>
      </c>
      <c r="D471" s="41"/>
      <c r="J471" s="39">
        <v>356428</v>
      </c>
      <c r="K471" s="41">
        <v>0</v>
      </c>
      <c r="L471" s="41">
        <v>2550000</v>
      </c>
      <c r="M471" s="41"/>
    </row>
    <row r="472" spans="1:13">
      <c r="A472" s="10">
        <v>393328</v>
      </c>
      <c r="B472" s="1" t="s">
        <v>1073</v>
      </c>
      <c r="C472" s="2">
        <v>1100000</v>
      </c>
      <c r="D472" s="41"/>
      <c r="J472" s="39">
        <v>357392</v>
      </c>
      <c r="K472" s="41">
        <v>0</v>
      </c>
      <c r="L472" s="41">
        <v>0</v>
      </c>
      <c r="M472" s="41"/>
    </row>
    <row r="473" spans="1:13">
      <c r="A473" s="10">
        <v>61947</v>
      </c>
      <c r="B473" s="1" t="s">
        <v>1073</v>
      </c>
      <c r="C473" s="3">
        <v>125000</v>
      </c>
      <c r="D473" s="41"/>
      <c r="J473" s="39">
        <v>357589</v>
      </c>
      <c r="K473" s="41">
        <v>0</v>
      </c>
      <c r="L473" s="41">
        <v>100000</v>
      </c>
      <c r="M473" s="41"/>
    </row>
    <row r="474" spans="1:13">
      <c r="A474" s="10">
        <v>12296812</v>
      </c>
      <c r="B474" s="1" t="s">
        <v>1073</v>
      </c>
      <c r="C474" s="2">
        <v>500000</v>
      </c>
      <c r="D474" s="41"/>
      <c r="J474" s="39">
        <v>357600</v>
      </c>
      <c r="K474" s="41">
        <v>6</v>
      </c>
      <c r="L474" s="41">
        <v>1987000</v>
      </c>
      <c r="M474" s="41"/>
    </row>
    <row r="475" spans="1:13">
      <c r="A475" s="10">
        <v>405461</v>
      </c>
      <c r="B475" s="1" t="s">
        <v>1073</v>
      </c>
      <c r="C475" s="2">
        <v>1749000</v>
      </c>
      <c r="D475" s="41"/>
      <c r="J475" s="39">
        <v>368553</v>
      </c>
      <c r="K475" s="41">
        <v>3</v>
      </c>
      <c r="L475" s="41">
        <v>0</v>
      </c>
      <c r="M475" s="41"/>
    </row>
    <row r="476" spans="1:13">
      <c r="A476" s="10">
        <v>523871</v>
      </c>
      <c r="B476" s="1" t="s">
        <v>1073</v>
      </c>
      <c r="C476" s="2">
        <v>10000000</v>
      </c>
      <c r="D476" s="41"/>
      <c r="J476" s="39">
        <v>397362</v>
      </c>
      <c r="K476" s="41">
        <v>0</v>
      </c>
      <c r="L476" s="41">
        <v>0</v>
      </c>
      <c r="M476" s="41"/>
    </row>
    <row r="477" spans="1:13">
      <c r="A477" s="10">
        <v>211781</v>
      </c>
      <c r="B477" s="1" t="s">
        <v>1073</v>
      </c>
      <c r="C477" s="2">
        <v>1150000</v>
      </c>
      <c r="D477" s="41"/>
      <c r="J477" s="39">
        <v>402298</v>
      </c>
      <c r="K477" s="41">
        <v>24</v>
      </c>
      <c r="L477" s="41">
        <v>116000</v>
      </c>
      <c r="M477" s="41"/>
    </row>
    <row r="478" spans="1:13">
      <c r="A478" s="10">
        <v>397314</v>
      </c>
      <c r="B478" s="1">
        <v>2</v>
      </c>
      <c r="C478" s="3">
        <v>158000</v>
      </c>
      <c r="D478" s="41"/>
      <c r="J478" s="39">
        <v>402411</v>
      </c>
      <c r="K478" s="41">
        <v>4</v>
      </c>
      <c r="L478" s="41">
        <v>0</v>
      </c>
      <c r="M478" s="41"/>
    </row>
    <row r="479" spans="1:13">
      <c r="A479" s="10">
        <v>538207</v>
      </c>
      <c r="B479" s="1">
        <v>18</v>
      </c>
      <c r="C479" s="2">
        <v>2487000</v>
      </c>
      <c r="D479" s="41"/>
      <c r="J479" s="39">
        <v>402439</v>
      </c>
      <c r="K479" s="41">
        <v>0</v>
      </c>
      <c r="L479" s="41">
        <v>0</v>
      </c>
      <c r="M479" s="41"/>
    </row>
    <row r="480" spans="1:13">
      <c r="A480" s="10">
        <v>12327272</v>
      </c>
      <c r="B480" s="1" t="s">
        <v>1073</v>
      </c>
      <c r="C480" s="1" t="s">
        <v>1073</v>
      </c>
      <c r="D480" s="41"/>
      <c r="J480" s="39">
        <v>402461</v>
      </c>
      <c r="K480" s="41">
        <v>3</v>
      </c>
      <c r="L480" s="41">
        <v>300000</v>
      </c>
      <c r="M480" s="41"/>
    </row>
    <row r="481" spans="1:13">
      <c r="A481" s="10">
        <v>12322388</v>
      </c>
      <c r="B481" s="1" t="s">
        <v>1073</v>
      </c>
      <c r="C481" s="2">
        <v>600000</v>
      </c>
      <c r="D481" s="41"/>
      <c r="J481" s="39">
        <v>493400</v>
      </c>
      <c r="K481" s="41">
        <v>0</v>
      </c>
      <c r="L481" s="41">
        <v>0</v>
      </c>
      <c r="M481" s="41"/>
    </row>
    <row r="482" spans="1:13">
      <c r="A482" s="10">
        <v>539087</v>
      </c>
      <c r="B482" s="1">
        <v>1</v>
      </c>
      <c r="C482" s="2">
        <v>1250000</v>
      </c>
      <c r="D482" s="41"/>
      <c r="J482" s="39">
        <v>523840</v>
      </c>
      <c r="K482" s="41">
        <v>0</v>
      </c>
      <c r="L482" s="41">
        <v>0</v>
      </c>
      <c r="M482" s="41"/>
    </row>
    <row r="483" spans="1:13">
      <c r="A483" s="10">
        <v>534610</v>
      </c>
      <c r="B483" s="1" t="s">
        <v>1073</v>
      </c>
      <c r="C483" s="2">
        <v>600000</v>
      </c>
      <c r="D483" s="41"/>
      <c r="J483" s="39">
        <v>570313</v>
      </c>
      <c r="K483" s="41">
        <v>4</v>
      </c>
      <c r="L483" s="41">
        <v>0</v>
      </c>
      <c r="M483" s="41"/>
    </row>
    <row r="484" spans="1:13">
      <c r="A484" s="10">
        <v>12300154</v>
      </c>
      <c r="B484" s="1">
        <v>3</v>
      </c>
      <c r="C484" s="2">
        <v>1500000</v>
      </c>
      <c r="D484" s="41"/>
      <c r="J484" s="39" t="s">
        <v>390</v>
      </c>
      <c r="K484" s="41">
        <v>0</v>
      </c>
      <c r="L484" s="41">
        <v>300000</v>
      </c>
      <c r="M484" s="41"/>
    </row>
    <row r="485" spans="1:13">
      <c r="A485" s="10">
        <v>12326166</v>
      </c>
      <c r="B485" s="1" t="s">
        <v>1073</v>
      </c>
      <c r="C485" s="2">
        <v>900000</v>
      </c>
      <c r="D485" s="41"/>
      <c r="J485" s="39">
        <v>12301666</v>
      </c>
      <c r="K485" s="41">
        <v>1</v>
      </c>
      <c r="L485" s="41">
        <v>1729000</v>
      </c>
      <c r="M485" s="41"/>
    </row>
    <row r="486" spans="1:13">
      <c r="A486" s="10">
        <v>248865</v>
      </c>
      <c r="B486" s="1" t="s">
        <v>1073</v>
      </c>
      <c r="C486" s="1" t="s">
        <v>1073</v>
      </c>
      <c r="D486" s="41"/>
      <c r="J486" s="39">
        <v>12304568</v>
      </c>
      <c r="K486" s="41">
        <v>5</v>
      </c>
      <c r="L486" s="41">
        <v>0</v>
      </c>
      <c r="M486" s="41"/>
    </row>
    <row r="487" spans="1:13">
      <c r="A487" s="10">
        <v>12319246</v>
      </c>
      <c r="B487" s="1" t="s">
        <v>1073</v>
      </c>
      <c r="C487" s="2">
        <v>1250000</v>
      </c>
      <c r="D487" s="41"/>
      <c r="J487" s="39">
        <v>12305463</v>
      </c>
      <c r="K487" s="41">
        <v>8</v>
      </c>
      <c r="L487" s="41">
        <v>326000</v>
      </c>
      <c r="M487" s="41"/>
    </row>
    <row r="488" spans="1:13">
      <c r="A488" s="10">
        <v>478959</v>
      </c>
      <c r="B488" s="1" t="s">
        <v>1073</v>
      </c>
      <c r="C488" s="2">
        <v>1700000</v>
      </c>
      <c r="D488" s="41"/>
      <c r="J488" s="39">
        <v>12305470</v>
      </c>
      <c r="K488" s="41">
        <v>0</v>
      </c>
      <c r="L488" s="41">
        <v>0</v>
      </c>
      <c r="M488" s="41"/>
    </row>
    <row r="489" spans="1:13">
      <c r="A489" s="10">
        <v>571174</v>
      </c>
      <c r="B489" s="1" t="s">
        <v>1073</v>
      </c>
      <c r="C489" s="2">
        <v>808000</v>
      </c>
      <c r="D489" s="41"/>
      <c r="J489" s="39">
        <v>12305472</v>
      </c>
      <c r="K489" s="41">
        <v>5</v>
      </c>
      <c r="L489" s="41">
        <v>0</v>
      </c>
      <c r="M489" s="41"/>
    </row>
    <row r="490" spans="1:13">
      <c r="A490" s="10">
        <v>254004</v>
      </c>
      <c r="B490" s="1">
        <v>1</v>
      </c>
      <c r="C490" s="2">
        <v>370000</v>
      </c>
      <c r="D490" s="41"/>
      <c r="J490" s="39">
        <v>12324316</v>
      </c>
      <c r="K490" s="41">
        <v>0</v>
      </c>
      <c r="L490" s="41">
        <v>0</v>
      </c>
      <c r="M490" s="41"/>
    </row>
    <row r="491" spans="1:13">
      <c r="A491" s="10">
        <v>12296215</v>
      </c>
      <c r="B491" s="1" t="s">
        <v>1073</v>
      </c>
      <c r="C491" s="2">
        <v>350000</v>
      </c>
      <c r="D491" s="41"/>
      <c r="J491" s="39">
        <v>12327177</v>
      </c>
      <c r="K491" s="41">
        <v>153</v>
      </c>
      <c r="L491" s="41">
        <v>1278000</v>
      </c>
      <c r="M491" s="41"/>
    </row>
    <row r="492" spans="1:13">
      <c r="A492" s="10">
        <v>401238</v>
      </c>
      <c r="B492" s="1">
        <v>3</v>
      </c>
      <c r="C492" s="3">
        <v>87000</v>
      </c>
      <c r="D492" s="41"/>
      <c r="J492" s="39">
        <v>12329399</v>
      </c>
      <c r="K492" s="41">
        <v>3</v>
      </c>
      <c r="L492" s="41">
        <v>0</v>
      </c>
      <c r="M492" s="41"/>
    </row>
    <row r="493" spans="1:13">
      <c r="A493" s="10">
        <v>282063</v>
      </c>
      <c r="B493" s="1" t="s">
        <v>1073</v>
      </c>
      <c r="C493" s="2">
        <v>2300000</v>
      </c>
      <c r="D493" s="41"/>
      <c r="J493" s="39">
        <v>12334597</v>
      </c>
      <c r="K493" s="41">
        <v>3</v>
      </c>
      <c r="L493" s="41">
        <v>0</v>
      </c>
      <c r="M493" s="41"/>
    </row>
    <row r="494" spans="1:13">
      <c r="A494" s="10">
        <v>366720</v>
      </c>
      <c r="B494" s="1" t="s">
        <v>1073</v>
      </c>
      <c r="C494" s="2">
        <v>1400000</v>
      </c>
      <c r="D494" s="41"/>
      <c r="J494" s="39">
        <v>127072</v>
      </c>
      <c r="K494" s="41">
        <v>5</v>
      </c>
      <c r="L494" s="41">
        <v>950000</v>
      </c>
      <c r="M494" s="41"/>
    </row>
    <row r="495" spans="1:13">
      <c r="A495" s="10">
        <v>264732</v>
      </c>
      <c r="B495" s="1" t="s">
        <v>1073</v>
      </c>
      <c r="C495" s="2">
        <v>450000</v>
      </c>
      <c r="D495" s="41"/>
      <c r="J495" s="39">
        <v>199207</v>
      </c>
      <c r="K495" s="41">
        <v>5</v>
      </c>
      <c r="L495" s="41">
        <v>600000</v>
      </c>
      <c r="M495" s="41"/>
    </row>
    <row r="496" spans="1:13">
      <c r="A496" s="10">
        <v>399513</v>
      </c>
      <c r="B496" s="1" t="s">
        <v>1073</v>
      </c>
      <c r="C496" s="2">
        <v>9000000</v>
      </c>
      <c r="D496" s="41"/>
      <c r="J496" s="39">
        <v>211532</v>
      </c>
      <c r="K496" s="41">
        <v>5</v>
      </c>
      <c r="L496" s="41">
        <v>3550000</v>
      </c>
      <c r="M496" s="41"/>
    </row>
    <row r="497" spans="1:13">
      <c r="A497" s="10">
        <v>12303881</v>
      </c>
      <c r="B497" s="1">
        <v>1</v>
      </c>
      <c r="C497" s="2">
        <v>500000</v>
      </c>
      <c r="D497" s="41"/>
      <c r="J497" s="39">
        <v>211639</v>
      </c>
      <c r="K497" s="41">
        <v>5</v>
      </c>
      <c r="L497" s="41">
        <v>3632000</v>
      </c>
      <c r="M497" s="41"/>
    </row>
    <row r="498" spans="1:13">
      <c r="A498" s="10">
        <v>199010</v>
      </c>
      <c r="B498" s="1" t="s">
        <v>1073</v>
      </c>
      <c r="C498" s="2">
        <v>2000000</v>
      </c>
      <c r="D498" s="41"/>
      <c r="J498" s="39">
        <v>211648</v>
      </c>
      <c r="K498" s="41">
        <v>5</v>
      </c>
      <c r="L498" s="41">
        <v>4758000</v>
      </c>
      <c r="M498" s="41"/>
    </row>
    <row r="499" spans="1:13">
      <c r="A499" s="10">
        <v>570740</v>
      </c>
      <c r="B499" s="1" t="s">
        <v>1073</v>
      </c>
      <c r="C499" s="2">
        <v>750000</v>
      </c>
      <c r="D499" s="41"/>
      <c r="J499" s="39">
        <v>337270</v>
      </c>
      <c r="K499" s="41">
        <v>5</v>
      </c>
      <c r="L499" s="41">
        <v>7550000</v>
      </c>
      <c r="M499" s="41"/>
    </row>
    <row r="500" spans="1:13">
      <c r="A500" s="10">
        <v>12323492</v>
      </c>
      <c r="B500" s="1" t="s">
        <v>1073</v>
      </c>
      <c r="C500" s="1" t="s">
        <v>1073</v>
      </c>
      <c r="D500" s="41"/>
      <c r="J500" s="39">
        <v>352910</v>
      </c>
      <c r="K500" s="41">
        <v>3</v>
      </c>
      <c r="L500" s="41">
        <v>500000</v>
      </c>
      <c r="M500" s="41"/>
    </row>
    <row r="501" spans="1:13">
      <c r="A501" s="10">
        <v>325994</v>
      </c>
      <c r="B501" s="1" t="s">
        <v>1073</v>
      </c>
      <c r="C501" s="3">
        <v>225000</v>
      </c>
      <c r="D501" s="41"/>
      <c r="J501" s="39">
        <v>353860</v>
      </c>
      <c r="K501" s="41">
        <v>0</v>
      </c>
      <c r="L501" s="41">
        <v>0</v>
      </c>
      <c r="M501" s="41"/>
    </row>
    <row r="502" spans="1:13">
      <c r="A502" s="10">
        <v>12321533</v>
      </c>
      <c r="B502" s="1" t="s">
        <v>1073</v>
      </c>
      <c r="C502" s="1" t="s">
        <v>1073</v>
      </c>
      <c r="D502" s="41"/>
      <c r="J502" s="39">
        <v>353878</v>
      </c>
      <c r="K502" s="41">
        <v>3</v>
      </c>
      <c r="L502" s="41">
        <v>2000000</v>
      </c>
      <c r="M502" s="41"/>
    </row>
    <row r="503" spans="1:13">
      <c r="A503" s="10">
        <v>62139</v>
      </c>
      <c r="B503" s="1" t="s">
        <v>1073</v>
      </c>
      <c r="C503" s="2">
        <v>3200000</v>
      </c>
      <c r="D503" s="41"/>
      <c r="J503" s="39">
        <v>369362</v>
      </c>
      <c r="K503" s="41">
        <v>2</v>
      </c>
      <c r="L503" s="41">
        <v>254000</v>
      </c>
      <c r="M503" s="41"/>
    </row>
    <row r="504" spans="1:13">
      <c r="A504" s="10">
        <v>12321725</v>
      </c>
      <c r="B504" s="1" t="s">
        <v>1073</v>
      </c>
      <c r="C504" s="2">
        <v>2700000</v>
      </c>
      <c r="D504" s="41"/>
      <c r="J504" s="39">
        <v>402496</v>
      </c>
      <c r="K504" s="41">
        <v>4</v>
      </c>
      <c r="L504" s="41">
        <v>4200000</v>
      </c>
      <c r="M504" s="41"/>
    </row>
    <row r="505" spans="1:13">
      <c r="A505" s="10">
        <v>579115</v>
      </c>
      <c r="B505" s="1" t="s">
        <v>1073</v>
      </c>
      <c r="C505" s="1" t="s">
        <v>1073</v>
      </c>
      <c r="D505" s="41"/>
      <c r="J505" s="39">
        <v>402551</v>
      </c>
      <c r="K505" s="41">
        <v>5</v>
      </c>
      <c r="L505" s="41">
        <v>2000000</v>
      </c>
      <c r="M505" s="41"/>
    </row>
    <row r="506" spans="1:13">
      <c r="A506" s="10">
        <v>12305135</v>
      </c>
      <c r="B506" s="1" t="s">
        <v>1073</v>
      </c>
      <c r="C506" s="2">
        <v>1080370</v>
      </c>
      <c r="D506" s="41"/>
      <c r="J506" s="39">
        <v>404946</v>
      </c>
      <c r="K506" s="41">
        <v>5</v>
      </c>
      <c r="L506" s="41">
        <v>0</v>
      </c>
      <c r="M506" s="41"/>
    </row>
    <row r="507" spans="1:13">
      <c r="A507" s="10">
        <v>369735</v>
      </c>
      <c r="B507" s="1" t="s">
        <v>1073</v>
      </c>
      <c r="C507" s="2">
        <v>1200000</v>
      </c>
      <c r="D507" s="41"/>
      <c r="J507" s="39">
        <v>439306</v>
      </c>
      <c r="K507" s="41">
        <v>156</v>
      </c>
      <c r="L507" s="41">
        <v>750000</v>
      </c>
      <c r="M507" s="41"/>
    </row>
    <row r="508" spans="1:13">
      <c r="A508" s="10">
        <v>12324021</v>
      </c>
      <c r="B508" s="1" t="s">
        <v>1073</v>
      </c>
      <c r="C508" s="1" t="s">
        <v>1073</v>
      </c>
      <c r="D508" s="41"/>
      <c r="J508" s="39">
        <v>442473</v>
      </c>
      <c r="K508" s="41">
        <v>111</v>
      </c>
      <c r="L508" s="41">
        <v>950000</v>
      </c>
      <c r="M508" s="41"/>
    </row>
    <row r="509" spans="1:13">
      <c r="A509" s="10">
        <v>12322351</v>
      </c>
      <c r="B509" s="1">
        <v>48</v>
      </c>
      <c r="C509" s="2">
        <v>6247454</v>
      </c>
      <c r="D509" s="41"/>
      <c r="J509" s="39">
        <v>459969</v>
      </c>
      <c r="K509" s="41">
        <v>1</v>
      </c>
      <c r="L509" s="41">
        <v>129000</v>
      </c>
      <c r="M509" s="41"/>
    </row>
    <row r="510" spans="1:13">
      <c r="A510" s="10">
        <v>12305470</v>
      </c>
      <c r="B510" s="1" t="s">
        <v>1073</v>
      </c>
      <c r="C510" s="1" t="s">
        <v>1073</v>
      </c>
      <c r="D510" s="41"/>
      <c r="J510" s="39">
        <v>489716</v>
      </c>
      <c r="K510" s="41">
        <v>5</v>
      </c>
      <c r="L510" s="41">
        <v>1000000</v>
      </c>
      <c r="M510" s="41"/>
    </row>
    <row r="511" spans="1:13">
      <c r="A511" s="10">
        <v>565559</v>
      </c>
      <c r="B511" s="1" t="s">
        <v>1073</v>
      </c>
      <c r="C511" s="1" t="s">
        <v>1073</v>
      </c>
      <c r="D511" s="41"/>
      <c r="J511" s="39">
        <v>489794</v>
      </c>
      <c r="K511" s="41">
        <v>5</v>
      </c>
      <c r="L511" s="41">
        <v>350000</v>
      </c>
      <c r="M511" s="41"/>
    </row>
    <row r="512" spans="1:13">
      <c r="A512" s="10">
        <v>407992</v>
      </c>
      <c r="B512" s="1" t="s">
        <v>1073</v>
      </c>
      <c r="C512" s="2">
        <v>2000000</v>
      </c>
      <c r="D512" s="41"/>
      <c r="J512" s="39">
        <v>505993</v>
      </c>
      <c r="K512" s="41">
        <v>4</v>
      </c>
      <c r="L512" s="41">
        <v>631000</v>
      </c>
      <c r="M512" s="41"/>
    </row>
    <row r="513" spans="1:13">
      <c r="A513" s="10">
        <v>327626</v>
      </c>
      <c r="B513" s="1" t="s">
        <v>1073</v>
      </c>
      <c r="C513" s="2">
        <v>300000</v>
      </c>
      <c r="D513" s="41"/>
      <c r="J513" s="39">
        <v>523940</v>
      </c>
      <c r="K513" s="41">
        <v>4</v>
      </c>
      <c r="L513" s="41">
        <v>107000</v>
      </c>
      <c r="M513" s="41"/>
    </row>
    <row r="514" spans="1:13">
      <c r="A514" s="10">
        <v>509433</v>
      </c>
      <c r="B514" s="1">
        <v>11</v>
      </c>
      <c r="C514" s="2">
        <v>1858000</v>
      </c>
      <c r="D514" s="41"/>
      <c r="J514" s="39">
        <v>524025</v>
      </c>
      <c r="K514" s="41">
        <v>3</v>
      </c>
      <c r="L514" s="41">
        <v>0</v>
      </c>
      <c r="M514" s="41"/>
    </row>
    <row r="515" spans="1:13">
      <c r="A515" s="10">
        <v>12321213</v>
      </c>
      <c r="B515" s="1" t="s">
        <v>1073</v>
      </c>
      <c r="C515" s="2">
        <v>329000</v>
      </c>
      <c r="D515" s="41"/>
      <c r="J515" s="39">
        <v>533367</v>
      </c>
      <c r="K515" s="41">
        <v>5</v>
      </c>
      <c r="L515" s="41">
        <v>950000</v>
      </c>
      <c r="M515" s="41"/>
    </row>
    <row r="516" spans="1:13">
      <c r="A516" s="10">
        <v>335803</v>
      </c>
      <c r="B516" s="1" t="s">
        <v>1073</v>
      </c>
      <c r="C516" s="1" t="s">
        <v>1073</v>
      </c>
      <c r="D516" s="41"/>
      <c r="J516" s="39">
        <v>546628</v>
      </c>
      <c r="K516" s="41">
        <v>15</v>
      </c>
      <c r="L516" s="41">
        <v>815000</v>
      </c>
      <c r="M516" s="41"/>
    </row>
    <row r="517" spans="1:13">
      <c r="A517" s="10">
        <v>347538</v>
      </c>
      <c r="B517" s="1" t="s">
        <v>1073</v>
      </c>
      <c r="C517" s="1" t="s">
        <v>1073</v>
      </c>
      <c r="D517" s="41"/>
      <c r="J517" s="39">
        <v>548043</v>
      </c>
      <c r="K517" s="41">
        <v>161</v>
      </c>
      <c r="L517" s="41">
        <v>1376500</v>
      </c>
      <c r="M517" s="41"/>
    </row>
    <row r="518" spans="1:13">
      <c r="A518" s="10">
        <v>12326313</v>
      </c>
      <c r="B518" s="1">
        <v>3</v>
      </c>
      <c r="C518" s="2">
        <v>3150500</v>
      </c>
      <c r="D518" s="41"/>
      <c r="J518" s="39">
        <v>580416</v>
      </c>
      <c r="K518" s="41">
        <v>8</v>
      </c>
      <c r="L518" s="41">
        <v>116000</v>
      </c>
      <c r="M518" s="41"/>
    </row>
    <row r="519" spans="1:13">
      <c r="A519" s="10">
        <v>12294847</v>
      </c>
      <c r="B519" s="1">
        <v>2</v>
      </c>
      <c r="C519" s="2">
        <v>1258000</v>
      </c>
      <c r="D519" s="41"/>
      <c r="J519" s="39">
        <v>63886</v>
      </c>
      <c r="K519" s="41">
        <v>5</v>
      </c>
      <c r="L519" s="41">
        <v>1700000</v>
      </c>
      <c r="M519" s="41"/>
    </row>
    <row r="520" spans="1:13">
      <c r="A520" s="10">
        <v>12330602</v>
      </c>
      <c r="B520" s="1" t="s">
        <v>1073</v>
      </c>
      <c r="C520" s="2">
        <v>350000</v>
      </c>
      <c r="D520" s="41"/>
      <c r="J520" s="39">
        <v>67319</v>
      </c>
      <c r="K520" s="41">
        <v>5</v>
      </c>
      <c r="L520" s="41">
        <v>3150000</v>
      </c>
      <c r="M520" s="41"/>
    </row>
    <row r="521" spans="1:13">
      <c r="A521" s="10">
        <v>265773</v>
      </c>
      <c r="B521" s="1" t="s">
        <v>1073</v>
      </c>
      <c r="C521" s="2">
        <v>2350000</v>
      </c>
      <c r="D521" s="41"/>
      <c r="J521" s="39" t="s">
        <v>413</v>
      </c>
      <c r="K521" s="41">
        <v>3</v>
      </c>
      <c r="L521" s="41">
        <v>500000</v>
      </c>
      <c r="M521" s="41"/>
    </row>
    <row r="522" spans="1:13">
      <c r="A522" s="10">
        <v>531707</v>
      </c>
      <c r="B522" s="1" t="s">
        <v>1073</v>
      </c>
      <c r="C522" s="1" t="s">
        <v>1073</v>
      </c>
      <c r="D522" s="41"/>
      <c r="J522" s="39" t="s">
        <v>415</v>
      </c>
      <c r="K522" s="41">
        <v>3</v>
      </c>
      <c r="L522" s="41">
        <v>0</v>
      </c>
      <c r="M522" s="41"/>
    </row>
    <row r="523" spans="1:13">
      <c r="A523" s="10">
        <v>531749</v>
      </c>
      <c r="B523" s="1" t="s">
        <v>1073</v>
      </c>
      <c r="C523" s="2">
        <v>800000</v>
      </c>
      <c r="D523" s="41"/>
      <c r="J523" s="39" t="s">
        <v>416</v>
      </c>
      <c r="K523" s="41">
        <v>0</v>
      </c>
      <c r="L523" s="41">
        <v>150000</v>
      </c>
      <c r="M523" s="41"/>
    </row>
    <row r="524" spans="1:13">
      <c r="A524" s="10">
        <v>265541</v>
      </c>
      <c r="B524" s="1" t="s">
        <v>1073</v>
      </c>
      <c r="C524" s="2">
        <v>400000</v>
      </c>
      <c r="D524" s="41"/>
      <c r="J524" s="39">
        <v>12295756</v>
      </c>
      <c r="K524" s="41">
        <v>47</v>
      </c>
      <c r="L524" s="41">
        <v>360000</v>
      </c>
      <c r="M524" s="41"/>
    </row>
    <row r="525" spans="1:13">
      <c r="A525" s="10">
        <v>488681</v>
      </c>
      <c r="B525" s="1" t="s">
        <v>1073</v>
      </c>
      <c r="C525" s="3">
        <v>100000</v>
      </c>
      <c r="D525" s="41"/>
      <c r="J525" s="39">
        <v>12295782</v>
      </c>
      <c r="K525" s="41">
        <v>5</v>
      </c>
      <c r="L525" s="41">
        <v>350000</v>
      </c>
      <c r="M525" s="41"/>
    </row>
    <row r="526" spans="1:13">
      <c r="A526" s="10">
        <v>513123</v>
      </c>
      <c r="B526" s="1" t="s">
        <v>1073</v>
      </c>
      <c r="C526" s="2">
        <v>950000</v>
      </c>
      <c r="D526" s="41"/>
      <c r="J526" s="39">
        <v>12295785</v>
      </c>
      <c r="K526" s="41">
        <v>3</v>
      </c>
      <c r="L526" s="41">
        <v>765000</v>
      </c>
      <c r="M526" s="41"/>
    </row>
    <row r="527" spans="1:13">
      <c r="A527" s="10">
        <v>411581</v>
      </c>
      <c r="B527" s="1">
        <v>2</v>
      </c>
      <c r="C527" s="3">
        <v>58000</v>
      </c>
      <c r="D527" s="41"/>
      <c r="J527" s="39">
        <v>12295791</v>
      </c>
      <c r="K527" s="41">
        <v>5</v>
      </c>
      <c r="L527" s="41">
        <v>3500000</v>
      </c>
      <c r="M527" s="41"/>
    </row>
    <row r="528" spans="1:13">
      <c r="A528" s="10">
        <v>539830</v>
      </c>
      <c r="B528" s="1" t="s">
        <v>1073</v>
      </c>
      <c r="C528" s="2">
        <v>900000</v>
      </c>
      <c r="D528" s="41"/>
      <c r="J528" s="39">
        <v>12295801</v>
      </c>
      <c r="K528" s="41">
        <v>0</v>
      </c>
      <c r="L528" s="41">
        <v>100000</v>
      </c>
      <c r="M528" s="41"/>
    </row>
    <row r="529" spans="1:13">
      <c r="A529" s="10">
        <v>12294838</v>
      </c>
      <c r="B529" s="1">
        <v>9</v>
      </c>
      <c r="C529" s="3">
        <v>261000</v>
      </c>
      <c r="D529" s="41"/>
      <c r="J529" s="39">
        <v>12295805</v>
      </c>
      <c r="K529" s="41">
        <v>0</v>
      </c>
      <c r="L529" s="41">
        <v>100000</v>
      </c>
      <c r="M529" s="41"/>
    </row>
    <row r="530" spans="1:13">
      <c r="A530" s="10">
        <v>328665</v>
      </c>
      <c r="B530" s="1" t="s">
        <v>1073</v>
      </c>
      <c r="C530" s="1" t="s">
        <v>1073</v>
      </c>
      <c r="D530" s="41"/>
      <c r="J530" s="39">
        <v>12295986</v>
      </c>
      <c r="K530" s="41">
        <v>10</v>
      </c>
      <c r="L530" s="41">
        <v>1250000</v>
      </c>
      <c r="M530" s="41"/>
    </row>
    <row r="531" spans="1:13">
      <c r="A531" s="10">
        <v>8220</v>
      </c>
      <c r="B531" s="1" t="s">
        <v>1073</v>
      </c>
      <c r="C531" s="2">
        <v>2300000</v>
      </c>
      <c r="D531" s="41"/>
      <c r="J531" s="39">
        <v>12295992</v>
      </c>
      <c r="K531" s="41">
        <v>3</v>
      </c>
      <c r="L531" s="41">
        <v>650000</v>
      </c>
      <c r="M531" s="41"/>
    </row>
    <row r="532" spans="1:13">
      <c r="A532" s="10">
        <v>238632</v>
      </c>
      <c r="B532" s="1" t="s">
        <v>1073</v>
      </c>
      <c r="C532" s="1" t="s">
        <v>1073</v>
      </c>
      <c r="D532" s="41"/>
      <c r="J532" s="39">
        <v>12296041</v>
      </c>
      <c r="K532" s="41">
        <v>0</v>
      </c>
      <c r="L532" s="41">
        <v>0</v>
      </c>
      <c r="M532" s="41"/>
    </row>
    <row r="533" spans="1:13">
      <c r="A533" s="10">
        <v>63854</v>
      </c>
      <c r="B533" s="1">
        <v>2</v>
      </c>
      <c r="C533" s="3">
        <v>58000</v>
      </c>
      <c r="D533" s="41"/>
      <c r="J533" s="39">
        <v>12296045</v>
      </c>
      <c r="K533" s="41">
        <v>0</v>
      </c>
      <c r="L533" s="41">
        <v>750000</v>
      </c>
      <c r="M533" s="41"/>
    </row>
    <row r="534" spans="1:13">
      <c r="A534" s="10">
        <v>424470</v>
      </c>
      <c r="B534" s="1" t="s">
        <v>1073</v>
      </c>
      <c r="C534" s="2">
        <v>1100000</v>
      </c>
      <c r="D534" s="41"/>
      <c r="J534" s="39">
        <v>12296049</v>
      </c>
      <c r="K534" s="41">
        <v>42</v>
      </c>
      <c r="L534" s="41">
        <v>743000</v>
      </c>
      <c r="M534" s="41"/>
    </row>
    <row r="535" spans="1:13">
      <c r="A535" s="10">
        <v>61498</v>
      </c>
      <c r="B535" s="1" t="s">
        <v>1073</v>
      </c>
      <c r="C535" s="1" t="s">
        <v>1073</v>
      </c>
      <c r="D535" s="41"/>
      <c r="J535" s="39">
        <v>12296067</v>
      </c>
      <c r="K535" s="41">
        <v>3</v>
      </c>
      <c r="L535" s="41">
        <v>1200000</v>
      </c>
      <c r="M535" s="41"/>
    </row>
    <row r="536" spans="1:13">
      <c r="A536" s="10">
        <v>404684</v>
      </c>
      <c r="B536" s="1" t="s">
        <v>1073</v>
      </c>
      <c r="C536" s="1" t="s">
        <v>1073</v>
      </c>
      <c r="D536" s="41"/>
      <c r="J536" s="39">
        <v>12296068</v>
      </c>
      <c r="K536" s="41">
        <v>5</v>
      </c>
      <c r="L536" s="41">
        <v>967000</v>
      </c>
      <c r="M536" s="41"/>
    </row>
    <row r="537" spans="1:13">
      <c r="A537" s="10">
        <v>543616</v>
      </c>
      <c r="B537" s="1" t="s">
        <v>1073</v>
      </c>
      <c r="C537" s="1" t="s">
        <v>1073</v>
      </c>
      <c r="D537" s="41"/>
      <c r="J537" s="39">
        <v>12296071</v>
      </c>
      <c r="K537" s="41">
        <v>6</v>
      </c>
      <c r="L537" s="41">
        <v>1931000</v>
      </c>
      <c r="M537" s="41"/>
    </row>
    <row r="538" spans="1:13">
      <c r="A538" s="10">
        <v>1978</v>
      </c>
      <c r="B538" s="1">
        <v>1</v>
      </c>
      <c r="C538" s="2">
        <v>1070000</v>
      </c>
      <c r="D538" s="41"/>
      <c r="J538" s="39">
        <v>12296076</v>
      </c>
      <c r="K538" s="41">
        <v>5</v>
      </c>
      <c r="L538" s="41">
        <v>1100000</v>
      </c>
      <c r="M538" s="41"/>
    </row>
    <row r="539" spans="1:13">
      <c r="A539" s="10">
        <v>12328831</v>
      </c>
      <c r="B539" s="1" t="s">
        <v>1073</v>
      </c>
      <c r="C539" s="1" t="s">
        <v>1073</v>
      </c>
      <c r="D539" s="41"/>
      <c r="J539" s="39">
        <v>12296078</v>
      </c>
      <c r="K539" s="41">
        <v>6</v>
      </c>
      <c r="L539" s="41">
        <v>1105000</v>
      </c>
      <c r="M539" s="41"/>
    </row>
    <row r="540" spans="1:13">
      <c r="A540" s="10">
        <v>323376</v>
      </c>
      <c r="B540" s="1">
        <v>3</v>
      </c>
      <c r="C540" s="1" t="s">
        <v>1073</v>
      </c>
      <c r="D540" s="41"/>
      <c r="J540" s="39">
        <v>12296250</v>
      </c>
      <c r="K540" s="41">
        <v>5</v>
      </c>
      <c r="L540" s="41">
        <v>2529000</v>
      </c>
      <c r="M540" s="41"/>
    </row>
    <row r="541" spans="1:13">
      <c r="A541" s="10">
        <v>127148</v>
      </c>
      <c r="B541" s="1" t="s">
        <v>1073</v>
      </c>
      <c r="C541" s="3">
        <v>100000</v>
      </c>
      <c r="D541" s="41"/>
      <c r="J541" s="39">
        <v>12296252</v>
      </c>
      <c r="K541" s="41">
        <v>44</v>
      </c>
      <c r="L541" s="41">
        <v>224000</v>
      </c>
      <c r="M541" s="41"/>
    </row>
    <row r="542" spans="1:13">
      <c r="A542" s="10">
        <v>62131</v>
      </c>
      <c r="B542" s="1" t="s">
        <v>1073</v>
      </c>
      <c r="C542" s="3">
        <v>50000</v>
      </c>
      <c r="D542" s="41"/>
      <c r="J542" s="39">
        <v>12296255</v>
      </c>
      <c r="K542" s="41">
        <v>6</v>
      </c>
      <c r="L542" s="41">
        <v>924000</v>
      </c>
      <c r="M542" s="41"/>
    </row>
    <row r="543" spans="1:13">
      <c r="A543" s="10">
        <v>62039</v>
      </c>
      <c r="B543" s="1" t="s">
        <v>1073</v>
      </c>
      <c r="C543" s="1" t="s">
        <v>1073</v>
      </c>
      <c r="D543" s="41"/>
      <c r="J543" s="39">
        <v>12296256</v>
      </c>
      <c r="K543" s="41">
        <v>5</v>
      </c>
      <c r="L543" s="41">
        <v>392000</v>
      </c>
      <c r="M543" s="41"/>
    </row>
    <row r="544" spans="1:13">
      <c r="A544" s="10">
        <v>512777</v>
      </c>
      <c r="B544" s="1">
        <v>3</v>
      </c>
      <c r="C544" s="1" t="s">
        <v>1073</v>
      </c>
      <c r="D544" s="41"/>
      <c r="J544" s="39">
        <v>12296266</v>
      </c>
      <c r="K544" s="41">
        <v>80</v>
      </c>
      <c r="L544" s="41">
        <v>486000</v>
      </c>
      <c r="M544" s="41"/>
    </row>
    <row r="545" spans="1:13">
      <c r="A545" s="10">
        <v>12295756</v>
      </c>
      <c r="B545" s="1" t="s">
        <v>1073</v>
      </c>
      <c r="C545" s="1" t="s">
        <v>1073</v>
      </c>
      <c r="D545" s="41"/>
      <c r="J545" s="39">
        <v>12296271</v>
      </c>
      <c r="K545" s="41">
        <v>0</v>
      </c>
      <c r="L545" s="41">
        <v>400000</v>
      </c>
      <c r="M545" s="41"/>
    </row>
    <row r="546" spans="1:13">
      <c r="A546" s="10">
        <v>470900</v>
      </c>
      <c r="B546" s="1">
        <v>3</v>
      </c>
      <c r="C546" s="1" t="s">
        <v>1073</v>
      </c>
      <c r="D546" s="41"/>
      <c r="J546" s="39">
        <v>12296276</v>
      </c>
      <c r="K546" s="41">
        <v>0</v>
      </c>
      <c r="L546" s="41">
        <v>450000</v>
      </c>
      <c r="M546" s="41"/>
    </row>
    <row r="547" spans="1:13">
      <c r="A547" s="10">
        <v>12324541</v>
      </c>
      <c r="B547" s="1" t="s">
        <v>1073</v>
      </c>
      <c r="C547" s="1" t="s">
        <v>1073</v>
      </c>
      <c r="D547" s="41"/>
      <c r="J547" s="39">
        <v>12296278</v>
      </c>
      <c r="K547" s="41">
        <v>0</v>
      </c>
      <c r="L547" s="41">
        <v>0</v>
      </c>
      <c r="M547" s="41"/>
    </row>
    <row r="548" spans="1:13">
      <c r="A548" s="10">
        <v>61948</v>
      </c>
      <c r="B548" s="1" t="s">
        <v>1073</v>
      </c>
      <c r="C548" s="1" t="s">
        <v>1073</v>
      </c>
      <c r="D548" s="41"/>
      <c r="J548" s="39">
        <v>12296303</v>
      </c>
      <c r="K548" s="41">
        <v>0</v>
      </c>
      <c r="L548" s="41">
        <v>300000</v>
      </c>
      <c r="M548" s="41"/>
    </row>
    <row r="549" spans="1:13">
      <c r="A549" s="10">
        <v>269947</v>
      </c>
      <c r="B549" s="1">
        <v>1</v>
      </c>
      <c r="C549" s="2">
        <v>4629850</v>
      </c>
      <c r="D549" s="41"/>
      <c r="J549" s="39">
        <v>12296312</v>
      </c>
      <c r="K549" s="41">
        <v>371</v>
      </c>
      <c r="L549" s="41">
        <v>5299000</v>
      </c>
      <c r="M549" s="41"/>
    </row>
    <row r="550" spans="1:13">
      <c r="A550" s="10">
        <v>284945</v>
      </c>
      <c r="B550" s="1" t="s">
        <v>1073</v>
      </c>
      <c r="C550" s="1" t="s">
        <v>1073</v>
      </c>
      <c r="D550" s="41"/>
      <c r="J550" s="39">
        <v>12296326</v>
      </c>
      <c r="K550" s="41">
        <v>1</v>
      </c>
      <c r="L550" s="41">
        <v>207000</v>
      </c>
      <c r="M550" s="41"/>
    </row>
    <row r="551" spans="1:13">
      <c r="A551" s="10">
        <v>12295833</v>
      </c>
      <c r="B551" s="1" t="s">
        <v>1073</v>
      </c>
      <c r="C551" s="1" t="s">
        <v>1073</v>
      </c>
      <c r="D551" s="41"/>
      <c r="J551" s="39">
        <v>12296327</v>
      </c>
      <c r="K551" s="41">
        <v>0</v>
      </c>
      <c r="L551" s="41">
        <v>0</v>
      </c>
      <c r="M551" s="41"/>
    </row>
    <row r="552" spans="1:13">
      <c r="A552" s="10">
        <v>61927</v>
      </c>
      <c r="B552" s="1" t="s">
        <v>1073</v>
      </c>
      <c r="C552" s="1" t="s">
        <v>1073</v>
      </c>
      <c r="D552" s="41"/>
      <c r="J552" s="39">
        <v>12323426</v>
      </c>
      <c r="K552" s="41">
        <v>6</v>
      </c>
      <c r="L552" s="41">
        <v>229000</v>
      </c>
      <c r="M552" s="41"/>
    </row>
    <row r="553" spans="1:13">
      <c r="A553" s="10">
        <v>12303922</v>
      </c>
      <c r="B553" s="1">
        <v>7</v>
      </c>
      <c r="C553" s="3">
        <v>150000</v>
      </c>
      <c r="D553" s="41"/>
      <c r="J553" s="39">
        <v>12323492</v>
      </c>
      <c r="K553" s="41">
        <v>5</v>
      </c>
      <c r="L553" s="41">
        <v>150000</v>
      </c>
      <c r="M553" s="41"/>
    </row>
    <row r="554" spans="1:13">
      <c r="A554" s="10">
        <v>352167</v>
      </c>
      <c r="B554" s="1" t="s">
        <v>1073</v>
      </c>
      <c r="C554" s="2">
        <v>500000</v>
      </c>
      <c r="D554" s="41"/>
      <c r="J554" s="39">
        <v>12296812</v>
      </c>
      <c r="K554" s="41">
        <v>0</v>
      </c>
      <c r="L554" s="41">
        <v>623000</v>
      </c>
      <c r="M554" s="41"/>
    </row>
    <row r="555" spans="1:13">
      <c r="A555" s="10">
        <v>12300882</v>
      </c>
      <c r="B555" s="1" t="s">
        <v>1073</v>
      </c>
      <c r="C555" s="1" t="s">
        <v>1073</v>
      </c>
      <c r="D555" s="41"/>
      <c r="J555" s="39">
        <v>12296813</v>
      </c>
      <c r="K555" s="41">
        <v>0</v>
      </c>
      <c r="L555" s="41">
        <v>0</v>
      </c>
      <c r="M555" s="41"/>
    </row>
    <row r="556" spans="1:13">
      <c r="A556" s="10">
        <v>540113</v>
      </c>
      <c r="B556" s="1" t="s">
        <v>1073</v>
      </c>
      <c r="C556" s="1" t="s">
        <v>1073</v>
      </c>
      <c r="D556" s="41"/>
      <c r="J556" s="39">
        <v>12296815</v>
      </c>
      <c r="K556" s="41">
        <v>0</v>
      </c>
      <c r="L556" s="41">
        <v>1573000</v>
      </c>
      <c r="M556" s="41"/>
    </row>
    <row r="557" spans="1:13">
      <c r="A557" s="10">
        <v>512640</v>
      </c>
      <c r="B557" s="1" t="s">
        <v>1073</v>
      </c>
      <c r="C557" s="2">
        <v>1300000</v>
      </c>
      <c r="D557" s="41"/>
      <c r="J557" s="39">
        <v>12296816</v>
      </c>
      <c r="K557" s="41">
        <v>0</v>
      </c>
      <c r="L557" s="41">
        <v>800000</v>
      </c>
      <c r="M557" s="41"/>
    </row>
    <row r="558" spans="1:13">
      <c r="A558" s="10">
        <v>412602</v>
      </c>
      <c r="B558" s="1">
        <v>3</v>
      </c>
      <c r="C558" s="2">
        <v>2550000</v>
      </c>
      <c r="D558" s="41"/>
      <c r="J558" s="39">
        <v>12296817</v>
      </c>
      <c r="K558" s="41">
        <v>0</v>
      </c>
      <c r="L558" s="41">
        <v>0</v>
      </c>
      <c r="M558" s="41"/>
    </row>
    <row r="559" spans="1:13">
      <c r="A559" s="10">
        <v>538626</v>
      </c>
      <c r="B559" s="1">
        <v>9</v>
      </c>
      <c r="C559" s="2">
        <v>675000</v>
      </c>
      <c r="D559" s="41"/>
      <c r="J559" s="39">
        <v>12296819</v>
      </c>
      <c r="K559" s="41">
        <v>0</v>
      </c>
      <c r="L559" s="41">
        <v>0</v>
      </c>
      <c r="M559" s="41"/>
    </row>
    <row r="560" spans="1:13">
      <c r="A560" s="10">
        <v>510299</v>
      </c>
      <c r="B560" s="1" t="s">
        <v>1073</v>
      </c>
      <c r="C560" s="2">
        <v>500000</v>
      </c>
      <c r="D560" s="41"/>
      <c r="J560" s="39">
        <v>12296823</v>
      </c>
      <c r="K560" s="41">
        <v>0</v>
      </c>
      <c r="L560" s="41">
        <v>123000</v>
      </c>
      <c r="M560" s="41"/>
    </row>
    <row r="561" spans="1:13">
      <c r="A561" s="10">
        <v>12323388</v>
      </c>
      <c r="B561" s="1">
        <v>15</v>
      </c>
      <c r="C561" s="2">
        <v>450000</v>
      </c>
      <c r="D561" s="41"/>
      <c r="J561" s="39">
        <v>12296824</v>
      </c>
      <c r="K561" s="41">
        <v>0</v>
      </c>
      <c r="L561" s="41">
        <v>0</v>
      </c>
      <c r="M561" s="41"/>
    </row>
    <row r="562" spans="1:13">
      <c r="A562" s="10">
        <v>392372</v>
      </c>
      <c r="B562" s="1">
        <v>5</v>
      </c>
      <c r="C562" s="2">
        <v>2923000</v>
      </c>
      <c r="D562" s="41"/>
      <c r="J562" s="39">
        <v>12297014</v>
      </c>
      <c r="K562" s="41">
        <v>0</v>
      </c>
      <c r="L562" s="41">
        <v>0</v>
      </c>
      <c r="M562" s="41"/>
    </row>
    <row r="563" spans="1:13">
      <c r="A563" s="10">
        <v>199236</v>
      </c>
      <c r="B563" s="1" t="s">
        <v>1073</v>
      </c>
      <c r="C563" s="2">
        <v>13000000</v>
      </c>
      <c r="D563" s="41"/>
      <c r="J563" s="39">
        <v>12297032</v>
      </c>
      <c r="K563" s="41">
        <v>0</v>
      </c>
      <c r="L563" s="41">
        <v>0</v>
      </c>
      <c r="M563" s="41"/>
    </row>
    <row r="564" spans="1:13">
      <c r="A564" s="10">
        <v>327231</v>
      </c>
      <c r="B564" s="1">
        <v>1</v>
      </c>
      <c r="C564" s="3">
        <v>29000</v>
      </c>
      <c r="D564" s="41"/>
      <c r="J564" s="39">
        <v>12297040</v>
      </c>
      <c r="K564" s="41">
        <v>0</v>
      </c>
      <c r="L564" s="41">
        <v>150000</v>
      </c>
      <c r="M564" s="41"/>
    </row>
    <row r="565" spans="1:13">
      <c r="A565" s="10">
        <v>484741</v>
      </c>
      <c r="B565" s="1">
        <v>3</v>
      </c>
      <c r="C565" s="2">
        <v>2100000</v>
      </c>
      <c r="D565" s="41"/>
      <c r="J565" s="39">
        <v>12297044</v>
      </c>
      <c r="K565" s="41">
        <v>0</v>
      </c>
      <c r="L565" s="41">
        <v>0</v>
      </c>
      <c r="M565" s="41"/>
    </row>
    <row r="566" spans="1:13">
      <c r="A566" s="10">
        <v>254042</v>
      </c>
      <c r="B566" s="1">
        <v>2</v>
      </c>
      <c r="C566" s="2">
        <v>470000</v>
      </c>
      <c r="D566" s="41"/>
      <c r="J566" s="39">
        <v>12297054</v>
      </c>
      <c r="K566" s="41">
        <v>4</v>
      </c>
      <c r="L566" s="41">
        <v>141000</v>
      </c>
      <c r="M566" s="41"/>
    </row>
    <row r="567" spans="1:13">
      <c r="A567" s="10">
        <v>12297197</v>
      </c>
      <c r="B567" s="1">
        <v>1</v>
      </c>
      <c r="C567" s="3">
        <v>29000</v>
      </c>
      <c r="D567" s="41"/>
      <c r="J567" s="39">
        <v>12297170</v>
      </c>
      <c r="K567" s="41">
        <v>5</v>
      </c>
      <c r="L567" s="41">
        <v>386000</v>
      </c>
      <c r="M567" s="41"/>
    </row>
    <row r="568" spans="1:13">
      <c r="A568" s="10">
        <v>272014</v>
      </c>
      <c r="B568" s="1">
        <v>1</v>
      </c>
      <c r="C568" s="2">
        <v>3429000</v>
      </c>
      <c r="D568" s="41"/>
      <c r="J568" s="39">
        <v>12297173</v>
      </c>
      <c r="K568" s="41">
        <v>0</v>
      </c>
      <c r="L568" s="41">
        <v>0</v>
      </c>
      <c r="M568" s="41"/>
    </row>
    <row r="569" spans="1:13">
      <c r="A569" s="10">
        <v>12296070</v>
      </c>
      <c r="B569" s="1" t="s">
        <v>1073</v>
      </c>
      <c r="C569" s="1" t="s">
        <v>1073</v>
      </c>
      <c r="D569" s="41"/>
      <c r="J569" s="39">
        <v>12297174</v>
      </c>
      <c r="K569" s="41">
        <v>0</v>
      </c>
      <c r="L569" s="41">
        <v>0</v>
      </c>
      <c r="M569" s="41"/>
    </row>
    <row r="570" spans="1:13">
      <c r="A570" s="10">
        <v>12325666</v>
      </c>
      <c r="B570" s="1">
        <v>3</v>
      </c>
      <c r="C570" s="1" t="s">
        <v>1073</v>
      </c>
      <c r="D570" s="41"/>
      <c r="J570" s="39">
        <v>12297183</v>
      </c>
      <c r="K570" s="41">
        <v>10</v>
      </c>
      <c r="L570" s="41">
        <v>1587000</v>
      </c>
      <c r="M570" s="41"/>
    </row>
    <row r="571" spans="1:13">
      <c r="A571" s="10">
        <v>536320</v>
      </c>
      <c r="B571" s="1" t="s">
        <v>1073</v>
      </c>
      <c r="C571" s="3">
        <v>100000</v>
      </c>
      <c r="D571" s="41"/>
      <c r="J571" s="39">
        <v>12297190</v>
      </c>
      <c r="K571" s="41">
        <v>0</v>
      </c>
      <c r="L571" s="41">
        <v>0</v>
      </c>
      <c r="M571" s="41"/>
    </row>
    <row r="572" spans="1:13">
      <c r="A572" s="10">
        <v>62365</v>
      </c>
      <c r="B572" s="1" t="s">
        <v>1073</v>
      </c>
      <c r="C572" s="2">
        <v>1250000</v>
      </c>
      <c r="D572" s="41"/>
      <c r="J572" s="39">
        <v>12297195</v>
      </c>
      <c r="K572" s="41">
        <v>0</v>
      </c>
      <c r="L572" s="41">
        <v>0</v>
      </c>
      <c r="M572" s="41"/>
    </row>
    <row r="573" spans="1:13">
      <c r="A573" s="10">
        <v>288094</v>
      </c>
      <c r="B573" s="1" t="s">
        <v>1073</v>
      </c>
      <c r="C573" s="3">
        <v>200000</v>
      </c>
      <c r="D573" s="41"/>
      <c r="J573" s="39">
        <v>12297197</v>
      </c>
      <c r="K573" s="41">
        <v>0</v>
      </c>
      <c r="L573" s="41">
        <v>0</v>
      </c>
      <c r="M573" s="41"/>
    </row>
    <row r="574" spans="1:13">
      <c r="A574" s="10">
        <v>410976</v>
      </c>
      <c r="B574" s="1" t="s">
        <v>1073</v>
      </c>
      <c r="C574" s="2">
        <v>300000</v>
      </c>
      <c r="D574" s="41"/>
      <c r="J574" s="39">
        <v>12297198</v>
      </c>
      <c r="K574" s="41">
        <v>0</v>
      </c>
      <c r="L574" s="41">
        <v>0</v>
      </c>
      <c r="M574" s="41"/>
    </row>
    <row r="575" spans="1:13">
      <c r="A575" s="10">
        <v>329519</v>
      </c>
      <c r="B575" s="1" t="s">
        <v>1073</v>
      </c>
      <c r="C575" s="2">
        <v>2290000</v>
      </c>
      <c r="D575" s="41"/>
      <c r="J575" s="39">
        <v>12300507</v>
      </c>
      <c r="K575" s="41">
        <v>0</v>
      </c>
      <c r="L575" s="41">
        <v>500000</v>
      </c>
      <c r="M575" s="41"/>
    </row>
    <row r="576" spans="1:13">
      <c r="A576" s="10">
        <v>127072</v>
      </c>
      <c r="B576" s="1" t="s">
        <v>1073</v>
      </c>
      <c r="C576" s="2">
        <v>500000</v>
      </c>
      <c r="D576" s="41"/>
      <c r="J576" s="39">
        <v>12300796</v>
      </c>
      <c r="K576" s="41">
        <v>0</v>
      </c>
      <c r="L576" s="41">
        <v>94000</v>
      </c>
      <c r="M576" s="41"/>
    </row>
    <row r="577" spans="1:13">
      <c r="A577" s="10">
        <v>195102</v>
      </c>
      <c r="B577" s="1">
        <v>4</v>
      </c>
      <c r="C577" s="2">
        <v>2868000</v>
      </c>
      <c r="D577" s="41"/>
      <c r="J577" s="39">
        <v>12325944</v>
      </c>
      <c r="K577" s="41">
        <v>6</v>
      </c>
      <c r="L577" s="41">
        <v>514000</v>
      </c>
      <c r="M577" s="41"/>
    </row>
    <row r="578" spans="1:13">
      <c r="A578" s="10">
        <v>489794</v>
      </c>
      <c r="B578" s="1" t="s">
        <v>1073</v>
      </c>
      <c r="C578" s="1" t="s">
        <v>1073</v>
      </c>
      <c r="D578" s="41"/>
      <c r="J578" s="39">
        <v>12325965</v>
      </c>
      <c r="K578" s="41">
        <v>0</v>
      </c>
      <c r="L578" s="41">
        <v>0</v>
      </c>
      <c r="M578" s="41"/>
    </row>
    <row r="579" spans="1:13">
      <c r="A579" s="10">
        <v>61652</v>
      </c>
      <c r="B579" s="1" t="s">
        <v>1073</v>
      </c>
      <c r="C579" s="1" t="s">
        <v>1073</v>
      </c>
      <c r="D579" s="41"/>
      <c r="J579" s="39">
        <v>12326539</v>
      </c>
      <c r="K579" s="41">
        <v>0</v>
      </c>
      <c r="L579" s="41">
        <v>0</v>
      </c>
      <c r="M579" s="41"/>
    </row>
    <row r="580" spans="1:13">
      <c r="A580" s="10">
        <v>510981</v>
      </c>
      <c r="B580" s="1" t="s">
        <v>1073</v>
      </c>
      <c r="C580" s="2">
        <v>12000000</v>
      </c>
      <c r="D580" s="41"/>
      <c r="J580" s="39">
        <v>12327271</v>
      </c>
      <c r="K580" s="41">
        <v>0</v>
      </c>
      <c r="L580" s="41">
        <v>0</v>
      </c>
      <c r="M580" s="41"/>
    </row>
    <row r="581" spans="1:13">
      <c r="A581" s="10">
        <v>12324194</v>
      </c>
      <c r="B581" s="1">
        <v>4</v>
      </c>
      <c r="C581" s="1" t="s">
        <v>1073</v>
      </c>
      <c r="D581" s="41"/>
      <c r="J581" s="39">
        <v>12327272</v>
      </c>
      <c r="K581" s="41">
        <v>10</v>
      </c>
      <c r="L581" s="41">
        <v>591000</v>
      </c>
      <c r="M581" s="41"/>
    </row>
    <row r="582" spans="1:13">
      <c r="A582" s="10">
        <v>2677</v>
      </c>
      <c r="B582" s="1" t="s">
        <v>1073</v>
      </c>
      <c r="C582" s="2">
        <v>300000</v>
      </c>
      <c r="D582" s="41"/>
      <c r="J582" s="39">
        <v>12327273</v>
      </c>
      <c r="K582" s="41">
        <v>0</v>
      </c>
      <c r="L582" s="41">
        <v>300000</v>
      </c>
      <c r="M582" s="41"/>
    </row>
    <row r="583" spans="1:13">
      <c r="A583" s="10">
        <v>502217</v>
      </c>
      <c r="B583" s="1">
        <v>5</v>
      </c>
      <c r="C583" s="3">
        <v>208000</v>
      </c>
      <c r="D583" s="41"/>
      <c r="J583" s="39">
        <v>12327274</v>
      </c>
      <c r="K583" s="41">
        <v>0</v>
      </c>
      <c r="L583" s="41">
        <v>0</v>
      </c>
      <c r="M583" s="41"/>
    </row>
    <row r="584" spans="1:13">
      <c r="A584" s="10">
        <v>523938</v>
      </c>
      <c r="B584" s="1" t="s">
        <v>1073</v>
      </c>
      <c r="C584" s="1" t="s">
        <v>1073</v>
      </c>
      <c r="D584" s="41"/>
      <c r="J584" s="39" t="s">
        <v>453</v>
      </c>
      <c r="K584" s="41">
        <v>25</v>
      </c>
      <c r="L584" s="41">
        <v>421000</v>
      </c>
      <c r="M584" s="41"/>
    </row>
    <row r="585" spans="1:13">
      <c r="A585" s="10">
        <v>149221</v>
      </c>
      <c r="B585" s="1" t="s">
        <v>1073</v>
      </c>
      <c r="C585" s="1" t="s">
        <v>1073</v>
      </c>
      <c r="D585" s="41"/>
      <c r="J585" s="39" t="s">
        <v>454</v>
      </c>
      <c r="K585" s="41">
        <v>20</v>
      </c>
      <c r="L585" s="41">
        <v>125000</v>
      </c>
      <c r="M585" s="41"/>
    </row>
    <row r="586" spans="1:13">
      <c r="A586" s="10">
        <v>514404</v>
      </c>
      <c r="B586" s="1" t="s">
        <v>1073</v>
      </c>
      <c r="C586" s="1" t="s">
        <v>1073</v>
      </c>
      <c r="D586" s="41"/>
      <c r="J586" s="39">
        <v>12295896</v>
      </c>
      <c r="K586" s="41">
        <v>0</v>
      </c>
      <c r="L586" s="41">
        <v>1350000</v>
      </c>
      <c r="M586" s="41"/>
    </row>
    <row r="587" spans="1:13">
      <c r="A587" s="10">
        <v>211589</v>
      </c>
      <c r="B587" s="1" t="s">
        <v>1073</v>
      </c>
      <c r="C587" s="2">
        <v>450000</v>
      </c>
      <c r="D587" s="41"/>
      <c r="J587" s="39">
        <v>12296215</v>
      </c>
      <c r="K587" s="41">
        <v>0</v>
      </c>
      <c r="L587" s="41">
        <v>367000</v>
      </c>
      <c r="M587" s="41"/>
    </row>
    <row r="588" spans="1:13">
      <c r="A588" s="10">
        <v>392325</v>
      </c>
      <c r="B588" s="1">
        <v>3</v>
      </c>
      <c r="C588" s="2">
        <v>1300000</v>
      </c>
      <c r="D588" s="41"/>
      <c r="J588" s="39">
        <v>12296241</v>
      </c>
      <c r="K588" s="41">
        <v>0</v>
      </c>
      <c r="L588" s="41">
        <v>0</v>
      </c>
      <c r="M588" s="41"/>
    </row>
    <row r="589" spans="1:13">
      <c r="A589" s="10">
        <v>1556</v>
      </c>
      <c r="B589" s="1">
        <v>4</v>
      </c>
      <c r="C589" s="2">
        <v>2166000</v>
      </c>
      <c r="D589" s="41"/>
      <c r="J589" s="39">
        <v>12300839</v>
      </c>
      <c r="K589" s="41">
        <v>7</v>
      </c>
      <c r="L589" s="41">
        <v>240000</v>
      </c>
      <c r="M589" s="41"/>
    </row>
    <row r="590" spans="1:13">
      <c r="A590" s="10">
        <v>364974</v>
      </c>
      <c r="B590" s="1" t="s">
        <v>1073</v>
      </c>
      <c r="C590" s="3">
        <v>200000</v>
      </c>
      <c r="D590" s="41"/>
      <c r="J590" s="39">
        <v>12304067</v>
      </c>
      <c r="K590" s="41">
        <v>7</v>
      </c>
      <c r="L590" s="41">
        <v>0</v>
      </c>
      <c r="M590" s="41"/>
    </row>
    <row r="591" spans="1:13">
      <c r="A591" s="10">
        <v>541003</v>
      </c>
      <c r="B591" s="1" t="s">
        <v>1073</v>
      </c>
      <c r="C591" s="2">
        <v>1000000</v>
      </c>
      <c r="D591" s="41"/>
      <c r="J591" s="39">
        <v>12317892</v>
      </c>
      <c r="K591" s="41">
        <v>0</v>
      </c>
      <c r="L591" s="41">
        <v>600000</v>
      </c>
      <c r="M591" s="41"/>
    </row>
    <row r="592" spans="1:13">
      <c r="A592" s="10">
        <v>543720</v>
      </c>
      <c r="B592" s="1">
        <v>5</v>
      </c>
      <c r="C592" s="1" t="s">
        <v>1073</v>
      </c>
      <c r="D592" s="41"/>
      <c r="J592" s="39">
        <v>12320857</v>
      </c>
      <c r="K592" s="41">
        <v>0</v>
      </c>
      <c r="L592" s="41">
        <v>0</v>
      </c>
      <c r="M592" s="41"/>
    </row>
    <row r="593" spans="1:13">
      <c r="A593" s="10">
        <v>12326533</v>
      </c>
      <c r="B593" s="1" t="s">
        <v>1073</v>
      </c>
      <c r="C593" s="3">
        <v>50000</v>
      </c>
      <c r="D593" s="41"/>
      <c r="J593" s="39">
        <v>12320892</v>
      </c>
      <c r="K593" s="41">
        <v>6</v>
      </c>
      <c r="L593" s="41">
        <v>1100000</v>
      </c>
      <c r="M593" s="41"/>
    </row>
    <row r="594" spans="1:13">
      <c r="A594" s="10">
        <v>477625</v>
      </c>
      <c r="B594" s="1">
        <v>56</v>
      </c>
      <c r="C594" s="1" t="s">
        <v>1073</v>
      </c>
      <c r="D594" s="41"/>
      <c r="J594" s="39">
        <v>12321868</v>
      </c>
      <c r="K594" s="41">
        <v>0</v>
      </c>
      <c r="L594" s="41">
        <v>0</v>
      </c>
      <c r="M594" s="41"/>
    </row>
    <row r="595" spans="1:13">
      <c r="A595" s="10">
        <v>12321885</v>
      </c>
      <c r="B595" s="1" t="s">
        <v>1073</v>
      </c>
      <c r="C595" s="1" t="s">
        <v>1073</v>
      </c>
      <c r="D595" s="41"/>
      <c r="J595" s="39">
        <v>12321883</v>
      </c>
      <c r="K595" s="41">
        <v>2</v>
      </c>
      <c r="L595" s="41">
        <v>1000000</v>
      </c>
      <c r="M595" s="41"/>
    </row>
    <row r="596" spans="1:13">
      <c r="A596" s="10">
        <v>126963</v>
      </c>
      <c r="B596" s="1">
        <v>4</v>
      </c>
      <c r="C596" s="2">
        <v>400000</v>
      </c>
      <c r="D596" s="41"/>
      <c r="J596" s="39">
        <v>12321885</v>
      </c>
      <c r="K596" s="41">
        <v>3</v>
      </c>
      <c r="L596" s="41">
        <v>2000000</v>
      </c>
      <c r="M596" s="41"/>
    </row>
    <row r="597" spans="1:13">
      <c r="A597" s="10">
        <v>494950</v>
      </c>
      <c r="B597" s="1" t="s">
        <v>1073</v>
      </c>
      <c r="C597" s="2">
        <v>300000</v>
      </c>
      <c r="D597" s="41"/>
      <c r="J597" s="39">
        <v>12321896</v>
      </c>
      <c r="K597" s="41">
        <v>3</v>
      </c>
      <c r="L597" s="41">
        <v>1250000</v>
      </c>
      <c r="M597" s="41"/>
    </row>
    <row r="598" spans="1:13">
      <c r="A598" s="10">
        <v>279169</v>
      </c>
      <c r="B598" s="1" t="s">
        <v>1073</v>
      </c>
      <c r="C598" s="1" t="s">
        <v>1073</v>
      </c>
      <c r="D598" s="41"/>
      <c r="J598" s="39">
        <v>12322263</v>
      </c>
      <c r="K598" s="41">
        <v>0</v>
      </c>
      <c r="L598" s="41">
        <v>0</v>
      </c>
      <c r="M598" s="41"/>
    </row>
    <row r="599" spans="1:13">
      <c r="A599" s="10">
        <v>231806</v>
      </c>
      <c r="B599" s="1">
        <v>2</v>
      </c>
      <c r="C599" s="2">
        <v>2000000</v>
      </c>
      <c r="D599" s="41"/>
      <c r="J599" s="39">
        <v>12322388</v>
      </c>
      <c r="K599" s="41">
        <v>5</v>
      </c>
      <c r="L599" s="41">
        <v>1300000</v>
      </c>
      <c r="M599" s="41"/>
    </row>
    <row r="600" spans="1:13">
      <c r="A600" s="10">
        <v>62019</v>
      </c>
      <c r="B600" s="1" t="s">
        <v>1073</v>
      </c>
      <c r="C600" s="1" t="s">
        <v>1073</v>
      </c>
      <c r="D600" s="41"/>
      <c r="J600" s="39">
        <v>12322440</v>
      </c>
      <c r="K600" s="41">
        <v>1</v>
      </c>
      <c r="L600" s="41">
        <v>2950000</v>
      </c>
      <c r="M600" s="41"/>
    </row>
    <row r="601" spans="1:13">
      <c r="A601" s="10">
        <v>115177</v>
      </c>
      <c r="B601" s="1" t="s">
        <v>1073</v>
      </c>
      <c r="C601" s="1" t="s">
        <v>1073</v>
      </c>
      <c r="D601" s="41"/>
      <c r="J601" s="39">
        <v>12322462</v>
      </c>
      <c r="K601" s="41">
        <v>1</v>
      </c>
      <c r="L601" s="41">
        <v>1150000</v>
      </c>
      <c r="M601" s="41"/>
    </row>
    <row r="602" spans="1:13">
      <c r="A602" s="10">
        <v>2643</v>
      </c>
      <c r="B602" s="1">
        <v>2</v>
      </c>
      <c r="C602" s="3">
        <v>158000</v>
      </c>
      <c r="D602" s="41"/>
      <c r="J602" s="39">
        <v>12324541</v>
      </c>
      <c r="K602" s="41">
        <v>1</v>
      </c>
      <c r="L602" s="41">
        <v>500000</v>
      </c>
      <c r="M602" s="41"/>
    </row>
    <row r="603" spans="1:13">
      <c r="A603" s="10">
        <v>488992</v>
      </c>
      <c r="B603" s="1" t="s">
        <v>1073</v>
      </c>
      <c r="C603" s="2">
        <v>600000</v>
      </c>
      <c r="D603" s="41"/>
      <c r="J603" s="39">
        <v>12327739</v>
      </c>
      <c r="K603" s="41">
        <v>0</v>
      </c>
      <c r="L603" s="41">
        <v>0</v>
      </c>
      <c r="M603" s="41"/>
    </row>
    <row r="604" spans="1:13">
      <c r="A604" s="10">
        <v>342770</v>
      </c>
      <c r="B604" s="1" t="s">
        <v>1073</v>
      </c>
      <c r="C604" s="1" t="s">
        <v>1073</v>
      </c>
      <c r="D604" s="41"/>
      <c r="J604" s="39">
        <v>127079</v>
      </c>
      <c r="K604" s="41">
        <v>2</v>
      </c>
      <c r="L604" s="41">
        <v>12200000</v>
      </c>
      <c r="M604" s="41"/>
    </row>
    <row r="605" spans="1:13">
      <c r="A605" s="10">
        <v>114854</v>
      </c>
      <c r="B605" s="1" t="s">
        <v>1073</v>
      </c>
      <c r="C605" s="1" t="s">
        <v>1073</v>
      </c>
      <c r="D605" s="41"/>
      <c r="J605" s="39">
        <v>13554</v>
      </c>
      <c r="K605" s="41">
        <v>4</v>
      </c>
      <c r="L605" s="41">
        <v>1049000</v>
      </c>
      <c r="M605" s="41"/>
    </row>
    <row r="606" spans="1:13">
      <c r="A606" s="10">
        <v>61981</v>
      </c>
      <c r="B606" s="1" t="s">
        <v>1073</v>
      </c>
      <c r="C606" s="2">
        <v>1500000</v>
      </c>
      <c r="D606" s="41"/>
      <c r="J606" s="39">
        <v>13657</v>
      </c>
      <c r="K606" s="41">
        <v>6</v>
      </c>
      <c r="L606" s="41">
        <v>800000</v>
      </c>
      <c r="M606" s="41"/>
    </row>
    <row r="607" spans="1:13">
      <c r="A607" s="10">
        <v>231086</v>
      </c>
      <c r="B607" s="1" t="s">
        <v>1073</v>
      </c>
      <c r="C607" s="2">
        <v>450000</v>
      </c>
      <c r="D607" s="41"/>
      <c r="J607" s="39">
        <v>139908</v>
      </c>
      <c r="K607" s="41">
        <v>1</v>
      </c>
      <c r="L607" s="41">
        <v>800000</v>
      </c>
      <c r="M607" s="41"/>
    </row>
    <row r="608" spans="1:13">
      <c r="A608" s="10">
        <v>61799</v>
      </c>
      <c r="B608" s="1" t="s">
        <v>1073</v>
      </c>
      <c r="C608" s="3">
        <v>150000</v>
      </c>
      <c r="D608" s="41"/>
      <c r="J608" s="39">
        <v>1777</v>
      </c>
      <c r="K608" s="41">
        <v>6</v>
      </c>
      <c r="L608" s="41">
        <v>450000</v>
      </c>
      <c r="M608" s="41"/>
    </row>
    <row r="609" spans="1:13">
      <c r="A609" s="10">
        <v>330648</v>
      </c>
      <c r="B609" s="1" t="s">
        <v>1073</v>
      </c>
      <c r="C609" s="2">
        <v>400000</v>
      </c>
      <c r="D609" s="41"/>
      <c r="J609" s="39">
        <v>199082</v>
      </c>
      <c r="K609" s="41">
        <v>0</v>
      </c>
      <c r="L609" s="41">
        <v>200000</v>
      </c>
      <c r="M609" s="41"/>
    </row>
    <row r="610" spans="1:13">
      <c r="A610" s="10">
        <v>199185</v>
      </c>
      <c r="B610" s="1">
        <v>2</v>
      </c>
      <c r="C610" s="3">
        <v>250000</v>
      </c>
      <c r="D610" s="41"/>
      <c r="J610" s="39">
        <v>199121</v>
      </c>
      <c r="K610" s="41">
        <v>2</v>
      </c>
      <c r="L610" s="41">
        <v>650000</v>
      </c>
      <c r="M610" s="41"/>
    </row>
    <row r="611" spans="1:13">
      <c r="A611" s="10">
        <v>2201</v>
      </c>
      <c r="B611" s="1" t="s">
        <v>1073</v>
      </c>
      <c r="C611" s="2">
        <v>5300000</v>
      </c>
      <c r="D611" s="41"/>
      <c r="J611" s="39">
        <v>199141</v>
      </c>
      <c r="K611" s="41">
        <v>7</v>
      </c>
      <c r="L611" s="41">
        <v>0</v>
      </c>
      <c r="M611" s="41"/>
    </row>
    <row r="612" spans="1:13">
      <c r="A612" s="10">
        <v>274492</v>
      </c>
      <c r="B612" s="1">
        <v>2</v>
      </c>
      <c r="C612" s="2">
        <v>1350000</v>
      </c>
      <c r="D612" s="41"/>
      <c r="J612" s="39">
        <v>199236</v>
      </c>
      <c r="K612" s="41">
        <v>4</v>
      </c>
      <c r="L612" s="41">
        <v>31000000</v>
      </c>
      <c r="M612" s="41"/>
    </row>
    <row r="613" spans="1:13">
      <c r="A613" s="10">
        <v>12296071</v>
      </c>
      <c r="B613" s="1">
        <v>3</v>
      </c>
      <c r="C613" s="2">
        <v>300000</v>
      </c>
      <c r="D613" s="41"/>
      <c r="J613" s="39">
        <v>200996</v>
      </c>
      <c r="K613" s="41">
        <v>206</v>
      </c>
      <c r="L613" s="41">
        <v>8190000</v>
      </c>
      <c r="M613" s="41"/>
    </row>
    <row r="614" spans="1:13">
      <c r="A614" s="10">
        <v>458949</v>
      </c>
      <c r="B614" s="1">
        <v>1</v>
      </c>
      <c r="C614" s="2">
        <v>1800000</v>
      </c>
      <c r="D614" s="41"/>
      <c r="J614" s="39">
        <v>211589</v>
      </c>
      <c r="K614" s="41">
        <v>5</v>
      </c>
      <c r="L614" s="41">
        <v>1800000</v>
      </c>
      <c r="M614" s="41"/>
    </row>
    <row r="615" spans="1:13">
      <c r="A615" s="10">
        <v>287622</v>
      </c>
      <c r="B615" s="1" t="s">
        <v>1073</v>
      </c>
      <c r="C615" s="2">
        <v>670500</v>
      </c>
      <c r="D615" s="41"/>
      <c r="J615" s="39">
        <v>211655</v>
      </c>
      <c r="K615" s="41">
        <v>0</v>
      </c>
      <c r="L615" s="41">
        <v>200000</v>
      </c>
      <c r="M615" s="41"/>
    </row>
    <row r="616" spans="1:13">
      <c r="A616" s="10">
        <v>12300536</v>
      </c>
      <c r="B616" s="1" t="s">
        <v>1073</v>
      </c>
      <c r="C616" s="1" t="s">
        <v>1073</v>
      </c>
      <c r="D616" s="41"/>
      <c r="J616" s="39">
        <v>211660</v>
      </c>
      <c r="K616" s="41">
        <v>4</v>
      </c>
      <c r="L616" s="41">
        <v>229000</v>
      </c>
      <c r="M616" s="41"/>
    </row>
    <row r="617" spans="1:13">
      <c r="A617" s="10">
        <v>265466</v>
      </c>
      <c r="B617" s="1" t="s">
        <v>1073</v>
      </c>
      <c r="C617" s="1" t="s">
        <v>1073</v>
      </c>
      <c r="D617" s="41"/>
      <c r="J617" s="39">
        <v>211748</v>
      </c>
      <c r="K617" s="41">
        <v>3</v>
      </c>
      <c r="L617" s="41">
        <v>6000000</v>
      </c>
      <c r="M617" s="41"/>
    </row>
    <row r="618" spans="1:13">
      <c r="A618" s="10">
        <v>571637</v>
      </c>
      <c r="B618" s="1" t="s">
        <v>1073</v>
      </c>
      <c r="C618" s="2">
        <v>400000</v>
      </c>
      <c r="D618" s="41"/>
      <c r="J618" s="39">
        <v>240352</v>
      </c>
      <c r="K618" s="41">
        <v>3</v>
      </c>
      <c r="L618" s="41">
        <v>29000000</v>
      </c>
      <c r="M618" s="41"/>
    </row>
    <row r="619" spans="1:13">
      <c r="A619" s="10">
        <v>524914</v>
      </c>
      <c r="B619" s="1" t="s">
        <v>1073</v>
      </c>
      <c r="C619" s="2">
        <v>1000000</v>
      </c>
      <c r="D619" s="41"/>
      <c r="J619" s="39">
        <v>2513</v>
      </c>
      <c r="K619" s="41">
        <v>1</v>
      </c>
      <c r="L619" s="41">
        <v>6500000</v>
      </c>
      <c r="M619" s="41"/>
    </row>
    <row r="620" spans="1:13">
      <c r="A620" s="10">
        <v>62083</v>
      </c>
      <c r="B620" s="1" t="s">
        <v>1073</v>
      </c>
      <c r="C620" s="3">
        <v>100000</v>
      </c>
      <c r="D620" s="41"/>
      <c r="J620" s="39">
        <v>265677</v>
      </c>
      <c r="K620" s="41">
        <v>0</v>
      </c>
      <c r="L620" s="41">
        <v>1800000</v>
      </c>
      <c r="M620" s="41"/>
    </row>
    <row r="621" spans="1:13">
      <c r="A621" s="10">
        <v>12318079</v>
      </c>
      <c r="B621" s="1">
        <v>4</v>
      </c>
      <c r="C621" s="2">
        <v>300000</v>
      </c>
      <c r="D621" s="41"/>
      <c r="J621" s="39">
        <v>288094</v>
      </c>
      <c r="K621" s="41">
        <v>4</v>
      </c>
      <c r="L621" s="41">
        <v>200000</v>
      </c>
      <c r="M621" s="41"/>
    </row>
    <row r="622" spans="1:13">
      <c r="A622" s="10">
        <v>211696</v>
      </c>
      <c r="B622" s="1">
        <v>1</v>
      </c>
      <c r="C622" s="2">
        <v>379000</v>
      </c>
      <c r="D622" s="41"/>
      <c r="J622" s="39">
        <v>385492</v>
      </c>
      <c r="K622" s="41">
        <v>0</v>
      </c>
      <c r="L622" s="41">
        <v>600000</v>
      </c>
      <c r="M622" s="41"/>
    </row>
    <row r="623" spans="1:13">
      <c r="A623" s="10">
        <v>61848</v>
      </c>
      <c r="B623" s="1" t="s">
        <v>1073</v>
      </c>
      <c r="C623" s="1" t="s">
        <v>1073</v>
      </c>
      <c r="D623" s="41"/>
      <c r="J623" s="39">
        <v>392044</v>
      </c>
      <c r="K623" s="41">
        <v>4</v>
      </c>
      <c r="L623" s="41">
        <v>0</v>
      </c>
      <c r="M623" s="41"/>
    </row>
    <row r="624" spans="1:13">
      <c r="A624" s="10">
        <v>518161</v>
      </c>
      <c r="B624" s="1" t="s">
        <v>1073</v>
      </c>
      <c r="C624" s="2">
        <v>500000</v>
      </c>
      <c r="D624" s="41"/>
      <c r="J624" s="39">
        <v>394067</v>
      </c>
      <c r="K624" s="41">
        <v>7</v>
      </c>
      <c r="L624" s="41">
        <v>700000</v>
      </c>
      <c r="M624" s="41"/>
    </row>
    <row r="625" spans="1:13">
      <c r="A625" s="10">
        <v>12294918</v>
      </c>
      <c r="B625" s="1" t="s">
        <v>1073</v>
      </c>
      <c r="C625" s="2">
        <v>500000</v>
      </c>
      <c r="D625" s="41"/>
      <c r="J625" s="39">
        <v>407654</v>
      </c>
      <c r="K625" s="41">
        <v>0</v>
      </c>
      <c r="L625" s="41">
        <v>300000</v>
      </c>
      <c r="M625" s="41"/>
    </row>
    <row r="626" spans="1:13">
      <c r="A626" s="10">
        <v>211807</v>
      </c>
      <c r="B626" s="1" t="s">
        <v>1073</v>
      </c>
      <c r="C626" s="2">
        <v>2000000</v>
      </c>
      <c r="D626" s="41"/>
      <c r="J626" s="39">
        <v>408081</v>
      </c>
      <c r="K626" s="41">
        <v>0</v>
      </c>
      <c r="L626" s="41">
        <v>1800000</v>
      </c>
      <c r="M626" s="41"/>
    </row>
    <row r="627" spans="1:13">
      <c r="A627" s="10">
        <v>580416</v>
      </c>
      <c r="B627" s="1">
        <v>10</v>
      </c>
      <c r="C627" s="1" t="s">
        <v>1073</v>
      </c>
      <c r="D627" s="41"/>
      <c r="J627" s="39">
        <v>411810</v>
      </c>
      <c r="K627" s="41">
        <v>3</v>
      </c>
      <c r="L627" s="41">
        <v>6100000</v>
      </c>
      <c r="M627" s="41"/>
    </row>
    <row r="628" spans="1:13">
      <c r="A628" s="10">
        <v>12330397</v>
      </c>
      <c r="B628" s="1" t="s">
        <v>1073</v>
      </c>
      <c r="C628" s="3">
        <v>200000</v>
      </c>
      <c r="D628" s="41"/>
      <c r="J628" s="39">
        <v>412499</v>
      </c>
      <c r="K628" s="41">
        <v>6</v>
      </c>
      <c r="L628" s="41">
        <v>11100000</v>
      </c>
      <c r="M628" s="41"/>
    </row>
    <row r="629" spans="1:13">
      <c r="A629" s="10">
        <v>12328568</v>
      </c>
      <c r="B629" s="1">
        <v>2</v>
      </c>
      <c r="C629" s="3">
        <v>58000</v>
      </c>
      <c r="D629" s="41"/>
      <c r="J629" s="39">
        <v>414487</v>
      </c>
      <c r="K629" s="41">
        <v>4</v>
      </c>
      <c r="L629" s="41">
        <v>2900000</v>
      </c>
      <c r="M629" s="41"/>
    </row>
    <row r="630" spans="1:13">
      <c r="A630" s="10">
        <v>195918</v>
      </c>
      <c r="B630" s="1">
        <v>4</v>
      </c>
      <c r="C630" s="2">
        <v>5116000</v>
      </c>
      <c r="D630" s="41"/>
      <c r="J630" s="39">
        <v>427198</v>
      </c>
      <c r="K630" s="41">
        <v>9</v>
      </c>
      <c r="L630" s="41">
        <v>1250000</v>
      </c>
      <c r="M630" s="41"/>
    </row>
    <row r="631" spans="1:13">
      <c r="A631" s="10">
        <v>12324062</v>
      </c>
      <c r="B631" s="1" t="s">
        <v>1073</v>
      </c>
      <c r="C631" s="3">
        <v>130000</v>
      </c>
      <c r="D631" s="41"/>
      <c r="J631" s="39">
        <v>440364</v>
      </c>
      <c r="K631" s="41">
        <v>6</v>
      </c>
      <c r="L631" s="41">
        <v>800000</v>
      </c>
      <c r="M631" s="41"/>
    </row>
    <row r="632" spans="1:13">
      <c r="A632" s="10">
        <v>211669</v>
      </c>
      <c r="B632" s="1" t="s">
        <v>1073</v>
      </c>
      <c r="C632" s="1" t="s">
        <v>1073</v>
      </c>
      <c r="D632" s="41"/>
      <c r="J632" s="39">
        <v>480116</v>
      </c>
      <c r="K632" s="41">
        <v>6</v>
      </c>
      <c r="L632" s="41">
        <v>200000</v>
      </c>
      <c r="M632" s="41"/>
    </row>
    <row r="633" spans="1:13">
      <c r="A633" s="10">
        <v>12327415</v>
      </c>
      <c r="B633" s="1">
        <v>56</v>
      </c>
      <c r="C633" s="1" t="s">
        <v>1073</v>
      </c>
      <c r="D633" s="41"/>
      <c r="J633" s="39">
        <v>506237</v>
      </c>
      <c r="K633" s="41">
        <v>5</v>
      </c>
      <c r="L633" s="41">
        <v>7650000</v>
      </c>
      <c r="M633" s="41"/>
    </row>
    <row r="634" spans="1:13">
      <c r="A634" s="10">
        <v>341960</v>
      </c>
      <c r="B634" s="1" t="s">
        <v>1073</v>
      </c>
      <c r="C634" s="3">
        <v>250000</v>
      </c>
      <c r="D634" s="41"/>
      <c r="J634" s="39">
        <v>532765</v>
      </c>
      <c r="K634" s="41">
        <v>0</v>
      </c>
      <c r="L634" s="41">
        <v>0</v>
      </c>
      <c r="M634" s="41"/>
    </row>
    <row r="635" spans="1:13">
      <c r="A635" s="10">
        <v>523918</v>
      </c>
      <c r="B635" s="1">
        <v>3</v>
      </c>
      <c r="C635" s="1" t="s">
        <v>1073</v>
      </c>
      <c r="D635" s="41"/>
      <c r="J635" s="39">
        <v>537134</v>
      </c>
      <c r="K635" s="41">
        <v>4</v>
      </c>
      <c r="L635" s="41">
        <v>10150000</v>
      </c>
      <c r="M635" s="41"/>
    </row>
    <row r="636" spans="1:13">
      <c r="A636" s="10">
        <v>535790</v>
      </c>
      <c r="B636" s="1">
        <v>3</v>
      </c>
      <c r="C636" s="2">
        <v>1100000</v>
      </c>
      <c r="D636" s="41"/>
      <c r="J636" s="39">
        <v>542219</v>
      </c>
      <c r="K636" s="41">
        <v>3</v>
      </c>
      <c r="L636" s="41">
        <v>19800000</v>
      </c>
      <c r="M636" s="41"/>
    </row>
    <row r="637" spans="1:13">
      <c r="A637" s="10">
        <v>336362</v>
      </c>
      <c r="B637" s="1" t="s">
        <v>1073</v>
      </c>
      <c r="C637" s="1" t="s">
        <v>1073</v>
      </c>
      <c r="D637" s="41"/>
      <c r="J637" s="39">
        <v>546598</v>
      </c>
      <c r="K637" s="41">
        <v>10</v>
      </c>
      <c r="L637" s="41">
        <v>450000</v>
      </c>
      <c r="M637" s="41"/>
    </row>
    <row r="638" spans="1:13">
      <c r="A638" s="10">
        <v>547285</v>
      </c>
      <c r="B638" s="1">
        <v>4</v>
      </c>
      <c r="C638" s="3">
        <v>116000</v>
      </c>
      <c r="D638" s="41"/>
      <c r="J638" s="39">
        <v>556434</v>
      </c>
      <c r="K638" s="41">
        <v>6</v>
      </c>
      <c r="L638" s="41">
        <v>175000</v>
      </c>
      <c r="M638" s="41"/>
    </row>
    <row r="639" spans="1:13">
      <c r="A639" s="10">
        <v>12323326</v>
      </c>
      <c r="B639" s="1" t="s">
        <v>1073</v>
      </c>
      <c r="C639" s="1" t="s">
        <v>1073</v>
      </c>
      <c r="D639" s="41"/>
      <c r="J639" s="39">
        <v>61904</v>
      </c>
      <c r="K639" s="41">
        <v>6</v>
      </c>
      <c r="L639" s="41">
        <v>9000000</v>
      </c>
      <c r="M639" s="41"/>
    </row>
    <row r="640" spans="1:13">
      <c r="A640" s="10">
        <v>12297032</v>
      </c>
      <c r="B640" s="1" t="s">
        <v>1073</v>
      </c>
      <c r="C640" s="1" t="s">
        <v>1073</v>
      </c>
      <c r="D640" s="41"/>
      <c r="J640" s="39">
        <v>62019</v>
      </c>
      <c r="K640" s="41">
        <v>4</v>
      </c>
      <c r="L640" s="41">
        <v>3163000</v>
      </c>
      <c r="M640" s="41"/>
    </row>
    <row r="641" spans="1:13">
      <c r="A641" s="10">
        <v>12328134</v>
      </c>
      <c r="B641" s="1">
        <v>5</v>
      </c>
      <c r="C641" s="2">
        <v>5750000</v>
      </c>
      <c r="D641" s="41"/>
      <c r="J641" s="39">
        <v>62337</v>
      </c>
      <c r="K641" s="41">
        <v>0</v>
      </c>
      <c r="L641" s="41">
        <v>220000</v>
      </c>
      <c r="M641" s="41"/>
    </row>
    <row r="642" spans="1:13">
      <c r="A642" s="10">
        <v>445499</v>
      </c>
      <c r="B642" s="1" t="s">
        <v>1073</v>
      </c>
      <c r="C642" s="2">
        <v>5439935</v>
      </c>
      <c r="D642" s="41"/>
      <c r="J642" s="39">
        <v>62338</v>
      </c>
      <c r="K642" s="41">
        <v>4</v>
      </c>
      <c r="L642" s="41">
        <v>1000000</v>
      </c>
      <c r="M642" s="41"/>
    </row>
    <row r="643" spans="1:13">
      <c r="A643" s="10">
        <v>524025</v>
      </c>
      <c r="B643" s="1" t="s">
        <v>1073</v>
      </c>
      <c r="C643" s="1" t="s">
        <v>1073</v>
      </c>
      <c r="D643" s="41"/>
      <c r="J643" s="39">
        <v>62339</v>
      </c>
      <c r="K643" s="41">
        <v>4</v>
      </c>
      <c r="L643" s="41">
        <v>7200000</v>
      </c>
      <c r="M643" s="41"/>
    </row>
    <row r="644" spans="1:13">
      <c r="A644" s="10">
        <v>12326005</v>
      </c>
      <c r="B644" s="1" t="s">
        <v>1073</v>
      </c>
      <c r="C644" s="2">
        <v>2500000</v>
      </c>
      <c r="D644" s="41"/>
      <c r="J644" s="39">
        <v>63878</v>
      </c>
      <c r="K644" s="41">
        <v>2</v>
      </c>
      <c r="L644" s="41">
        <v>12000000</v>
      </c>
      <c r="M644" s="41"/>
    </row>
    <row r="645" spans="1:13">
      <c r="A645" s="10">
        <v>267498</v>
      </c>
      <c r="B645" s="1" t="s">
        <v>1073</v>
      </c>
      <c r="C645" s="2">
        <v>500000</v>
      </c>
      <c r="D645" s="41"/>
      <c r="J645" s="39">
        <v>63885</v>
      </c>
      <c r="K645" s="41">
        <v>46</v>
      </c>
      <c r="L645" s="41">
        <v>8853500</v>
      </c>
      <c r="M645" s="41"/>
    </row>
    <row r="646" spans="1:13">
      <c r="A646" s="10">
        <v>12304568</v>
      </c>
      <c r="B646" s="1">
        <v>10</v>
      </c>
      <c r="C646" s="1" t="s">
        <v>1073</v>
      </c>
      <c r="D646" s="41"/>
      <c r="J646" s="39" t="s">
        <v>483</v>
      </c>
      <c r="K646" s="41">
        <v>0</v>
      </c>
      <c r="L646" s="41">
        <v>0</v>
      </c>
      <c r="M646" s="41"/>
    </row>
    <row r="647" spans="1:13">
      <c r="A647" s="10">
        <v>490411</v>
      </c>
      <c r="B647" s="1">
        <v>3</v>
      </c>
      <c r="C647" s="1" t="s">
        <v>1073</v>
      </c>
      <c r="D647" s="41"/>
      <c r="J647" s="39">
        <v>12300160</v>
      </c>
      <c r="K647" s="41">
        <v>334</v>
      </c>
      <c r="L647" s="41">
        <v>26339300</v>
      </c>
      <c r="M647" s="41"/>
    </row>
    <row r="648" spans="1:13">
      <c r="A648" s="10">
        <v>1937</v>
      </c>
      <c r="B648" s="1">
        <v>3</v>
      </c>
      <c r="C648" s="2">
        <v>900000</v>
      </c>
      <c r="D648" s="41"/>
      <c r="J648" s="39">
        <v>12312749</v>
      </c>
      <c r="K648" s="41">
        <v>0</v>
      </c>
      <c r="L648" s="41">
        <v>1900000</v>
      </c>
      <c r="M648" s="41"/>
    </row>
    <row r="649" spans="1:13">
      <c r="A649" s="10">
        <v>496630</v>
      </c>
      <c r="B649" s="1" t="s">
        <v>1073</v>
      </c>
      <c r="C649" s="1" t="s">
        <v>1073</v>
      </c>
      <c r="D649" s="41"/>
      <c r="J649" s="39">
        <v>12320367</v>
      </c>
      <c r="K649" s="41">
        <v>2</v>
      </c>
      <c r="L649" s="41">
        <v>1500000</v>
      </c>
      <c r="M649" s="41"/>
    </row>
    <row r="650" spans="1:13">
      <c r="A650" s="10">
        <v>12295782</v>
      </c>
      <c r="B650" s="1" t="s">
        <v>1073</v>
      </c>
      <c r="C650" s="2">
        <v>500000</v>
      </c>
      <c r="D650" s="41"/>
      <c r="J650" s="39">
        <v>12320370</v>
      </c>
      <c r="K650" s="41">
        <v>2</v>
      </c>
      <c r="L650" s="41">
        <v>1300000</v>
      </c>
      <c r="M650" s="41"/>
    </row>
    <row r="651" spans="1:13">
      <c r="A651" s="10">
        <v>4761</v>
      </c>
      <c r="B651" s="1" t="s">
        <v>1073</v>
      </c>
      <c r="C651" s="2">
        <v>500000</v>
      </c>
      <c r="D651" s="41"/>
      <c r="J651" s="39">
        <v>12320371</v>
      </c>
      <c r="K651" s="41">
        <v>1</v>
      </c>
      <c r="L651" s="41">
        <v>1800000</v>
      </c>
      <c r="M651" s="41"/>
    </row>
    <row r="652" spans="1:13">
      <c r="A652" s="10">
        <v>390324</v>
      </c>
      <c r="B652" s="1">
        <v>1</v>
      </c>
      <c r="C652" s="2">
        <v>329000</v>
      </c>
      <c r="D652" s="41"/>
      <c r="J652" s="39">
        <v>12321725</v>
      </c>
      <c r="K652" s="41">
        <v>9</v>
      </c>
      <c r="L652" s="41">
        <v>7095000</v>
      </c>
      <c r="M652" s="41"/>
    </row>
    <row r="653" spans="1:13">
      <c r="A653" s="10">
        <v>401840</v>
      </c>
      <c r="B653" s="1" t="s">
        <v>1073</v>
      </c>
      <c r="C653" s="2">
        <v>300000</v>
      </c>
      <c r="D653" s="41"/>
      <c r="J653" s="39">
        <v>12321973</v>
      </c>
      <c r="K653" s="41">
        <v>0</v>
      </c>
      <c r="L653" s="41">
        <v>100000</v>
      </c>
      <c r="M653" s="41"/>
    </row>
    <row r="654" spans="1:13">
      <c r="A654" s="10">
        <v>453857</v>
      </c>
      <c r="B654" s="1" t="s">
        <v>1073</v>
      </c>
      <c r="C654" s="1" t="s">
        <v>1073</v>
      </c>
      <c r="D654" s="41"/>
      <c r="J654" s="39">
        <v>12322494</v>
      </c>
      <c r="K654" s="41">
        <v>0</v>
      </c>
      <c r="L654" s="41">
        <v>2100000</v>
      </c>
      <c r="M654" s="41"/>
    </row>
    <row r="655" spans="1:13">
      <c r="A655" s="10">
        <v>499483</v>
      </c>
      <c r="B655" s="1">
        <v>4</v>
      </c>
      <c r="C655" s="2">
        <v>1000000</v>
      </c>
      <c r="D655" s="41"/>
      <c r="J655" s="39">
        <v>12329732</v>
      </c>
      <c r="K655" s="41">
        <v>0</v>
      </c>
      <c r="L655" s="41">
        <v>0</v>
      </c>
      <c r="M655" s="41"/>
    </row>
    <row r="656" spans="1:13">
      <c r="A656" s="10">
        <v>344269</v>
      </c>
      <c r="B656" s="1" t="s">
        <v>1073</v>
      </c>
      <c r="C656" s="1" t="s">
        <v>1073</v>
      </c>
      <c r="D656" s="41"/>
      <c r="J656" s="39">
        <v>12332325</v>
      </c>
      <c r="K656" s="41">
        <v>0</v>
      </c>
      <c r="L656" s="41">
        <v>800000</v>
      </c>
      <c r="M656" s="41"/>
    </row>
    <row r="657" spans="1:13">
      <c r="A657" s="10">
        <v>231278</v>
      </c>
      <c r="B657" s="1" t="s">
        <v>1073</v>
      </c>
      <c r="C657" s="3">
        <v>100000</v>
      </c>
      <c r="D657" s="41"/>
      <c r="J657" s="39">
        <v>12332333</v>
      </c>
      <c r="K657" s="41">
        <v>0</v>
      </c>
      <c r="L657" s="41">
        <v>0</v>
      </c>
      <c r="M657" s="41"/>
    </row>
    <row r="658" spans="1:13">
      <c r="A658" s="10">
        <v>12296271</v>
      </c>
      <c r="B658" s="1" t="s">
        <v>1073</v>
      </c>
      <c r="C658" s="2">
        <v>450000</v>
      </c>
      <c r="D658" s="41"/>
      <c r="J658" s="39">
        <v>126972</v>
      </c>
      <c r="K658" s="41">
        <v>5</v>
      </c>
      <c r="L658" s="41">
        <v>0</v>
      </c>
      <c r="M658" s="41"/>
    </row>
    <row r="659" spans="1:13">
      <c r="A659" s="10">
        <v>511538</v>
      </c>
      <c r="B659" s="1">
        <v>3</v>
      </c>
      <c r="C659" s="2">
        <v>600000</v>
      </c>
      <c r="D659" s="41"/>
      <c r="J659" s="39">
        <v>126982</v>
      </c>
      <c r="K659" s="41">
        <v>3</v>
      </c>
      <c r="L659" s="41">
        <v>200000</v>
      </c>
      <c r="M659" s="41"/>
    </row>
    <row r="660" spans="1:13">
      <c r="A660" s="10">
        <v>551521</v>
      </c>
      <c r="B660" s="1">
        <v>3</v>
      </c>
      <c r="C660" s="3">
        <v>87000</v>
      </c>
      <c r="D660" s="41"/>
      <c r="J660" s="39">
        <v>127075</v>
      </c>
      <c r="K660" s="41">
        <v>0</v>
      </c>
      <c r="L660" s="41">
        <v>750000</v>
      </c>
      <c r="M660" s="41"/>
    </row>
    <row r="661" spans="1:13">
      <c r="A661" s="10">
        <v>369922</v>
      </c>
      <c r="B661" s="1" t="s">
        <v>1073</v>
      </c>
      <c r="C661" s="3">
        <v>100000</v>
      </c>
      <c r="D661" s="41"/>
      <c r="J661" s="39">
        <v>13450</v>
      </c>
      <c r="K661" s="41">
        <v>5</v>
      </c>
      <c r="L661" s="41">
        <v>0</v>
      </c>
      <c r="M661" s="41"/>
    </row>
    <row r="662" spans="1:13">
      <c r="A662" s="10">
        <v>529090</v>
      </c>
      <c r="B662" s="1">
        <v>4</v>
      </c>
      <c r="C662" s="1" t="s">
        <v>1073</v>
      </c>
      <c r="D662" s="41"/>
      <c r="J662" s="39">
        <v>186394</v>
      </c>
      <c r="K662" s="41">
        <v>3</v>
      </c>
      <c r="L662" s="41">
        <v>11290000</v>
      </c>
      <c r="M662" s="41"/>
    </row>
    <row r="663" spans="1:13">
      <c r="A663" s="10">
        <v>545395</v>
      </c>
      <c r="B663" s="1" t="s">
        <v>1073</v>
      </c>
      <c r="C663" s="1" t="s">
        <v>1073</v>
      </c>
      <c r="D663" s="41"/>
      <c r="J663" s="39">
        <v>186913</v>
      </c>
      <c r="K663" s="41">
        <v>5</v>
      </c>
      <c r="L663" s="41">
        <v>8100000</v>
      </c>
      <c r="M663" s="41"/>
    </row>
    <row r="664" spans="1:13">
      <c r="A664" s="10">
        <v>545433</v>
      </c>
      <c r="B664" s="1" t="s">
        <v>1073</v>
      </c>
      <c r="C664" s="1" t="s">
        <v>1073</v>
      </c>
      <c r="D664" s="41"/>
      <c r="J664" s="39">
        <v>188445</v>
      </c>
      <c r="K664" s="41">
        <v>3</v>
      </c>
      <c r="L664" s="41">
        <v>900000</v>
      </c>
      <c r="M664" s="41"/>
    </row>
    <row r="665" spans="1:13">
      <c r="A665" s="10">
        <v>538067</v>
      </c>
      <c r="B665" s="1" t="s">
        <v>1073</v>
      </c>
      <c r="C665" s="3">
        <v>250000</v>
      </c>
      <c r="D665" s="41"/>
      <c r="J665" s="39">
        <v>1937</v>
      </c>
      <c r="K665" s="41">
        <v>4</v>
      </c>
      <c r="L665" s="41">
        <v>3059000</v>
      </c>
      <c r="M665" s="41"/>
    </row>
    <row r="666" spans="1:13">
      <c r="A666" s="10">
        <v>410675</v>
      </c>
      <c r="B666" s="1" t="s">
        <v>1073</v>
      </c>
      <c r="C666" s="2">
        <v>300000</v>
      </c>
      <c r="D666" s="41"/>
      <c r="J666" s="39">
        <v>199245</v>
      </c>
      <c r="K666" s="41">
        <v>5</v>
      </c>
      <c r="L666" s="41">
        <v>2030000</v>
      </c>
      <c r="M666" s="41"/>
    </row>
    <row r="667" spans="1:13">
      <c r="A667" s="10">
        <v>242675</v>
      </c>
      <c r="B667" s="1" t="s">
        <v>1073</v>
      </c>
      <c r="C667" s="2">
        <v>1000000</v>
      </c>
      <c r="D667" s="41"/>
      <c r="J667" s="39">
        <v>199293</v>
      </c>
      <c r="K667" s="41">
        <v>5</v>
      </c>
      <c r="L667" s="41">
        <v>300000</v>
      </c>
      <c r="M667" s="41"/>
    </row>
    <row r="668" spans="1:13">
      <c r="A668" s="10">
        <v>489452</v>
      </c>
      <c r="B668" s="1" t="s">
        <v>1073</v>
      </c>
      <c r="C668" s="3">
        <v>50000</v>
      </c>
      <c r="D668" s="41"/>
      <c r="J668" s="39">
        <v>211583</v>
      </c>
      <c r="K668" s="41">
        <v>3</v>
      </c>
      <c r="L668" s="41">
        <v>29000</v>
      </c>
      <c r="M668" s="41"/>
    </row>
    <row r="669" spans="1:13">
      <c r="A669" s="10">
        <v>62382</v>
      </c>
      <c r="B669" s="1" t="s">
        <v>1073</v>
      </c>
      <c r="C669" s="3">
        <v>100000</v>
      </c>
      <c r="D669" s="41"/>
      <c r="J669" s="39">
        <v>211600</v>
      </c>
      <c r="K669" s="41">
        <v>5</v>
      </c>
      <c r="L669" s="41">
        <v>0</v>
      </c>
      <c r="M669" s="41"/>
    </row>
    <row r="670" spans="1:13">
      <c r="A670" s="10">
        <v>239978</v>
      </c>
      <c r="B670" s="1" t="s">
        <v>1073</v>
      </c>
      <c r="C670" s="2">
        <v>6770000</v>
      </c>
      <c r="D670" s="41"/>
      <c r="J670" s="39">
        <v>211614</v>
      </c>
      <c r="K670" s="41">
        <v>2</v>
      </c>
      <c r="L670" s="41">
        <v>2100000</v>
      </c>
      <c r="M670" s="41"/>
    </row>
    <row r="671" spans="1:13">
      <c r="A671" s="10">
        <v>409595</v>
      </c>
      <c r="B671" s="1" t="s">
        <v>1073</v>
      </c>
      <c r="C671" s="1" t="s">
        <v>1073</v>
      </c>
      <c r="D671" s="41"/>
      <c r="J671" s="39">
        <v>211616</v>
      </c>
      <c r="K671" s="41">
        <v>5</v>
      </c>
      <c r="L671" s="41">
        <v>1500000</v>
      </c>
      <c r="M671" s="41"/>
    </row>
    <row r="672" spans="1:13">
      <c r="A672" s="10">
        <v>13657</v>
      </c>
      <c r="B672" s="1" t="s">
        <v>1073</v>
      </c>
      <c r="C672" s="2">
        <v>300000</v>
      </c>
      <c r="D672" s="41"/>
      <c r="J672" s="39">
        <v>211644</v>
      </c>
      <c r="K672" s="41">
        <v>0</v>
      </c>
      <c r="L672" s="41">
        <v>4045000</v>
      </c>
      <c r="M672" s="41"/>
    </row>
    <row r="673" spans="1:13">
      <c r="A673" s="10">
        <v>344259</v>
      </c>
      <c r="B673" s="1">
        <v>3</v>
      </c>
      <c r="C673" s="2">
        <v>300000</v>
      </c>
      <c r="D673" s="41"/>
      <c r="J673" s="39">
        <v>211692</v>
      </c>
      <c r="K673" s="41">
        <v>7</v>
      </c>
      <c r="L673" s="41">
        <v>900000</v>
      </c>
      <c r="M673" s="41"/>
    </row>
    <row r="674" spans="1:13">
      <c r="A674" s="10">
        <v>531622</v>
      </c>
      <c r="B674" s="1" t="s">
        <v>1073</v>
      </c>
      <c r="C674" s="2">
        <v>350000</v>
      </c>
      <c r="D674" s="41"/>
      <c r="J674" s="39">
        <v>211703</v>
      </c>
      <c r="K674" s="41">
        <v>5</v>
      </c>
      <c r="L674" s="41">
        <v>300000</v>
      </c>
      <c r="M674" s="41"/>
    </row>
    <row r="675" spans="1:13">
      <c r="A675" s="10">
        <v>398997</v>
      </c>
      <c r="B675" s="1" t="s">
        <v>1073</v>
      </c>
      <c r="C675" s="1" t="s">
        <v>1073</v>
      </c>
      <c r="D675" s="41"/>
      <c r="J675" s="39">
        <v>211743</v>
      </c>
      <c r="K675" s="41">
        <v>3</v>
      </c>
      <c r="L675" s="41">
        <v>0</v>
      </c>
      <c r="M675" s="41"/>
    </row>
    <row r="676" spans="1:13">
      <c r="A676" s="10">
        <v>530211</v>
      </c>
      <c r="B676" s="1">
        <v>38</v>
      </c>
      <c r="C676" s="1" t="s">
        <v>1073</v>
      </c>
      <c r="D676" s="41"/>
      <c r="J676" s="39">
        <v>211854</v>
      </c>
      <c r="K676" s="41">
        <v>2</v>
      </c>
      <c r="L676" s="41">
        <v>11958000</v>
      </c>
      <c r="M676" s="41"/>
    </row>
    <row r="677" spans="1:13">
      <c r="A677" s="10">
        <v>517552</v>
      </c>
      <c r="B677" s="1">
        <v>5</v>
      </c>
      <c r="C677" s="2">
        <v>500000</v>
      </c>
      <c r="D677" s="41"/>
      <c r="J677" s="39">
        <v>240551</v>
      </c>
      <c r="K677" s="41">
        <v>0</v>
      </c>
      <c r="L677" s="41">
        <v>1000000</v>
      </c>
      <c r="M677" s="41"/>
    </row>
    <row r="678" spans="1:13">
      <c r="A678" s="10">
        <v>478964</v>
      </c>
      <c r="B678" s="1" t="s">
        <v>1073</v>
      </c>
      <c r="C678" s="2">
        <v>1360000</v>
      </c>
      <c r="D678" s="41"/>
      <c r="J678" s="39">
        <v>256637</v>
      </c>
      <c r="K678" s="41">
        <v>9</v>
      </c>
      <c r="L678" s="41">
        <v>2300000</v>
      </c>
      <c r="M678" s="41"/>
    </row>
    <row r="679" spans="1:13">
      <c r="A679" s="10">
        <v>542066</v>
      </c>
      <c r="B679" s="1" t="s">
        <v>1073</v>
      </c>
      <c r="C679" s="2">
        <v>6500000</v>
      </c>
      <c r="D679" s="41"/>
      <c r="J679" s="39">
        <v>268428</v>
      </c>
      <c r="K679" s="41">
        <v>6</v>
      </c>
      <c r="L679" s="41">
        <v>900000</v>
      </c>
      <c r="M679" s="41"/>
    </row>
    <row r="680" spans="1:13">
      <c r="A680" s="10">
        <v>330557</v>
      </c>
      <c r="B680" s="1" t="s">
        <v>1073</v>
      </c>
      <c r="C680" s="2">
        <v>1700000</v>
      </c>
      <c r="D680" s="41"/>
      <c r="J680" s="39">
        <v>3026</v>
      </c>
      <c r="K680" s="41">
        <v>3</v>
      </c>
      <c r="L680" s="41">
        <v>29000</v>
      </c>
      <c r="M680" s="41"/>
    </row>
    <row r="681" spans="1:13">
      <c r="A681" s="10">
        <v>298411</v>
      </c>
      <c r="B681" s="1" t="s">
        <v>1073</v>
      </c>
      <c r="C681" s="2">
        <v>400000</v>
      </c>
      <c r="D681" s="41"/>
      <c r="J681" s="39">
        <v>346185</v>
      </c>
      <c r="K681" s="41">
        <v>5</v>
      </c>
      <c r="L681" s="41">
        <v>500000</v>
      </c>
      <c r="M681" s="41"/>
    </row>
    <row r="682" spans="1:13">
      <c r="A682" s="10">
        <v>564427</v>
      </c>
      <c r="B682" s="1" t="s">
        <v>1073</v>
      </c>
      <c r="C682" s="1" t="s">
        <v>1073</v>
      </c>
      <c r="D682" s="41"/>
      <c r="J682" s="39">
        <v>358156</v>
      </c>
      <c r="K682" s="41">
        <v>12</v>
      </c>
      <c r="L682" s="41">
        <v>9668000</v>
      </c>
      <c r="M682" s="41"/>
    </row>
    <row r="683" spans="1:13">
      <c r="A683" s="10">
        <v>10466</v>
      </c>
      <c r="B683" s="1">
        <v>5</v>
      </c>
      <c r="C683" s="2">
        <v>1000000</v>
      </c>
      <c r="D683" s="41"/>
      <c r="J683" s="39">
        <v>388487</v>
      </c>
      <c r="K683" s="41">
        <v>5</v>
      </c>
      <c r="L683" s="41">
        <v>2000000</v>
      </c>
      <c r="M683" s="41"/>
    </row>
    <row r="684" spans="1:13">
      <c r="A684" s="10">
        <v>517257</v>
      </c>
      <c r="B684" s="1" t="s">
        <v>1073</v>
      </c>
      <c r="C684" s="1" t="s">
        <v>1073</v>
      </c>
      <c r="D684" s="41"/>
      <c r="J684" s="39">
        <v>392372</v>
      </c>
      <c r="K684" s="41">
        <v>3</v>
      </c>
      <c r="L684" s="41">
        <v>11258000</v>
      </c>
      <c r="M684" s="41"/>
    </row>
    <row r="685" spans="1:13">
      <c r="A685" s="10">
        <v>509953</v>
      </c>
      <c r="B685" s="1" t="s">
        <v>1073</v>
      </c>
      <c r="C685" s="2">
        <v>625000</v>
      </c>
      <c r="D685" s="41"/>
      <c r="J685" s="39">
        <v>399087</v>
      </c>
      <c r="K685" s="41">
        <v>5</v>
      </c>
      <c r="L685" s="41">
        <v>1745000</v>
      </c>
      <c r="M685" s="41"/>
    </row>
    <row r="686" spans="1:13">
      <c r="A686" s="10">
        <v>299958</v>
      </c>
      <c r="B686" s="1" t="s">
        <v>1073</v>
      </c>
      <c r="C686" s="2">
        <v>1358000</v>
      </c>
      <c r="D686" s="41"/>
      <c r="J686" s="39">
        <v>399091</v>
      </c>
      <c r="K686" s="41">
        <v>0</v>
      </c>
      <c r="L686" s="41">
        <v>629000</v>
      </c>
      <c r="M686" s="41"/>
    </row>
    <row r="687" spans="1:13">
      <c r="A687" s="10">
        <v>12296326</v>
      </c>
      <c r="B687" s="1" t="s">
        <v>1073</v>
      </c>
      <c r="C687" s="3">
        <v>50000</v>
      </c>
      <c r="D687" s="41"/>
      <c r="J687" s="39">
        <v>401840</v>
      </c>
      <c r="K687" s="41">
        <v>3</v>
      </c>
      <c r="L687" s="41">
        <v>900000</v>
      </c>
      <c r="M687" s="41"/>
    </row>
    <row r="688" spans="1:13">
      <c r="A688" s="10">
        <v>61549</v>
      </c>
      <c r="B688" s="1" t="s">
        <v>1073</v>
      </c>
      <c r="C688" s="2">
        <v>500000</v>
      </c>
      <c r="D688" s="41"/>
      <c r="J688" s="39">
        <v>404929</v>
      </c>
      <c r="K688" s="41">
        <v>6</v>
      </c>
      <c r="L688" s="41">
        <v>2680000</v>
      </c>
      <c r="M688" s="41"/>
    </row>
    <row r="689" spans="1:13">
      <c r="A689" s="10">
        <v>523503</v>
      </c>
      <c r="B689" s="1" t="s">
        <v>1073</v>
      </c>
      <c r="C689" s="1" t="s">
        <v>1073</v>
      </c>
      <c r="D689" s="41"/>
      <c r="J689" s="39">
        <v>412064</v>
      </c>
      <c r="K689" s="41">
        <v>5</v>
      </c>
      <c r="L689" s="41">
        <v>0</v>
      </c>
      <c r="M689" s="41"/>
    </row>
    <row r="690" spans="1:13">
      <c r="A690" s="10">
        <v>12318027</v>
      </c>
      <c r="B690" s="1">
        <v>30</v>
      </c>
      <c r="C690" s="2">
        <v>4500000</v>
      </c>
      <c r="D690" s="41"/>
      <c r="J690" s="39">
        <v>412602</v>
      </c>
      <c r="K690" s="41">
        <v>5</v>
      </c>
      <c r="L690" s="41">
        <v>7955000</v>
      </c>
      <c r="M690" s="41"/>
    </row>
    <row r="691" spans="1:13">
      <c r="A691" s="10">
        <v>286468</v>
      </c>
      <c r="B691" s="1" t="s">
        <v>1073</v>
      </c>
      <c r="C691" s="1" t="s">
        <v>1073</v>
      </c>
      <c r="D691" s="41"/>
      <c r="J691" s="39">
        <v>423810</v>
      </c>
      <c r="K691" s="41">
        <v>3</v>
      </c>
      <c r="L691" s="41">
        <v>0</v>
      </c>
      <c r="M691" s="41"/>
    </row>
    <row r="692" spans="1:13">
      <c r="A692" s="10">
        <v>414487</v>
      </c>
      <c r="B692" s="1" t="s">
        <v>1073</v>
      </c>
      <c r="C692" s="2">
        <v>1000000</v>
      </c>
      <c r="D692" s="41"/>
      <c r="J692" s="39">
        <v>452333</v>
      </c>
      <c r="K692" s="41">
        <v>6</v>
      </c>
      <c r="L692" s="41">
        <v>300000</v>
      </c>
      <c r="M692" s="41"/>
    </row>
    <row r="693" spans="1:13">
      <c r="A693" s="10">
        <v>353735</v>
      </c>
      <c r="B693" s="1" t="s">
        <v>1073</v>
      </c>
      <c r="C693" s="1" t="s">
        <v>1073</v>
      </c>
      <c r="D693" s="41"/>
      <c r="J693" s="39">
        <v>458924</v>
      </c>
      <c r="K693" s="41">
        <v>0</v>
      </c>
      <c r="L693" s="41">
        <v>300000</v>
      </c>
      <c r="M693" s="41"/>
    </row>
    <row r="694" spans="1:13">
      <c r="A694" s="10">
        <v>511584</v>
      </c>
      <c r="B694" s="1" t="s">
        <v>1073</v>
      </c>
      <c r="C694" s="1" t="s">
        <v>1073</v>
      </c>
      <c r="D694" s="41"/>
      <c r="J694" s="39">
        <v>477032</v>
      </c>
      <c r="K694" s="41">
        <v>2</v>
      </c>
      <c r="L694" s="41">
        <v>3700000</v>
      </c>
      <c r="M694" s="41"/>
    </row>
    <row r="695" spans="1:13">
      <c r="A695" s="10">
        <v>513155</v>
      </c>
      <c r="B695" s="1" t="s">
        <v>1073</v>
      </c>
      <c r="C695" s="2">
        <v>750000</v>
      </c>
      <c r="D695" s="41"/>
      <c r="J695" s="39">
        <v>496200</v>
      </c>
      <c r="K695" s="41">
        <v>0</v>
      </c>
      <c r="L695" s="41">
        <v>700000</v>
      </c>
      <c r="M695" s="41"/>
    </row>
    <row r="696" spans="1:13">
      <c r="A696" s="10">
        <v>289467</v>
      </c>
      <c r="B696" s="1" t="s">
        <v>1073</v>
      </c>
      <c r="C696" s="3">
        <v>250000</v>
      </c>
      <c r="D696" s="41"/>
      <c r="J696" s="39">
        <v>507346</v>
      </c>
      <c r="K696" s="41">
        <v>5</v>
      </c>
      <c r="L696" s="41">
        <v>0</v>
      </c>
      <c r="M696" s="41"/>
    </row>
    <row r="697" spans="1:13">
      <c r="A697" s="10">
        <v>196535</v>
      </c>
      <c r="B697" s="1" t="s">
        <v>1073</v>
      </c>
      <c r="C697" s="2">
        <v>400000</v>
      </c>
      <c r="D697" s="41"/>
      <c r="J697" s="39">
        <v>512640</v>
      </c>
      <c r="K697" s="41">
        <v>4</v>
      </c>
      <c r="L697" s="41">
        <v>3800000</v>
      </c>
      <c r="M697" s="41"/>
    </row>
    <row r="698" spans="1:13">
      <c r="A698" s="10">
        <v>260931</v>
      </c>
      <c r="B698" s="1" t="s">
        <v>1073</v>
      </c>
      <c r="C698" s="2">
        <v>8000000</v>
      </c>
      <c r="D698" s="41"/>
      <c r="J698" s="39">
        <v>517552</v>
      </c>
      <c r="K698" s="41">
        <v>6</v>
      </c>
      <c r="L698" s="41">
        <v>9717400</v>
      </c>
      <c r="M698" s="41"/>
    </row>
    <row r="699" spans="1:13">
      <c r="A699" s="10">
        <v>199069</v>
      </c>
      <c r="B699" s="1" t="s">
        <v>1073</v>
      </c>
      <c r="C699" s="1" t="s">
        <v>1073</v>
      </c>
      <c r="D699" s="41"/>
      <c r="J699" s="39">
        <v>524408</v>
      </c>
      <c r="K699" s="41">
        <v>10</v>
      </c>
      <c r="L699" s="41">
        <v>3029000</v>
      </c>
      <c r="M699" s="41"/>
    </row>
    <row r="700" spans="1:13">
      <c r="A700" s="10">
        <v>563090</v>
      </c>
      <c r="B700" s="1" t="s">
        <v>1073</v>
      </c>
      <c r="C700" s="1" t="s">
        <v>1073</v>
      </c>
      <c r="D700" s="41"/>
      <c r="J700" s="39">
        <v>546124</v>
      </c>
      <c r="K700" s="41">
        <v>0</v>
      </c>
      <c r="L700" s="41">
        <v>980000</v>
      </c>
      <c r="M700" s="41"/>
    </row>
    <row r="701" spans="1:13">
      <c r="A701" s="10">
        <v>12296194</v>
      </c>
      <c r="B701" s="1" t="s">
        <v>1073</v>
      </c>
      <c r="C701" s="2">
        <v>1000000</v>
      </c>
      <c r="D701" s="41"/>
      <c r="J701" s="39">
        <v>547256</v>
      </c>
      <c r="K701" s="41">
        <v>6</v>
      </c>
      <c r="L701" s="41">
        <v>116000</v>
      </c>
      <c r="M701" s="41"/>
    </row>
    <row r="702" spans="1:13">
      <c r="A702" s="10">
        <v>61528</v>
      </c>
      <c r="B702" s="1" t="s">
        <v>1073</v>
      </c>
      <c r="C702" s="2">
        <v>750000</v>
      </c>
      <c r="D702" s="41"/>
      <c r="J702" s="39">
        <v>547263</v>
      </c>
      <c r="K702" s="41">
        <v>6</v>
      </c>
      <c r="L702" s="41">
        <v>7850000</v>
      </c>
      <c r="M702" s="41"/>
    </row>
    <row r="703" spans="1:13">
      <c r="A703" s="10">
        <v>199293</v>
      </c>
      <c r="B703" s="1">
        <v>3</v>
      </c>
      <c r="C703" s="2">
        <v>300000</v>
      </c>
      <c r="D703" s="41"/>
      <c r="J703" s="39">
        <v>548338</v>
      </c>
      <c r="K703" s="41">
        <v>5</v>
      </c>
      <c r="L703" s="41">
        <v>900000</v>
      </c>
      <c r="M703" s="41"/>
    </row>
    <row r="704" spans="1:13">
      <c r="A704" s="10">
        <v>473615</v>
      </c>
      <c r="B704" s="1" t="s">
        <v>1073</v>
      </c>
      <c r="C704" s="2">
        <v>1900000</v>
      </c>
      <c r="D704" s="41"/>
      <c r="J704" s="39">
        <v>556459</v>
      </c>
      <c r="K704" s="41">
        <v>9</v>
      </c>
      <c r="L704" s="41">
        <v>2900000</v>
      </c>
      <c r="M704" s="41"/>
    </row>
    <row r="705" spans="1:13">
      <c r="A705" s="10">
        <v>9191</v>
      </c>
      <c r="B705" s="1">
        <v>4</v>
      </c>
      <c r="C705" s="2">
        <v>716000</v>
      </c>
      <c r="D705" s="41"/>
      <c r="J705" s="39">
        <v>579541</v>
      </c>
      <c r="K705" s="41">
        <v>3</v>
      </c>
      <c r="L705" s="41">
        <v>4000000</v>
      </c>
      <c r="M705" s="41"/>
    </row>
    <row r="706" spans="1:13">
      <c r="A706" s="10">
        <v>572995</v>
      </c>
      <c r="B706" s="1" t="s">
        <v>1073</v>
      </c>
      <c r="C706" s="1" t="s">
        <v>1073</v>
      </c>
      <c r="D706" s="41"/>
      <c r="J706" s="39">
        <v>61814</v>
      </c>
      <c r="K706" s="41">
        <v>5</v>
      </c>
      <c r="L706" s="41">
        <v>500000</v>
      </c>
      <c r="M706" s="41"/>
    </row>
    <row r="707" spans="1:13">
      <c r="A707" s="10">
        <v>518491</v>
      </c>
      <c r="B707" s="1" t="s">
        <v>1073</v>
      </c>
      <c r="C707" s="3">
        <v>50000</v>
      </c>
      <c r="D707" s="41"/>
      <c r="J707" s="39">
        <v>61816</v>
      </c>
      <c r="K707" s="41">
        <v>5</v>
      </c>
      <c r="L707" s="41">
        <v>5188300</v>
      </c>
      <c r="M707" s="41"/>
    </row>
    <row r="708" spans="1:13">
      <c r="A708" s="10">
        <v>12323218</v>
      </c>
      <c r="B708" s="1">
        <v>10</v>
      </c>
      <c r="C708" s="3">
        <v>100000</v>
      </c>
      <c r="D708" s="41"/>
      <c r="J708" s="39">
        <v>61818</v>
      </c>
      <c r="K708" s="41">
        <v>5</v>
      </c>
      <c r="L708" s="41">
        <v>700000</v>
      </c>
      <c r="M708" s="41"/>
    </row>
    <row r="709" spans="1:13">
      <c r="A709" s="10">
        <v>281833</v>
      </c>
      <c r="B709" s="1" t="s">
        <v>1073</v>
      </c>
      <c r="C709" s="1" t="s">
        <v>1073</v>
      </c>
      <c r="D709" s="41"/>
      <c r="J709" s="39">
        <v>61848</v>
      </c>
      <c r="K709" s="41">
        <v>0</v>
      </c>
      <c r="L709" s="41">
        <v>500000</v>
      </c>
      <c r="M709" s="41"/>
    </row>
    <row r="710" spans="1:13">
      <c r="A710" s="10">
        <v>201641</v>
      </c>
      <c r="B710" s="1" t="s">
        <v>1073</v>
      </c>
      <c r="C710" s="2">
        <v>650000</v>
      </c>
      <c r="D710" s="41"/>
      <c r="J710" s="39">
        <v>63914</v>
      </c>
      <c r="K710" s="41">
        <v>4</v>
      </c>
      <c r="L710" s="41">
        <v>829000</v>
      </c>
      <c r="M710" s="41"/>
    </row>
    <row r="711" spans="1:13">
      <c r="A711" s="10">
        <v>534088</v>
      </c>
      <c r="B711" s="1" t="s">
        <v>1073</v>
      </c>
      <c r="C711" s="1" t="s">
        <v>1073</v>
      </c>
      <c r="D711" s="41"/>
      <c r="J711" s="39">
        <v>9808</v>
      </c>
      <c r="K711" s="41">
        <v>3</v>
      </c>
      <c r="L711" s="41">
        <v>900000</v>
      </c>
      <c r="M711" s="41"/>
    </row>
    <row r="712" spans="1:13">
      <c r="A712" s="10">
        <v>523875</v>
      </c>
      <c r="B712" s="1" t="s">
        <v>1073</v>
      </c>
      <c r="C712" s="1" t="s">
        <v>1073</v>
      </c>
      <c r="D712" s="41"/>
      <c r="J712" s="39">
        <v>12296347</v>
      </c>
      <c r="K712" s="41">
        <v>0</v>
      </c>
      <c r="L712" s="41">
        <v>7990000</v>
      </c>
      <c r="M712" s="41"/>
    </row>
    <row r="713" spans="1:13">
      <c r="A713" s="10">
        <v>437019</v>
      </c>
      <c r="B713" s="1" t="s">
        <v>1073</v>
      </c>
      <c r="C713" s="2">
        <v>600000</v>
      </c>
      <c r="D713" s="41"/>
      <c r="J713" s="39">
        <v>12300154</v>
      </c>
      <c r="K713" s="41">
        <v>4</v>
      </c>
      <c r="L713" s="41">
        <v>4005000</v>
      </c>
      <c r="M713" s="41"/>
    </row>
    <row r="714" spans="1:13">
      <c r="A714" s="10">
        <v>12322430</v>
      </c>
      <c r="B714" s="1" t="s">
        <v>1073</v>
      </c>
      <c r="C714" s="1" t="s">
        <v>1073</v>
      </c>
      <c r="D714" s="41"/>
      <c r="J714" s="39">
        <v>12300486</v>
      </c>
      <c r="K714" s="41">
        <v>5</v>
      </c>
      <c r="L714" s="41">
        <v>0</v>
      </c>
      <c r="M714" s="41"/>
    </row>
    <row r="715" spans="1:13">
      <c r="A715" s="10">
        <v>61904</v>
      </c>
      <c r="B715" s="1" t="s">
        <v>1073</v>
      </c>
      <c r="C715" s="2">
        <v>4500000</v>
      </c>
      <c r="D715" s="41"/>
      <c r="J715" s="39">
        <v>12317312</v>
      </c>
      <c r="K715" s="41">
        <v>4</v>
      </c>
      <c r="L715" s="41">
        <v>700000</v>
      </c>
      <c r="M715" s="41"/>
    </row>
    <row r="716" spans="1:13">
      <c r="A716" s="10">
        <v>199097</v>
      </c>
      <c r="B716" s="1" t="s">
        <v>1073</v>
      </c>
      <c r="C716" s="2">
        <v>1750000</v>
      </c>
      <c r="D716" s="41"/>
      <c r="J716" s="39">
        <v>12319419</v>
      </c>
      <c r="K716" s="41">
        <v>7</v>
      </c>
      <c r="L716" s="41">
        <v>3300000</v>
      </c>
      <c r="M716" s="41"/>
    </row>
    <row r="717" spans="1:13">
      <c r="A717" s="10">
        <v>199330</v>
      </c>
      <c r="B717" s="1" t="s">
        <v>1073</v>
      </c>
      <c r="C717" s="2">
        <v>800000</v>
      </c>
      <c r="D717" s="41"/>
      <c r="J717" s="39">
        <v>12321065</v>
      </c>
      <c r="K717" s="41">
        <v>1</v>
      </c>
      <c r="L717" s="41">
        <v>150000</v>
      </c>
      <c r="M717" s="41"/>
    </row>
    <row r="718" spans="1:13">
      <c r="A718" s="10">
        <v>277789</v>
      </c>
      <c r="B718" s="1" t="s">
        <v>1073</v>
      </c>
      <c r="C718" s="1" t="s">
        <v>1073</v>
      </c>
      <c r="D718" s="41"/>
      <c r="J718" s="39">
        <v>12321213</v>
      </c>
      <c r="K718" s="41">
        <v>3</v>
      </c>
      <c r="L718" s="41">
        <v>1890000</v>
      </c>
      <c r="M718" s="41"/>
    </row>
    <row r="719" spans="1:13">
      <c r="A719" s="10">
        <v>127198</v>
      </c>
      <c r="B719" s="1">
        <v>5</v>
      </c>
      <c r="C719" s="3">
        <v>58000</v>
      </c>
      <c r="D719" s="41"/>
      <c r="J719" s="39">
        <v>12321233</v>
      </c>
      <c r="K719" s="41">
        <v>0</v>
      </c>
      <c r="L719" s="41">
        <v>0</v>
      </c>
      <c r="M719" s="41"/>
    </row>
    <row r="720" spans="1:13">
      <c r="A720" s="10">
        <v>243377</v>
      </c>
      <c r="B720" s="1" t="s">
        <v>1073</v>
      </c>
      <c r="C720" s="1" t="s">
        <v>1073</v>
      </c>
      <c r="D720" s="41"/>
      <c r="J720" s="39">
        <v>12321239</v>
      </c>
      <c r="K720" s="41">
        <v>14</v>
      </c>
      <c r="L720" s="41">
        <v>6055000</v>
      </c>
      <c r="M720" s="41"/>
    </row>
    <row r="721" spans="1:13">
      <c r="A721" s="10">
        <v>423729</v>
      </c>
      <c r="B721" s="1" t="s">
        <v>1073</v>
      </c>
      <c r="C721" s="1" t="s">
        <v>1073</v>
      </c>
      <c r="D721" s="41"/>
      <c r="J721" s="39">
        <v>12321533</v>
      </c>
      <c r="K721" s="41">
        <v>0</v>
      </c>
      <c r="L721" s="41">
        <v>0</v>
      </c>
      <c r="M721" s="41"/>
    </row>
    <row r="722" spans="1:13">
      <c r="A722" s="10">
        <v>399790</v>
      </c>
      <c r="B722" s="1">
        <v>2</v>
      </c>
      <c r="C722" s="2">
        <v>1500000</v>
      </c>
      <c r="D722" s="41"/>
      <c r="J722" s="39">
        <v>12322214</v>
      </c>
      <c r="K722" s="41">
        <v>1</v>
      </c>
      <c r="L722" s="41">
        <v>900000</v>
      </c>
      <c r="M722" s="41"/>
    </row>
    <row r="723" spans="1:13">
      <c r="A723" s="10">
        <v>2790</v>
      </c>
      <c r="B723" s="1" t="s">
        <v>1073</v>
      </c>
      <c r="C723" s="1" t="s">
        <v>1073</v>
      </c>
      <c r="D723" s="41"/>
      <c r="J723" s="39">
        <v>12322292</v>
      </c>
      <c r="K723" s="41">
        <v>1</v>
      </c>
      <c r="L723" s="41">
        <v>0</v>
      </c>
      <c r="M723" s="41"/>
    </row>
    <row r="724" spans="1:13">
      <c r="A724" s="10">
        <v>523417</v>
      </c>
      <c r="B724" s="1" t="s">
        <v>1073</v>
      </c>
      <c r="C724" s="2">
        <v>450000</v>
      </c>
      <c r="D724" s="41"/>
      <c r="J724" s="39">
        <v>12322473</v>
      </c>
      <c r="K724" s="41">
        <v>4</v>
      </c>
      <c r="L724" s="41">
        <v>200000</v>
      </c>
      <c r="M724" s="41"/>
    </row>
    <row r="725" spans="1:13">
      <c r="A725" s="10">
        <v>475159</v>
      </c>
      <c r="B725" s="1" t="s">
        <v>1073</v>
      </c>
      <c r="C725" s="2">
        <v>2700000</v>
      </c>
      <c r="D725" s="41"/>
      <c r="J725" s="39">
        <v>12323486</v>
      </c>
      <c r="K725" s="41">
        <v>3</v>
      </c>
      <c r="L725" s="41">
        <v>750000</v>
      </c>
      <c r="M725" s="41"/>
    </row>
    <row r="726" spans="1:13">
      <c r="A726" s="10">
        <v>241230</v>
      </c>
      <c r="B726" s="1">
        <v>1</v>
      </c>
      <c r="C726" s="2">
        <v>2570000</v>
      </c>
      <c r="D726" s="41"/>
      <c r="J726" s="39">
        <v>12332347</v>
      </c>
      <c r="K726" s="41">
        <v>168</v>
      </c>
      <c r="L726" s="41">
        <v>9458250</v>
      </c>
      <c r="M726" s="41"/>
    </row>
    <row r="727" spans="1:13">
      <c r="A727" s="10">
        <v>12296049</v>
      </c>
      <c r="B727" s="1">
        <v>11</v>
      </c>
      <c r="C727" s="1" t="s">
        <v>1073</v>
      </c>
      <c r="D727" s="41"/>
      <c r="J727" s="39">
        <v>12332439</v>
      </c>
      <c r="K727" s="41">
        <v>78</v>
      </c>
      <c r="L727" s="41">
        <v>7526250</v>
      </c>
      <c r="M727" s="41"/>
    </row>
    <row r="728" spans="1:13">
      <c r="A728" s="10">
        <v>325380</v>
      </c>
      <c r="B728" s="1" t="s">
        <v>1073</v>
      </c>
      <c r="C728" s="2">
        <v>850000</v>
      </c>
      <c r="D728" s="41"/>
      <c r="J728" s="39">
        <v>12365</v>
      </c>
      <c r="K728" s="41">
        <v>6</v>
      </c>
      <c r="L728" s="41">
        <v>600000</v>
      </c>
      <c r="M728" s="41"/>
    </row>
    <row r="729" spans="1:13">
      <c r="A729" s="10">
        <v>12299980</v>
      </c>
      <c r="B729" s="1" t="s">
        <v>1073</v>
      </c>
      <c r="C729" s="1" t="s">
        <v>1073</v>
      </c>
      <c r="D729" s="41"/>
      <c r="J729" s="39">
        <v>13387</v>
      </c>
      <c r="K729" s="41">
        <v>1</v>
      </c>
      <c r="L729" s="41">
        <v>400000</v>
      </c>
      <c r="M729" s="41"/>
    </row>
    <row r="730" spans="1:13">
      <c r="A730" s="10">
        <v>347832</v>
      </c>
      <c r="B730" s="1" t="s">
        <v>1073</v>
      </c>
      <c r="C730" s="2">
        <v>300000</v>
      </c>
      <c r="D730" s="41"/>
      <c r="J730" s="39">
        <v>199026</v>
      </c>
      <c r="K730" s="41">
        <v>144</v>
      </c>
      <c r="L730" s="41">
        <v>11531250</v>
      </c>
      <c r="M730" s="41"/>
    </row>
    <row r="731" spans="1:13">
      <c r="A731" s="10">
        <v>211655</v>
      </c>
      <c r="B731" s="1" t="s">
        <v>1073</v>
      </c>
      <c r="C731" s="3">
        <v>250000</v>
      </c>
      <c r="D731" s="41"/>
      <c r="J731" s="39">
        <v>199135</v>
      </c>
      <c r="K731" s="41">
        <v>5</v>
      </c>
      <c r="L731" s="41">
        <v>0</v>
      </c>
      <c r="M731" s="41"/>
    </row>
    <row r="732" spans="1:13">
      <c r="A732" s="10">
        <v>275866</v>
      </c>
      <c r="B732" s="1" t="s">
        <v>1073</v>
      </c>
      <c r="C732" s="3">
        <v>200000</v>
      </c>
      <c r="D732" s="41"/>
      <c r="J732" s="39">
        <v>211696</v>
      </c>
      <c r="K732" s="41">
        <v>6</v>
      </c>
      <c r="L732" s="41">
        <v>50000</v>
      </c>
      <c r="M732" s="41"/>
    </row>
    <row r="733" spans="1:13">
      <c r="A733" s="10">
        <v>542767</v>
      </c>
      <c r="B733" s="1" t="s">
        <v>1073</v>
      </c>
      <c r="C733" s="1" t="s">
        <v>1073</v>
      </c>
      <c r="D733" s="41"/>
      <c r="J733" s="39">
        <v>211706</v>
      </c>
      <c r="K733" s="41">
        <v>6</v>
      </c>
      <c r="L733" s="41">
        <v>300000</v>
      </c>
      <c r="M733" s="41"/>
    </row>
    <row r="734" spans="1:13">
      <c r="A734" s="10">
        <v>353878</v>
      </c>
      <c r="B734" s="1" t="s">
        <v>1073</v>
      </c>
      <c r="C734" s="1" t="s">
        <v>1073</v>
      </c>
      <c r="D734" s="41"/>
      <c r="J734" s="39">
        <v>240721</v>
      </c>
      <c r="K734" s="41">
        <v>5</v>
      </c>
      <c r="L734" s="41">
        <v>1600000</v>
      </c>
      <c r="M734" s="41"/>
    </row>
    <row r="735" spans="1:13">
      <c r="A735" s="10">
        <v>12322833</v>
      </c>
      <c r="B735" s="1" t="s">
        <v>1073</v>
      </c>
      <c r="C735" s="1" t="s">
        <v>1073</v>
      </c>
      <c r="D735" s="41"/>
      <c r="J735" s="39">
        <v>242231</v>
      </c>
      <c r="K735" s="41">
        <v>3</v>
      </c>
      <c r="L735" s="41">
        <v>1190000</v>
      </c>
      <c r="M735" s="41"/>
    </row>
    <row r="736" spans="1:13">
      <c r="A736" s="10">
        <v>63878</v>
      </c>
      <c r="B736" s="1" t="s">
        <v>1073</v>
      </c>
      <c r="C736" s="2">
        <v>6200000</v>
      </c>
      <c r="D736" s="41"/>
      <c r="J736" s="39">
        <v>345127</v>
      </c>
      <c r="K736" s="41">
        <v>5</v>
      </c>
      <c r="L736" s="41">
        <v>0</v>
      </c>
      <c r="M736" s="41"/>
    </row>
    <row r="737" spans="1:13">
      <c r="A737" s="10">
        <v>12300796</v>
      </c>
      <c r="B737" s="1" t="s">
        <v>1073</v>
      </c>
      <c r="C737" s="1" t="s">
        <v>1073</v>
      </c>
      <c r="D737" s="41"/>
      <c r="J737" s="39">
        <v>366738</v>
      </c>
      <c r="K737" s="41">
        <v>8</v>
      </c>
      <c r="L737" s="41">
        <v>4000000</v>
      </c>
      <c r="M737" s="41"/>
    </row>
    <row r="738" spans="1:13">
      <c r="A738" s="10">
        <v>12297014</v>
      </c>
      <c r="B738" s="1" t="s">
        <v>1073</v>
      </c>
      <c r="C738" s="1" t="s">
        <v>1073</v>
      </c>
      <c r="D738" s="41"/>
      <c r="J738" s="39">
        <v>405188</v>
      </c>
      <c r="K738" s="41">
        <v>4</v>
      </c>
      <c r="L738" s="41">
        <v>7540000</v>
      </c>
      <c r="M738" s="41"/>
    </row>
    <row r="739" spans="1:13">
      <c r="A739" s="10">
        <v>341652</v>
      </c>
      <c r="B739" s="1" t="s">
        <v>1073</v>
      </c>
      <c r="C739" s="3">
        <v>200000</v>
      </c>
      <c r="D739" s="41"/>
      <c r="J739" s="39">
        <v>439681</v>
      </c>
      <c r="K739" s="41">
        <v>38</v>
      </c>
      <c r="L739" s="41">
        <v>9382750</v>
      </c>
      <c r="M739" s="41"/>
    </row>
    <row r="740" spans="1:13">
      <c r="A740" s="10">
        <v>12305463</v>
      </c>
      <c r="B740" s="1">
        <v>12</v>
      </c>
      <c r="C740" s="1" t="s">
        <v>1073</v>
      </c>
      <c r="D740" s="41"/>
      <c r="J740" s="39">
        <v>488992</v>
      </c>
      <c r="K740" s="41">
        <v>2</v>
      </c>
      <c r="L740" s="41">
        <v>1150000</v>
      </c>
      <c r="M740" s="41"/>
    </row>
    <row r="741" spans="1:13">
      <c r="A741" s="10">
        <v>525728</v>
      </c>
      <c r="B741" s="1">
        <v>2</v>
      </c>
      <c r="C741" s="2">
        <v>450000</v>
      </c>
      <c r="D741" s="41"/>
      <c r="J741" s="39">
        <v>493188</v>
      </c>
      <c r="K741" s="41">
        <v>5</v>
      </c>
      <c r="L741" s="41">
        <v>100000</v>
      </c>
      <c r="M741" s="41"/>
    </row>
    <row r="742" spans="1:13">
      <c r="A742" s="10">
        <v>3369</v>
      </c>
      <c r="B742" s="1">
        <v>4</v>
      </c>
      <c r="C742" s="2">
        <v>17655733</v>
      </c>
      <c r="D742" s="41"/>
      <c r="J742" s="39">
        <v>494998</v>
      </c>
      <c r="K742" s="41">
        <v>7</v>
      </c>
      <c r="L742" s="41">
        <v>1300000</v>
      </c>
      <c r="M742" s="41"/>
    </row>
    <row r="743" spans="1:13">
      <c r="A743" s="10">
        <v>531570</v>
      </c>
      <c r="B743" s="1" t="s">
        <v>1073</v>
      </c>
      <c r="C743" s="1" t="s">
        <v>1073</v>
      </c>
      <c r="D743" s="41"/>
      <c r="J743" s="39">
        <v>500500</v>
      </c>
      <c r="K743" s="41">
        <v>6</v>
      </c>
      <c r="L743" s="41">
        <v>1116000</v>
      </c>
      <c r="M743" s="41"/>
    </row>
    <row r="744" spans="1:13">
      <c r="A744" s="10">
        <v>526020</v>
      </c>
      <c r="B744" s="1" t="s">
        <v>1073</v>
      </c>
      <c r="C744" s="2">
        <v>500000</v>
      </c>
      <c r="D744" s="41"/>
      <c r="J744" s="39">
        <v>509643</v>
      </c>
      <c r="K744" s="41">
        <v>4</v>
      </c>
      <c r="L744" s="41">
        <v>700000</v>
      </c>
      <c r="M744" s="41"/>
    </row>
    <row r="745" spans="1:13">
      <c r="A745" s="10">
        <v>514162</v>
      </c>
      <c r="B745" s="1">
        <v>3</v>
      </c>
      <c r="C745" s="2">
        <v>1750000</v>
      </c>
      <c r="D745" s="41"/>
      <c r="J745" s="39">
        <v>518762</v>
      </c>
      <c r="K745" s="41">
        <v>5</v>
      </c>
      <c r="L745" s="41">
        <v>1140000</v>
      </c>
      <c r="M745" s="41"/>
    </row>
    <row r="746" spans="1:13">
      <c r="A746" s="10">
        <v>240684</v>
      </c>
      <c r="B746" s="1" t="s">
        <v>1073</v>
      </c>
      <c r="C746" s="2">
        <v>300000</v>
      </c>
      <c r="D746" s="41"/>
      <c r="J746" s="39">
        <v>534674</v>
      </c>
      <c r="K746" s="41">
        <v>6</v>
      </c>
      <c r="L746" s="41">
        <v>2390000</v>
      </c>
      <c r="M746" s="41"/>
    </row>
    <row r="747" spans="1:13">
      <c r="A747" s="10">
        <v>12319419</v>
      </c>
      <c r="B747" s="1">
        <v>3</v>
      </c>
      <c r="C747" s="2">
        <v>719000</v>
      </c>
      <c r="D747" s="41"/>
      <c r="J747" s="39">
        <v>572995</v>
      </c>
      <c r="K747" s="41">
        <v>1</v>
      </c>
      <c r="L747" s="41">
        <v>0</v>
      </c>
      <c r="M747" s="41"/>
    </row>
    <row r="748" spans="1:13">
      <c r="A748" s="10">
        <v>411810</v>
      </c>
      <c r="B748" s="1" t="s">
        <v>1073</v>
      </c>
      <c r="C748" s="2">
        <v>1400000</v>
      </c>
      <c r="D748" s="41"/>
      <c r="J748" s="39">
        <v>579635</v>
      </c>
      <c r="K748" s="41">
        <v>6</v>
      </c>
      <c r="L748" s="41">
        <v>2950000</v>
      </c>
      <c r="M748" s="41"/>
    </row>
    <row r="749" spans="1:13">
      <c r="A749" s="10">
        <v>376433</v>
      </c>
      <c r="B749" s="1">
        <v>3</v>
      </c>
      <c r="C749" s="1" t="s">
        <v>1073</v>
      </c>
      <c r="D749" s="41"/>
      <c r="J749" s="39">
        <v>61917</v>
      </c>
      <c r="K749" s="41">
        <v>3</v>
      </c>
      <c r="L749" s="41">
        <v>15819000</v>
      </c>
      <c r="M749" s="41"/>
    </row>
    <row r="750" spans="1:13">
      <c r="A750" s="10">
        <v>250263</v>
      </c>
      <c r="B750" s="1">
        <v>1</v>
      </c>
      <c r="C750" s="3">
        <v>29000</v>
      </c>
      <c r="D750" s="41"/>
      <c r="J750" s="39">
        <v>63897</v>
      </c>
      <c r="K750" s="41">
        <v>6</v>
      </c>
      <c r="L750" s="41">
        <v>300000</v>
      </c>
      <c r="M750" s="41"/>
    </row>
    <row r="751" spans="1:13">
      <c r="A751" s="10">
        <v>63855</v>
      </c>
      <c r="B751" s="1">
        <v>1</v>
      </c>
      <c r="C751" s="2">
        <v>879000</v>
      </c>
      <c r="D751" s="41"/>
      <c r="J751" s="39">
        <v>63912</v>
      </c>
      <c r="K751" s="41">
        <v>3</v>
      </c>
      <c r="L751" s="41">
        <v>1840000</v>
      </c>
      <c r="M751" s="41"/>
    </row>
    <row r="752" spans="1:13">
      <c r="A752" s="10">
        <v>514827</v>
      </c>
      <c r="B752" s="1">
        <v>4</v>
      </c>
      <c r="C752" s="2">
        <v>2416000</v>
      </c>
      <c r="D752" s="41"/>
      <c r="J752" s="39">
        <v>9171</v>
      </c>
      <c r="K752" s="41">
        <v>4</v>
      </c>
      <c r="L752" s="41">
        <v>7750000</v>
      </c>
      <c r="M752" s="41"/>
    </row>
    <row r="753" spans="1:13">
      <c r="A753" s="10">
        <v>12322463</v>
      </c>
      <c r="B753" s="1" t="s">
        <v>1073</v>
      </c>
      <c r="C753" s="2">
        <v>7000000</v>
      </c>
      <c r="D753" s="41"/>
      <c r="J753" s="39" t="s">
        <v>548</v>
      </c>
      <c r="K753" s="41">
        <v>1</v>
      </c>
      <c r="L753" s="41">
        <v>100000</v>
      </c>
      <c r="M753" s="41"/>
    </row>
    <row r="754" spans="1:13">
      <c r="A754" s="10">
        <v>533910</v>
      </c>
      <c r="B754" s="1" t="s">
        <v>1073</v>
      </c>
      <c r="C754" s="1" t="s">
        <v>1073</v>
      </c>
      <c r="D754" s="41"/>
      <c r="J754" s="39">
        <v>10342</v>
      </c>
      <c r="K754" s="41">
        <v>0</v>
      </c>
      <c r="L754" s="41">
        <v>464700</v>
      </c>
      <c r="M754" s="41"/>
    </row>
    <row r="755" spans="1:13">
      <c r="A755" s="10">
        <v>395702</v>
      </c>
      <c r="B755" s="1" t="s">
        <v>1073</v>
      </c>
      <c r="C755" s="1" t="s">
        <v>1073</v>
      </c>
      <c r="D755" s="41"/>
      <c r="J755" s="39">
        <v>12299789</v>
      </c>
      <c r="K755" s="41">
        <v>4</v>
      </c>
      <c r="L755" s="41">
        <v>0</v>
      </c>
      <c r="M755" s="41"/>
    </row>
    <row r="756" spans="1:13">
      <c r="A756" s="10">
        <v>12313881</v>
      </c>
      <c r="B756" s="1">
        <v>4</v>
      </c>
      <c r="C756" s="2">
        <v>8000000</v>
      </c>
      <c r="D756" s="41"/>
      <c r="J756" s="39">
        <v>12312942</v>
      </c>
      <c r="K756" s="41">
        <v>0</v>
      </c>
      <c r="L756" s="41">
        <v>0</v>
      </c>
      <c r="M756" s="41"/>
    </row>
    <row r="757" spans="1:13">
      <c r="A757" s="10">
        <v>559146</v>
      </c>
      <c r="B757" s="1" t="s">
        <v>1073</v>
      </c>
      <c r="C757" s="2">
        <v>500000</v>
      </c>
      <c r="D757" s="41"/>
      <c r="J757" s="39">
        <v>12314331</v>
      </c>
      <c r="K757" s="41">
        <v>6</v>
      </c>
      <c r="L757" s="41">
        <v>1479000</v>
      </c>
      <c r="M757" s="41"/>
    </row>
    <row r="758" spans="1:13">
      <c r="A758" s="10">
        <v>2083</v>
      </c>
      <c r="B758" s="1" t="s">
        <v>1073</v>
      </c>
      <c r="C758" s="2">
        <v>750000</v>
      </c>
      <c r="D758" s="41"/>
      <c r="J758" s="39">
        <v>12318885</v>
      </c>
      <c r="K758" s="41">
        <v>1</v>
      </c>
      <c r="L758" s="41">
        <v>900000</v>
      </c>
      <c r="M758" s="41"/>
    </row>
    <row r="759" spans="1:13">
      <c r="A759" s="10">
        <v>12300143</v>
      </c>
      <c r="B759" s="1" t="s">
        <v>1073</v>
      </c>
      <c r="C759" s="2">
        <v>2600000</v>
      </c>
      <c r="D759" s="41"/>
      <c r="J759" s="39">
        <v>12319785</v>
      </c>
      <c r="K759" s="41">
        <v>3</v>
      </c>
      <c r="L759" s="41">
        <v>0</v>
      </c>
      <c r="M759" s="41"/>
    </row>
    <row r="760" spans="1:13">
      <c r="A760" s="10">
        <v>545547</v>
      </c>
      <c r="B760" s="1" t="s">
        <v>1073</v>
      </c>
      <c r="C760" s="2">
        <v>700000</v>
      </c>
      <c r="D760" s="41"/>
      <c r="J760" s="39">
        <v>12321946</v>
      </c>
      <c r="K760" s="41">
        <v>1</v>
      </c>
      <c r="L760" s="41">
        <v>100000</v>
      </c>
      <c r="M760" s="41"/>
    </row>
    <row r="761" spans="1:13">
      <c r="A761" s="10">
        <v>306756</v>
      </c>
      <c r="B761" s="1" t="s">
        <v>1073</v>
      </c>
      <c r="C761" s="2">
        <v>500000</v>
      </c>
      <c r="D761" s="41"/>
      <c r="J761" s="39">
        <v>12322024</v>
      </c>
      <c r="K761" s="41">
        <v>3</v>
      </c>
      <c r="L761" s="41">
        <v>635000</v>
      </c>
      <c r="M761" s="41"/>
    </row>
    <row r="762" spans="1:13">
      <c r="A762" s="10">
        <v>62369</v>
      </c>
      <c r="B762" s="1" t="s">
        <v>1073</v>
      </c>
      <c r="C762" s="2">
        <v>1050000</v>
      </c>
      <c r="D762" s="41"/>
      <c r="J762" s="39">
        <v>12322479</v>
      </c>
      <c r="K762" s="41">
        <v>0</v>
      </c>
      <c r="L762" s="41">
        <v>0</v>
      </c>
      <c r="M762" s="41"/>
    </row>
    <row r="763" spans="1:13">
      <c r="A763" s="10">
        <v>287843</v>
      </c>
      <c r="B763" s="1" t="s">
        <v>1073</v>
      </c>
      <c r="C763" s="2">
        <v>300000</v>
      </c>
      <c r="D763" s="41"/>
      <c r="J763" s="39">
        <v>12322496</v>
      </c>
      <c r="K763" s="41">
        <v>0</v>
      </c>
      <c r="L763" s="41">
        <v>2700000</v>
      </c>
      <c r="M763" s="41"/>
    </row>
    <row r="764" spans="1:13">
      <c r="A764" s="10">
        <v>517137</v>
      </c>
      <c r="B764" s="1" t="s">
        <v>1073</v>
      </c>
      <c r="C764" s="2">
        <v>300000</v>
      </c>
      <c r="D764" s="41"/>
      <c r="J764" s="39">
        <v>12323855</v>
      </c>
      <c r="K764" s="41">
        <v>0</v>
      </c>
      <c r="L764" s="41">
        <v>250000</v>
      </c>
      <c r="M764" s="41"/>
    </row>
    <row r="765" spans="1:13">
      <c r="A765" s="10">
        <v>513384</v>
      </c>
      <c r="B765" s="1" t="s">
        <v>1073</v>
      </c>
      <c r="C765" s="2">
        <v>2000000</v>
      </c>
      <c r="D765" s="41"/>
      <c r="J765" s="39">
        <v>12323991</v>
      </c>
      <c r="K765" s="41">
        <v>0</v>
      </c>
      <c r="L765" s="41">
        <v>100000</v>
      </c>
      <c r="M765" s="41"/>
    </row>
    <row r="766" spans="1:13">
      <c r="A766" s="10">
        <v>12296067</v>
      </c>
      <c r="B766" s="1">
        <v>1</v>
      </c>
      <c r="C766" s="2">
        <v>700000</v>
      </c>
      <c r="D766" s="41"/>
      <c r="J766" s="39">
        <v>12326196</v>
      </c>
      <c r="K766" s="41">
        <v>3</v>
      </c>
      <c r="L766" s="41">
        <v>0</v>
      </c>
      <c r="M766" s="41"/>
    </row>
    <row r="767" spans="1:13">
      <c r="A767" s="10">
        <v>557423</v>
      </c>
      <c r="B767" s="1" t="s">
        <v>1073</v>
      </c>
      <c r="C767" s="1" t="s">
        <v>1073</v>
      </c>
      <c r="D767" s="41"/>
      <c r="J767" s="39">
        <v>12326250</v>
      </c>
      <c r="K767" s="41">
        <v>0</v>
      </c>
      <c r="L767" s="41">
        <v>0</v>
      </c>
      <c r="M767" s="41"/>
    </row>
    <row r="768" spans="1:13">
      <c r="A768" s="10">
        <v>126597</v>
      </c>
      <c r="B768" s="1" t="s">
        <v>1073</v>
      </c>
      <c r="C768" s="2">
        <v>1000000</v>
      </c>
      <c r="D768" s="41"/>
      <c r="J768" s="39">
        <v>12326605</v>
      </c>
      <c r="K768" s="41">
        <v>3</v>
      </c>
      <c r="L768" s="41">
        <v>0</v>
      </c>
      <c r="M768" s="41"/>
    </row>
    <row r="769" spans="1:13">
      <c r="A769" s="10">
        <v>510295</v>
      </c>
      <c r="B769" s="1">
        <v>4</v>
      </c>
      <c r="C769" s="3">
        <v>100000</v>
      </c>
      <c r="D769" s="41"/>
      <c r="J769" s="39">
        <v>12326670</v>
      </c>
      <c r="K769" s="41">
        <v>0</v>
      </c>
      <c r="L769" s="41">
        <v>0</v>
      </c>
      <c r="M769" s="41"/>
    </row>
    <row r="770" spans="1:13">
      <c r="A770" s="10">
        <v>160207</v>
      </c>
      <c r="B770" s="1" t="s">
        <v>1073</v>
      </c>
      <c r="C770" s="3">
        <v>250000</v>
      </c>
      <c r="D770" s="41"/>
      <c r="J770" s="39">
        <v>12327415</v>
      </c>
      <c r="K770" s="41">
        <v>3</v>
      </c>
      <c r="L770" s="41">
        <v>0</v>
      </c>
      <c r="M770" s="41"/>
    </row>
    <row r="771" spans="1:13">
      <c r="A771" s="10">
        <v>537838</v>
      </c>
      <c r="B771" s="1" t="s">
        <v>1073</v>
      </c>
      <c r="C771" s="2">
        <v>1000000</v>
      </c>
      <c r="D771" s="41"/>
      <c r="J771" s="39">
        <v>12328134</v>
      </c>
      <c r="K771" s="41">
        <v>3</v>
      </c>
      <c r="L771" s="41">
        <v>0</v>
      </c>
      <c r="M771" s="41"/>
    </row>
    <row r="772" spans="1:13">
      <c r="A772" s="10">
        <v>580284</v>
      </c>
      <c r="B772" s="1" t="s">
        <v>1073</v>
      </c>
      <c r="C772" s="1" t="s">
        <v>1073</v>
      </c>
      <c r="D772" s="41"/>
      <c r="J772" s="39">
        <v>12328412</v>
      </c>
      <c r="K772" s="41">
        <v>6</v>
      </c>
      <c r="L772" s="41">
        <v>500000</v>
      </c>
      <c r="M772" s="41"/>
    </row>
    <row r="773" spans="1:13">
      <c r="A773" s="10">
        <v>369884</v>
      </c>
      <c r="B773" s="1" t="s">
        <v>1073</v>
      </c>
      <c r="C773" s="2">
        <v>3800000</v>
      </c>
      <c r="D773" s="41"/>
      <c r="J773" s="39">
        <v>12331070</v>
      </c>
      <c r="K773" s="41">
        <v>2</v>
      </c>
      <c r="L773" s="41">
        <v>2458000</v>
      </c>
      <c r="M773" s="41"/>
    </row>
    <row r="774" spans="1:13">
      <c r="A774" s="10">
        <v>12320323</v>
      </c>
      <c r="B774" s="1" t="s">
        <v>1073</v>
      </c>
      <c r="C774" s="1" t="s">
        <v>1073</v>
      </c>
      <c r="D774" s="41"/>
      <c r="J774" s="39">
        <v>12332344</v>
      </c>
      <c r="K774" s="41">
        <v>36</v>
      </c>
      <c r="L774" s="41">
        <v>129000</v>
      </c>
      <c r="M774" s="41"/>
    </row>
    <row r="775" spans="1:13">
      <c r="A775" s="10">
        <v>61883</v>
      </c>
      <c r="B775" s="1">
        <v>2</v>
      </c>
      <c r="C775" s="2">
        <v>6128803</v>
      </c>
      <c r="D775" s="41"/>
      <c r="J775" s="39">
        <v>12332349</v>
      </c>
      <c r="K775" s="41">
        <v>1</v>
      </c>
      <c r="L775" s="41">
        <v>15000</v>
      </c>
      <c r="M775" s="41"/>
    </row>
    <row r="776" spans="1:13">
      <c r="A776" s="10">
        <v>12327274</v>
      </c>
      <c r="B776" s="1" t="s">
        <v>1073</v>
      </c>
      <c r="C776" s="1" t="s">
        <v>1073</v>
      </c>
      <c r="D776" s="41"/>
      <c r="J776" s="39">
        <v>12332401</v>
      </c>
      <c r="K776" s="41">
        <v>1</v>
      </c>
      <c r="L776" s="41">
        <v>1429000</v>
      </c>
      <c r="M776" s="41"/>
    </row>
    <row r="777" spans="1:13">
      <c r="A777" s="10">
        <v>12296076</v>
      </c>
      <c r="B777" s="1" t="s">
        <v>1073</v>
      </c>
      <c r="C777" s="2">
        <v>350000</v>
      </c>
      <c r="D777" s="41"/>
      <c r="J777" s="39">
        <v>211575</v>
      </c>
      <c r="K777" s="41">
        <v>3</v>
      </c>
      <c r="L777" s="41">
        <v>9695000</v>
      </c>
      <c r="M777" s="41"/>
    </row>
    <row r="778" spans="1:13">
      <c r="A778" s="10">
        <v>366738</v>
      </c>
      <c r="B778" s="1">
        <v>3</v>
      </c>
      <c r="C778" s="1" t="s">
        <v>1073</v>
      </c>
      <c r="D778" s="41"/>
      <c r="J778" s="39">
        <v>211577</v>
      </c>
      <c r="K778" s="41">
        <v>2</v>
      </c>
      <c r="L778" s="41">
        <v>5774000</v>
      </c>
      <c r="M778" s="41"/>
    </row>
    <row r="779" spans="1:13">
      <c r="A779" s="10">
        <v>553964</v>
      </c>
      <c r="B779" s="1">
        <v>4</v>
      </c>
      <c r="C779" s="2">
        <v>1608000</v>
      </c>
      <c r="D779" s="41"/>
      <c r="J779" s="39">
        <v>280412</v>
      </c>
      <c r="K779" s="41">
        <v>5</v>
      </c>
      <c r="L779" s="41">
        <v>1878000</v>
      </c>
      <c r="M779" s="41"/>
    </row>
    <row r="780" spans="1:13">
      <c r="A780" s="10">
        <v>12300507</v>
      </c>
      <c r="B780" s="1" t="s">
        <v>1073</v>
      </c>
      <c r="C780" s="1" t="s">
        <v>1073</v>
      </c>
      <c r="D780" s="41"/>
      <c r="J780" s="39">
        <v>336362</v>
      </c>
      <c r="K780" s="41">
        <v>0</v>
      </c>
      <c r="L780" s="41">
        <v>1000000</v>
      </c>
      <c r="M780" s="41"/>
    </row>
    <row r="781" spans="1:13">
      <c r="A781" s="10">
        <v>12296086</v>
      </c>
      <c r="B781" s="1" t="s">
        <v>1073</v>
      </c>
      <c r="C781" s="2">
        <v>1000000</v>
      </c>
      <c r="D781" s="41"/>
      <c r="J781" s="39">
        <v>336564</v>
      </c>
      <c r="K781" s="41">
        <v>0</v>
      </c>
      <c r="L781" s="41">
        <v>950000</v>
      </c>
      <c r="M781" s="41"/>
    </row>
    <row r="782" spans="1:13">
      <c r="A782" s="10">
        <v>12317312</v>
      </c>
      <c r="B782" s="1" t="s">
        <v>1073</v>
      </c>
      <c r="C782" s="2">
        <v>400000</v>
      </c>
      <c r="D782" s="41"/>
      <c r="J782" s="39">
        <v>344173</v>
      </c>
      <c r="K782" s="41">
        <v>200</v>
      </c>
      <c r="L782" s="41">
        <v>11450000</v>
      </c>
      <c r="M782" s="41"/>
    </row>
    <row r="783" spans="1:13">
      <c r="A783" s="10">
        <v>62339</v>
      </c>
      <c r="B783" s="1" t="s">
        <v>1073</v>
      </c>
      <c r="C783" s="2">
        <v>2800000</v>
      </c>
      <c r="D783" s="41"/>
      <c r="J783" s="39">
        <v>344259</v>
      </c>
      <c r="K783" s="41">
        <v>6</v>
      </c>
      <c r="L783" s="41">
        <v>1200000</v>
      </c>
      <c r="M783" s="41"/>
    </row>
    <row r="784" spans="1:13">
      <c r="A784" s="10">
        <v>12327540</v>
      </c>
      <c r="B784" s="1">
        <v>100</v>
      </c>
      <c r="C784" s="2">
        <v>550000</v>
      </c>
      <c r="D784" s="41"/>
      <c r="J784" s="39">
        <v>355412</v>
      </c>
      <c r="K784" s="41">
        <v>4</v>
      </c>
      <c r="L784" s="41">
        <v>2500000</v>
      </c>
      <c r="M784" s="41"/>
    </row>
    <row r="785" spans="1:13">
      <c r="A785" s="10">
        <v>344776</v>
      </c>
      <c r="B785" s="1">
        <v>1</v>
      </c>
      <c r="C785" s="2">
        <v>329000</v>
      </c>
      <c r="D785" s="41"/>
      <c r="J785" s="39">
        <v>355448</v>
      </c>
      <c r="K785" s="41">
        <v>3</v>
      </c>
      <c r="L785" s="41">
        <v>2000000</v>
      </c>
      <c r="M785" s="41"/>
    </row>
    <row r="786" spans="1:13">
      <c r="A786" s="10">
        <v>62187</v>
      </c>
      <c r="B786" s="1" t="s">
        <v>1073</v>
      </c>
      <c r="C786" s="2">
        <v>1500000</v>
      </c>
      <c r="D786" s="41"/>
      <c r="J786" s="39">
        <v>355584</v>
      </c>
      <c r="K786" s="41">
        <v>0</v>
      </c>
      <c r="L786" s="41">
        <v>0</v>
      </c>
      <c r="M786" s="41"/>
    </row>
    <row r="787" spans="1:13">
      <c r="A787" s="10">
        <v>126976</v>
      </c>
      <c r="B787" s="1" t="s">
        <v>1073</v>
      </c>
      <c r="C787" s="2">
        <v>300000</v>
      </c>
      <c r="D787" s="41"/>
      <c r="J787" s="39">
        <v>395702</v>
      </c>
      <c r="K787" s="41">
        <v>0</v>
      </c>
      <c r="L787" s="41">
        <v>1000000</v>
      </c>
      <c r="M787" s="41"/>
    </row>
    <row r="788" spans="1:13">
      <c r="A788" s="10">
        <v>199007</v>
      </c>
      <c r="B788" s="1">
        <v>5</v>
      </c>
      <c r="C788" s="3">
        <v>1000</v>
      </c>
      <c r="D788" s="41"/>
      <c r="J788" s="39">
        <v>407415</v>
      </c>
      <c r="K788" s="41">
        <v>3</v>
      </c>
      <c r="L788" s="41">
        <v>6485000</v>
      </c>
      <c r="M788" s="41"/>
    </row>
    <row r="789" spans="1:13">
      <c r="A789" s="10">
        <v>405373</v>
      </c>
      <c r="B789" s="1" t="s">
        <v>1073</v>
      </c>
      <c r="C789" s="1" t="s">
        <v>1073</v>
      </c>
      <c r="D789" s="41"/>
      <c r="J789" s="39">
        <v>408166</v>
      </c>
      <c r="K789" s="41">
        <v>3</v>
      </c>
      <c r="L789" s="41">
        <v>700000</v>
      </c>
      <c r="M789" s="41"/>
    </row>
    <row r="790" spans="1:13">
      <c r="A790" s="10">
        <v>67032</v>
      </c>
      <c r="B790" s="1">
        <v>5</v>
      </c>
      <c r="C790" s="2">
        <v>445000</v>
      </c>
      <c r="D790" s="41"/>
      <c r="J790" s="39">
        <v>408828</v>
      </c>
      <c r="K790" s="41">
        <v>2</v>
      </c>
      <c r="L790" s="41">
        <v>0</v>
      </c>
      <c r="M790" s="41"/>
    </row>
    <row r="791" spans="1:13">
      <c r="A791" s="10">
        <v>12303554</v>
      </c>
      <c r="B791" s="1" t="s">
        <v>1073</v>
      </c>
      <c r="C791" s="3">
        <v>200000</v>
      </c>
      <c r="D791" s="41"/>
      <c r="J791" s="39">
        <v>461982</v>
      </c>
      <c r="K791" s="41">
        <v>0</v>
      </c>
      <c r="L791" s="41">
        <v>0</v>
      </c>
      <c r="M791" s="41"/>
    </row>
    <row r="792" spans="1:13">
      <c r="A792" s="10">
        <v>507346</v>
      </c>
      <c r="B792" s="1">
        <v>3</v>
      </c>
      <c r="C792" s="1" t="s">
        <v>1073</v>
      </c>
      <c r="D792" s="41"/>
      <c r="J792" s="39">
        <v>465620</v>
      </c>
      <c r="K792" s="41">
        <v>5</v>
      </c>
      <c r="L792" s="41">
        <v>200000</v>
      </c>
      <c r="M792" s="41"/>
    </row>
    <row r="793" spans="1:13">
      <c r="A793" s="10">
        <v>281770</v>
      </c>
      <c r="B793" s="1" t="s">
        <v>1073</v>
      </c>
      <c r="C793" s="1" t="s">
        <v>1073</v>
      </c>
      <c r="D793" s="41"/>
      <c r="J793" s="39">
        <v>470900</v>
      </c>
      <c r="K793" s="41">
        <v>0</v>
      </c>
      <c r="L793" s="41">
        <v>0</v>
      </c>
      <c r="M793" s="41"/>
    </row>
    <row r="794" spans="1:13">
      <c r="A794" s="10">
        <v>280412</v>
      </c>
      <c r="B794" s="1">
        <v>3</v>
      </c>
      <c r="C794" s="2">
        <v>700000</v>
      </c>
      <c r="D794" s="41"/>
      <c r="J794" s="39">
        <v>490023</v>
      </c>
      <c r="K794" s="41">
        <v>3</v>
      </c>
      <c r="L794" s="41">
        <v>7674000</v>
      </c>
      <c r="M794" s="41"/>
    </row>
    <row r="795" spans="1:13">
      <c r="A795" s="10">
        <v>387721</v>
      </c>
      <c r="B795" s="1" t="s">
        <v>1073</v>
      </c>
      <c r="C795" s="3">
        <v>250000</v>
      </c>
      <c r="D795" s="41"/>
      <c r="J795" s="39">
        <v>522982</v>
      </c>
      <c r="K795" s="41">
        <v>3</v>
      </c>
      <c r="L795" s="41">
        <v>3229000</v>
      </c>
      <c r="M795" s="41"/>
    </row>
    <row r="796" spans="1:13">
      <c r="A796" s="10">
        <v>383463</v>
      </c>
      <c r="B796" s="1" t="s">
        <v>1073</v>
      </c>
      <c r="C796" s="2">
        <v>450000</v>
      </c>
      <c r="D796" s="41"/>
      <c r="J796" s="39">
        <v>539087</v>
      </c>
      <c r="K796" s="41">
        <v>0</v>
      </c>
      <c r="L796" s="41">
        <v>1000000</v>
      </c>
      <c r="M796" s="41"/>
    </row>
    <row r="797" spans="1:13">
      <c r="A797" s="10">
        <v>402551</v>
      </c>
      <c r="B797" s="1" t="s">
        <v>1073</v>
      </c>
      <c r="C797" s="1" t="s">
        <v>1073</v>
      </c>
      <c r="D797" s="41"/>
      <c r="J797" s="39">
        <v>539295</v>
      </c>
      <c r="K797" s="41">
        <v>0</v>
      </c>
      <c r="L797" s="41">
        <v>4000000</v>
      </c>
      <c r="M797" s="41"/>
    </row>
    <row r="798" spans="1:13">
      <c r="A798" s="10">
        <v>11178</v>
      </c>
      <c r="B798" s="1">
        <v>1</v>
      </c>
      <c r="C798" s="2">
        <v>670000</v>
      </c>
      <c r="D798" s="41"/>
      <c r="J798" s="39">
        <v>545500</v>
      </c>
      <c r="K798" s="41">
        <v>35</v>
      </c>
      <c r="L798" s="41">
        <v>200000</v>
      </c>
      <c r="M798" s="41"/>
    </row>
    <row r="799" spans="1:13">
      <c r="A799" s="10">
        <v>298574</v>
      </c>
      <c r="B799" s="1">
        <v>3</v>
      </c>
      <c r="C799" s="2">
        <v>400000</v>
      </c>
      <c r="D799" s="41"/>
      <c r="J799" s="39">
        <v>545720</v>
      </c>
      <c r="K799" s="41">
        <v>0</v>
      </c>
      <c r="L799" s="41">
        <v>829000</v>
      </c>
      <c r="M799" s="41"/>
    </row>
    <row r="800" spans="1:13">
      <c r="A800" s="10">
        <v>518762</v>
      </c>
      <c r="B800" s="1">
        <v>3</v>
      </c>
      <c r="C800" s="2">
        <v>1000000</v>
      </c>
      <c r="D800" s="41"/>
      <c r="J800" s="39">
        <v>546109</v>
      </c>
      <c r="K800" s="41">
        <v>4</v>
      </c>
      <c r="L800" s="41">
        <v>1766000</v>
      </c>
      <c r="M800" s="41"/>
    </row>
    <row r="801" spans="1:13">
      <c r="A801" s="10">
        <v>61576</v>
      </c>
      <c r="B801" s="1" t="s">
        <v>1073</v>
      </c>
      <c r="C801" s="2">
        <v>550000</v>
      </c>
      <c r="D801" s="41"/>
      <c r="J801" s="39">
        <v>547922</v>
      </c>
      <c r="K801" s="41">
        <v>3</v>
      </c>
      <c r="L801" s="41">
        <v>641500</v>
      </c>
      <c r="M801" s="41"/>
    </row>
    <row r="802" spans="1:13">
      <c r="A802" s="10">
        <v>12295824</v>
      </c>
      <c r="B802" s="1" t="s">
        <v>1073</v>
      </c>
      <c r="C802" s="2">
        <v>800000</v>
      </c>
      <c r="D802" s="41"/>
      <c r="J802" s="39">
        <v>576041</v>
      </c>
      <c r="K802" s="41">
        <v>4</v>
      </c>
      <c r="L802" s="41">
        <v>300000</v>
      </c>
      <c r="M802" s="41"/>
    </row>
    <row r="803" spans="1:13">
      <c r="A803" s="10">
        <v>362462</v>
      </c>
      <c r="B803" s="1">
        <v>2</v>
      </c>
      <c r="C803" s="1" t="s">
        <v>1073</v>
      </c>
      <c r="D803" s="41"/>
      <c r="J803" s="39">
        <v>579546</v>
      </c>
      <c r="K803" s="41">
        <v>0</v>
      </c>
      <c r="L803" s="41">
        <v>229000</v>
      </c>
      <c r="M803" s="41"/>
    </row>
    <row r="804" spans="1:13">
      <c r="A804" s="10">
        <v>527659</v>
      </c>
      <c r="B804" s="1" t="s">
        <v>1073</v>
      </c>
      <c r="C804" s="2">
        <v>300000</v>
      </c>
      <c r="D804" s="41"/>
      <c r="J804" s="39">
        <v>12295728</v>
      </c>
      <c r="K804" s="41">
        <v>3</v>
      </c>
      <c r="L804" s="41">
        <v>450000</v>
      </c>
      <c r="M804" s="41"/>
    </row>
    <row r="805" spans="1:13">
      <c r="A805" s="10">
        <v>396176</v>
      </c>
      <c r="B805" s="1" t="s">
        <v>1073</v>
      </c>
      <c r="C805" s="3">
        <v>200000</v>
      </c>
      <c r="D805" s="41"/>
      <c r="J805" s="39">
        <v>12295735</v>
      </c>
      <c r="K805" s="41">
        <v>43</v>
      </c>
      <c r="L805" s="41">
        <v>641500</v>
      </c>
      <c r="M805" s="41"/>
    </row>
    <row r="806" spans="1:13">
      <c r="A806" s="10">
        <v>139908</v>
      </c>
      <c r="B806" s="1" t="s">
        <v>1073</v>
      </c>
      <c r="C806" s="1" t="s">
        <v>1073</v>
      </c>
      <c r="D806" s="41"/>
      <c r="J806" s="39">
        <v>12320360</v>
      </c>
      <c r="K806" s="41">
        <v>0</v>
      </c>
      <c r="L806" s="41">
        <v>0</v>
      </c>
      <c r="M806" s="41"/>
    </row>
    <row r="807" spans="1:13">
      <c r="A807" s="10">
        <v>199026</v>
      </c>
      <c r="B807" s="1" t="s">
        <v>1073</v>
      </c>
      <c r="C807" s="2">
        <v>4750000</v>
      </c>
      <c r="D807" s="41"/>
      <c r="J807" s="39">
        <v>12321917</v>
      </c>
      <c r="K807" s="41">
        <v>3</v>
      </c>
      <c r="L807" s="41">
        <v>0</v>
      </c>
      <c r="M807" s="41"/>
    </row>
    <row r="808" spans="1:13">
      <c r="A808" s="10">
        <v>534674</v>
      </c>
      <c r="B808" s="1">
        <v>2</v>
      </c>
      <c r="C808" s="2">
        <v>500000</v>
      </c>
      <c r="D808" s="41"/>
      <c r="J808" s="39">
        <v>12322841</v>
      </c>
      <c r="K808" s="41">
        <v>3</v>
      </c>
      <c r="L808" s="41">
        <v>861500</v>
      </c>
      <c r="M808" s="41"/>
    </row>
    <row r="809" spans="1:13">
      <c r="A809" s="10">
        <v>62002</v>
      </c>
      <c r="B809" s="1">
        <v>3</v>
      </c>
      <c r="C809" s="3">
        <v>87000</v>
      </c>
      <c r="D809" s="41"/>
      <c r="J809" s="39">
        <v>12322870</v>
      </c>
      <c r="K809" s="41">
        <v>0</v>
      </c>
      <c r="L809" s="41">
        <v>350000</v>
      </c>
      <c r="M809" s="41"/>
    </row>
    <row r="810" spans="1:13">
      <c r="A810" s="10">
        <v>553891</v>
      </c>
      <c r="B810" s="1">
        <v>4</v>
      </c>
      <c r="C810" s="2">
        <v>566000</v>
      </c>
      <c r="D810" s="41"/>
      <c r="J810" s="39">
        <v>12322880</v>
      </c>
      <c r="K810" s="41">
        <v>7</v>
      </c>
      <c r="L810" s="41">
        <v>523000</v>
      </c>
      <c r="M810" s="41"/>
    </row>
    <row r="811" spans="1:13">
      <c r="A811" s="10">
        <v>527179</v>
      </c>
      <c r="B811" s="1">
        <v>6</v>
      </c>
      <c r="C811" s="3">
        <v>50000</v>
      </c>
      <c r="D811" s="41"/>
      <c r="J811" s="39">
        <v>12322894</v>
      </c>
      <c r="K811" s="41">
        <v>0</v>
      </c>
      <c r="L811" s="41">
        <v>200000</v>
      </c>
      <c r="M811" s="41"/>
    </row>
    <row r="812" spans="1:13">
      <c r="A812" s="10">
        <v>287452</v>
      </c>
      <c r="B812" s="1" t="s">
        <v>1073</v>
      </c>
      <c r="C812" s="3">
        <v>201147</v>
      </c>
      <c r="D812" s="41"/>
      <c r="J812" s="39">
        <v>12325652</v>
      </c>
      <c r="K812" s="41">
        <v>5</v>
      </c>
      <c r="L812" s="41">
        <v>200000</v>
      </c>
      <c r="M812" s="41"/>
    </row>
    <row r="813" spans="1:13">
      <c r="A813" s="10">
        <v>12295051</v>
      </c>
      <c r="B813" s="1" t="s">
        <v>1073</v>
      </c>
      <c r="C813" s="2">
        <v>600000</v>
      </c>
      <c r="D813" s="41"/>
      <c r="J813" s="39">
        <v>12325785</v>
      </c>
      <c r="K813" s="41">
        <v>0</v>
      </c>
      <c r="L813" s="41">
        <v>0</v>
      </c>
      <c r="M813" s="41"/>
    </row>
    <row r="814" spans="1:13">
      <c r="A814" s="10">
        <v>355448</v>
      </c>
      <c r="B814" s="1">
        <v>6</v>
      </c>
      <c r="C814" s="2">
        <v>2000000</v>
      </c>
      <c r="D814" s="41"/>
      <c r="J814" s="39">
        <v>12325929</v>
      </c>
      <c r="K814" s="41">
        <v>11</v>
      </c>
      <c r="L814" s="41">
        <v>800000</v>
      </c>
      <c r="M814" s="41"/>
    </row>
    <row r="815" spans="1:13">
      <c r="A815" s="10">
        <v>62246</v>
      </c>
      <c r="B815" s="1" t="s">
        <v>1073</v>
      </c>
      <c r="C815" s="1" t="s">
        <v>1073</v>
      </c>
      <c r="D815" s="41"/>
      <c r="J815" s="39">
        <v>12325950</v>
      </c>
      <c r="K815" s="41">
        <v>3</v>
      </c>
      <c r="L815" s="41">
        <v>0</v>
      </c>
      <c r="M815" s="41"/>
    </row>
    <row r="816" spans="1:13">
      <c r="A816" s="10">
        <v>12297054</v>
      </c>
      <c r="B816" s="1" t="s">
        <v>1073</v>
      </c>
      <c r="C816" s="1" t="s">
        <v>1073</v>
      </c>
      <c r="D816" s="41"/>
      <c r="J816" s="39">
        <v>12326243</v>
      </c>
      <c r="K816" s="41">
        <v>3</v>
      </c>
      <c r="L816" s="41">
        <v>0</v>
      </c>
      <c r="M816" s="41"/>
    </row>
    <row r="817" spans="1:13">
      <c r="A817" s="10">
        <v>62223</v>
      </c>
      <c r="B817" s="1" t="s">
        <v>1073</v>
      </c>
      <c r="C817" s="1" t="s">
        <v>1073</v>
      </c>
      <c r="D817" s="41"/>
      <c r="J817" s="39">
        <v>12326492</v>
      </c>
      <c r="K817" s="41">
        <v>3</v>
      </c>
      <c r="L817" s="41">
        <v>0</v>
      </c>
      <c r="M817" s="41"/>
    </row>
    <row r="818" spans="1:13">
      <c r="A818" s="10">
        <v>260597</v>
      </c>
      <c r="B818" s="1">
        <v>1</v>
      </c>
      <c r="C818" s="2">
        <v>1800000</v>
      </c>
      <c r="D818" s="41"/>
      <c r="J818" s="39">
        <v>12327540</v>
      </c>
      <c r="K818" s="41">
        <v>41</v>
      </c>
      <c r="L818" s="41">
        <v>1027000</v>
      </c>
      <c r="M818" s="41"/>
    </row>
    <row r="819" spans="1:13">
      <c r="A819" s="10">
        <v>127075</v>
      </c>
      <c r="B819" s="1" t="s">
        <v>1073</v>
      </c>
      <c r="C819" s="1" t="s">
        <v>1073</v>
      </c>
      <c r="D819" s="41"/>
      <c r="J819" s="39">
        <v>12327828</v>
      </c>
      <c r="K819" s="41">
        <v>0</v>
      </c>
      <c r="L819" s="41">
        <v>0</v>
      </c>
      <c r="M819" s="41"/>
    </row>
    <row r="820" spans="1:13">
      <c r="A820" s="10">
        <v>12322314</v>
      </c>
      <c r="B820" s="1">
        <v>3</v>
      </c>
      <c r="C820" s="2">
        <v>1050000</v>
      </c>
      <c r="D820" s="41"/>
      <c r="J820" s="39">
        <v>12327959</v>
      </c>
      <c r="K820" s="41">
        <v>3</v>
      </c>
      <c r="L820" s="41">
        <v>200000</v>
      </c>
      <c r="M820" s="41"/>
    </row>
    <row r="821" spans="1:13">
      <c r="A821" s="10">
        <v>240713</v>
      </c>
      <c r="B821" s="1">
        <v>5</v>
      </c>
      <c r="C821" s="2">
        <v>1829000</v>
      </c>
      <c r="D821" s="41"/>
      <c r="J821" s="39">
        <v>12328831</v>
      </c>
      <c r="K821" s="41">
        <v>4</v>
      </c>
      <c r="L821" s="41">
        <v>661500</v>
      </c>
      <c r="M821" s="41"/>
    </row>
    <row r="822" spans="1:13">
      <c r="A822" s="10">
        <v>404946</v>
      </c>
      <c r="B822" s="1" t="s">
        <v>1073</v>
      </c>
      <c r="C822" s="1" t="s">
        <v>1073</v>
      </c>
      <c r="D822" s="41"/>
      <c r="J822" s="39">
        <v>12328952</v>
      </c>
      <c r="K822" s="41">
        <v>0</v>
      </c>
      <c r="L822" s="41">
        <v>0</v>
      </c>
      <c r="M822" s="41"/>
    </row>
    <row r="823" spans="1:13">
      <c r="A823" s="10">
        <v>199108</v>
      </c>
      <c r="B823" s="1" t="s">
        <v>1073</v>
      </c>
      <c r="C823" s="2">
        <v>350000</v>
      </c>
      <c r="D823" s="41"/>
      <c r="J823" s="39">
        <v>12330397</v>
      </c>
      <c r="K823" s="41">
        <v>3</v>
      </c>
      <c r="L823" s="41">
        <v>1461500</v>
      </c>
      <c r="M823" s="41"/>
    </row>
    <row r="824" spans="1:13">
      <c r="A824" s="10">
        <v>543746</v>
      </c>
      <c r="B824" s="1">
        <v>3</v>
      </c>
      <c r="C824" s="3">
        <v>258000</v>
      </c>
      <c r="D824" s="41"/>
      <c r="J824" s="39">
        <v>286665</v>
      </c>
      <c r="K824" s="41">
        <v>9</v>
      </c>
      <c r="L824" s="41">
        <v>3550000</v>
      </c>
      <c r="M824" s="41"/>
    </row>
    <row r="825" spans="1:13">
      <c r="A825" s="10">
        <v>195812</v>
      </c>
      <c r="B825" s="1" t="s">
        <v>1073</v>
      </c>
      <c r="C825" s="2">
        <v>2300000</v>
      </c>
      <c r="D825" s="41"/>
      <c r="J825" s="39">
        <v>298652</v>
      </c>
      <c r="K825" s="41">
        <v>0</v>
      </c>
      <c r="L825" s="41">
        <v>0</v>
      </c>
      <c r="M825" s="41"/>
    </row>
    <row r="826" spans="1:13">
      <c r="A826" s="10">
        <v>12296041</v>
      </c>
      <c r="B826" s="1" t="s">
        <v>1073</v>
      </c>
      <c r="C826" s="1" t="s">
        <v>1073</v>
      </c>
      <c r="D826" s="41"/>
      <c r="J826" s="39">
        <v>299881</v>
      </c>
      <c r="K826" s="41">
        <v>3</v>
      </c>
      <c r="L826" s="41">
        <v>261500</v>
      </c>
      <c r="M826" s="41"/>
    </row>
    <row r="827" spans="1:13">
      <c r="A827" s="10">
        <v>544108</v>
      </c>
      <c r="B827" s="1" t="s">
        <v>1073</v>
      </c>
      <c r="C827" s="2">
        <v>600000</v>
      </c>
      <c r="D827" s="41"/>
      <c r="J827" s="39">
        <v>299958</v>
      </c>
      <c r="K827" s="41">
        <v>3</v>
      </c>
      <c r="L827" s="41">
        <v>3840500</v>
      </c>
      <c r="M827" s="41"/>
    </row>
    <row r="828" spans="1:13">
      <c r="A828" s="10">
        <v>1596</v>
      </c>
      <c r="B828" s="1" t="s">
        <v>1073</v>
      </c>
      <c r="C828" s="2">
        <v>900000</v>
      </c>
      <c r="D828" s="41"/>
      <c r="J828" s="39">
        <v>300024</v>
      </c>
      <c r="K828" s="41">
        <v>3</v>
      </c>
      <c r="L828" s="41">
        <v>1123000</v>
      </c>
      <c r="M828" s="41"/>
    </row>
    <row r="829" spans="1:13">
      <c r="A829" s="10">
        <v>188236</v>
      </c>
      <c r="B829" s="1" t="s">
        <v>1073</v>
      </c>
      <c r="C829" s="2">
        <v>1700000</v>
      </c>
      <c r="D829" s="41"/>
      <c r="J829" s="39">
        <v>304895</v>
      </c>
      <c r="K829" s="41">
        <v>0</v>
      </c>
      <c r="L829" s="41">
        <v>858000</v>
      </c>
      <c r="M829" s="41"/>
    </row>
    <row r="830" spans="1:13">
      <c r="A830" s="10">
        <v>547263</v>
      </c>
      <c r="B830" s="1">
        <v>3</v>
      </c>
      <c r="C830" s="3">
        <v>125000</v>
      </c>
      <c r="D830" s="41"/>
      <c r="J830" s="39">
        <v>305020</v>
      </c>
      <c r="K830" s="41">
        <v>3</v>
      </c>
      <c r="L830" s="41">
        <v>1200000</v>
      </c>
      <c r="M830" s="41"/>
    </row>
    <row r="831" spans="1:13">
      <c r="A831" s="10">
        <v>503633</v>
      </c>
      <c r="B831" s="1" t="s">
        <v>1073</v>
      </c>
      <c r="C831" s="3">
        <v>200000</v>
      </c>
      <c r="D831" s="41"/>
      <c r="J831" s="39">
        <v>306756</v>
      </c>
      <c r="K831" s="41">
        <v>0</v>
      </c>
      <c r="L831" s="41">
        <v>2000000</v>
      </c>
      <c r="M831" s="41"/>
    </row>
    <row r="832" spans="1:13">
      <c r="A832" s="10">
        <v>12322409</v>
      </c>
      <c r="B832" s="1" t="s">
        <v>1073</v>
      </c>
      <c r="C832" s="1" t="s">
        <v>1073</v>
      </c>
      <c r="D832" s="41"/>
      <c r="J832" s="39">
        <v>312343</v>
      </c>
      <c r="K832" s="41">
        <v>3</v>
      </c>
      <c r="L832" s="41">
        <v>0</v>
      </c>
      <c r="M832" s="41"/>
    </row>
    <row r="833" spans="1:13">
      <c r="A833" s="10">
        <v>314840</v>
      </c>
      <c r="B833" s="1">
        <v>8</v>
      </c>
      <c r="C833" s="2">
        <v>829000</v>
      </c>
      <c r="D833" s="41"/>
      <c r="J833" s="39">
        <v>327231</v>
      </c>
      <c r="K833" s="41">
        <v>0</v>
      </c>
      <c r="L833" s="41">
        <v>0</v>
      </c>
      <c r="M833" s="41"/>
    </row>
    <row r="834" spans="1:13">
      <c r="A834" s="10">
        <v>61720</v>
      </c>
      <c r="B834" s="1">
        <v>6</v>
      </c>
      <c r="C834" s="2">
        <v>374000</v>
      </c>
      <c r="D834" s="41"/>
      <c r="J834" s="39">
        <v>336387</v>
      </c>
      <c r="K834" s="41">
        <v>4</v>
      </c>
      <c r="L834" s="41">
        <v>311500</v>
      </c>
      <c r="M834" s="41"/>
    </row>
    <row r="835" spans="1:13">
      <c r="A835" s="10">
        <v>345427</v>
      </c>
      <c r="B835" s="1" t="s">
        <v>1073</v>
      </c>
      <c r="C835" s="2">
        <v>600000</v>
      </c>
      <c r="D835" s="41"/>
      <c r="J835" s="39">
        <v>348418</v>
      </c>
      <c r="K835" s="41">
        <v>3</v>
      </c>
      <c r="L835" s="41">
        <v>358000</v>
      </c>
      <c r="M835" s="41"/>
    </row>
    <row r="836" spans="1:13">
      <c r="A836" s="10">
        <v>238719</v>
      </c>
      <c r="B836" s="1" t="s">
        <v>1073</v>
      </c>
      <c r="C836" s="2">
        <v>2500000</v>
      </c>
      <c r="D836" s="41"/>
      <c r="J836" s="39">
        <v>387464</v>
      </c>
      <c r="K836" s="41">
        <v>0</v>
      </c>
      <c r="L836" s="41">
        <v>0</v>
      </c>
      <c r="M836" s="41"/>
    </row>
    <row r="837" spans="1:13">
      <c r="A837" s="10">
        <v>512273</v>
      </c>
      <c r="B837" s="1" t="s">
        <v>1073</v>
      </c>
      <c r="C837" s="1" t="s">
        <v>1073</v>
      </c>
      <c r="D837" s="41"/>
      <c r="J837" s="39">
        <v>398006</v>
      </c>
      <c r="K837" s="41">
        <v>3</v>
      </c>
      <c r="L837" s="41">
        <v>0</v>
      </c>
      <c r="M837" s="41"/>
    </row>
    <row r="838" spans="1:13">
      <c r="A838" s="10">
        <v>522823</v>
      </c>
      <c r="B838" s="1" t="s">
        <v>1073</v>
      </c>
      <c r="C838" s="1" t="s">
        <v>1073</v>
      </c>
      <c r="D838" s="41"/>
      <c r="J838" s="39">
        <v>413434</v>
      </c>
      <c r="K838" s="41">
        <v>4</v>
      </c>
      <c r="L838" s="41">
        <v>500000</v>
      </c>
      <c r="M838" s="41"/>
    </row>
    <row r="839" spans="1:13">
      <c r="A839" s="10">
        <v>211674</v>
      </c>
      <c r="B839" s="1" t="s">
        <v>1073</v>
      </c>
      <c r="C839" s="2">
        <v>700000</v>
      </c>
      <c r="D839" s="41"/>
      <c r="J839" s="39">
        <v>475081</v>
      </c>
      <c r="K839" s="41">
        <v>3</v>
      </c>
      <c r="L839" s="41">
        <v>0</v>
      </c>
      <c r="M839" s="41"/>
    </row>
    <row r="840" spans="1:13">
      <c r="A840" s="10">
        <v>537701</v>
      </c>
      <c r="B840" s="1" t="s">
        <v>1073</v>
      </c>
      <c r="C840" s="1" t="s">
        <v>1073</v>
      </c>
      <c r="D840" s="41"/>
      <c r="J840" s="39">
        <v>533184</v>
      </c>
      <c r="K840" s="41">
        <v>3</v>
      </c>
      <c r="L840" s="41">
        <v>800000</v>
      </c>
      <c r="M840" s="41"/>
    </row>
    <row r="841" spans="1:13">
      <c r="A841" s="10">
        <v>222335</v>
      </c>
      <c r="B841" s="1" t="s">
        <v>1073</v>
      </c>
      <c r="C841" s="2">
        <v>3000000</v>
      </c>
      <c r="D841" s="41"/>
      <c r="J841" s="39">
        <v>114854</v>
      </c>
      <c r="K841" s="41">
        <v>0</v>
      </c>
      <c r="L841" s="41">
        <v>350000</v>
      </c>
      <c r="M841" s="41"/>
    </row>
    <row r="842" spans="1:13">
      <c r="A842" s="10">
        <v>12317091</v>
      </c>
      <c r="B842" s="1">
        <v>4</v>
      </c>
      <c r="C842" s="1" t="s">
        <v>1073</v>
      </c>
      <c r="D842" s="41"/>
      <c r="J842" s="39">
        <v>12296194</v>
      </c>
      <c r="K842" s="41">
        <v>2</v>
      </c>
      <c r="L842" s="41">
        <v>2500000</v>
      </c>
      <c r="M842" s="41"/>
    </row>
    <row r="843" spans="1:13">
      <c r="A843" s="10">
        <v>363655</v>
      </c>
      <c r="B843" s="1" t="s">
        <v>1073</v>
      </c>
      <c r="C843" s="3">
        <v>100000</v>
      </c>
      <c r="D843" s="41"/>
      <c r="J843" s="39">
        <v>12304744</v>
      </c>
      <c r="K843" s="41">
        <v>1</v>
      </c>
      <c r="L843" s="41">
        <v>300000</v>
      </c>
      <c r="M843" s="41"/>
    </row>
    <row r="844" spans="1:13">
      <c r="A844" s="10">
        <v>237391</v>
      </c>
      <c r="B844" s="1">
        <v>1</v>
      </c>
      <c r="C844" s="2">
        <v>1000000</v>
      </c>
      <c r="D844" s="41"/>
      <c r="J844" s="39">
        <v>12315185</v>
      </c>
      <c r="K844" s="41">
        <v>1</v>
      </c>
      <c r="L844" s="41">
        <v>1300000</v>
      </c>
      <c r="M844" s="41"/>
    </row>
    <row r="845" spans="1:13">
      <c r="A845" s="10">
        <v>211639</v>
      </c>
      <c r="B845" s="1" t="s">
        <v>1073</v>
      </c>
      <c r="C845" s="2">
        <v>1800000</v>
      </c>
      <c r="D845" s="41"/>
      <c r="J845" s="39">
        <v>12318027</v>
      </c>
      <c r="K845" s="41">
        <v>32</v>
      </c>
      <c r="L845" s="41">
        <v>17529000</v>
      </c>
      <c r="M845" s="41"/>
    </row>
    <row r="846" spans="1:13">
      <c r="A846" s="10">
        <v>62200</v>
      </c>
      <c r="B846" s="1" t="s">
        <v>1073</v>
      </c>
      <c r="C846" s="1" t="s">
        <v>1073</v>
      </c>
      <c r="D846" s="41"/>
      <c r="J846" s="39">
        <v>12319354</v>
      </c>
      <c r="K846" s="41">
        <v>1</v>
      </c>
      <c r="L846" s="41">
        <v>1500000</v>
      </c>
      <c r="M846" s="41"/>
    </row>
    <row r="847" spans="1:13">
      <c r="A847" s="10">
        <v>455508</v>
      </c>
      <c r="B847" s="1" t="s">
        <v>1073</v>
      </c>
      <c r="C847" s="2">
        <v>300000</v>
      </c>
      <c r="D847" s="41"/>
      <c r="J847" s="39">
        <v>12320506</v>
      </c>
      <c r="K847" s="41">
        <v>3</v>
      </c>
      <c r="L847" s="41">
        <v>800000</v>
      </c>
      <c r="M847" s="41"/>
    </row>
    <row r="848" spans="1:13">
      <c r="A848" s="10">
        <v>268747</v>
      </c>
      <c r="B848" s="1" t="s">
        <v>1073</v>
      </c>
      <c r="C848" s="2">
        <v>1100000</v>
      </c>
      <c r="D848" s="41"/>
      <c r="J848" s="39">
        <v>127148</v>
      </c>
      <c r="K848" s="41">
        <v>3</v>
      </c>
      <c r="L848" s="41">
        <v>850000</v>
      </c>
      <c r="M848" s="41"/>
    </row>
    <row r="849" spans="1:13">
      <c r="A849" s="10">
        <v>471389</v>
      </c>
      <c r="B849" s="1" t="s">
        <v>1073</v>
      </c>
      <c r="C849" s="1" t="s">
        <v>1073</v>
      </c>
      <c r="D849" s="41"/>
      <c r="J849" s="39">
        <v>127152</v>
      </c>
      <c r="K849" s="41">
        <v>3</v>
      </c>
      <c r="L849" s="41">
        <v>1500000</v>
      </c>
      <c r="M849" s="41"/>
    </row>
    <row r="850" spans="1:13">
      <c r="A850" s="10">
        <v>353860</v>
      </c>
      <c r="B850" s="1">
        <v>10</v>
      </c>
      <c r="C850" s="1" t="s">
        <v>1073</v>
      </c>
      <c r="D850" s="41"/>
      <c r="J850" s="39">
        <v>127187</v>
      </c>
      <c r="K850" s="41">
        <v>0</v>
      </c>
      <c r="L850" s="41">
        <v>1300000</v>
      </c>
      <c r="M850" s="41"/>
    </row>
    <row r="851" spans="1:13">
      <c r="A851" s="10">
        <v>368908</v>
      </c>
      <c r="B851" s="1">
        <v>10</v>
      </c>
      <c r="C851" s="2">
        <v>700000</v>
      </c>
      <c r="D851" s="41"/>
      <c r="J851" s="39">
        <v>127191</v>
      </c>
      <c r="K851" s="41">
        <v>0</v>
      </c>
      <c r="L851" s="41">
        <v>500000</v>
      </c>
      <c r="M851" s="41"/>
    </row>
    <row r="852" spans="1:13">
      <c r="A852" s="10">
        <v>544721</v>
      </c>
      <c r="B852" s="1" t="s">
        <v>1073</v>
      </c>
      <c r="C852" s="2">
        <v>3500000</v>
      </c>
      <c r="D852" s="41"/>
      <c r="J852" s="39">
        <v>195812</v>
      </c>
      <c r="K852" s="41">
        <v>3</v>
      </c>
      <c r="L852" s="41">
        <v>8429000</v>
      </c>
      <c r="M852" s="41"/>
    </row>
    <row r="853" spans="1:13">
      <c r="A853" s="10">
        <v>356428</v>
      </c>
      <c r="B853" s="1" t="s">
        <v>1073</v>
      </c>
      <c r="C853" s="2">
        <v>1400000</v>
      </c>
      <c r="D853" s="41"/>
      <c r="J853" s="39">
        <v>199072</v>
      </c>
      <c r="K853" s="41">
        <v>1</v>
      </c>
      <c r="L853" s="41">
        <v>1550000</v>
      </c>
      <c r="M853" s="41"/>
    </row>
    <row r="854" spans="1:13">
      <c r="A854" s="10">
        <v>525138</v>
      </c>
      <c r="B854" s="1">
        <v>2</v>
      </c>
      <c r="C854" s="3">
        <v>158000</v>
      </c>
      <c r="D854" s="41"/>
      <c r="J854" s="39">
        <v>199074</v>
      </c>
      <c r="K854" s="41">
        <v>2</v>
      </c>
      <c r="L854" s="41">
        <v>450000</v>
      </c>
      <c r="M854" s="41"/>
    </row>
    <row r="855" spans="1:13">
      <c r="A855" s="10">
        <v>221676</v>
      </c>
      <c r="B855" s="1">
        <v>6</v>
      </c>
      <c r="C855" s="2">
        <v>374000</v>
      </c>
      <c r="D855" s="41"/>
      <c r="J855" s="39">
        <v>211751</v>
      </c>
      <c r="K855" s="41">
        <v>0</v>
      </c>
      <c r="L855" s="41">
        <v>450000</v>
      </c>
      <c r="M855" s="41"/>
    </row>
    <row r="856" spans="1:13">
      <c r="A856" s="10">
        <v>252647</v>
      </c>
      <c r="B856" s="1">
        <v>1</v>
      </c>
      <c r="C856" s="2">
        <v>429000</v>
      </c>
      <c r="D856" s="41"/>
      <c r="J856" s="39">
        <v>228736</v>
      </c>
      <c r="K856" s="41">
        <v>3</v>
      </c>
      <c r="L856" s="41">
        <v>1950000</v>
      </c>
      <c r="M856" s="41"/>
    </row>
    <row r="857" spans="1:13">
      <c r="A857" s="10">
        <v>12318885</v>
      </c>
      <c r="B857" s="1" t="s">
        <v>1073</v>
      </c>
      <c r="C857" s="2">
        <v>800000</v>
      </c>
      <c r="D857" s="41"/>
      <c r="J857" s="39">
        <v>234565</v>
      </c>
      <c r="K857" s="41">
        <v>0</v>
      </c>
      <c r="L857" s="41">
        <v>50000</v>
      </c>
      <c r="M857" s="41"/>
    </row>
    <row r="858" spans="1:13">
      <c r="A858" s="10">
        <v>523840</v>
      </c>
      <c r="B858" s="1" t="s">
        <v>1073</v>
      </c>
      <c r="C858" s="1" t="s">
        <v>1073</v>
      </c>
      <c r="D858" s="41"/>
      <c r="J858" s="39">
        <v>237432</v>
      </c>
      <c r="K858" s="41">
        <v>0</v>
      </c>
      <c r="L858" s="41">
        <v>30500000</v>
      </c>
      <c r="M858" s="41"/>
    </row>
    <row r="859" spans="1:13">
      <c r="A859" s="10">
        <v>62419</v>
      </c>
      <c r="B859" s="1" t="s">
        <v>1073</v>
      </c>
      <c r="C859" s="2">
        <v>400000</v>
      </c>
      <c r="D859" s="41"/>
      <c r="J859" s="39">
        <v>240133</v>
      </c>
      <c r="K859" s="41">
        <v>3</v>
      </c>
      <c r="L859" s="41">
        <v>558000</v>
      </c>
      <c r="M859" s="41"/>
    </row>
    <row r="860" spans="1:13">
      <c r="A860" s="10">
        <v>12300329</v>
      </c>
      <c r="B860" s="1">
        <v>4</v>
      </c>
      <c r="C860" s="2">
        <v>566000</v>
      </c>
      <c r="D860" s="41"/>
      <c r="J860" s="39">
        <v>243030</v>
      </c>
      <c r="K860" s="41">
        <v>0</v>
      </c>
      <c r="L860" s="41">
        <v>200000</v>
      </c>
      <c r="M860" s="41"/>
    </row>
    <row r="861" spans="1:13">
      <c r="A861" s="10">
        <v>358978</v>
      </c>
      <c r="B861" s="1" t="s">
        <v>1073</v>
      </c>
      <c r="C861" s="2">
        <v>1000000</v>
      </c>
      <c r="D861" s="41"/>
      <c r="J861" s="39">
        <v>246734</v>
      </c>
      <c r="K861" s="41">
        <v>0</v>
      </c>
      <c r="L861" s="41">
        <v>200000</v>
      </c>
      <c r="M861" s="41"/>
    </row>
    <row r="862" spans="1:13">
      <c r="A862" s="10">
        <v>264192</v>
      </c>
      <c r="B862" s="1" t="s">
        <v>1073</v>
      </c>
      <c r="C862" s="2">
        <v>2000000</v>
      </c>
      <c r="D862" s="41"/>
      <c r="J862" s="39">
        <v>261639</v>
      </c>
      <c r="K862" s="41">
        <v>1</v>
      </c>
      <c r="L862" s="41">
        <v>100000</v>
      </c>
      <c r="M862" s="41"/>
    </row>
    <row r="863" spans="1:13">
      <c r="A863" s="10">
        <v>61859</v>
      </c>
      <c r="B863" s="1" t="s">
        <v>1073</v>
      </c>
      <c r="C863" s="3">
        <v>50000</v>
      </c>
      <c r="D863" s="41"/>
      <c r="J863" s="39">
        <v>264920</v>
      </c>
      <c r="K863" s="41">
        <v>37</v>
      </c>
      <c r="L863" s="41">
        <v>0</v>
      </c>
      <c r="M863" s="41"/>
    </row>
    <row r="864" spans="1:13">
      <c r="A864" s="10">
        <v>546598</v>
      </c>
      <c r="B864" s="1" t="s">
        <v>1073</v>
      </c>
      <c r="C864" s="3">
        <v>200000</v>
      </c>
      <c r="D864" s="41"/>
      <c r="J864" s="39">
        <v>281776</v>
      </c>
      <c r="K864" s="41">
        <v>3</v>
      </c>
      <c r="L864" s="41">
        <v>500000</v>
      </c>
      <c r="M864" s="41"/>
    </row>
    <row r="865" spans="1:13">
      <c r="A865" s="10">
        <v>62086</v>
      </c>
      <c r="B865" s="1" t="s">
        <v>1073</v>
      </c>
      <c r="C865" s="1" t="s">
        <v>1073</v>
      </c>
      <c r="D865" s="41"/>
      <c r="J865" s="39">
        <v>325380</v>
      </c>
      <c r="K865" s="41">
        <v>6</v>
      </c>
      <c r="L865" s="41">
        <v>5500000</v>
      </c>
      <c r="M865" s="41"/>
    </row>
    <row r="866" spans="1:13">
      <c r="A866" s="10">
        <v>500500</v>
      </c>
      <c r="B866" s="1">
        <v>3</v>
      </c>
      <c r="C866" s="2">
        <v>2000000</v>
      </c>
      <c r="D866" s="41"/>
      <c r="J866" s="39">
        <v>336129</v>
      </c>
      <c r="K866" s="41">
        <v>33</v>
      </c>
      <c r="L866" s="41">
        <v>33400000</v>
      </c>
      <c r="M866" s="41"/>
    </row>
    <row r="867" spans="1:13">
      <c r="A867" s="10">
        <v>523362</v>
      </c>
      <c r="B867" s="1" t="s">
        <v>1073</v>
      </c>
      <c r="C867" s="2">
        <v>1500000</v>
      </c>
      <c r="D867" s="41"/>
      <c r="J867" s="39">
        <v>400338</v>
      </c>
      <c r="K867" s="41">
        <v>11</v>
      </c>
      <c r="L867" s="41">
        <v>9680000</v>
      </c>
      <c r="M867" s="41"/>
    </row>
    <row r="868" spans="1:13">
      <c r="A868" s="10">
        <v>61897</v>
      </c>
      <c r="B868" s="1" t="s">
        <v>1073</v>
      </c>
      <c r="C868" s="2">
        <v>1500000</v>
      </c>
      <c r="D868" s="41"/>
      <c r="J868" s="39">
        <v>422725</v>
      </c>
      <c r="K868" s="41">
        <v>1</v>
      </c>
      <c r="L868" s="41">
        <v>400000</v>
      </c>
      <c r="M868" s="41"/>
    </row>
    <row r="869" spans="1:13">
      <c r="A869" s="10">
        <v>199121</v>
      </c>
      <c r="B869" s="1" t="s">
        <v>1073</v>
      </c>
      <c r="C869" s="2">
        <v>300000</v>
      </c>
      <c r="D869" s="41"/>
      <c r="J869" s="39">
        <v>457893</v>
      </c>
      <c r="K869" s="41">
        <v>1</v>
      </c>
      <c r="L869" s="41">
        <v>989000</v>
      </c>
      <c r="M869" s="41"/>
    </row>
    <row r="870" spans="1:13">
      <c r="A870" s="10">
        <v>399230</v>
      </c>
      <c r="B870" s="1" t="s">
        <v>1073</v>
      </c>
      <c r="C870" s="1" t="s">
        <v>1073</v>
      </c>
      <c r="D870" s="41"/>
      <c r="J870" s="39">
        <v>526539</v>
      </c>
      <c r="K870" s="41">
        <v>1</v>
      </c>
      <c r="L870" s="41">
        <v>1000000</v>
      </c>
      <c r="M870" s="41"/>
    </row>
    <row r="871" spans="1:13">
      <c r="A871" s="10">
        <v>532249</v>
      </c>
      <c r="B871" s="1" t="s">
        <v>1073</v>
      </c>
      <c r="C871" s="2">
        <v>300000</v>
      </c>
      <c r="D871" s="41"/>
      <c r="J871" s="39">
        <v>527832</v>
      </c>
      <c r="K871" s="41">
        <v>0</v>
      </c>
      <c r="L871" s="41">
        <v>1500000</v>
      </c>
      <c r="M871" s="41"/>
    </row>
    <row r="872" spans="1:13">
      <c r="A872" s="10">
        <v>12305472</v>
      </c>
      <c r="B872" s="1" t="s">
        <v>1073</v>
      </c>
      <c r="C872" s="1" t="s">
        <v>1073</v>
      </c>
      <c r="D872" s="41"/>
      <c r="J872" s="39">
        <v>541001</v>
      </c>
      <c r="K872" s="41">
        <v>4</v>
      </c>
      <c r="L872" s="41">
        <v>3278000</v>
      </c>
      <c r="M872" s="41"/>
    </row>
    <row r="873" spans="1:13">
      <c r="A873" s="10">
        <v>408290</v>
      </c>
      <c r="B873" s="1">
        <v>3</v>
      </c>
      <c r="C873" s="2">
        <v>3500000</v>
      </c>
      <c r="D873" s="41"/>
      <c r="J873" s="39">
        <v>542066</v>
      </c>
      <c r="K873" s="41">
        <v>1</v>
      </c>
      <c r="L873" s="41">
        <v>17000000</v>
      </c>
      <c r="M873" s="41"/>
    </row>
    <row r="874" spans="1:13">
      <c r="A874" s="10">
        <v>403576</v>
      </c>
      <c r="B874" s="1">
        <v>3</v>
      </c>
      <c r="C874" s="1" t="s">
        <v>1073</v>
      </c>
      <c r="D874" s="41"/>
      <c r="J874" s="39">
        <v>572317</v>
      </c>
      <c r="K874" s="41">
        <v>34</v>
      </c>
      <c r="L874" s="41">
        <v>55772000</v>
      </c>
      <c r="M874" s="41"/>
    </row>
    <row r="875" spans="1:13">
      <c r="A875" s="10">
        <v>527422</v>
      </c>
      <c r="B875" s="1" t="s">
        <v>1073</v>
      </c>
      <c r="C875" s="1" t="s">
        <v>1073</v>
      </c>
      <c r="D875" s="41"/>
      <c r="J875" s="39">
        <v>578664</v>
      </c>
      <c r="K875" s="41">
        <v>4</v>
      </c>
      <c r="L875" s="41">
        <v>8000000</v>
      </c>
      <c r="M875" s="41"/>
    </row>
    <row r="876" spans="1:13">
      <c r="A876" s="10">
        <v>12329399</v>
      </c>
      <c r="B876" s="1" t="s">
        <v>1073</v>
      </c>
      <c r="C876" s="1" t="s">
        <v>1073</v>
      </c>
      <c r="D876" s="41"/>
      <c r="J876" s="39">
        <v>61876</v>
      </c>
      <c r="K876" s="41">
        <v>3</v>
      </c>
      <c r="L876" s="41">
        <v>1550000</v>
      </c>
      <c r="M876" s="41"/>
    </row>
    <row r="877" spans="1:13">
      <c r="A877" s="10">
        <v>540125</v>
      </c>
      <c r="B877" s="1">
        <v>1</v>
      </c>
      <c r="C877" s="2">
        <v>800000</v>
      </c>
      <c r="D877" s="41"/>
      <c r="J877" s="39">
        <v>62130</v>
      </c>
      <c r="K877" s="41">
        <v>1</v>
      </c>
      <c r="L877" s="41">
        <v>2200000</v>
      </c>
      <c r="M877" s="41"/>
    </row>
    <row r="878" spans="1:13">
      <c r="A878" s="10">
        <v>211532</v>
      </c>
      <c r="B878" s="1" t="s">
        <v>1073</v>
      </c>
      <c r="C878" s="2">
        <v>1650000</v>
      </c>
      <c r="D878" s="41"/>
      <c r="J878" s="39">
        <v>62304</v>
      </c>
      <c r="K878" s="41">
        <v>3</v>
      </c>
      <c r="L878" s="41">
        <v>1100000</v>
      </c>
      <c r="M878" s="41"/>
    </row>
    <row r="879" spans="1:13">
      <c r="A879" s="10">
        <v>12320664</v>
      </c>
      <c r="B879" s="1" t="s">
        <v>1073</v>
      </c>
      <c r="C879" s="1" t="s">
        <v>1073</v>
      </c>
      <c r="D879" s="41"/>
      <c r="J879" s="39">
        <v>62365</v>
      </c>
      <c r="K879" s="41">
        <v>3</v>
      </c>
      <c r="L879" s="41">
        <v>3055000</v>
      </c>
      <c r="M879" s="41"/>
    </row>
    <row r="880" spans="1:13">
      <c r="A880" s="10">
        <v>557861</v>
      </c>
      <c r="B880" s="1" t="s">
        <v>1073</v>
      </c>
      <c r="C880" s="1" t="s">
        <v>1073</v>
      </c>
      <c r="D880" s="41"/>
      <c r="J880" s="39">
        <v>62382</v>
      </c>
      <c r="K880" s="41">
        <v>4</v>
      </c>
      <c r="L880" s="41">
        <v>300000</v>
      </c>
      <c r="M880" s="41"/>
    </row>
    <row r="881" spans="1:13">
      <c r="A881" s="10">
        <v>397362</v>
      </c>
      <c r="B881" s="1" t="s">
        <v>1073</v>
      </c>
      <c r="C881" s="1" t="s">
        <v>1073</v>
      </c>
      <c r="D881" s="41"/>
      <c r="J881" s="39">
        <v>62397</v>
      </c>
      <c r="K881" s="41">
        <v>0</v>
      </c>
      <c r="L881" s="41">
        <v>2800000</v>
      </c>
      <c r="M881" s="41"/>
    </row>
    <row r="882" spans="1:13">
      <c r="A882" s="10">
        <v>61818</v>
      </c>
      <c r="B882" s="1">
        <v>3</v>
      </c>
      <c r="C882" s="1" t="s">
        <v>1073</v>
      </c>
      <c r="D882" s="41"/>
      <c r="J882" s="39">
        <v>62439</v>
      </c>
      <c r="K882" s="41">
        <v>0</v>
      </c>
      <c r="L882" s="41">
        <v>400000</v>
      </c>
      <c r="M882" s="41"/>
    </row>
    <row r="883" spans="1:13">
      <c r="A883" s="10">
        <v>574054</v>
      </c>
      <c r="B883" s="1" t="s">
        <v>1073</v>
      </c>
      <c r="C883" s="2">
        <v>400000</v>
      </c>
      <c r="D883" s="41"/>
      <c r="J883" s="39" t="s">
        <v>624</v>
      </c>
      <c r="K883" s="41">
        <v>36</v>
      </c>
      <c r="L883" s="41">
        <v>18516000</v>
      </c>
      <c r="M883" s="41"/>
    </row>
    <row r="884" spans="1:13">
      <c r="A884" s="10">
        <v>453016</v>
      </c>
      <c r="B884" s="1" t="s">
        <v>1073</v>
      </c>
      <c r="C884" s="2">
        <v>500000</v>
      </c>
      <c r="D884" s="41"/>
      <c r="J884" s="39">
        <v>12294847</v>
      </c>
      <c r="K884" s="41">
        <v>3</v>
      </c>
      <c r="L884" s="41">
        <v>2389000</v>
      </c>
      <c r="M884" s="41"/>
    </row>
    <row r="885" spans="1:13">
      <c r="A885" s="10">
        <v>12295896</v>
      </c>
      <c r="B885" s="1" t="s">
        <v>1073</v>
      </c>
      <c r="C885" s="2">
        <v>650000</v>
      </c>
      <c r="D885" s="41"/>
      <c r="J885" s="39">
        <v>12299980</v>
      </c>
      <c r="K885" s="41">
        <v>99</v>
      </c>
      <c r="L885" s="41">
        <v>0</v>
      </c>
      <c r="M885" s="41"/>
    </row>
    <row r="886" spans="1:13">
      <c r="A886" s="10">
        <v>67319</v>
      </c>
      <c r="B886" s="1" t="s">
        <v>1073</v>
      </c>
      <c r="C886" s="2">
        <v>1250000</v>
      </c>
      <c r="D886" s="41"/>
      <c r="J886" s="39">
        <v>12316130</v>
      </c>
      <c r="K886" s="41">
        <v>4</v>
      </c>
      <c r="L886" s="41">
        <v>7105000</v>
      </c>
      <c r="M886" s="41"/>
    </row>
    <row r="887" spans="1:13">
      <c r="A887" s="10">
        <v>572343</v>
      </c>
      <c r="B887" s="1">
        <v>16</v>
      </c>
      <c r="C887" s="2">
        <v>1229000</v>
      </c>
      <c r="D887" s="41"/>
      <c r="J887" s="39">
        <v>12327278</v>
      </c>
      <c r="K887" s="41">
        <v>48</v>
      </c>
      <c r="L887" s="41">
        <v>9050000</v>
      </c>
      <c r="M887" s="41"/>
    </row>
    <row r="888" spans="1:13">
      <c r="A888" s="10">
        <v>537116</v>
      </c>
      <c r="B888" s="1">
        <v>18</v>
      </c>
      <c r="C888" s="2">
        <v>2437000</v>
      </c>
      <c r="D888" s="41"/>
      <c r="J888" s="39">
        <v>12328320</v>
      </c>
      <c r="K888" s="41">
        <v>3</v>
      </c>
      <c r="L888" s="41">
        <v>1087000</v>
      </c>
      <c r="M888" s="41"/>
    </row>
    <row r="889" spans="1:13">
      <c r="A889" s="10">
        <v>237411</v>
      </c>
      <c r="B889" s="1" t="s">
        <v>1073</v>
      </c>
      <c r="C889" s="1" t="s">
        <v>1073</v>
      </c>
      <c r="D889" s="41"/>
      <c r="J889" s="39">
        <v>12331261</v>
      </c>
      <c r="K889" s="41">
        <v>34</v>
      </c>
      <c r="L889" s="41">
        <v>6523000</v>
      </c>
      <c r="M889" s="41"/>
    </row>
    <row r="890" spans="1:13">
      <c r="A890" s="10">
        <v>126970</v>
      </c>
      <c r="B890" s="1" t="s">
        <v>1073</v>
      </c>
      <c r="C890" s="2">
        <v>500000</v>
      </c>
      <c r="D890" s="41"/>
      <c r="J890" s="39">
        <v>12332361</v>
      </c>
      <c r="K890" s="41">
        <v>205</v>
      </c>
      <c r="L890" s="41">
        <v>6350000</v>
      </c>
      <c r="M890" s="41"/>
    </row>
    <row r="891" spans="1:13">
      <c r="A891" s="10">
        <v>411018</v>
      </c>
      <c r="B891" s="1" t="s">
        <v>1073</v>
      </c>
      <c r="C891" s="2">
        <v>450000</v>
      </c>
      <c r="D891" s="41"/>
      <c r="J891" s="39">
        <v>12334377</v>
      </c>
      <c r="K891" s="41">
        <v>3</v>
      </c>
      <c r="L891" s="41">
        <v>300000</v>
      </c>
      <c r="M891" s="41"/>
    </row>
    <row r="892" spans="1:13">
      <c r="A892" s="10">
        <v>12322880</v>
      </c>
      <c r="B892" s="1" t="s">
        <v>1073</v>
      </c>
      <c r="C892" s="1" t="s">
        <v>1073</v>
      </c>
      <c r="D892" s="41"/>
      <c r="J892" s="39">
        <v>124855</v>
      </c>
      <c r="K892" s="41">
        <v>3</v>
      </c>
      <c r="L892" s="41">
        <v>5925000</v>
      </c>
      <c r="M892" s="41"/>
    </row>
    <row r="893" spans="1:13">
      <c r="A893" s="10">
        <v>489481</v>
      </c>
      <c r="B893" s="1" t="s">
        <v>1073</v>
      </c>
      <c r="C893" s="2">
        <v>16500000</v>
      </c>
      <c r="D893" s="41"/>
      <c r="J893" s="39">
        <v>1556</v>
      </c>
      <c r="K893" s="41">
        <v>9</v>
      </c>
      <c r="L893" s="41">
        <v>4477000</v>
      </c>
      <c r="M893" s="41"/>
    </row>
    <row r="894" spans="1:13">
      <c r="A894" s="10">
        <v>565427</v>
      </c>
      <c r="B894" s="1" t="s">
        <v>1073</v>
      </c>
      <c r="C894" s="2">
        <v>450000</v>
      </c>
      <c r="D894" s="41"/>
      <c r="J894" s="39">
        <v>1596</v>
      </c>
      <c r="K894" s="41">
        <v>3</v>
      </c>
      <c r="L894" s="41">
        <v>1300000</v>
      </c>
      <c r="M894" s="41"/>
    </row>
    <row r="895" spans="1:13">
      <c r="A895" s="10">
        <v>553531</v>
      </c>
      <c r="B895" s="1" t="s">
        <v>1073</v>
      </c>
      <c r="C895" s="1" t="s">
        <v>1073</v>
      </c>
      <c r="D895" s="41"/>
      <c r="J895" s="39">
        <v>182785</v>
      </c>
      <c r="K895" s="41">
        <v>4</v>
      </c>
      <c r="L895" s="41">
        <v>1000000</v>
      </c>
      <c r="M895" s="41"/>
    </row>
    <row r="896" spans="1:13">
      <c r="A896" s="10">
        <v>240092</v>
      </c>
      <c r="B896" s="1" t="s">
        <v>1073</v>
      </c>
      <c r="C896" s="3">
        <v>100000</v>
      </c>
      <c r="D896" s="41"/>
      <c r="J896" s="39">
        <v>211739</v>
      </c>
      <c r="K896" s="41">
        <v>3</v>
      </c>
      <c r="L896" s="41">
        <v>800000</v>
      </c>
      <c r="M896" s="41"/>
    </row>
    <row r="897" spans="1:13">
      <c r="A897" s="10">
        <v>12304278</v>
      </c>
      <c r="B897" s="1">
        <v>1</v>
      </c>
      <c r="C897" s="2">
        <v>950000</v>
      </c>
      <c r="D897" s="41"/>
      <c r="J897" s="39">
        <v>211809</v>
      </c>
      <c r="K897" s="41">
        <v>3</v>
      </c>
      <c r="L897" s="41">
        <v>4800000</v>
      </c>
      <c r="M897" s="41"/>
    </row>
    <row r="898" spans="1:13">
      <c r="A898" s="10">
        <v>509536</v>
      </c>
      <c r="B898" s="1">
        <v>2</v>
      </c>
      <c r="C898" s="3">
        <v>250000</v>
      </c>
      <c r="D898" s="41"/>
      <c r="J898" s="39">
        <v>222335</v>
      </c>
      <c r="K898" s="41">
        <v>3</v>
      </c>
      <c r="L898" s="41">
        <v>4000000</v>
      </c>
      <c r="M898" s="41"/>
    </row>
    <row r="899" spans="1:13">
      <c r="A899" s="10">
        <v>518674</v>
      </c>
      <c r="B899" s="1">
        <v>3</v>
      </c>
      <c r="C899" s="2">
        <v>2480000</v>
      </c>
      <c r="D899" s="41"/>
      <c r="J899" s="39">
        <v>243187</v>
      </c>
      <c r="K899" s="41">
        <v>3</v>
      </c>
      <c r="L899" s="41">
        <v>1087000</v>
      </c>
      <c r="M899" s="41"/>
    </row>
    <row r="900" spans="1:13">
      <c r="A900" s="10">
        <v>570472</v>
      </c>
      <c r="B900" s="1">
        <v>1</v>
      </c>
      <c r="C900" s="2">
        <v>600000</v>
      </c>
      <c r="D900" s="41"/>
      <c r="J900" s="39">
        <v>244443</v>
      </c>
      <c r="K900" s="41">
        <v>0</v>
      </c>
      <c r="L900" s="41">
        <v>18200000</v>
      </c>
      <c r="M900" s="41"/>
    </row>
    <row r="901" spans="1:13">
      <c r="A901" s="10">
        <v>275660</v>
      </c>
      <c r="B901" s="1" t="s">
        <v>1073</v>
      </c>
      <c r="C901" s="3">
        <v>200000</v>
      </c>
      <c r="D901" s="41"/>
      <c r="J901" s="39">
        <v>244663</v>
      </c>
      <c r="K901" s="41">
        <v>6</v>
      </c>
      <c r="L901" s="41">
        <v>3674000</v>
      </c>
      <c r="M901" s="41"/>
    </row>
    <row r="902" spans="1:13">
      <c r="A902" s="10">
        <v>12296045</v>
      </c>
      <c r="B902" s="1" t="s">
        <v>1073</v>
      </c>
      <c r="C902" s="1" t="s">
        <v>1073</v>
      </c>
      <c r="D902" s="41"/>
      <c r="J902" s="39">
        <v>253772</v>
      </c>
      <c r="K902" s="41">
        <v>2</v>
      </c>
      <c r="L902" s="41">
        <v>250000</v>
      </c>
      <c r="M902" s="41"/>
    </row>
    <row r="903" spans="1:13">
      <c r="A903" s="10">
        <v>67033</v>
      </c>
      <c r="B903" s="1" t="s">
        <v>1073</v>
      </c>
      <c r="C903" s="3">
        <v>100000</v>
      </c>
      <c r="D903" s="41"/>
      <c r="J903" s="39">
        <v>261429</v>
      </c>
      <c r="K903" s="41">
        <v>3</v>
      </c>
      <c r="L903" s="41">
        <v>500000</v>
      </c>
      <c r="M903" s="41"/>
    </row>
    <row r="904" spans="1:13">
      <c r="A904" s="10">
        <v>487986</v>
      </c>
      <c r="B904" s="1" t="s">
        <v>1073</v>
      </c>
      <c r="C904" s="2">
        <v>5500000</v>
      </c>
      <c r="D904" s="41"/>
      <c r="J904" s="39">
        <v>262895</v>
      </c>
      <c r="K904" s="41">
        <v>2</v>
      </c>
      <c r="L904" s="41">
        <v>808000</v>
      </c>
      <c r="M904" s="41"/>
    </row>
    <row r="905" spans="1:13">
      <c r="A905" s="10">
        <v>127220</v>
      </c>
      <c r="B905" s="1" t="s">
        <v>1073</v>
      </c>
      <c r="C905" s="3">
        <v>150000</v>
      </c>
      <c r="D905" s="41"/>
      <c r="J905" s="39">
        <v>263476</v>
      </c>
      <c r="K905" s="41">
        <v>3</v>
      </c>
      <c r="L905" s="41">
        <v>5000000</v>
      </c>
      <c r="M905" s="41"/>
    </row>
    <row r="906" spans="1:13">
      <c r="A906" s="10">
        <v>12322371</v>
      </c>
      <c r="B906" s="1" t="s">
        <v>1073</v>
      </c>
      <c r="C906" s="1" t="s">
        <v>1073</v>
      </c>
      <c r="D906" s="41"/>
      <c r="J906" s="39">
        <v>264192</v>
      </c>
      <c r="K906" s="41">
        <v>4</v>
      </c>
      <c r="L906" s="41">
        <v>7087000</v>
      </c>
      <c r="M906" s="41"/>
    </row>
    <row r="907" spans="1:13">
      <c r="A907" s="10">
        <v>505993</v>
      </c>
      <c r="B907" s="1">
        <v>10</v>
      </c>
      <c r="C907" s="1" t="s">
        <v>1073</v>
      </c>
      <c r="D907" s="41"/>
      <c r="J907" s="39">
        <v>264732</v>
      </c>
      <c r="K907" s="41">
        <v>3</v>
      </c>
      <c r="L907" s="41">
        <v>1325000</v>
      </c>
      <c r="M907" s="41"/>
    </row>
    <row r="908" spans="1:13">
      <c r="A908" s="10">
        <v>126972</v>
      </c>
      <c r="B908" s="1">
        <v>3</v>
      </c>
      <c r="C908" s="1" t="s">
        <v>1073</v>
      </c>
      <c r="D908" s="41"/>
      <c r="J908" s="39">
        <v>341652</v>
      </c>
      <c r="K908" s="41">
        <v>0</v>
      </c>
      <c r="L908" s="41">
        <v>300000</v>
      </c>
      <c r="M908" s="41"/>
    </row>
    <row r="909" spans="1:13">
      <c r="A909" s="10">
        <v>199074</v>
      </c>
      <c r="B909" s="1" t="s">
        <v>1073</v>
      </c>
      <c r="C909" s="3">
        <v>100000</v>
      </c>
      <c r="D909" s="41"/>
      <c r="J909" s="39">
        <v>3576</v>
      </c>
      <c r="K909" s="41">
        <v>3</v>
      </c>
      <c r="L909" s="41">
        <v>1600000</v>
      </c>
      <c r="M909" s="41"/>
    </row>
    <row r="910" spans="1:13">
      <c r="A910" s="10">
        <v>12305636</v>
      </c>
      <c r="B910" s="1">
        <v>2</v>
      </c>
      <c r="C910" s="3">
        <v>108000</v>
      </c>
      <c r="D910" s="41"/>
      <c r="J910" s="39">
        <v>358177</v>
      </c>
      <c r="K910" s="41">
        <v>3</v>
      </c>
      <c r="L910" s="41">
        <v>150000</v>
      </c>
      <c r="M910" s="41"/>
    </row>
    <row r="911" spans="1:13">
      <c r="A911" s="10">
        <v>62462</v>
      </c>
      <c r="B911" s="1" t="s">
        <v>1073</v>
      </c>
      <c r="C911" s="1" t="s">
        <v>1073</v>
      </c>
      <c r="D911" s="41"/>
      <c r="J911" s="39">
        <v>404926</v>
      </c>
      <c r="K911" s="41">
        <v>0</v>
      </c>
      <c r="L911" s="41">
        <v>100000</v>
      </c>
      <c r="M911" s="41"/>
    </row>
    <row r="912" spans="1:13">
      <c r="A912" s="10">
        <v>405829</v>
      </c>
      <c r="B912" s="1" t="s">
        <v>1073</v>
      </c>
      <c r="C912" s="2">
        <v>300000</v>
      </c>
      <c r="D912" s="41"/>
      <c r="J912" s="39">
        <v>410986</v>
      </c>
      <c r="K912" s="41">
        <v>3</v>
      </c>
      <c r="L912" s="41">
        <v>150000</v>
      </c>
      <c r="M912" s="41"/>
    </row>
    <row r="913" spans="1:13">
      <c r="A913" s="10">
        <v>182785</v>
      </c>
      <c r="B913" s="1" t="s">
        <v>1073</v>
      </c>
      <c r="C913" s="2">
        <v>500000</v>
      </c>
      <c r="D913" s="41"/>
      <c r="J913" s="39">
        <v>426546</v>
      </c>
      <c r="K913" s="41">
        <v>3</v>
      </c>
      <c r="L913" s="41">
        <v>687000</v>
      </c>
      <c r="M913" s="41"/>
    </row>
    <row r="914" spans="1:13">
      <c r="A914" s="10">
        <v>571265</v>
      </c>
      <c r="B914" s="1" t="s">
        <v>1073</v>
      </c>
      <c r="C914" s="2">
        <v>300000</v>
      </c>
      <c r="D914" s="41"/>
      <c r="J914" s="39">
        <v>436841</v>
      </c>
      <c r="K914" s="41">
        <v>3</v>
      </c>
      <c r="L914" s="41">
        <v>2995000</v>
      </c>
      <c r="M914" s="41"/>
    </row>
    <row r="915" spans="1:13">
      <c r="A915" s="10">
        <v>562943</v>
      </c>
      <c r="B915" s="1">
        <v>3</v>
      </c>
      <c r="C915" s="1" t="s">
        <v>1073</v>
      </c>
      <c r="D915" s="41"/>
      <c r="J915" s="39">
        <v>458900</v>
      </c>
      <c r="K915" s="41">
        <v>4</v>
      </c>
      <c r="L915" s="41">
        <v>5500000</v>
      </c>
      <c r="M915" s="41"/>
    </row>
    <row r="916" spans="1:13">
      <c r="A916" s="10">
        <v>353047</v>
      </c>
      <c r="B916" s="1" t="s">
        <v>1073</v>
      </c>
      <c r="C916" s="3">
        <v>50000</v>
      </c>
      <c r="D916" s="41"/>
      <c r="J916" s="39">
        <v>500429</v>
      </c>
      <c r="K916" s="41">
        <v>3</v>
      </c>
      <c r="L916" s="41">
        <v>2100000</v>
      </c>
      <c r="M916" s="41"/>
    </row>
    <row r="917" spans="1:13">
      <c r="A917" s="10">
        <v>391817</v>
      </c>
      <c r="B917" s="1" t="s">
        <v>1073</v>
      </c>
      <c r="C917" s="2">
        <v>3500000</v>
      </c>
      <c r="D917" s="41"/>
      <c r="J917" s="39">
        <v>527291</v>
      </c>
      <c r="K917" s="41">
        <v>0</v>
      </c>
      <c r="L917" s="41">
        <v>1200000</v>
      </c>
      <c r="M917" s="41"/>
    </row>
    <row r="918" spans="1:13">
      <c r="A918" s="10">
        <v>61846</v>
      </c>
      <c r="B918" s="1" t="s">
        <v>1073</v>
      </c>
      <c r="C918" s="3">
        <v>200000</v>
      </c>
      <c r="D918" s="41"/>
      <c r="J918" s="39">
        <v>538252</v>
      </c>
      <c r="K918" s="41">
        <v>4</v>
      </c>
      <c r="L918" s="41">
        <v>4937000</v>
      </c>
      <c r="M918" s="41"/>
    </row>
    <row r="919" spans="1:13">
      <c r="A919" s="10">
        <v>496643</v>
      </c>
      <c r="B919" s="1" t="s">
        <v>1073</v>
      </c>
      <c r="C919" s="1" t="s">
        <v>1073</v>
      </c>
      <c r="D919" s="41"/>
      <c r="J919" s="39">
        <v>564795</v>
      </c>
      <c r="K919" s="41">
        <v>3</v>
      </c>
      <c r="L919" s="41">
        <v>0</v>
      </c>
      <c r="M919" s="41"/>
    </row>
    <row r="920" spans="1:13">
      <c r="A920" s="10">
        <v>124855</v>
      </c>
      <c r="B920" s="1">
        <v>4</v>
      </c>
      <c r="C920" s="2">
        <v>1675000</v>
      </c>
      <c r="D920" s="41"/>
      <c r="J920" s="39">
        <v>61996</v>
      </c>
      <c r="K920" s="41">
        <v>3</v>
      </c>
      <c r="L920" s="41">
        <v>1329000</v>
      </c>
      <c r="M920" s="41"/>
    </row>
    <row r="921" spans="1:13">
      <c r="A921" s="10">
        <v>200996</v>
      </c>
      <c r="B921" s="1" t="s">
        <v>1073</v>
      </c>
      <c r="C921" s="1" t="s">
        <v>1073</v>
      </c>
      <c r="D921" s="41"/>
      <c r="J921" s="39">
        <v>62039</v>
      </c>
      <c r="K921" s="41">
        <v>0</v>
      </c>
      <c r="L921" s="41">
        <v>0</v>
      </c>
      <c r="M921" s="41"/>
    </row>
    <row r="922" spans="1:13">
      <c r="A922" s="10">
        <v>12323486</v>
      </c>
      <c r="B922" s="1" t="s">
        <v>1073</v>
      </c>
      <c r="C922" s="2">
        <v>300000</v>
      </c>
      <c r="D922" s="41"/>
      <c r="J922" s="39">
        <v>62187</v>
      </c>
      <c r="K922" s="41">
        <v>0</v>
      </c>
      <c r="L922" s="41">
        <v>3275000</v>
      </c>
      <c r="M922" s="41"/>
    </row>
    <row r="923" spans="1:13">
      <c r="A923" s="10">
        <v>12307587</v>
      </c>
      <c r="B923" s="1">
        <v>2</v>
      </c>
      <c r="C923" s="2">
        <v>1158000</v>
      </c>
      <c r="D923" s="41"/>
      <c r="J923" s="39">
        <v>62449</v>
      </c>
      <c r="K923" s="41">
        <v>4</v>
      </c>
      <c r="L923" s="41">
        <v>7387000</v>
      </c>
      <c r="M923" s="41"/>
    </row>
    <row r="924" spans="1:13">
      <c r="A924" s="10">
        <v>457893</v>
      </c>
      <c r="B924" s="1" t="s">
        <v>1073</v>
      </c>
      <c r="C924" s="1" t="s">
        <v>1073</v>
      </c>
      <c r="D924" s="41"/>
      <c r="J924" s="39">
        <v>117823</v>
      </c>
      <c r="K924" s="41">
        <v>4</v>
      </c>
      <c r="L924" s="41">
        <v>200000</v>
      </c>
      <c r="M924" s="41"/>
    </row>
    <row r="925" spans="1:13">
      <c r="A925" s="10">
        <v>1777</v>
      </c>
      <c r="B925" s="1" t="s">
        <v>1073</v>
      </c>
      <c r="C925" s="3">
        <v>150000</v>
      </c>
      <c r="D925" s="41"/>
      <c r="J925" s="39">
        <v>12303501</v>
      </c>
      <c r="K925" s="41">
        <v>0</v>
      </c>
      <c r="L925" s="41">
        <v>51000000</v>
      </c>
      <c r="M925" s="41"/>
    </row>
    <row r="926" spans="1:13">
      <c r="A926" s="10">
        <v>489805</v>
      </c>
      <c r="B926" s="1" t="s">
        <v>1073</v>
      </c>
      <c r="C926" s="2">
        <v>1700000</v>
      </c>
      <c r="D926" s="41"/>
      <c r="J926" s="39">
        <v>12320664</v>
      </c>
      <c r="K926" s="41">
        <v>2</v>
      </c>
      <c r="L926" s="41">
        <v>0</v>
      </c>
      <c r="M926" s="41"/>
    </row>
    <row r="927" spans="1:13">
      <c r="A927" s="10">
        <v>529781</v>
      </c>
      <c r="B927" s="1">
        <v>20</v>
      </c>
      <c r="C927" s="2">
        <v>1337000</v>
      </c>
      <c r="D927" s="41"/>
      <c r="J927" s="39">
        <v>12332492</v>
      </c>
      <c r="K927" s="41">
        <v>123</v>
      </c>
      <c r="L927" s="41">
        <v>5376000</v>
      </c>
      <c r="M927" s="41"/>
    </row>
    <row r="928" spans="1:13">
      <c r="A928" s="10">
        <v>62320</v>
      </c>
      <c r="B928" s="1">
        <v>3</v>
      </c>
      <c r="C928" s="3">
        <v>87000</v>
      </c>
      <c r="D928" s="41"/>
      <c r="J928" s="39">
        <v>12332813</v>
      </c>
      <c r="K928" s="41">
        <v>5</v>
      </c>
      <c r="L928" s="41">
        <v>700000</v>
      </c>
      <c r="M928" s="41"/>
    </row>
    <row r="929" spans="1:13">
      <c r="A929" s="10">
        <v>243030</v>
      </c>
      <c r="B929" s="1" t="s">
        <v>1073</v>
      </c>
      <c r="C929" s="3">
        <v>200000</v>
      </c>
      <c r="D929" s="41"/>
      <c r="J929" s="39">
        <v>12333967</v>
      </c>
      <c r="K929" s="41">
        <v>1</v>
      </c>
      <c r="L929" s="41">
        <v>188000</v>
      </c>
      <c r="M929" s="41"/>
    </row>
    <row r="930" spans="1:13">
      <c r="A930" s="10">
        <v>272816</v>
      </c>
      <c r="B930" s="1" t="s">
        <v>1073</v>
      </c>
      <c r="C930" s="2">
        <v>3500000</v>
      </c>
      <c r="D930" s="41"/>
      <c r="J930" s="39">
        <v>126968</v>
      </c>
      <c r="K930" s="41">
        <v>3</v>
      </c>
      <c r="L930" s="41">
        <v>508000</v>
      </c>
      <c r="M930" s="41"/>
    </row>
    <row r="931" spans="1:13">
      <c r="A931" s="10">
        <v>245224</v>
      </c>
      <c r="B931" s="1">
        <v>2</v>
      </c>
      <c r="C931" s="3">
        <v>158000</v>
      </c>
      <c r="D931" s="41"/>
      <c r="J931" s="39">
        <v>126970</v>
      </c>
      <c r="K931" s="41">
        <v>3</v>
      </c>
      <c r="L931" s="41">
        <v>1129000</v>
      </c>
      <c r="M931" s="41"/>
    </row>
    <row r="932" spans="1:13">
      <c r="A932" s="10">
        <v>12296813</v>
      </c>
      <c r="B932" s="1" t="s">
        <v>1073</v>
      </c>
      <c r="C932" s="1" t="s">
        <v>1073</v>
      </c>
      <c r="D932" s="41"/>
      <c r="J932" s="39">
        <v>127194</v>
      </c>
      <c r="K932" s="41">
        <v>0</v>
      </c>
      <c r="L932" s="41">
        <v>100000</v>
      </c>
      <c r="M932" s="41"/>
    </row>
    <row r="933" spans="1:13">
      <c r="A933" s="10">
        <v>62079</v>
      </c>
      <c r="B933" s="1">
        <v>3</v>
      </c>
      <c r="C933" s="3">
        <v>200000</v>
      </c>
      <c r="D933" s="41"/>
      <c r="J933" s="39">
        <v>160260</v>
      </c>
      <c r="K933" s="41">
        <v>7</v>
      </c>
      <c r="L933" s="41">
        <v>424500</v>
      </c>
      <c r="M933" s="41"/>
    </row>
    <row r="934" spans="1:13">
      <c r="A934" s="10">
        <v>523940</v>
      </c>
      <c r="B934" s="1">
        <v>10</v>
      </c>
      <c r="C934" s="1" t="s">
        <v>1073</v>
      </c>
      <c r="D934" s="41"/>
      <c r="J934" s="39">
        <v>195102</v>
      </c>
      <c r="K934" s="41">
        <v>0</v>
      </c>
      <c r="L934" s="41">
        <v>7290000</v>
      </c>
      <c r="M934" s="41"/>
    </row>
    <row r="935" spans="1:13">
      <c r="A935" s="10">
        <v>339299</v>
      </c>
      <c r="B935" s="1" t="s">
        <v>1073</v>
      </c>
      <c r="C935" s="2">
        <v>1150000</v>
      </c>
      <c r="D935" s="41"/>
      <c r="J935" s="39">
        <v>199043</v>
      </c>
      <c r="K935" s="41">
        <v>3</v>
      </c>
      <c r="L935" s="41">
        <v>208000</v>
      </c>
      <c r="M935" s="41"/>
    </row>
    <row r="936" spans="1:13">
      <c r="A936" s="10">
        <v>211703</v>
      </c>
      <c r="B936" s="1">
        <v>3</v>
      </c>
      <c r="C936" s="1" t="s">
        <v>1073</v>
      </c>
      <c r="D936" s="41"/>
      <c r="J936" s="39">
        <v>199156</v>
      </c>
      <c r="K936" s="41">
        <v>179</v>
      </c>
      <c r="L936" s="41">
        <v>19218300</v>
      </c>
      <c r="M936" s="41"/>
    </row>
    <row r="937" spans="1:13">
      <c r="A937" s="10">
        <v>412499</v>
      </c>
      <c r="B937" s="1" t="s">
        <v>1073</v>
      </c>
      <c r="C937" s="2">
        <v>3000000</v>
      </c>
      <c r="D937" s="41"/>
      <c r="J937" s="39">
        <v>233903</v>
      </c>
      <c r="K937" s="41">
        <v>3</v>
      </c>
      <c r="L937" s="41">
        <v>358000</v>
      </c>
      <c r="M937" s="41"/>
    </row>
    <row r="938" spans="1:13">
      <c r="A938" s="10">
        <v>67311</v>
      </c>
      <c r="B938" s="1" t="s">
        <v>1073</v>
      </c>
      <c r="C938" s="2">
        <v>2000000</v>
      </c>
      <c r="D938" s="41"/>
      <c r="J938" s="39">
        <v>236236</v>
      </c>
      <c r="K938" s="41">
        <v>4</v>
      </c>
      <c r="L938" s="41">
        <v>2279000</v>
      </c>
      <c r="M938" s="41"/>
    </row>
    <row r="939" spans="1:13">
      <c r="A939" s="10">
        <v>422918</v>
      </c>
      <c r="B939" s="1" t="s">
        <v>1073</v>
      </c>
      <c r="C939" s="2">
        <v>4000000</v>
      </c>
      <c r="D939" s="41"/>
      <c r="J939" s="39">
        <v>240123</v>
      </c>
      <c r="K939" s="41">
        <v>3</v>
      </c>
      <c r="L939" s="41">
        <v>1000000</v>
      </c>
      <c r="M939" s="41"/>
    </row>
    <row r="940" spans="1:13">
      <c r="A940" s="10">
        <v>556434</v>
      </c>
      <c r="B940" s="1" t="s">
        <v>1073</v>
      </c>
      <c r="C940" s="1" t="s">
        <v>1073</v>
      </c>
      <c r="D940" s="41"/>
      <c r="J940" s="39">
        <v>240546</v>
      </c>
      <c r="K940" s="41">
        <v>3</v>
      </c>
      <c r="L940" s="41">
        <v>608000</v>
      </c>
      <c r="M940" s="41"/>
    </row>
    <row r="941" spans="1:13">
      <c r="A941" s="10">
        <v>501263</v>
      </c>
      <c r="B941" s="1" t="s">
        <v>1073</v>
      </c>
      <c r="C941" s="1" t="s">
        <v>1073</v>
      </c>
      <c r="D941" s="41"/>
      <c r="J941" s="39">
        <v>246348</v>
      </c>
      <c r="K941" s="41">
        <v>3</v>
      </c>
      <c r="L941" s="41">
        <v>629000</v>
      </c>
      <c r="M941" s="41"/>
    </row>
    <row r="942" spans="1:13">
      <c r="A942" s="10">
        <v>564795</v>
      </c>
      <c r="B942" s="1" t="s">
        <v>1073</v>
      </c>
      <c r="C942" s="1" t="s">
        <v>1073</v>
      </c>
      <c r="D942" s="41"/>
      <c r="J942" s="39">
        <v>248865</v>
      </c>
      <c r="K942" s="41">
        <v>3</v>
      </c>
      <c r="L942" s="41">
        <v>3183000</v>
      </c>
      <c r="M942" s="41"/>
    </row>
    <row r="943" spans="1:13">
      <c r="A943" s="10">
        <v>229765</v>
      </c>
      <c r="B943" s="1" t="s">
        <v>1073</v>
      </c>
      <c r="C943" s="2">
        <v>13000000</v>
      </c>
      <c r="D943" s="41"/>
      <c r="J943" s="39">
        <v>268747</v>
      </c>
      <c r="K943" s="41">
        <v>26</v>
      </c>
      <c r="L943" s="41">
        <v>950000</v>
      </c>
      <c r="M943" s="41"/>
    </row>
    <row r="944" spans="1:13">
      <c r="A944" s="10">
        <v>358231</v>
      </c>
      <c r="B944" s="1">
        <v>1</v>
      </c>
      <c r="C944" s="2">
        <v>2008000</v>
      </c>
      <c r="D944" s="41"/>
      <c r="J944" s="39">
        <v>272014</v>
      </c>
      <c r="K944" s="41">
        <v>3</v>
      </c>
      <c r="L944" s="41">
        <v>6758000</v>
      </c>
      <c r="M944" s="41"/>
    </row>
    <row r="945" spans="1:13">
      <c r="A945" s="10">
        <v>499401</v>
      </c>
      <c r="B945" s="1" t="s">
        <v>1073</v>
      </c>
      <c r="C945" s="1" t="s">
        <v>1073</v>
      </c>
      <c r="D945" s="41"/>
      <c r="J945" s="39">
        <v>281770</v>
      </c>
      <c r="K945" s="41">
        <v>3</v>
      </c>
      <c r="L945" s="41">
        <v>108000</v>
      </c>
      <c r="M945" s="41"/>
    </row>
    <row r="946" spans="1:13">
      <c r="A946" s="10">
        <v>12312749</v>
      </c>
      <c r="B946" s="1" t="s">
        <v>1073</v>
      </c>
      <c r="C946" s="2">
        <v>300000</v>
      </c>
      <c r="D946" s="41"/>
      <c r="J946" s="39">
        <v>327626</v>
      </c>
      <c r="K946" s="41">
        <v>3</v>
      </c>
      <c r="L946" s="41">
        <v>208000</v>
      </c>
      <c r="M946" s="41"/>
    </row>
    <row r="947" spans="1:13">
      <c r="A947" s="10">
        <v>392373</v>
      </c>
      <c r="B947" s="1" t="s">
        <v>1073</v>
      </c>
      <c r="C947" s="1" t="s">
        <v>1073</v>
      </c>
      <c r="D947" s="41"/>
      <c r="J947" s="39">
        <v>334990</v>
      </c>
      <c r="K947" s="41">
        <v>1</v>
      </c>
      <c r="L947" s="41">
        <v>22536758</v>
      </c>
      <c r="M947" s="41"/>
    </row>
    <row r="948" spans="1:13">
      <c r="A948" s="10">
        <v>243536</v>
      </c>
      <c r="B948" s="1" t="s">
        <v>1073</v>
      </c>
      <c r="C948" s="1" t="s">
        <v>1073</v>
      </c>
      <c r="D948" s="41"/>
      <c r="J948" s="39">
        <v>339975</v>
      </c>
      <c r="K948" s="41">
        <v>6</v>
      </c>
      <c r="L948" s="41">
        <v>1758000</v>
      </c>
      <c r="M948" s="41"/>
    </row>
    <row r="949" spans="1:13">
      <c r="A949" s="10">
        <v>532244</v>
      </c>
      <c r="B949" s="1" t="s">
        <v>1073</v>
      </c>
      <c r="C949" s="1" t="s">
        <v>1073</v>
      </c>
      <c r="D949" s="41"/>
      <c r="J949" s="39">
        <v>342246</v>
      </c>
      <c r="K949" s="41">
        <v>9</v>
      </c>
      <c r="L949" s="41">
        <v>1450000</v>
      </c>
      <c r="M949" s="41"/>
    </row>
    <row r="950" spans="1:13">
      <c r="A950" s="10">
        <v>261429</v>
      </c>
      <c r="B950" s="1" t="s">
        <v>1073</v>
      </c>
      <c r="C950" s="3">
        <v>100000</v>
      </c>
      <c r="D950" s="41"/>
      <c r="J950" s="39">
        <v>353735</v>
      </c>
      <c r="K950" s="41">
        <v>0</v>
      </c>
      <c r="L950" s="41">
        <v>0</v>
      </c>
      <c r="M950" s="41"/>
    </row>
    <row r="951" spans="1:13">
      <c r="A951" s="10">
        <v>12322494</v>
      </c>
      <c r="B951" s="1" t="s">
        <v>1073</v>
      </c>
      <c r="C951" s="2">
        <v>1000000</v>
      </c>
      <c r="D951" s="41"/>
      <c r="J951" s="39">
        <v>391817</v>
      </c>
      <c r="K951" s="41">
        <v>61</v>
      </c>
      <c r="L951" s="41">
        <v>13029000</v>
      </c>
      <c r="M951" s="41"/>
    </row>
    <row r="952" spans="1:13">
      <c r="A952" s="10">
        <v>12295791</v>
      </c>
      <c r="B952" s="1" t="s">
        <v>1073</v>
      </c>
      <c r="C952" s="2">
        <v>1500000</v>
      </c>
      <c r="D952" s="41"/>
      <c r="J952" s="39">
        <v>396792</v>
      </c>
      <c r="K952" s="41">
        <v>1</v>
      </c>
      <c r="L952" s="41">
        <v>8500000</v>
      </c>
      <c r="M952" s="41"/>
    </row>
    <row r="953" spans="1:13">
      <c r="A953" s="10">
        <v>481538</v>
      </c>
      <c r="B953" s="1" t="s">
        <v>1073</v>
      </c>
      <c r="C953" s="3">
        <v>50000</v>
      </c>
      <c r="D953" s="41"/>
      <c r="J953" s="39">
        <v>406831</v>
      </c>
      <c r="K953" s="41">
        <v>3</v>
      </c>
      <c r="L953" s="41">
        <v>5358000</v>
      </c>
      <c r="M953" s="41"/>
    </row>
    <row r="954" spans="1:13">
      <c r="A954" s="10">
        <v>278296</v>
      </c>
      <c r="B954" s="1" t="s">
        <v>1073</v>
      </c>
      <c r="C954" s="2">
        <v>2000000</v>
      </c>
      <c r="D954" s="41"/>
      <c r="J954" s="39">
        <v>407275</v>
      </c>
      <c r="K954" s="41">
        <v>6</v>
      </c>
      <c r="L954" s="41">
        <v>6000000</v>
      </c>
      <c r="M954" s="41"/>
    </row>
    <row r="955" spans="1:13">
      <c r="A955" s="10">
        <v>309555</v>
      </c>
      <c r="B955" s="1" t="s">
        <v>1073</v>
      </c>
      <c r="C955" s="1" t="s">
        <v>1073</v>
      </c>
      <c r="D955" s="41"/>
      <c r="J955" s="39">
        <v>439091</v>
      </c>
      <c r="K955" s="41">
        <v>4</v>
      </c>
      <c r="L955" s="41">
        <v>308000</v>
      </c>
      <c r="M955" s="41"/>
    </row>
    <row r="956" spans="1:13">
      <c r="A956" s="10">
        <v>404499</v>
      </c>
      <c r="B956" s="1" t="s">
        <v>1073</v>
      </c>
      <c r="C956" s="1" t="s">
        <v>1073</v>
      </c>
      <c r="D956" s="41"/>
      <c r="J956" s="39">
        <v>478811</v>
      </c>
      <c r="K956" s="41">
        <v>1</v>
      </c>
      <c r="L956" s="41">
        <v>16430113</v>
      </c>
      <c r="M956" s="41"/>
    </row>
    <row r="957" spans="1:13">
      <c r="A957" s="10">
        <v>240133</v>
      </c>
      <c r="B957" s="1" t="s">
        <v>1073</v>
      </c>
      <c r="C957" s="3">
        <v>150000</v>
      </c>
      <c r="D957" s="41"/>
      <c r="J957" s="39">
        <v>478865</v>
      </c>
      <c r="K957" s="41">
        <v>0</v>
      </c>
      <c r="L957" s="41">
        <v>0</v>
      </c>
      <c r="M957" s="41"/>
    </row>
    <row r="958" spans="1:13">
      <c r="A958" s="10">
        <v>385444</v>
      </c>
      <c r="B958" s="1">
        <v>2</v>
      </c>
      <c r="C958" s="2">
        <v>358000</v>
      </c>
      <c r="D958" s="41"/>
      <c r="J958" s="39">
        <v>489452</v>
      </c>
      <c r="K958" s="41">
        <v>1</v>
      </c>
      <c r="L958" s="41">
        <v>0</v>
      </c>
      <c r="M958" s="41"/>
    </row>
    <row r="959" spans="1:13">
      <c r="A959" s="10">
        <v>371867</v>
      </c>
      <c r="B959" s="1">
        <v>4</v>
      </c>
      <c r="C959" s="2">
        <v>3216000</v>
      </c>
      <c r="D959" s="41"/>
      <c r="J959" s="39">
        <v>524914</v>
      </c>
      <c r="K959" s="41">
        <v>4</v>
      </c>
      <c r="L959" s="41">
        <v>1933000</v>
      </c>
      <c r="M959" s="41"/>
    </row>
    <row r="960" spans="1:13">
      <c r="A960" s="10">
        <v>311453</v>
      </c>
      <c r="B960" s="1" t="s">
        <v>1073</v>
      </c>
      <c r="C960" s="3">
        <v>100000</v>
      </c>
      <c r="D960" s="41"/>
      <c r="J960" s="39">
        <v>526700</v>
      </c>
      <c r="K960" s="41">
        <v>3</v>
      </c>
      <c r="L960" s="41">
        <v>10382265</v>
      </c>
      <c r="M960" s="41"/>
    </row>
    <row r="961" spans="1:13">
      <c r="A961" s="10">
        <v>62074</v>
      </c>
      <c r="B961" s="1">
        <v>1</v>
      </c>
      <c r="C961" s="2">
        <v>329000</v>
      </c>
      <c r="D961" s="41"/>
      <c r="J961" s="39">
        <v>544831</v>
      </c>
      <c r="K961" s="41">
        <v>185</v>
      </c>
      <c r="L961" s="41">
        <v>13586000</v>
      </c>
      <c r="M961" s="41"/>
    </row>
    <row r="962" spans="1:13">
      <c r="A962" s="10">
        <v>12365</v>
      </c>
      <c r="B962" s="1">
        <v>3</v>
      </c>
      <c r="C962" s="3">
        <v>200000</v>
      </c>
      <c r="D962" s="41"/>
      <c r="J962" s="39">
        <v>61652</v>
      </c>
      <c r="K962" s="41">
        <v>3</v>
      </c>
      <c r="L962" s="41">
        <v>58000</v>
      </c>
      <c r="M962" s="41"/>
    </row>
    <row r="963" spans="1:13">
      <c r="A963" s="10">
        <v>211686</v>
      </c>
      <c r="B963" s="1" t="s">
        <v>1073</v>
      </c>
      <c r="C963" s="2">
        <v>600000</v>
      </c>
      <c r="D963" s="41"/>
      <c r="J963" s="39">
        <v>61653</v>
      </c>
      <c r="K963" s="41">
        <v>6</v>
      </c>
      <c r="L963" s="41">
        <v>500000</v>
      </c>
      <c r="M963" s="41"/>
    </row>
    <row r="964" spans="1:13">
      <c r="A964" s="10">
        <v>272399</v>
      </c>
      <c r="B964" s="1" t="s">
        <v>1073</v>
      </c>
      <c r="C964" s="1" t="s">
        <v>1073</v>
      </c>
      <c r="D964" s="41"/>
      <c r="J964" s="39">
        <v>61721</v>
      </c>
      <c r="K964" s="41">
        <v>3</v>
      </c>
      <c r="L964" s="41">
        <v>500000</v>
      </c>
      <c r="M964" s="41"/>
    </row>
    <row r="965" spans="1:13">
      <c r="A965" s="10">
        <v>11484</v>
      </c>
      <c r="B965" s="1">
        <v>2</v>
      </c>
      <c r="C965" s="2">
        <v>450000</v>
      </c>
      <c r="D965" s="41"/>
      <c r="J965" s="39">
        <v>62083</v>
      </c>
      <c r="K965" s="41">
        <v>3</v>
      </c>
      <c r="L965" s="41">
        <v>758000</v>
      </c>
      <c r="M965" s="41"/>
    </row>
    <row r="966" spans="1:13">
      <c r="A966" s="10">
        <v>12321241</v>
      </c>
      <c r="B966" s="1">
        <v>4</v>
      </c>
      <c r="C966" s="2">
        <v>15000000</v>
      </c>
      <c r="D966" s="41"/>
      <c r="J966" s="39">
        <v>62369</v>
      </c>
      <c r="K966" s="41">
        <v>1</v>
      </c>
      <c r="L966" s="41">
        <v>4500000</v>
      </c>
      <c r="M966" s="41"/>
    </row>
    <row r="967" spans="1:13">
      <c r="A967" s="10">
        <v>555323</v>
      </c>
      <c r="B967" s="1">
        <v>18</v>
      </c>
      <c r="C967" s="2">
        <v>1287000</v>
      </c>
      <c r="D967" s="41"/>
      <c r="J967" s="39">
        <v>7483</v>
      </c>
      <c r="K967" s="41">
        <v>10</v>
      </c>
      <c r="L967" s="41">
        <v>300000</v>
      </c>
      <c r="M967" s="41"/>
    </row>
    <row r="968" spans="1:13">
      <c r="A968" s="10">
        <v>127152</v>
      </c>
      <c r="B968" s="1" t="s">
        <v>1073</v>
      </c>
      <c r="C968" s="1" t="s">
        <v>1073</v>
      </c>
      <c r="D968" s="41"/>
      <c r="J968" s="39" t="s">
        <v>681</v>
      </c>
      <c r="K968" s="41">
        <v>3</v>
      </c>
      <c r="L968" s="41">
        <v>16458000</v>
      </c>
      <c r="M968" s="41"/>
    </row>
    <row r="969" spans="1:13">
      <c r="A969" s="10">
        <v>188445</v>
      </c>
      <c r="B969" s="1">
        <v>3</v>
      </c>
      <c r="C969" s="2">
        <v>700000</v>
      </c>
      <c r="D969" s="41"/>
      <c r="J969" s="39" t="s">
        <v>683</v>
      </c>
      <c r="K969" s="41">
        <v>20</v>
      </c>
      <c r="L969" s="41">
        <v>2029000</v>
      </c>
      <c r="M969" s="41"/>
    </row>
    <row r="970" spans="1:13">
      <c r="A970" s="10">
        <v>12325263</v>
      </c>
      <c r="B970" s="1">
        <v>5</v>
      </c>
      <c r="C970" s="1" t="s">
        <v>1073</v>
      </c>
      <c r="D970" s="41"/>
      <c r="J970" s="39" t="s">
        <v>684</v>
      </c>
      <c r="K970" s="41">
        <v>0</v>
      </c>
      <c r="L970" s="41">
        <v>300000</v>
      </c>
      <c r="M970" s="41"/>
    </row>
    <row r="971" spans="1:13">
      <c r="A971" s="10">
        <v>7988</v>
      </c>
      <c r="B971" s="1" t="s">
        <v>1073</v>
      </c>
      <c r="C971" s="2">
        <v>4639740</v>
      </c>
      <c r="D971" s="41"/>
      <c r="J971" s="39">
        <v>12323326</v>
      </c>
      <c r="K971" s="41">
        <v>88</v>
      </c>
      <c r="L971" s="41">
        <v>26519560</v>
      </c>
      <c r="M971" s="41"/>
    </row>
    <row r="972" spans="1:13">
      <c r="A972" s="10">
        <v>12299384</v>
      </c>
      <c r="B972" s="1" t="s">
        <v>1073</v>
      </c>
      <c r="C972" s="3">
        <v>150000</v>
      </c>
      <c r="D972" s="41"/>
      <c r="J972" s="39">
        <v>127209</v>
      </c>
      <c r="K972" s="41">
        <v>3</v>
      </c>
      <c r="L972" s="41">
        <v>287000</v>
      </c>
      <c r="M972" s="41"/>
    </row>
    <row r="973" spans="1:13">
      <c r="A973" s="10">
        <v>61900</v>
      </c>
      <c r="B973" s="1">
        <v>1</v>
      </c>
      <c r="C973" s="2">
        <v>7092440</v>
      </c>
      <c r="D973" s="41"/>
      <c r="J973" s="39">
        <v>199061</v>
      </c>
      <c r="K973" s="41">
        <v>3</v>
      </c>
      <c r="L973" s="41">
        <v>2500000</v>
      </c>
      <c r="M973" s="41"/>
    </row>
    <row r="974" spans="1:13">
      <c r="A974" s="10">
        <v>357600</v>
      </c>
      <c r="B974" s="1" t="s">
        <v>1073</v>
      </c>
      <c r="C974" s="1" t="s">
        <v>1073</v>
      </c>
      <c r="D974" s="41"/>
      <c r="J974" s="39">
        <v>199069</v>
      </c>
      <c r="K974" s="41">
        <v>3</v>
      </c>
      <c r="L974" s="41">
        <v>87000</v>
      </c>
      <c r="M974" s="41"/>
    </row>
    <row r="975" spans="1:13">
      <c r="A975" s="10">
        <v>12295860</v>
      </c>
      <c r="B975" s="1" t="s">
        <v>1073</v>
      </c>
      <c r="C975" s="2">
        <v>1100000</v>
      </c>
      <c r="D975" s="41"/>
      <c r="J975" s="39">
        <v>199317</v>
      </c>
      <c r="K975" s="41">
        <v>3</v>
      </c>
      <c r="L975" s="41">
        <v>87000</v>
      </c>
      <c r="M975" s="41"/>
    </row>
    <row r="976" spans="1:13">
      <c r="A976" s="10">
        <v>477032</v>
      </c>
      <c r="B976" s="1">
        <v>1</v>
      </c>
      <c r="C976" s="2">
        <v>1950000</v>
      </c>
      <c r="D976" s="41"/>
      <c r="J976" s="39">
        <v>211781</v>
      </c>
      <c r="K976" s="41">
        <v>3</v>
      </c>
      <c r="L976" s="41">
        <v>3250000</v>
      </c>
      <c r="M976" s="41"/>
    </row>
    <row r="977" spans="1:13">
      <c r="A977" s="10">
        <v>373926</v>
      </c>
      <c r="B977" s="1" t="s">
        <v>1073</v>
      </c>
      <c r="C977" s="2">
        <v>500000</v>
      </c>
      <c r="D977" s="41"/>
      <c r="J977" s="39">
        <v>221350</v>
      </c>
      <c r="K977" s="41">
        <v>3</v>
      </c>
      <c r="L977" s="41">
        <v>800000</v>
      </c>
      <c r="M977" s="41"/>
    </row>
    <row r="978" spans="1:13">
      <c r="A978" s="10">
        <v>12323668</v>
      </c>
      <c r="B978" s="1" t="s">
        <v>1073</v>
      </c>
      <c r="C978" s="1" t="s">
        <v>1073</v>
      </c>
      <c r="D978" s="41"/>
      <c r="J978" s="39">
        <v>237458</v>
      </c>
      <c r="K978" s="41">
        <v>3</v>
      </c>
      <c r="L978" s="41">
        <v>7150000</v>
      </c>
      <c r="M978" s="41"/>
    </row>
    <row r="979" spans="1:13">
      <c r="A979" s="10">
        <v>278608</v>
      </c>
      <c r="B979" s="1" t="s">
        <v>1073</v>
      </c>
      <c r="C979" s="2">
        <v>2000000</v>
      </c>
      <c r="D979" s="41"/>
      <c r="J979" s="39">
        <v>238632</v>
      </c>
      <c r="K979" s="41">
        <v>3</v>
      </c>
      <c r="L979" s="41">
        <v>587000</v>
      </c>
      <c r="M979" s="41"/>
    </row>
    <row r="980" spans="1:13">
      <c r="A980" s="10">
        <v>545535</v>
      </c>
      <c r="B980" s="1" t="s">
        <v>1073</v>
      </c>
      <c r="C980" s="1" t="s">
        <v>1073</v>
      </c>
      <c r="D980" s="41"/>
      <c r="J980" s="39">
        <v>239978</v>
      </c>
      <c r="K980" s="41">
        <v>36</v>
      </c>
      <c r="L980" s="41">
        <v>3500000</v>
      </c>
      <c r="M980" s="41"/>
    </row>
    <row r="981" spans="1:13">
      <c r="A981" s="10">
        <v>246734</v>
      </c>
      <c r="B981" s="1" t="s">
        <v>1073</v>
      </c>
      <c r="C981" s="1" t="s">
        <v>1073</v>
      </c>
      <c r="D981" s="41"/>
      <c r="J981" s="39">
        <v>242675</v>
      </c>
      <c r="K981" s="41">
        <v>17</v>
      </c>
      <c r="L981" s="41">
        <v>3800000</v>
      </c>
      <c r="M981" s="41"/>
    </row>
    <row r="982" spans="1:13">
      <c r="A982" s="10">
        <v>436841</v>
      </c>
      <c r="B982" s="1" t="s">
        <v>1073</v>
      </c>
      <c r="C982" s="2">
        <v>1250000</v>
      </c>
      <c r="D982" s="41"/>
      <c r="J982" s="39">
        <v>266549</v>
      </c>
      <c r="K982" s="41">
        <v>3</v>
      </c>
      <c r="L982" s="41">
        <v>2500000</v>
      </c>
      <c r="M982" s="41"/>
    </row>
    <row r="983" spans="1:13">
      <c r="A983" s="10">
        <v>188722</v>
      </c>
      <c r="B983" s="1" t="s">
        <v>1073</v>
      </c>
      <c r="C983" s="2">
        <v>3500000</v>
      </c>
      <c r="D983" s="41"/>
      <c r="J983" s="39">
        <v>274707</v>
      </c>
      <c r="K983" s="41">
        <v>0</v>
      </c>
      <c r="L983" s="41">
        <v>0</v>
      </c>
      <c r="M983" s="41"/>
    </row>
    <row r="984" spans="1:13">
      <c r="A984" s="10">
        <v>458896</v>
      </c>
      <c r="B984" s="1" t="s">
        <v>1073</v>
      </c>
      <c r="C984" s="3">
        <v>250000</v>
      </c>
      <c r="D984" s="41"/>
      <c r="J984" s="39">
        <v>340429</v>
      </c>
      <c r="K984" s="41">
        <v>3</v>
      </c>
      <c r="L984" s="41">
        <v>287000</v>
      </c>
      <c r="M984" s="41"/>
    </row>
    <row r="985" spans="1:13">
      <c r="A985" s="10">
        <v>12322292</v>
      </c>
      <c r="B985" s="1" t="s">
        <v>1073</v>
      </c>
      <c r="C985" s="1" t="s">
        <v>1073</v>
      </c>
      <c r="D985" s="41"/>
      <c r="J985" s="39">
        <v>347151</v>
      </c>
      <c r="K985" s="41">
        <v>29</v>
      </c>
      <c r="L985" s="41">
        <v>1000000</v>
      </c>
      <c r="M985" s="41"/>
    </row>
    <row r="986" spans="1:13">
      <c r="A986" s="10">
        <v>12295626</v>
      </c>
      <c r="B986" s="1" t="s">
        <v>1073</v>
      </c>
      <c r="C986" s="1" t="s">
        <v>1073</v>
      </c>
      <c r="D986" s="41"/>
      <c r="J986" s="39">
        <v>363655</v>
      </c>
      <c r="K986" s="41">
        <v>2</v>
      </c>
      <c r="L986" s="41">
        <v>750000</v>
      </c>
      <c r="M986" s="41"/>
    </row>
    <row r="987" spans="1:13">
      <c r="A987" s="10">
        <v>525590</v>
      </c>
      <c r="B987" s="1" t="s">
        <v>1073</v>
      </c>
      <c r="C987" s="2">
        <v>5898000</v>
      </c>
      <c r="D987" s="41"/>
      <c r="J987" s="39">
        <v>363660</v>
      </c>
      <c r="K987" s="41">
        <v>3</v>
      </c>
      <c r="L987" s="41">
        <v>1300000</v>
      </c>
      <c r="M987" s="41"/>
    </row>
    <row r="988" spans="1:13">
      <c r="A988" s="10">
        <v>570748</v>
      </c>
      <c r="B988" s="1" t="s">
        <v>1073</v>
      </c>
      <c r="C988" s="2">
        <v>1500000</v>
      </c>
      <c r="D988" s="41"/>
      <c r="J988" s="39">
        <v>452054</v>
      </c>
      <c r="K988" s="41">
        <v>3</v>
      </c>
      <c r="L988" s="41">
        <v>2067000</v>
      </c>
      <c r="M988" s="41"/>
    </row>
    <row r="989" spans="1:13">
      <c r="A989" s="10">
        <v>262784</v>
      </c>
      <c r="B989" s="1" t="s">
        <v>1073</v>
      </c>
      <c r="C989" s="1" t="s">
        <v>1073</v>
      </c>
      <c r="D989" s="41"/>
      <c r="J989" s="39">
        <v>453185</v>
      </c>
      <c r="K989" s="41">
        <v>33</v>
      </c>
      <c r="L989" s="41">
        <v>2050000</v>
      </c>
      <c r="M989" s="41"/>
    </row>
    <row r="990" spans="1:13">
      <c r="A990" s="10">
        <v>62165</v>
      </c>
      <c r="B990" s="1">
        <v>36</v>
      </c>
      <c r="C990" s="2">
        <v>4357000</v>
      </c>
      <c r="D990" s="41"/>
      <c r="J990" s="39">
        <v>457463</v>
      </c>
      <c r="K990" s="41">
        <v>0</v>
      </c>
      <c r="L990" s="41">
        <v>800000</v>
      </c>
      <c r="M990" s="41"/>
    </row>
    <row r="991" spans="1:13">
      <c r="A991" s="10">
        <v>523935</v>
      </c>
      <c r="B991" s="1" t="s">
        <v>1073</v>
      </c>
      <c r="C991" s="1" t="s">
        <v>1073</v>
      </c>
      <c r="D991" s="41"/>
      <c r="J991" s="39">
        <v>458953</v>
      </c>
      <c r="K991" s="41">
        <v>3</v>
      </c>
      <c r="L991" s="41">
        <v>137000</v>
      </c>
      <c r="M991" s="41"/>
    </row>
    <row r="992" spans="1:13">
      <c r="A992" s="10">
        <v>12299376</v>
      </c>
      <c r="B992" s="1" t="s">
        <v>1073</v>
      </c>
      <c r="C992" s="1" t="s">
        <v>1073</v>
      </c>
      <c r="D992" s="41"/>
      <c r="J992" s="39">
        <v>478959</v>
      </c>
      <c r="K992" s="41">
        <v>3</v>
      </c>
      <c r="L992" s="41">
        <v>5887000</v>
      </c>
      <c r="M992" s="41"/>
    </row>
    <row r="993" spans="1:13">
      <c r="A993" s="10">
        <v>547191</v>
      </c>
      <c r="B993" s="1">
        <v>10</v>
      </c>
      <c r="C993" s="2">
        <v>1500000</v>
      </c>
      <c r="D993" s="41"/>
      <c r="J993" s="39">
        <v>480222</v>
      </c>
      <c r="K993" s="41">
        <v>3</v>
      </c>
      <c r="L993" s="41">
        <v>1200000</v>
      </c>
      <c r="M993" s="41"/>
    </row>
    <row r="994" spans="1:13">
      <c r="A994" s="10">
        <v>538088</v>
      </c>
      <c r="B994" s="1" t="s">
        <v>1073</v>
      </c>
      <c r="C994" s="2">
        <v>500000</v>
      </c>
      <c r="D994" s="41"/>
      <c r="J994" s="39">
        <v>492045</v>
      </c>
      <c r="K994" s="41">
        <v>3</v>
      </c>
      <c r="L994" s="41">
        <v>187000</v>
      </c>
      <c r="M994" s="41"/>
    </row>
    <row r="995" spans="1:13">
      <c r="A995" s="10">
        <v>12295542</v>
      </c>
      <c r="B995" s="1">
        <v>3</v>
      </c>
      <c r="C995" s="1" t="s">
        <v>1073</v>
      </c>
      <c r="D995" s="41"/>
      <c r="J995" s="39">
        <v>509953</v>
      </c>
      <c r="K995" s="41">
        <v>100</v>
      </c>
      <c r="L995" s="41">
        <v>1400000</v>
      </c>
      <c r="M995" s="41"/>
    </row>
    <row r="996" spans="1:13">
      <c r="A996" s="10">
        <v>514589</v>
      </c>
      <c r="B996" s="1">
        <v>4</v>
      </c>
      <c r="C996" s="2">
        <v>15000000</v>
      </c>
      <c r="D996" s="41"/>
      <c r="J996" s="39">
        <v>535185</v>
      </c>
      <c r="K996" s="41">
        <v>3</v>
      </c>
      <c r="L996" s="41">
        <v>987000</v>
      </c>
      <c r="M996" s="41"/>
    </row>
    <row r="997" spans="1:13">
      <c r="A997" s="10">
        <v>12318696</v>
      </c>
      <c r="B997" s="1">
        <v>6</v>
      </c>
      <c r="C997" s="2">
        <v>1824000</v>
      </c>
      <c r="D997" s="41"/>
      <c r="J997" s="39">
        <v>580677</v>
      </c>
      <c r="K997" s="41">
        <v>0</v>
      </c>
      <c r="L997" s="41">
        <v>510000</v>
      </c>
      <c r="M997" s="41"/>
    </row>
    <row r="998" spans="1:13">
      <c r="A998" s="10">
        <v>61953</v>
      </c>
      <c r="B998" s="1" t="s">
        <v>1073</v>
      </c>
      <c r="C998" s="2">
        <v>1500000</v>
      </c>
      <c r="D998" s="41"/>
      <c r="J998" s="39">
        <v>61542</v>
      </c>
      <c r="K998" s="41">
        <v>3</v>
      </c>
      <c r="L998" s="41">
        <v>10200000</v>
      </c>
      <c r="M998" s="41"/>
    </row>
    <row r="999" spans="1:13">
      <c r="A999" s="10">
        <v>12295821</v>
      </c>
      <c r="B999" s="1" t="s">
        <v>1073</v>
      </c>
      <c r="C999" s="1" t="s">
        <v>1073</v>
      </c>
      <c r="D999" s="41"/>
      <c r="J999" s="39">
        <v>61549</v>
      </c>
      <c r="K999" s="41">
        <v>1</v>
      </c>
      <c r="L999" s="41">
        <v>500000</v>
      </c>
      <c r="M999" s="41"/>
    </row>
    <row r="1000" spans="1:13">
      <c r="A1000" s="10">
        <v>442473</v>
      </c>
      <c r="B1000" s="1" t="s">
        <v>1073</v>
      </c>
      <c r="C1000" s="2">
        <v>330000</v>
      </c>
      <c r="D1000" s="41"/>
      <c r="J1000" s="39" t="s">
        <v>702</v>
      </c>
      <c r="K1000" s="41">
        <v>2</v>
      </c>
      <c r="L1000" s="41">
        <v>2000000</v>
      </c>
      <c r="M1000" s="41"/>
    </row>
    <row r="1001" spans="1:13">
      <c r="A1001" s="10">
        <v>211748</v>
      </c>
      <c r="B1001" s="1" t="s">
        <v>1073</v>
      </c>
      <c r="C1001" s="2">
        <v>3600000</v>
      </c>
      <c r="D1001" s="41"/>
      <c r="J1001" s="39" t="s">
        <v>704</v>
      </c>
      <c r="K1001" s="41">
        <v>47</v>
      </c>
      <c r="L1001" s="41">
        <v>2100000</v>
      </c>
      <c r="M1001" s="41"/>
    </row>
    <row r="1002" spans="1:13">
      <c r="A1002" s="10">
        <v>468701</v>
      </c>
      <c r="B1002" s="1">
        <v>2</v>
      </c>
      <c r="C1002" s="2">
        <v>3089408</v>
      </c>
      <c r="D1002" s="41"/>
      <c r="J1002" s="39">
        <v>115396</v>
      </c>
      <c r="K1002" s="41">
        <v>1</v>
      </c>
      <c r="L1002" s="41">
        <v>200000</v>
      </c>
      <c r="M1002" s="41"/>
    </row>
    <row r="1003" spans="1:13">
      <c r="A1003" s="10">
        <v>12296824</v>
      </c>
      <c r="B1003" s="1" t="s">
        <v>1073</v>
      </c>
      <c r="C1003" s="1" t="s">
        <v>1073</v>
      </c>
      <c r="D1003" s="41"/>
      <c r="J1003" s="39">
        <v>1222</v>
      </c>
      <c r="K1003" s="41">
        <v>1</v>
      </c>
      <c r="L1003" s="41">
        <v>200000</v>
      </c>
      <c r="M1003" s="41"/>
    </row>
    <row r="1004" spans="1:13">
      <c r="A1004" s="10">
        <v>252235</v>
      </c>
      <c r="B1004" s="1" t="s">
        <v>1073</v>
      </c>
      <c r="C1004" s="2">
        <v>800000</v>
      </c>
      <c r="D1004" s="41"/>
      <c r="J1004" s="39">
        <v>12326939</v>
      </c>
      <c r="K1004" s="41">
        <v>24</v>
      </c>
      <c r="L1004" s="41">
        <v>20791000</v>
      </c>
      <c r="M1004" s="41"/>
    </row>
    <row r="1005" spans="1:13">
      <c r="A1005" s="10">
        <v>483240</v>
      </c>
      <c r="B1005" s="1" t="s">
        <v>1073</v>
      </c>
      <c r="C1005" s="3">
        <v>200000</v>
      </c>
      <c r="D1005" s="41"/>
      <c r="J1005" s="39">
        <v>12333031</v>
      </c>
      <c r="K1005" s="41">
        <v>65</v>
      </c>
      <c r="L1005" s="41">
        <v>50524955</v>
      </c>
      <c r="M1005" s="41"/>
    </row>
    <row r="1006" spans="1:13">
      <c r="A1006" s="10">
        <v>62052</v>
      </c>
      <c r="B1006" s="1">
        <v>2</v>
      </c>
      <c r="C1006" s="2">
        <v>658000</v>
      </c>
      <c r="D1006" s="41"/>
      <c r="J1006" s="39">
        <v>12333670</v>
      </c>
      <c r="K1006" s="41">
        <v>5</v>
      </c>
      <c r="L1006" s="41">
        <v>1992000</v>
      </c>
      <c r="M1006" s="41"/>
    </row>
    <row r="1007" spans="1:13">
      <c r="A1007" s="10">
        <v>540749</v>
      </c>
      <c r="B1007" s="1" t="s">
        <v>1073</v>
      </c>
      <c r="C1007" s="1" t="s">
        <v>1073</v>
      </c>
      <c r="D1007" s="41"/>
      <c r="J1007" s="39">
        <v>127223</v>
      </c>
      <c r="K1007" s="41">
        <v>0</v>
      </c>
      <c r="L1007" s="41">
        <v>1200000</v>
      </c>
      <c r="M1007" s="41"/>
    </row>
    <row r="1008" spans="1:13">
      <c r="A1008" s="10">
        <v>527203</v>
      </c>
      <c r="B1008" s="1">
        <v>1</v>
      </c>
      <c r="C1008" s="3">
        <v>279000</v>
      </c>
      <c r="D1008" s="41"/>
      <c r="J1008" s="39">
        <v>13547</v>
      </c>
      <c r="K1008" s="41">
        <v>3</v>
      </c>
      <c r="L1008" s="41">
        <v>3650000</v>
      </c>
      <c r="M1008" s="41"/>
    </row>
    <row r="1009" spans="1:13">
      <c r="A1009" s="10">
        <v>510053</v>
      </c>
      <c r="B1009" s="1" t="s">
        <v>1073</v>
      </c>
      <c r="C1009" s="3">
        <v>200000</v>
      </c>
      <c r="D1009" s="41"/>
      <c r="J1009" s="39">
        <v>199037</v>
      </c>
      <c r="K1009" s="41">
        <v>3</v>
      </c>
      <c r="L1009" s="41">
        <v>3300000</v>
      </c>
      <c r="M1009" s="41"/>
    </row>
    <row r="1010" spans="1:13">
      <c r="A1010" s="10">
        <v>571604</v>
      </c>
      <c r="B1010" s="1" t="s">
        <v>1073</v>
      </c>
      <c r="C1010" s="1" t="s">
        <v>1073</v>
      </c>
      <c r="D1010" s="41"/>
      <c r="J1010" s="39">
        <v>199253</v>
      </c>
      <c r="K1010" s="41">
        <v>3</v>
      </c>
      <c r="L1010" s="41">
        <v>1763000</v>
      </c>
      <c r="M1010" s="41"/>
    </row>
    <row r="1011" spans="1:13">
      <c r="A1011" s="10">
        <v>12296817</v>
      </c>
      <c r="B1011" s="1" t="s">
        <v>1073</v>
      </c>
      <c r="C1011" s="1" t="s">
        <v>1073</v>
      </c>
      <c r="D1011" s="41"/>
      <c r="J1011" s="39">
        <v>199257</v>
      </c>
      <c r="K1011" s="41">
        <v>3</v>
      </c>
      <c r="L1011" s="41">
        <v>3100000</v>
      </c>
      <c r="M1011" s="41"/>
    </row>
    <row r="1012" spans="1:13">
      <c r="A1012" s="10">
        <v>514233</v>
      </c>
      <c r="B1012" s="1">
        <v>3</v>
      </c>
      <c r="C1012" s="1" t="s">
        <v>1073</v>
      </c>
      <c r="D1012" s="41"/>
      <c r="J1012" s="39">
        <v>199290</v>
      </c>
      <c r="K1012" s="41">
        <v>88</v>
      </c>
      <c r="L1012" s="41">
        <v>1300000</v>
      </c>
      <c r="M1012" s="41"/>
    </row>
    <row r="1013" spans="1:13">
      <c r="A1013" s="10">
        <v>453185</v>
      </c>
      <c r="B1013" s="1" t="s">
        <v>1073</v>
      </c>
      <c r="C1013" s="2">
        <v>2500000</v>
      </c>
      <c r="D1013" s="41"/>
      <c r="J1013" s="39">
        <v>199313</v>
      </c>
      <c r="K1013" s="41">
        <v>3</v>
      </c>
      <c r="L1013" s="41">
        <v>1000000</v>
      </c>
      <c r="M1013" s="41"/>
    </row>
    <row r="1014" spans="1:13">
      <c r="A1014" s="10">
        <v>549031</v>
      </c>
      <c r="B1014" s="1" t="s">
        <v>1073</v>
      </c>
      <c r="C1014" s="1" t="s">
        <v>1073</v>
      </c>
      <c r="D1014" s="41"/>
      <c r="J1014" s="39">
        <v>2083</v>
      </c>
      <c r="K1014" s="41">
        <v>4</v>
      </c>
      <c r="L1014" s="41">
        <v>1837000</v>
      </c>
      <c r="M1014" s="41"/>
    </row>
    <row r="1015" spans="1:13">
      <c r="A1015" s="10">
        <v>62229</v>
      </c>
      <c r="B1015" s="1">
        <v>1</v>
      </c>
      <c r="C1015" s="2">
        <v>1000000</v>
      </c>
      <c r="D1015" s="41"/>
      <c r="J1015" s="39">
        <v>211807</v>
      </c>
      <c r="K1015" s="41">
        <v>4</v>
      </c>
      <c r="L1015" s="41">
        <v>2087000</v>
      </c>
      <c r="M1015" s="41"/>
    </row>
    <row r="1016" spans="1:13">
      <c r="A1016" s="10">
        <v>62307</v>
      </c>
      <c r="B1016" s="1" t="s">
        <v>1073</v>
      </c>
      <c r="C1016" s="2">
        <v>2300000</v>
      </c>
      <c r="D1016" s="41"/>
      <c r="J1016" s="39">
        <v>211822</v>
      </c>
      <c r="K1016" s="41">
        <v>3</v>
      </c>
      <c r="L1016" s="41">
        <v>240000</v>
      </c>
      <c r="M1016" s="41"/>
    </row>
    <row r="1017" spans="1:13">
      <c r="A1017" s="10">
        <v>412232</v>
      </c>
      <c r="B1017" s="1" t="s">
        <v>1073</v>
      </c>
      <c r="C1017" s="2">
        <v>2000000</v>
      </c>
      <c r="D1017" s="41"/>
      <c r="J1017" s="39">
        <v>211823</v>
      </c>
      <c r="K1017" s="41">
        <v>0</v>
      </c>
      <c r="L1017" s="41">
        <v>0</v>
      </c>
      <c r="M1017" s="41"/>
    </row>
    <row r="1018" spans="1:13">
      <c r="A1018" s="10">
        <v>12295717</v>
      </c>
      <c r="B1018" s="1" t="s">
        <v>1073</v>
      </c>
      <c r="C1018" s="1" t="s">
        <v>1073</v>
      </c>
      <c r="D1018" s="41"/>
      <c r="J1018" s="39">
        <v>219074</v>
      </c>
      <c r="K1018" s="41">
        <v>14</v>
      </c>
      <c r="L1018" s="41">
        <v>6858000</v>
      </c>
      <c r="M1018" s="41"/>
    </row>
    <row r="1019" spans="1:13">
      <c r="A1019" s="10">
        <v>562928</v>
      </c>
      <c r="B1019" s="1" t="s">
        <v>1073</v>
      </c>
      <c r="C1019" s="2">
        <v>300000</v>
      </c>
      <c r="D1019" s="41"/>
      <c r="J1019" s="39">
        <v>222820</v>
      </c>
      <c r="K1019" s="41">
        <v>3</v>
      </c>
      <c r="L1019" s="41">
        <v>700000</v>
      </c>
      <c r="M1019" s="41"/>
    </row>
    <row r="1020" spans="1:13">
      <c r="A1020" s="10">
        <v>242231</v>
      </c>
      <c r="B1020" s="1" t="s">
        <v>1073</v>
      </c>
      <c r="C1020" s="1" t="s">
        <v>1073</v>
      </c>
      <c r="D1020" s="41"/>
      <c r="J1020" s="39">
        <v>229775</v>
      </c>
      <c r="K1020" s="41">
        <v>5</v>
      </c>
      <c r="L1020" s="41">
        <v>3237000</v>
      </c>
      <c r="M1020" s="41"/>
    </row>
    <row r="1021" spans="1:13">
      <c r="A1021" s="10">
        <v>512469</v>
      </c>
      <c r="B1021" s="1" t="s">
        <v>1073</v>
      </c>
      <c r="C1021" s="2">
        <v>600000</v>
      </c>
      <c r="D1021" s="41"/>
      <c r="J1021" s="39">
        <v>231115</v>
      </c>
      <c r="K1021" s="41">
        <v>4</v>
      </c>
      <c r="L1021" s="41">
        <v>3029000</v>
      </c>
      <c r="M1021" s="41"/>
    </row>
    <row r="1022" spans="1:13">
      <c r="A1022" s="10">
        <v>401367</v>
      </c>
      <c r="B1022" s="1">
        <v>1</v>
      </c>
      <c r="C1022" s="2">
        <v>1620000</v>
      </c>
      <c r="D1022" s="41"/>
      <c r="J1022" s="39">
        <v>236975</v>
      </c>
      <c r="K1022" s="41">
        <v>4</v>
      </c>
      <c r="L1022" s="41">
        <v>300000</v>
      </c>
      <c r="M1022" s="41"/>
    </row>
    <row r="1023" spans="1:13">
      <c r="A1023" s="10">
        <v>61564</v>
      </c>
      <c r="B1023" s="1">
        <v>2</v>
      </c>
      <c r="C1023" s="2">
        <v>3525248</v>
      </c>
      <c r="D1023" s="41"/>
      <c r="J1023" s="39">
        <v>238719</v>
      </c>
      <c r="K1023" s="41">
        <v>47</v>
      </c>
      <c r="L1023" s="41">
        <v>7461500</v>
      </c>
      <c r="M1023" s="41"/>
    </row>
    <row r="1024" spans="1:13">
      <c r="A1024" s="10">
        <v>61561</v>
      </c>
      <c r="B1024" s="1">
        <v>7</v>
      </c>
      <c r="C1024" s="2">
        <v>7448983</v>
      </c>
      <c r="D1024" s="41"/>
      <c r="J1024" s="39">
        <v>243536</v>
      </c>
      <c r="K1024" s="41">
        <v>4</v>
      </c>
      <c r="L1024" s="41">
        <v>0</v>
      </c>
      <c r="M1024" s="41"/>
    </row>
    <row r="1025" spans="1:13">
      <c r="A1025" s="10">
        <v>12295986</v>
      </c>
      <c r="B1025" s="1" t="s">
        <v>1073</v>
      </c>
      <c r="C1025" s="2">
        <v>900000</v>
      </c>
      <c r="D1025" s="41"/>
      <c r="J1025" s="39">
        <v>249761</v>
      </c>
      <c r="K1025" s="41">
        <v>2</v>
      </c>
      <c r="L1025" s="41">
        <v>2000000</v>
      </c>
      <c r="M1025" s="41"/>
    </row>
    <row r="1026" spans="1:13">
      <c r="A1026" s="10">
        <v>12320371</v>
      </c>
      <c r="B1026" s="1" t="s">
        <v>1073</v>
      </c>
      <c r="C1026" s="3">
        <v>150000</v>
      </c>
      <c r="D1026" s="41"/>
      <c r="J1026" s="39">
        <v>272816</v>
      </c>
      <c r="K1026" s="41">
        <v>8</v>
      </c>
      <c r="L1026" s="41">
        <v>9087000</v>
      </c>
      <c r="M1026" s="41"/>
    </row>
    <row r="1027" spans="1:13">
      <c r="A1027" s="10">
        <v>244995</v>
      </c>
      <c r="B1027" s="1">
        <v>4</v>
      </c>
      <c r="C1027" s="2">
        <v>616000</v>
      </c>
      <c r="D1027" s="41"/>
      <c r="J1027" s="39">
        <v>277093</v>
      </c>
      <c r="K1027" s="41">
        <v>3</v>
      </c>
      <c r="L1027" s="41">
        <v>1500000</v>
      </c>
      <c r="M1027" s="41"/>
    </row>
    <row r="1028" spans="1:13">
      <c r="A1028" s="10">
        <v>12330562</v>
      </c>
      <c r="B1028" s="1">
        <v>1</v>
      </c>
      <c r="C1028" s="3">
        <v>50000</v>
      </c>
      <c r="D1028" s="41"/>
      <c r="J1028" s="39">
        <v>291861</v>
      </c>
      <c r="K1028" s="41">
        <v>5</v>
      </c>
      <c r="L1028" s="41">
        <v>1833000</v>
      </c>
      <c r="M1028" s="41"/>
    </row>
    <row r="1029" spans="1:13">
      <c r="A1029" s="10">
        <v>224007</v>
      </c>
      <c r="B1029" s="1" t="s">
        <v>1073</v>
      </c>
      <c r="C1029" s="2">
        <v>1850000</v>
      </c>
      <c r="D1029" s="41"/>
      <c r="J1029" s="39">
        <v>3088</v>
      </c>
      <c r="K1029" s="41">
        <v>0</v>
      </c>
      <c r="L1029" s="41">
        <v>500000</v>
      </c>
      <c r="M1029" s="41"/>
    </row>
    <row r="1030" spans="1:13">
      <c r="A1030" s="10">
        <v>562050</v>
      </c>
      <c r="B1030" s="1" t="s">
        <v>1073</v>
      </c>
      <c r="C1030" s="1" t="s">
        <v>1073</v>
      </c>
      <c r="D1030" s="41"/>
      <c r="J1030" s="39">
        <v>314806</v>
      </c>
      <c r="K1030" s="41">
        <v>3</v>
      </c>
      <c r="L1030" s="41">
        <v>1300000</v>
      </c>
      <c r="M1030" s="41"/>
    </row>
    <row r="1031" spans="1:13">
      <c r="A1031" s="10">
        <v>61664</v>
      </c>
      <c r="B1031" s="1" t="s">
        <v>1073</v>
      </c>
      <c r="C1031" s="2">
        <v>5100000</v>
      </c>
      <c r="D1031" s="41"/>
      <c r="J1031" s="39">
        <v>342770</v>
      </c>
      <c r="K1031" s="41">
        <v>2</v>
      </c>
      <c r="L1031" s="41">
        <v>0</v>
      </c>
      <c r="M1031" s="41"/>
    </row>
    <row r="1032" spans="1:13">
      <c r="A1032" s="10">
        <v>523919</v>
      </c>
      <c r="B1032" s="1">
        <v>3</v>
      </c>
      <c r="C1032" s="1" t="s">
        <v>1073</v>
      </c>
      <c r="D1032" s="41"/>
      <c r="J1032" s="39">
        <v>347832</v>
      </c>
      <c r="K1032" s="41">
        <v>3</v>
      </c>
      <c r="L1032" s="41">
        <v>387000</v>
      </c>
      <c r="M1032" s="41"/>
    </row>
    <row r="1033" spans="1:13">
      <c r="A1033" s="10">
        <v>3135</v>
      </c>
      <c r="B1033" s="1" t="s">
        <v>1073</v>
      </c>
      <c r="C1033" s="2">
        <v>44500000</v>
      </c>
      <c r="D1033" s="41"/>
      <c r="J1033" s="39">
        <v>357812</v>
      </c>
      <c r="K1033" s="41">
        <v>19</v>
      </c>
      <c r="L1033" s="41">
        <v>3000000</v>
      </c>
      <c r="M1033" s="41"/>
    </row>
    <row r="1034" spans="1:13">
      <c r="A1034" s="10">
        <v>12323463</v>
      </c>
      <c r="B1034" s="1">
        <v>13</v>
      </c>
      <c r="C1034" s="2">
        <v>804000</v>
      </c>
      <c r="D1034" s="41"/>
      <c r="J1034" s="39">
        <v>366720</v>
      </c>
      <c r="K1034" s="41">
        <v>3</v>
      </c>
      <c r="L1034" s="41">
        <v>3500000</v>
      </c>
      <c r="M1034" s="41"/>
    </row>
    <row r="1035" spans="1:13">
      <c r="A1035" s="10">
        <v>12300575</v>
      </c>
      <c r="B1035" s="1" t="s">
        <v>1073</v>
      </c>
      <c r="C1035" s="1" t="s">
        <v>1073</v>
      </c>
      <c r="D1035" s="41"/>
      <c r="J1035" s="39">
        <v>366777</v>
      </c>
      <c r="K1035" s="41">
        <v>1</v>
      </c>
      <c r="L1035" s="41">
        <v>12498000</v>
      </c>
      <c r="M1035" s="41"/>
    </row>
    <row r="1036" spans="1:13">
      <c r="A1036" s="10">
        <v>524281</v>
      </c>
      <c r="B1036" s="1" t="s">
        <v>1073</v>
      </c>
      <c r="C1036" s="1" t="s">
        <v>1073</v>
      </c>
      <c r="D1036" s="41"/>
      <c r="J1036" s="39">
        <v>392373</v>
      </c>
      <c r="K1036" s="41">
        <v>2</v>
      </c>
      <c r="L1036" s="41">
        <v>200000</v>
      </c>
      <c r="M1036" s="41"/>
    </row>
    <row r="1037" spans="1:13">
      <c r="A1037" s="10">
        <v>67028</v>
      </c>
      <c r="B1037" s="1">
        <v>7</v>
      </c>
      <c r="C1037" s="2">
        <v>703000</v>
      </c>
      <c r="D1037" s="41"/>
      <c r="J1037" s="39">
        <v>475859</v>
      </c>
      <c r="K1037" s="41">
        <v>3</v>
      </c>
      <c r="L1037" s="41">
        <v>800000</v>
      </c>
      <c r="M1037" s="41"/>
    </row>
    <row r="1038" spans="1:13">
      <c r="A1038" s="10">
        <v>270056</v>
      </c>
      <c r="B1038" s="1" t="s">
        <v>1073</v>
      </c>
      <c r="C1038" s="2">
        <v>2000000</v>
      </c>
      <c r="D1038" s="41"/>
      <c r="J1038" s="39">
        <v>478963</v>
      </c>
      <c r="K1038" s="41">
        <v>3</v>
      </c>
      <c r="L1038" s="41">
        <v>200000</v>
      </c>
      <c r="M1038" s="41"/>
    </row>
    <row r="1039" spans="1:13">
      <c r="A1039" s="10">
        <v>12296815</v>
      </c>
      <c r="B1039" s="1" t="s">
        <v>1073</v>
      </c>
      <c r="C1039" s="1" t="s">
        <v>1073</v>
      </c>
      <c r="D1039" s="41"/>
      <c r="J1039" s="39">
        <v>478964</v>
      </c>
      <c r="K1039" s="41">
        <v>2</v>
      </c>
      <c r="L1039" s="41">
        <v>2750000</v>
      </c>
      <c r="M1039" s="41"/>
    </row>
    <row r="1040" spans="1:13">
      <c r="A1040" s="10">
        <v>305020</v>
      </c>
      <c r="B1040" s="1" t="s">
        <v>1073</v>
      </c>
      <c r="C1040" s="3">
        <v>200000</v>
      </c>
      <c r="D1040" s="41"/>
      <c r="J1040" s="39">
        <v>521231</v>
      </c>
      <c r="K1040" s="41">
        <v>22</v>
      </c>
      <c r="L1040" s="41">
        <v>2310000</v>
      </c>
      <c r="M1040" s="41"/>
    </row>
    <row r="1041" spans="1:13">
      <c r="A1041" s="10">
        <v>556459</v>
      </c>
      <c r="B1041" s="1" t="s">
        <v>1073</v>
      </c>
      <c r="C1041" s="2">
        <v>2500000</v>
      </c>
      <c r="D1041" s="41"/>
      <c r="J1041" s="39">
        <v>521465</v>
      </c>
      <c r="K1041" s="41">
        <v>0</v>
      </c>
      <c r="L1041" s="41">
        <v>3360000</v>
      </c>
      <c r="M1041" s="41"/>
    </row>
    <row r="1042" spans="1:13">
      <c r="A1042" s="10">
        <v>62130</v>
      </c>
      <c r="B1042" s="1" t="s">
        <v>1073</v>
      </c>
      <c r="C1042" s="2">
        <v>1500000</v>
      </c>
      <c r="D1042" s="41"/>
      <c r="J1042" s="39">
        <v>527199</v>
      </c>
      <c r="K1042" s="41">
        <v>14</v>
      </c>
      <c r="L1042" s="41">
        <v>47157808</v>
      </c>
      <c r="M1042" s="41"/>
    </row>
    <row r="1043" spans="1:13">
      <c r="A1043" s="10">
        <v>579337</v>
      </c>
      <c r="B1043" s="1">
        <v>1</v>
      </c>
      <c r="C1043" s="2">
        <v>929000</v>
      </c>
      <c r="D1043" s="41"/>
      <c r="J1043" s="39">
        <v>545391</v>
      </c>
      <c r="K1043" s="41">
        <v>85</v>
      </c>
      <c r="L1043" s="41">
        <v>7004500</v>
      </c>
      <c r="M1043" s="41"/>
    </row>
    <row r="1044" spans="1:13">
      <c r="A1044" s="10">
        <v>328295</v>
      </c>
      <c r="B1044" s="1" t="s">
        <v>1073</v>
      </c>
      <c r="C1044" s="2">
        <v>1400000</v>
      </c>
      <c r="D1044" s="41"/>
      <c r="J1044" s="39">
        <v>574426</v>
      </c>
      <c r="K1044" s="41">
        <v>2</v>
      </c>
      <c r="L1044" s="41">
        <v>494000</v>
      </c>
      <c r="M1044" s="41"/>
    </row>
    <row r="1045" spans="1:13">
      <c r="A1045" s="10">
        <v>12299382</v>
      </c>
      <c r="B1045" s="1" t="s">
        <v>1073</v>
      </c>
      <c r="C1045" s="3">
        <v>50000</v>
      </c>
      <c r="D1045" s="41"/>
      <c r="J1045" s="39">
        <v>61841</v>
      </c>
      <c r="K1045" s="41">
        <v>6</v>
      </c>
      <c r="L1045" s="41">
        <v>1403000</v>
      </c>
      <c r="M1045" s="41"/>
    </row>
    <row r="1046" spans="1:13">
      <c r="A1046" s="10">
        <v>243187</v>
      </c>
      <c r="B1046" s="1" t="s">
        <v>1073</v>
      </c>
      <c r="C1046" s="1" t="s">
        <v>1073</v>
      </c>
      <c r="D1046" s="41"/>
      <c r="J1046" s="39">
        <v>61846</v>
      </c>
      <c r="K1046" s="41">
        <v>4</v>
      </c>
      <c r="L1046" s="41">
        <v>250000</v>
      </c>
      <c r="M1046" s="41"/>
    </row>
    <row r="1047" spans="1:13">
      <c r="A1047" s="10">
        <v>562457</v>
      </c>
      <c r="B1047" s="1" t="s">
        <v>1073</v>
      </c>
      <c r="C1047" s="2">
        <v>1000000</v>
      </c>
      <c r="D1047" s="41"/>
      <c r="J1047" s="39">
        <v>67321</v>
      </c>
      <c r="K1047" s="41">
        <v>0</v>
      </c>
      <c r="L1047" s="41">
        <v>3210000</v>
      </c>
      <c r="M1047" s="41"/>
    </row>
    <row r="1048" spans="1:13">
      <c r="A1048" s="10">
        <v>12302808</v>
      </c>
      <c r="B1048" s="1" t="s">
        <v>1073</v>
      </c>
      <c r="C1048" s="1" t="s">
        <v>1073</v>
      </c>
      <c r="D1048" s="41"/>
      <c r="J1048" s="39">
        <v>7567</v>
      </c>
      <c r="K1048" s="41">
        <v>1</v>
      </c>
      <c r="L1048" s="41">
        <v>600000</v>
      </c>
      <c r="M1048" s="41"/>
    </row>
    <row r="1049" spans="1:13">
      <c r="A1049" s="10">
        <v>542823</v>
      </c>
      <c r="B1049" s="1">
        <v>3</v>
      </c>
      <c r="C1049" s="2">
        <v>550000</v>
      </c>
      <c r="D1049" s="41"/>
      <c r="J1049" s="39">
        <v>12294838</v>
      </c>
      <c r="K1049" s="41">
        <v>136</v>
      </c>
      <c r="L1049" s="41">
        <v>249000</v>
      </c>
      <c r="M1049" s="41"/>
    </row>
    <row r="1050" spans="1:13">
      <c r="A1050" s="10">
        <v>199253</v>
      </c>
      <c r="B1050" s="1" t="s">
        <v>1073</v>
      </c>
      <c r="C1050" s="2">
        <v>400000</v>
      </c>
      <c r="D1050" s="41"/>
      <c r="J1050" s="39">
        <v>12296482</v>
      </c>
      <c r="K1050" s="41">
        <v>0</v>
      </c>
      <c r="L1050" s="41">
        <v>900000</v>
      </c>
      <c r="M1050" s="41"/>
    </row>
    <row r="1051" spans="1:13">
      <c r="A1051" s="10">
        <v>476211</v>
      </c>
      <c r="B1051" s="1" t="s">
        <v>1073</v>
      </c>
      <c r="C1051" s="1" t="s">
        <v>1073</v>
      </c>
      <c r="D1051" s="41"/>
      <c r="J1051" s="39">
        <v>12300470</v>
      </c>
      <c r="K1051" s="41">
        <v>3</v>
      </c>
      <c r="L1051" s="41">
        <v>1450000</v>
      </c>
      <c r="M1051" s="41"/>
    </row>
    <row r="1052" spans="1:13">
      <c r="A1052" s="10">
        <v>530345</v>
      </c>
      <c r="B1052" s="1" t="s">
        <v>1073</v>
      </c>
      <c r="C1052" s="2">
        <v>3000000</v>
      </c>
      <c r="D1052" s="41"/>
      <c r="J1052" s="39">
        <v>12320250</v>
      </c>
      <c r="K1052" s="41">
        <v>3</v>
      </c>
      <c r="L1052" s="41">
        <v>3550000</v>
      </c>
      <c r="M1052" s="41"/>
    </row>
    <row r="1053" spans="1:13">
      <c r="A1053" s="10">
        <v>458900</v>
      </c>
      <c r="B1053" s="1">
        <v>1</v>
      </c>
      <c r="C1053" s="2">
        <v>1900000</v>
      </c>
      <c r="D1053" s="41"/>
      <c r="J1053" s="39">
        <v>127220</v>
      </c>
      <c r="K1053" s="41">
        <v>0</v>
      </c>
      <c r="L1053" s="41">
        <v>400000</v>
      </c>
      <c r="M1053" s="41"/>
    </row>
    <row r="1054" spans="1:13">
      <c r="A1054" s="10">
        <v>283425</v>
      </c>
      <c r="B1054" s="1" t="s">
        <v>1073</v>
      </c>
      <c r="C1054" s="1" t="s">
        <v>1073</v>
      </c>
      <c r="D1054" s="41"/>
      <c r="J1054" s="39">
        <v>2109</v>
      </c>
      <c r="K1054" s="41">
        <v>3</v>
      </c>
      <c r="L1054" s="41">
        <v>1200000</v>
      </c>
      <c r="M1054" s="41"/>
    </row>
    <row r="1055" spans="1:13">
      <c r="A1055" s="10">
        <v>402298</v>
      </c>
      <c r="B1055" s="1" t="s">
        <v>1073</v>
      </c>
      <c r="C1055" s="1" t="s">
        <v>1073</v>
      </c>
      <c r="D1055" s="41"/>
      <c r="J1055" s="39">
        <v>2201</v>
      </c>
      <c r="K1055" s="41">
        <v>2</v>
      </c>
      <c r="L1055" s="41">
        <v>13050000</v>
      </c>
      <c r="M1055" s="41"/>
    </row>
    <row r="1056" spans="1:13">
      <c r="A1056" s="10">
        <v>384508</v>
      </c>
      <c r="B1056" s="1" t="s">
        <v>1073</v>
      </c>
      <c r="C1056" s="2">
        <v>950000</v>
      </c>
      <c r="D1056" s="41"/>
      <c r="J1056" s="39">
        <v>229466</v>
      </c>
      <c r="K1056" s="41">
        <v>5</v>
      </c>
      <c r="L1056" s="41">
        <v>21072715</v>
      </c>
      <c r="M1056" s="41"/>
    </row>
    <row r="1057" spans="1:13">
      <c r="A1057" s="10">
        <v>211660</v>
      </c>
      <c r="B1057" s="1" t="s">
        <v>1073</v>
      </c>
      <c r="C1057" s="2">
        <v>300000</v>
      </c>
      <c r="D1057" s="41"/>
      <c r="J1057" s="39">
        <v>238637</v>
      </c>
      <c r="K1057" s="41">
        <v>2</v>
      </c>
      <c r="L1057" s="41">
        <v>300000</v>
      </c>
      <c r="M1057" s="41"/>
    </row>
    <row r="1058" spans="1:13">
      <c r="A1058" s="10">
        <v>512770</v>
      </c>
      <c r="B1058" s="1" t="s">
        <v>1073</v>
      </c>
      <c r="C1058" s="1" t="s">
        <v>1073</v>
      </c>
      <c r="D1058" s="41"/>
      <c r="J1058" s="39">
        <v>264010</v>
      </c>
      <c r="K1058" s="41">
        <v>3</v>
      </c>
      <c r="L1058" s="41">
        <v>300000</v>
      </c>
      <c r="M1058" s="41"/>
    </row>
    <row r="1059" spans="1:13">
      <c r="A1059" s="10">
        <v>476239</v>
      </c>
      <c r="B1059" s="1" t="s">
        <v>1073</v>
      </c>
      <c r="C1059" s="1" t="s">
        <v>1073</v>
      </c>
      <c r="D1059" s="41"/>
      <c r="J1059" s="39">
        <v>265466</v>
      </c>
      <c r="K1059" s="41">
        <v>20</v>
      </c>
      <c r="L1059" s="41">
        <v>301000</v>
      </c>
      <c r="M1059" s="41"/>
    </row>
    <row r="1060" spans="1:13">
      <c r="A1060" s="10">
        <v>222817</v>
      </c>
      <c r="B1060" s="1">
        <v>6</v>
      </c>
      <c r="C1060" s="3">
        <v>224000</v>
      </c>
      <c r="D1060" s="41"/>
      <c r="J1060" s="39">
        <v>275866</v>
      </c>
      <c r="K1060" s="41">
        <v>4</v>
      </c>
      <c r="L1060" s="41">
        <v>350000</v>
      </c>
      <c r="M1060" s="41"/>
    </row>
    <row r="1061" spans="1:13">
      <c r="A1061" s="10">
        <v>475859</v>
      </c>
      <c r="B1061" s="1" t="s">
        <v>1073</v>
      </c>
      <c r="C1061" s="2">
        <v>300000</v>
      </c>
      <c r="D1061" s="41"/>
      <c r="J1061" s="39">
        <v>278868</v>
      </c>
      <c r="K1061" s="41">
        <v>1</v>
      </c>
      <c r="L1061" s="41">
        <v>100000</v>
      </c>
      <c r="M1061" s="41"/>
    </row>
    <row r="1062" spans="1:13">
      <c r="A1062" s="10">
        <v>282319</v>
      </c>
      <c r="B1062" s="1">
        <v>3</v>
      </c>
      <c r="C1062" s="2">
        <v>500000</v>
      </c>
      <c r="D1062" s="41"/>
      <c r="J1062" s="39">
        <v>3060</v>
      </c>
      <c r="K1062" s="41">
        <v>3</v>
      </c>
      <c r="L1062" s="41">
        <v>600000</v>
      </c>
      <c r="M1062" s="41"/>
    </row>
    <row r="1063" spans="1:13">
      <c r="A1063" s="10">
        <v>2815</v>
      </c>
      <c r="B1063" s="1" t="s">
        <v>1073</v>
      </c>
      <c r="C1063" s="3">
        <v>200000</v>
      </c>
      <c r="D1063" s="41"/>
      <c r="J1063" s="39">
        <v>311868</v>
      </c>
      <c r="K1063" s="41">
        <v>3</v>
      </c>
      <c r="L1063" s="41">
        <v>600000</v>
      </c>
      <c r="M1063" s="41"/>
    </row>
    <row r="1064" spans="1:13">
      <c r="A1064" s="10">
        <v>265677</v>
      </c>
      <c r="B1064" s="1" t="s">
        <v>1073</v>
      </c>
      <c r="C1064" s="2">
        <v>300000</v>
      </c>
      <c r="D1064" s="41"/>
      <c r="J1064" s="39">
        <v>312931</v>
      </c>
      <c r="K1064" s="41">
        <v>0</v>
      </c>
      <c r="L1064" s="41">
        <v>0</v>
      </c>
      <c r="M1064" s="41"/>
    </row>
    <row r="1065" spans="1:13">
      <c r="A1065" s="10">
        <v>261870</v>
      </c>
      <c r="B1065" s="1">
        <v>3</v>
      </c>
      <c r="C1065" s="3">
        <v>287000</v>
      </c>
      <c r="D1065" s="41"/>
      <c r="J1065" s="39">
        <v>317775</v>
      </c>
      <c r="K1065" s="41">
        <v>4</v>
      </c>
      <c r="L1065" s="41">
        <v>300000</v>
      </c>
      <c r="M1065" s="41"/>
    </row>
    <row r="1066" spans="1:13">
      <c r="A1066" s="10">
        <v>576113</v>
      </c>
      <c r="B1066" s="1" t="s">
        <v>1073</v>
      </c>
      <c r="C1066" s="3">
        <v>100000</v>
      </c>
      <c r="D1066" s="41"/>
      <c r="J1066" s="39">
        <v>355431</v>
      </c>
      <c r="K1066" s="41">
        <v>3</v>
      </c>
      <c r="L1066" s="41">
        <v>600000</v>
      </c>
      <c r="M1066" s="41"/>
    </row>
    <row r="1067" spans="1:13">
      <c r="A1067" s="10">
        <v>12296327</v>
      </c>
      <c r="B1067" s="1" t="s">
        <v>1073</v>
      </c>
      <c r="C1067" s="1" t="s">
        <v>1073</v>
      </c>
      <c r="D1067" s="41"/>
      <c r="J1067" s="39">
        <v>369696</v>
      </c>
      <c r="K1067" s="41">
        <v>91</v>
      </c>
      <c r="L1067" s="41">
        <v>8373000</v>
      </c>
      <c r="M1067" s="41"/>
    </row>
    <row r="1068" spans="1:13">
      <c r="A1068" s="10">
        <v>413177</v>
      </c>
      <c r="B1068" s="1" t="s">
        <v>1073</v>
      </c>
      <c r="C1068" s="1" t="s">
        <v>1073</v>
      </c>
      <c r="D1068" s="41"/>
      <c r="J1068" s="39">
        <v>409595</v>
      </c>
      <c r="K1068" s="41">
        <v>3</v>
      </c>
      <c r="L1068" s="41">
        <v>50000</v>
      </c>
      <c r="M1068" s="41"/>
    </row>
    <row r="1069" spans="1:13">
      <c r="A1069" s="10">
        <v>527199</v>
      </c>
      <c r="B1069" s="1" t="s">
        <v>1073</v>
      </c>
      <c r="C1069" s="2">
        <v>15125000</v>
      </c>
      <c r="D1069" s="41"/>
      <c r="J1069" s="39">
        <v>445499</v>
      </c>
      <c r="K1069" s="41">
        <v>15</v>
      </c>
      <c r="L1069" s="41">
        <v>9655000</v>
      </c>
      <c r="M1069" s="41"/>
    </row>
    <row r="1070" spans="1:13">
      <c r="A1070" s="10">
        <v>214353</v>
      </c>
      <c r="B1070" s="1" t="s">
        <v>1073</v>
      </c>
      <c r="C1070" s="1" t="s">
        <v>1073</v>
      </c>
      <c r="D1070" s="41"/>
      <c r="J1070" s="39">
        <v>458917</v>
      </c>
      <c r="K1070" s="41">
        <v>1</v>
      </c>
      <c r="L1070" s="41">
        <v>1200000</v>
      </c>
      <c r="M1070" s="41"/>
    </row>
    <row r="1071" spans="1:13">
      <c r="A1071" s="10">
        <v>494952</v>
      </c>
      <c r="B1071" s="1" t="s">
        <v>1073</v>
      </c>
      <c r="C1071" s="2">
        <v>500000</v>
      </c>
      <c r="D1071" s="41"/>
      <c r="J1071" s="39">
        <v>489805</v>
      </c>
      <c r="K1071" s="41">
        <v>0</v>
      </c>
      <c r="L1071" s="41">
        <v>3400000</v>
      </c>
      <c r="M1071" s="41"/>
    </row>
    <row r="1072" spans="1:13">
      <c r="A1072" s="10">
        <v>385480</v>
      </c>
      <c r="B1072" s="1">
        <v>1</v>
      </c>
      <c r="C1072" s="2">
        <v>550000</v>
      </c>
      <c r="D1072" s="41"/>
      <c r="J1072" s="39">
        <v>509473</v>
      </c>
      <c r="K1072" s="41">
        <v>0</v>
      </c>
      <c r="L1072" s="41">
        <v>200000</v>
      </c>
      <c r="M1072" s="41"/>
    </row>
    <row r="1073" spans="1:13">
      <c r="A1073" s="10">
        <v>211677</v>
      </c>
      <c r="B1073" s="1" t="s">
        <v>1073</v>
      </c>
      <c r="C1073" s="1" t="s">
        <v>1073</v>
      </c>
      <c r="D1073" s="41"/>
      <c r="J1073" s="39">
        <v>512721</v>
      </c>
      <c r="K1073" s="41">
        <v>3</v>
      </c>
      <c r="L1073" s="41">
        <v>700000</v>
      </c>
      <c r="M1073" s="41"/>
    </row>
    <row r="1074" spans="1:13">
      <c r="A1074" s="10">
        <v>342829</v>
      </c>
      <c r="B1074" s="1" t="s">
        <v>1073</v>
      </c>
      <c r="C1074" s="2">
        <v>500000</v>
      </c>
      <c r="D1074" s="41"/>
      <c r="J1074" s="39">
        <v>530400</v>
      </c>
      <c r="K1074" s="41">
        <v>3</v>
      </c>
      <c r="L1074" s="41">
        <v>1500000</v>
      </c>
      <c r="M1074" s="41"/>
    </row>
    <row r="1075" spans="1:13">
      <c r="A1075" s="10">
        <v>12300221</v>
      </c>
      <c r="B1075" s="1">
        <v>17</v>
      </c>
      <c r="C1075" s="2">
        <v>1258000</v>
      </c>
      <c r="D1075" s="41"/>
      <c r="J1075" s="39">
        <v>532284</v>
      </c>
      <c r="K1075" s="41">
        <v>3</v>
      </c>
      <c r="L1075" s="41">
        <v>1800000</v>
      </c>
      <c r="M1075" s="41"/>
    </row>
    <row r="1076" spans="1:13">
      <c r="A1076" s="10">
        <v>548338</v>
      </c>
      <c r="B1076" s="1">
        <v>3</v>
      </c>
      <c r="C1076" s="2">
        <v>550000</v>
      </c>
      <c r="D1076" s="41"/>
      <c r="J1076" s="39">
        <v>538191</v>
      </c>
      <c r="K1076" s="41">
        <v>0</v>
      </c>
      <c r="L1076" s="41">
        <v>550000</v>
      </c>
      <c r="M1076" s="41"/>
    </row>
    <row r="1077" spans="1:13">
      <c r="A1077" s="10">
        <v>127187</v>
      </c>
      <c r="B1077" s="1" t="s">
        <v>1073</v>
      </c>
      <c r="C1077" s="2">
        <v>1500000</v>
      </c>
      <c r="D1077" s="41"/>
      <c r="J1077" s="39">
        <v>541874</v>
      </c>
      <c r="K1077" s="41">
        <v>3</v>
      </c>
      <c r="L1077" s="41">
        <v>10000000</v>
      </c>
      <c r="M1077" s="41"/>
    </row>
    <row r="1078" spans="1:13">
      <c r="A1078" s="10">
        <v>12322483</v>
      </c>
      <c r="B1078" s="1">
        <v>5</v>
      </c>
      <c r="C1078" s="1" t="s">
        <v>1073</v>
      </c>
      <c r="D1078" s="41"/>
      <c r="J1078" s="39">
        <v>544812</v>
      </c>
      <c r="K1078" s="41">
        <v>6</v>
      </c>
      <c r="L1078" s="41">
        <v>8300000</v>
      </c>
      <c r="M1078" s="41"/>
    </row>
    <row r="1079" spans="1:13">
      <c r="A1079" s="10">
        <v>274154</v>
      </c>
      <c r="B1079" s="1" t="s">
        <v>1073</v>
      </c>
      <c r="C1079" s="3">
        <v>200000</v>
      </c>
      <c r="D1079" s="41"/>
      <c r="J1079" s="39">
        <v>557423</v>
      </c>
      <c r="K1079" s="41">
        <v>3</v>
      </c>
      <c r="L1079" s="41">
        <v>1750000</v>
      </c>
      <c r="M1079" s="41"/>
    </row>
    <row r="1080" spans="1:13">
      <c r="A1080" s="10">
        <v>12295887</v>
      </c>
      <c r="B1080" s="1">
        <v>5</v>
      </c>
      <c r="C1080" s="3">
        <v>1000</v>
      </c>
      <c r="D1080" s="41"/>
      <c r="J1080" s="39">
        <v>560999</v>
      </c>
      <c r="K1080" s="41">
        <v>56</v>
      </c>
      <c r="L1080" s="41">
        <v>2490000</v>
      </c>
      <c r="M1080" s="41"/>
    </row>
    <row r="1081" spans="1:13">
      <c r="A1081" s="10">
        <v>366683</v>
      </c>
      <c r="B1081" s="1" t="s">
        <v>1073</v>
      </c>
      <c r="C1081" s="2">
        <v>1000000</v>
      </c>
      <c r="D1081" s="41"/>
      <c r="J1081" s="39">
        <v>575012</v>
      </c>
      <c r="K1081" s="41">
        <v>220</v>
      </c>
      <c r="L1081" s="41">
        <v>1200000</v>
      </c>
      <c r="M1081" s="41"/>
    </row>
    <row r="1082" spans="1:13">
      <c r="A1082" s="10">
        <v>524127</v>
      </c>
      <c r="B1082" s="1" t="s">
        <v>1073</v>
      </c>
      <c r="C1082" s="1" t="s">
        <v>1073</v>
      </c>
      <c r="D1082" s="41"/>
      <c r="J1082" s="39">
        <v>576113</v>
      </c>
      <c r="K1082" s="41">
        <v>4</v>
      </c>
      <c r="L1082" s="41">
        <v>0</v>
      </c>
      <c r="M1082" s="41"/>
    </row>
    <row r="1083" spans="1:13">
      <c r="A1083" s="10">
        <v>240043</v>
      </c>
      <c r="B1083" s="1" t="s">
        <v>1073</v>
      </c>
      <c r="C1083" s="2">
        <v>3300000</v>
      </c>
      <c r="D1083" s="41"/>
      <c r="J1083" s="39">
        <v>62062</v>
      </c>
      <c r="K1083" s="41">
        <v>4</v>
      </c>
      <c r="L1083" s="41">
        <v>100000</v>
      </c>
      <c r="M1083" s="41"/>
    </row>
    <row r="1084" spans="1:13">
      <c r="A1084" s="10">
        <v>390771</v>
      </c>
      <c r="B1084" s="1" t="s">
        <v>1073</v>
      </c>
      <c r="C1084" s="3">
        <v>250000</v>
      </c>
      <c r="D1084" s="41"/>
      <c r="J1084" s="39">
        <v>62152</v>
      </c>
      <c r="K1084" s="41">
        <v>3</v>
      </c>
      <c r="L1084" s="41">
        <v>87000</v>
      </c>
      <c r="M1084" s="41"/>
    </row>
    <row r="1085" spans="1:13">
      <c r="A1085" s="10">
        <v>404090</v>
      </c>
      <c r="B1085" s="1">
        <v>7</v>
      </c>
      <c r="C1085" s="2">
        <v>2158000</v>
      </c>
      <c r="D1085" s="41"/>
      <c r="J1085" s="39">
        <v>62307</v>
      </c>
      <c r="K1085" s="41">
        <v>6</v>
      </c>
      <c r="L1085" s="41">
        <v>7250000</v>
      </c>
      <c r="M1085" s="41"/>
    </row>
    <row r="1086" spans="1:13">
      <c r="A1086" s="10">
        <v>405188</v>
      </c>
      <c r="B1086" s="1">
        <v>3</v>
      </c>
      <c r="C1086" s="2">
        <v>2900000</v>
      </c>
      <c r="D1086" s="41"/>
      <c r="J1086" s="39" t="s">
        <v>758</v>
      </c>
      <c r="K1086" s="41">
        <v>3</v>
      </c>
      <c r="L1086" s="41">
        <v>187000</v>
      </c>
      <c r="M1086" s="41"/>
    </row>
    <row r="1087" spans="1:13">
      <c r="A1087" s="10">
        <v>2772</v>
      </c>
      <c r="B1087" s="1">
        <v>6</v>
      </c>
      <c r="C1087" s="2">
        <v>1916000</v>
      </c>
      <c r="D1087" s="41"/>
      <c r="J1087" s="39" t="s">
        <v>760</v>
      </c>
      <c r="K1087" s="41">
        <v>3</v>
      </c>
      <c r="L1087" s="41">
        <v>0</v>
      </c>
      <c r="M1087" s="41"/>
    </row>
    <row r="1088" spans="1:13">
      <c r="A1088" s="10">
        <v>352910</v>
      </c>
      <c r="B1088" s="1">
        <v>1</v>
      </c>
      <c r="C1088" s="3">
        <v>29000</v>
      </c>
      <c r="D1088" s="41"/>
      <c r="J1088" s="39" t="s">
        <v>761</v>
      </c>
      <c r="K1088" s="41">
        <v>28</v>
      </c>
      <c r="L1088" s="41">
        <v>1987000</v>
      </c>
      <c r="M1088" s="41"/>
    </row>
    <row r="1089" spans="1:13">
      <c r="A1089" s="10">
        <v>481857</v>
      </c>
      <c r="B1089" s="1" t="s">
        <v>1073</v>
      </c>
      <c r="C1089" s="1" t="s">
        <v>1073</v>
      </c>
      <c r="D1089" s="41"/>
      <c r="J1089" s="39">
        <v>10466</v>
      </c>
      <c r="K1089" s="41">
        <v>5</v>
      </c>
      <c r="L1089" s="41">
        <v>2565000</v>
      </c>
      <c r="M1089" s="41"/>
    </row>
    <row r="1090" spans="1:13">
      <c r="A1090" s="10">
        <v>282322</v>
      </c>
      <c r="B1090" s="1">
        <v>3</v>
      </c>
      <c r="C1090" s="2">
        <v>650000</v>
      </c>
      <c r="D1090" s="41"/>
      <c r="J1090" s="39">
        <v>12295592</v>
      </c>
      <c r="K1090" s="41">
        <v>16</v>
      </c>
      <c r="L1090" s="41">
        <v>3106000</v>
      </c>
      <c r="M1090" s="41"/>
    </row>
    <row r="1091" spans="1:13">
      <c r="A1091" s="10">
        <v>63897</v>
      </c>
      <c r="B1091" s="1">
        <v>3</v>
      </c>
      <c r="C1091" s="2">
        <v>300000</v>
      </c>
      <c r="D1091" s="41"/>
      <c r="J1091" s="39">
        <v>12295626</v>
      </c>
      <c r="K1091" s="41">
        <v>0</v>
      </c>
      <c r="L1091" s="41">
        <v>1000</v>
      </c>
      <c r="M1091" s="41"/>
    </row>
    <row r="1092" spans="1:13">
      <c r="A1092" s="10">
        <v>385457</v>
      </c>
      <c r="B1092" s="1" t="s">
        <v>1073</v>
      </c>
      <c r="C1092" s="2">
        <v>1005000</v>
      </c>
      <c r="D1092" s="41"/>
      <c r="J1092" s="39">
        <v>12295724</v>
      </c>
      <c r="K1092" s="41">
        <v>3</v>
      </c>
      <c r="L1092" s="41">
        <v>50000</v>
      </c>
      <c r="M1092" s="41"/>
    </row>
    <row r="1093" spans="1:13">
      <c r="A1093" s="10">
        <v>12325045</v>
      </c>
      <c r="B1093" s="1" t="s">
        <v>1073</v>
      </c>
      <c r="C1093" s="1" t="s">
        <v>1073</v>
      </c>
      <c r="D1093" s="41"/>
      <c r="J1093" s="39">
        <v>12295752</v>
      </c>
      <c r="K1093" s="41">
        <v>4</v>
      </c>
      <c r="L1093" s="41">
        <v>369000</v>
      </c>
      <c r="M1093" s="41"/>
    </row>
    <row r="1094" spans="1:13">
      <c r="A1094" s="10">
        <v>67321</v>
      </c>
      <c r="B1094" s="1" t="s">
        <v>1073</v>
      </c>
      <c r="C1094" s="2">
        <v>1160000</v>
      </c>
      <c r="D1094" s="41"/>
      <c r="J1094" s="39">
        <v>12295820</v>
      </c>
      <c r="K1094" s="41">
        <v>0</v>
      </c>
      <c r="L1094" s="41">
        <v>5300000</v>
      </c>
      <c r="M1094" s="41"/>
    </row>
    <row r="1095" spans="1:13">
      <c r="A1095" s="10">
        <v>249761</v>
      </c>
      <c r="B1095" s="1" t="s">
        <v>1073</v>
      </c>
      <c r="C1095" s="2">
        <v>1070000</v>
      </c>
      <c r="D1095" s="41"/>
      <c r="J1095" s="39">
        <v>12295826</v>
      </c>
      <c r="K1095" s="41">
        <v>3</v>
      </c>
      <c r="L1095" s="41">
        <v>1000</v>
      </c>
      <c r="M1095" s="41"/>
    </row>
    <row r="1096" spans="1:13">
      <c r="A1096" s="10">
        <v>12297174</v>
      </c>
      <c r="B1096" s="1" t="s">
        <v>1073</v>
      </c>
      <c r="C1096" s="1" t="s">
        <v>1073</v>
      </c>
      <c r="D1096" s="41"/>
      <c r="J1096" s="39">
        <v>12295833</v>
      </c>
      <c r="K1096" s="41">
        <v>3</v>
      </c>
      <c r="L1096" s="41">
        <v>1000</v>
      </c>
      <c r="M1096" s="41"/>
    </row>
    <row r="1097" spans="1:13">
      <c r="A1097" s="10">
        <v>366695</v>
      </c>
      <c r="B1097" s="1" t="s">
        <v>1073</v>
      </c>
      <c r="C1097" s="2">
        <v>1800000</v>
      </c>
      <c r="D1097" s="41"/>
      <c r="J1097" s="39">
        <v>12301356</v>
      </c>
      <c r="K1097" s="41">
        <v>10</v>
      </c>
      <c r="L1097" s="41">
        <v>2113700</v>
      </c>
      <c r="M1097" s="41"/>
    </row>
    <row r="1098" spans="1:13">
      <c r="A1098" s="10">
        <v>12323426</v>
      </c>
      <c r="B1098" s="1" t="s">
        <v>1073</v>
      </c>
      <c r="C1098" s="3">
        <v>250000</v>
      </c>
      <c r="D1098" s="41"/>
      <c r="J1098" s="39">
        <v>12323218</v>
      </c>
      <c r="K1098" s="41">
        <v>14</v>
      </c>
      <c r="L1098" s="41">
        <v>2049000</v>
      </c>
      <c r="M1098" s="41"/>
    </row>
    <row r="1099" spans="1:13">
      <c r="A1099" s="10">
        <v>115236</v>
      </c>
      <c r="B1099" s="1">
        <v>4</v>
      </c>
      <c r="C1099" s="2">
        <v>450000</v>
      </c>
      <c r="D1099" s="41"/>
      <c r="J1099" s="39">
        <v>12324647</v>
      </c>
      <c r="K1099" s="41">
        <v>3</v>
      </c>
      <c r="L1099" s="41">
        <v>1000</v>
      </c>
      <c r="M1099" s="41"/>
    </row>
    <row r="1100" spans="1:13">
      <c r="A1100" s="10">
        <v>562953</v>
      </c>
      <c r="B1100" s="1" t="s">
        <v>1073</v>
      </c>
      <c r="C1100" s="2">
        <v>1000000</v>
      </c>
      <c r="D1100" s="41"/>
      <c r="J1100" s="39">
        <v>12326118</v>
      </c>
      <c r="K1100" s="41">
        <v>18</v>
      </c>
      <c r="L1100" s="41">
        <v>16184800</v>
      </c>
      <c r="M1100" s="41"/>
    </row>
    <row r="1101" spans="1:13">
      <c r="A1101" s="10">
        <v>311868</v>
      </c>
      <c r="B1101" s="1" t="s">
        <v>1073</v>
      </c>
      <c r="C1101" s="3">
        <v>100000</v>
      </c>
      <c r="D1101" s="41"/>
      <c r="J1101" s="39">
        <v>12326313</v>
      </c>
      <c r="K1101" s="41">
        <v>31</v>
      </c>
      <c r="L1101" s="41">
        <v>13385200</v>
      </c>
      <c r="M1101" s="41"/>
    </row>
    <row r="1102" spans="1:13">
      <c r="A1102" s="10">
        <v>470054</v>
      </c>
      <c r="B1102" s="1" t="s">
        <v>1073</v>
      </c>
      <c r="C1102" s="3">
        <v>150000</v>
      </c>
      <c r="D1102" s="41"/>
      <c r="J1102" s="39">
        <v>12326533</v>
      </c>
      <c r="K1102" s="41">
        <v>3</v>
      </c>
      <c r="L1102" s="41">
        <v>2320600</v>
      </c>
      <c r="M1102" s="41"/>
    </row>
    <row r="1103" spans="1:13">
      <c r="A1103" s="10">
        <v>62205</v>
      </c>
      <c r="B1103" s="1">
        <v>6</v>
      </c>
      <c r="C1103" s="2">
        <v>4274000</v>
      </c>
      <c r="D1103" s="41"/>
      <c r="J1103" s="39">
        <v>12326920</v>
      </c>
      <c r="K1103" s="41">
        <v>5</v>
      </c>
      <c r="L1103" s="41">
        <v>29467500</v>
      </c>
      <c r="M1103" s="41"/>
    </row>
    <row r="1104" spans="1:13">
      <c r="A1104" s="10">
        <v>523430</v>
      </c>
      <c r="B1104" s="1" t="s">
        <v>1073</v>
      </c>
      <c r="C1104" s="2">
        <v>4800000</v>
      </c>
      <c r="D1104" s="41"/>
      <c r="J1104" s="39">
        <v>1661</v>
      </c>
      <c r="K1104" s="41">
        <v>6</v>
      </c>
      <c r="L1104" s="41">
        <v>1000</v>
      </c>
      <c r="M1104" s="41"/>
    </row>
    <row r="1105" spans="1:13">
      <c r="A1105" s="10">
        <v>525586</v>
      </c>
      <c r="B1105" s="1" t="s">
        <v>1073</v>
      </c>
      <c r="C1105" s="2">
        <v>847217</v>
      </c>
      <c r="D1105" s="41"/>
      <c r="J1105" s="39">
        <v>213944</v>
      </c>
      <c r="K1105" s="41">
        <v>3</v>
      </c>
      <c r="L1105" s="41">
        <v>2200000</v>
      </c>
      <c r="M1105" s="41"/>
    </row>
    <row r="1106" spans="1:13">
      <c r="A1106" s="10">
        <v>366549</v>
      </c>
      <c r="B1106" s="1" t="s">
        <v>1073</v>
      </c>
      <c r="C1106" s="2">
        <v>5221915</v>
      </c>
      <c r="D1106" s="41"/>
      <c r="J1106" s="39">
        <v>240048</v>
      </c>
      <c r="K1106" s="41">
        <v>15</v>
      </c>
      <c r="L1106" s="41">
        <v>400000</v>
      </c>
      <c r="M1106" s="41"/>
    </row>
    <row r="1107" spans="1:13">
      <c r="A1107" s="10">
        <v>240104</v>
      </c>
      <c r="B1107" s="1" t="s">
        <v>1073</v>
      </c>
      <c r="C1107" s="3">
        <v>200000</v>
      </c>
      <c r="D1107" s="41"/>
      <c r="J1107" s="39">
        <v>287403</v>
      </c>
      <c r="K1107" s="41">
        <v>4</v>
      </c>
      <c r="L1107" s="41">
        <v>2616600</v>
      </c>
      <c r="M1107" s="41"/>
    </row>
    <row r="1108" spans="1:13">
      <c r="A1108" s="10">
        <v>532284</v>
      </c>
      <c r="B1108" s="1" t="s">
        <v>1073</v>
      </c>
      <c r="C1108" s="2">
        <v>1700000</v>
      </c>
      <c r="D1108" s="41"/>
      <c r="J1108" s="39">
        <v>287622</v>
      </c>
      <c r="K1108" s="41">
        <v>5</v>
      </c>
      <c r="L1108" s="41">
        <v>2117000</v>
      </c>
      <c r="M1108" s="41"/>
    </row>
    <row r="1109" spans="1:13">
      <c r="A1109" s="10">
        <v>345691</v>
      </c>
      <c r="B1109" s="1" t="s">
        <v>1073</v>
      </c>
      <c r="C1109" s="2">
        <v>800000</v>
      </c>
      <c r="D1109" s="41"/>
      <c r="J1109" s="39">
        <v>301600</v>
      </c>
      <c r="K1109" s="41">
        <v>1</v>
      </c>
      <c r="L1109" s="41">
        <v>3762500</v>
      </c>
      <c r="M1109" s="41"/>
    </row>
    <row r="1110" spans="1:13">
      <c r="A1110" s="10">
        <v>2827</v>
      </c>
      <c r="B1110" s="1" t="s">
        <v>1073</v>
      </c>
      <c r="C1110" s="2">
        <v>3522575</v>
      </c>
      <c r="D1110" s="41"/>
      <c r="J1110" s="39">
        <v>347538</v>
      </c>
      <c r="K1110" s="41">
        <v>1</v>
      </c>
      <c r="L1110" s="41">
        <v>966000</v>
      </c>
      <c r="M1110" s="41"/>
    </row>
    <row r="1111" spans="1:13">
      <c r="A1111" s="10">
        <v>529245</v>
      </c>
      <c r="B1111" s="1">
        <v>3</v>
      </c>
      <c r="C1111" s="1" t="s">
        <v>1073</v>
      </c>
      <c r="D1111" s="41"/>
      <c r="J1111" s="39">
        <v>358231</v>
      </c>
      <c r="K1111" s="41">
        <v>3</v>
      </c>
      <c r="L1111" s="41">
        <v>5000000</v>
      </c>
      <c r="M1111" s="41"/>
    </row>
    <row r="1112" spans="1:13">
      <c r="A1112" s="10">
        <v>62378</v>
      </c>
      <c r="B1112" s="1" t="s">
        <v>1073</v>
      </c>
      <c r="C1112" s="2">
        <v>3300000</v>
      </c>
      <c r="D1112" s="41"/>
      <c r="J1112" s="39">
        <v>368809</v>
      </c>
      <c r="K1112" s="41">
        <v>0</v>
      </c>
      <c r="L1112" s="41">
        <v>2138500</v>
      </c>
      <c r="M1112" s="41"/>
    </row>
    <row r="1113" spans="1:13">
      <c r="A1113" s="10">
        <v>547188</v>
      </c>
      <c r="B1113" s="1">
        <v>45</v>
      </c>
      <c r="C1113" s="2">
        <v>1358000</v>
      </c>
      <c r="D1113" s="41"/>
      <c r="J1113" s="39">
        <v>385575</v>
      </c>
      <c r="K1113" s="41">
        <v>0</v>
      </c>
      <c r="L1113" s="41">
        <v>1000</v>
      </c>
      <c r="M1113" s="41"/>
    </row>
    <row r="1114" spans="1:13">
      <c r="A1114" s="10">
        <v>402496</v>
      </c>
      <c r="B1114" s="1" t="s">
        <v>1073</v>
      </c>
      <c r="C1114" s="2">
        <v>2000000</v>
      </c>
      <c r="D1114" s="41"/>
      <c r="J1114" s="39">
        <v>408290</v>
      </c>
      <c r="K1114" s="41">
        <v>3</v>
      </c>
      <c r="L1114" s="41">
        <v>8500000</v>
      </c>
      <c r="M1114" s="41"/>
    </row>
    <row r="1115" spans="1:13">
      <c r="A1115" s="10">
        <v>549259</v>
      </c>
      <c r="B1115" s="1" t="s">
        <v>1073</v>
      </c>
      <c r="C1115" s="1" t="s">
        <v>1073</v>
      </c>
      <c r="D1115" s="41"/>
      <c r="J1115" s="39">
        <v>416191</v>
      </c>
      <c r="K1115" s="41">
        <v>3</v>
      </c>
      <c r="L1115" s="41">
        <v>513200</v>
      </c>
      <c r="M1115" s="41"/>
    </row>
    <row r="1116" spans="1:13">
      <c r="A1116" s="10">
        <v>12295189</v>
      </c>
      <c r="B1116" s="1">
        <v>2</v>
      </c>
      <c r="C1116" s="2">
        <v>1558000</v>
      </c>
      <c r="D1116" s="41"/>
      <c r="J1116" s="39">
        <v>484741</v>
      </c>
      <c r="K1116" s="41">
        <v>0</v>
      </c>
      <c r="L1116" s="41">
        <v>3100000</v>
      </c>
      <c r="M1116" s="41"/>
    </row>
    <row r="1117" spans="1:13">
      <c r="A1117" s="10">
        <v>12324647</v>
      </c>
      <c r="B1117" s="1" t="s">
        <v>1073</v>
      </c>
      <c r="C1117" s="1" t="s">
        <v>1073</v>
      </c>
      <c r="D1117" s="41"/>
      <c r="J1117" s="39">
        <v>486638</v>
      </c>
      <c r="K1117" s="41">
        <v>0</v>
      </c>
      <c r="L1117" s="41">
        <v>3400000</v>
      </c>
      <c r="M1117" s="41"/>
    </row>
    <row r="1118" spans="1:13">
      <c r="A1118" s="10">
        <v>514319</v>
      </c>
      <c r="B1118" s="1">
        <v>2</v>
      </c>
      <c r="C1118" s="2">
        <v>950000</v>
      </c>
      <c r="D1118" s="41"/>
      <c r="J1118" s="39">
        <v>491288</v>
      </c>
      <c r="K1118" s="41">
        <v>3</v>
      </c>
      <c r="L1118" s="41">
        <v>670500</v>
      </c>
      <c r="M1118" s="41"/>
    </row>
    <row r="1119" spans="1:13">
      <c r="A1119" s="10">
        <v>275621</v>
      </c>
      <c r="B1119" s="1">
        <v>4</v>
      </c>
      <c r="C1119" s="2">
        <v>316000</v>
      </c>
      <c r="D1119" s="41"/>
      <c r="J1119" s="39">
        <v>501643</v>
      </c>
      <c r="K1119" s="41">
        <v>3</v>
      </c>
      <c r="L1119" s="41">
        <v>12900000</v>
      </c>
      <c r="M1119" s="41"/>
    </row>
    <row r="1120" spans="1:13">
      <c r="A1120" s="10">
        <v>533931</v>
      </c>
      <c r="B1120" s="1" t="s">
        <v>1073</v>
      </c>
      <c r="C1120" s="2">
        <v>900000</v>
      </c>
      <c r="D1120" s="41"/>
      <c r="J1120" s="39">
        <v>519286</v>
      </c>
      <c r="K1120" s="41">
        <v>3</v>
      </c>
      <c r="L1120" s="41">
        <v>1009000</v>
      </c>
      <c r="M1120" s="41"/>
    </row>
    <row r="1121" spans="1:13">
      <c r="A1121" s="10">
        <v>529249</v>
      </c>
      <c r="B1121" s="1">
        <v>4</v>
      </c>
      <c r="C1121" s="1" t="s">
        <v>1073</v>
      </c>
      <c r="D1121" s="41"/>
      <c r="J1121" s="39">
        <v>522623</v>
      </c>
      <c r="K1121" s="41">
        <v>17</v>
      </c>
      <c r="L1121" s="41">
        <v>3832500</v>
      </c>
      <c r="M1121" s="41"/>
    </row>
    <row r="1122" spans="1:13">
      <c r="A1122" s="10">
        <v>468202</v>
      </c>
      <c r="B1122" s="1" t="s">
        <v>1073</v>
      </c>
      <c r="C1122" s="3">
        <v>200000</v>
      </c>
      <c r="D1122" s="41"/>
      <c r="J1122" s="39">
        <v>523194</v>
      </c>
      <c r="K1122" s="41">
        <v>1</v>
      </c>
      <c r="L1122" s="41">
        <v>700000</v>
      </c>
      <c r="M1122" s="41"/>
    </row>
    <row r="1123" spans="1:13">
      <c r="A1123" s="10">
        <v>325627</v>
      </c>
      <c r="B1123" s="1" t="s">
        <v>1073</v>
      </c>
      <c r="C1123" s="1" t="s">
        <v>1073</v>
      </c>
      <c r="D1123" s="41"/>
      <c r="J1123" s="39">
        <v>523935</v>
      </c>
      <c r="K1123" s="41">
        <v>0</v>
      </c>
      <c r="L1123" s="41">
        <v>4250000</v>
      </c>
      <c r="M1123" s="41"/>
    </row>
    <row r="1124" spans="1:13">
      <c r="A1124" s="10">
        <v>264010</v>
      </c>
      <c r="B1124" s="1" t="s">
        <v>1073</v>
      </c>
      <c r="C1124" s="1" t="s">
        <v>1073</v>
      </c>
      <c r="D1124" s="41"/>
      <c r="J1124" s="39">
        <v>523938</v>
      </c>
      <c r="K1124" s="41">
        <v>0</v>
      </c>
      <c r="L1124" s="41">
        <v>320500</v>
      </c>
      <c r="M1124" s="41"/>
    </row>
    <row r="1125" spans="1:13">
      <c r="A1125" s="10">
        <v>519950</v>
      </c>
      <c r="B1125" s="1" t="s">
        <v>1073</v>
      </c>
      <c r="C1125" s="2">
        <v>600000</v>
      </c>
      <c r="D1125" s="41"/>
      <c r="J1125" s="39">
        <v>524281</v>
      </c>
      <c r="K1125" s="41">
        <v>0</v>
      </c>
      <c r="L1125" s="41">
        <v>300000</v>
      </c>
      <c r="M1125" s="41"/>
    </row>
    <row r="1126" spans="1:13">
      <c r="A1126" s="10">
        <v>280640</v>
      </c>
      <c r="B1126" s="1" t="s">
        <v>1073</v>
      </c>
      <c r="C1126" s="2">
        <v>2100000</v>
      </c>
      <c r="D1126" s="41"/>
      <c r="J1126" s="39">
        <v>524283</v>
      </c>
      <c r="K1126" s="41">
        <v>0</v>
      </c>
      <c r="L1126" s="41">
        <v>141000</v>
      </c>
      <c r="M1126" s="41"/>
    </row>
    <row r="1127" spans="1:13">
      <c r="A1127" s="10">
        <v>233903</v>
      </c>
      <c r="B1127" s="1" t="s">
        <v>1073</v>
      </c>
      <c r="C1127" s="3">
        <v>200000</v>
      </c>
      <c r="D1127" s="41"/>
      <c r="J1127" s="39">
        <v>525590</v>
      </c>
      <c r="K1127" s="41">
        <v>4</v>
      </c>
      <c r="L1127" s="41">
        <v>9369000</v>
      </c>
      <c r="M1127" s="41"/>
    </row>
    <row r="1128" spans="1:13">
      <c r="A1128" s="10">
        <v>63863</v>
      </c>
      <c r="B1128" s="1" t="s">
        <v>1073</v>
      </c>
      <c r="C1128" s="3">
        <v>50000</v>
      </c>
      <c r="D1128" s="41"/>
      <c r="J1128" s="39">
        <v>530058</v>
      </c>
      <c r="K1128" s="41">
        <v>2</v>
      </c>
      <c r="L1128" s="41">
        <v>2800000</v>
      </c>
      <c r="M1128" s="41"/>
    </row>
    <row r="1129" spans="1:13">
      <c r="A1129" s="10">
        <v>211822</v>
      </c>
      <c r="B1129" s="1" t="s">
        <v>1073</v>
      </c>
      <c r="C1129" s="3">
        <v>250000</v>
      </c>
      <c r="D1129" s="41"/>
      <c r="J1129" s="39">
        <v>535790</v>
      </c>
      <c r="K1129" s="41">
        <v>3</v>
      </c>
      <c r="L1129" s="41">
        <v>2300000</v>
      </c>
      <c r="M1129" s="41"/>
    </row>
    <row r="1130" spans="1:13">
      <c r="A1130" s="10">
        <v>211823</v>
      </c>
      <c r="B1130" s="1" t="s">
        <v>1073</v>
      </c>
      <c r="C1130" s="1" t="s">
        <v>1073</v>
      </c>
      <c r="D1130" s="41"/>
      <c r="J1130" s="39">
        <v>542823</v>
      </c>
      <c r="K1130" s="41">
        <v>6</v>
      </c>
      <c r="L1130" s="41">
        <v>800000</v>
      </c>
      <c r="M1130" s="41"/>
    </row>
    <row r="1131" spans="1:13">
      <c r="A1131" s="10">
        <v>12327273</v>
      </c>
      <c r="B1131" s="1" t="s">
        <v>1073</v>
      </c>
      <c r="C1131" s="3">
        <v>100000</v>
      </c>
      <c r="D1131" s="41"/>
      <c r="J1131" s="39">
        <v>549259</v>
      </c>
      <c r="K1131" s="41">
        <v>0</v>
      </c>
      <c r="L1131" s="41">
        <v>1000</v>
      </c>
      <c r="M1131" s="41"/>
    </row>
    <row r="1132" spans="1:13">
      <c r="A1132" s="10">
        <v>61876</v>
      </c>
      <c r="B1132" s="1" t="s">
        <v>1073</v>
      </c>
      <c r="C1132" s="2">
        <v>550000</v>
      </c>
      <c r="D1132" s="41"/>
      <c r="J1132" s="39">
        <v>571174</v>
      </c>
      <c r="K1132" s="41">
        <v>3</v>
      </c>
      <c r="L1132" s="41">
        <v>610500</v>
      </c>
      <c r="M1132" s="41"/>
    </row>
    <row r="1133" spans="1:13">
      <c r="A1133" s="10">
        <v>402461</v>
      </c>
      <c r="B1133" s="1">
        <v>1</v>
      </c>
      <c r="C1133" s="3">
        <v>29000</v>
      </c>
      <c r="D1133" s="41"/>
      <c r="J1133" s="39">
        <v>62086</v>
      </c>
      <c r="K1133" s="41">
        <v>3</v>
      </c>
      <c r="L1133" s="41">
        <v>100000</v>
      </c>
      <c r="M1133" s="41"/>
    </row>
    <row r="1134" spans="1:13">
      <c r="A1134" s="10">
        <v>12295801</v>
      </c>
      <c r="B1134" s="1" t="s">
        <v>1073</v>
      </c>
      <c r="C1134" s="1" t="s">
        <v>1073</v>
      </c>
      <c r="D1134" s="41"/>
      <c r="J1134" s="39">
        <v>63887</v>
      </c>
      <c r="K1134" s="41">
        <v>0</v>
      </c>
      <c r="L1134" s="41">
        <v>1000000</v>
      </c>
      <c r="M1134" s="41"/>
    </row>
    <row r="1135" spans="1:13">
      <c r="A1135" s="10">
        <v>357286</v>
      </c>
      <c r="B1135" s="1" t="s">
        <v>1073</v>
      </c>
      <c r="C1135" s="3">
        <v>100000</v>
      </c>
      <c r="D1135" s="41"/>
      <c r="J1135" s="39">
        <v>116871</v>
      </c>
      <c r="K1135" s="41">
        <v>58</v>
      </c>
      <c r="L1135" s="41">
        <v>38058000</v>
      </c>
      <c r="M1135" s="41"/>
    </row>
    <row r="1136" spans="1:13">
      <c r="A1136" s="10">
        <v>313780</v>
      </c>
      <c r="B1136" s="1" t="s">
        <v>1073</v>
      </c>
      <c r="C1136" s="2">
        <v>7775913</v>
      </c>
      <c r="D1136" s="41"/>
      <c r="J1136" s="39">
        <v>12295542</v>
      </c>
      <c r="K1136" s="41">
        <v>14</v>
      </c>
      <c r="L1136" s="41">
        <v>17641000</v>
      </c>
      <c r="M1136" s="41"/>
    </row>
    <row r="1137" spans="1:13">
      <c r="A1137" s="10">
        <v>61490</v>
      </c>
      <c r="B1137" s="1" t="s">
        <v>1073</v>
      </c>
      <c r="C1137" s="2">
        <v>600000</v>
      </c>
      <c r="D1137" s="41"/>
      <c r="J1137" s="39">
        <v>12295717</v>
      </c>
      <c r="K1137" s="41">
        <v>3</v>
      </c>
      <c r="L1137" s="41">
        <v>50000</v>
      </c>
      <c r="M1137" s="41"/>
    </row>
    <row r="1138" spans="1:13">
      <c r="A1138" s="10">
        <v>62003</v>
      </c>
      <c r="B1138" s="1">
        <v>1</v>
      </c>
      <c r="C1138" s="3">
        <v>29000</v>
      </c>
      <c r="D1138" s="41"/>
      <c r="J1138" s="39">
        <v>12295887</v>
      </c>
      <c r="K1138" s="41">
        <v>5</v>
      </c>
      <c r="L1138" s="41">
        <v>3266000</v>
      </c>
      <c r="M1138" s="41"/>
    </row>
    <row r="1139" spans="1:13">
      <c r="A1139" s="10">
        <v>566515</v>
      </c>
      <c r="B1139" s="1" t="s">
        <v>1073</v>
      </c>
      <c r="C1139" s="1" t="s">
        <v>1073</v>
      </c>
      <c r="D1139" s="41"/>
      <c r="J1139" s="39">
        <v>12312295</v>
      </c>
      <c r="K1139" s="41">
        <v>4</v>
      </c>
      <c r="L1139" s="41">
        <v>1376000</v>
      </c>
      <c r="M1139" s="41"/>
    </row>
    <row r="1140" spans="1:13">
      <c r="A1140" s="10">
        <v>334990</v>
      </c>
      <c r="B1140" s="1" t="s">
        <v>1073</v>
      </c>
      <c r="C1140" s="2">
        <v>8000000</v>
      </c>
      <c r="D1140" s="41"/>
      <c r="J1140" s="39">
        <v>12322237</v>
      </c>
      <c r="K1140" s="41">
        <v>0</v>
      </c>
      <c r="L1140" s="41">
        <v>0</v>
      </c>
      <c r="M1140" s="41"/>
    </row>
    <row r="1141" spans="1:13">
      <c r="A1141" s="10">
        <v>516280</v>
      </c>
      <c r="B1141" s="1" t="s">
        <v>1073</v>
      </c>
      <c r="C1141" s="3">
        <v>50000</v>
      </c>
      <c r="D1141" s="41"/>
      <c r="J1141" s="39">
        <v>12322483</v>
      </c>
      <c r="K1141" s="41">
        <v>5</v>
      </c>
      <c r="L1141" s="41">
        <v>1000</v>
      </c>
      <c r="M1141" s="41"/>
    </row>
    <row r="1142" spans="1:13">
      <c r="A1142" s="10">
        <v>539295</v>
      </c>
      <c r="B1142" s="1" t="s">
        <v>1073</v>
      </c>
      <c r="C1142" s="2">
        <v>500000</v>
      </c>
      <c r="D1142" s="41"/>
      <c r="J1142" s="39">
        <v>12323463</v>
      </c>
      <c r="K1142" s="41">
        <v>38</v>
      </c>
      <c r="L1142" s="41">
        <v>7489500</v>
      </c>
      <c r="M1142" s="41"/>
    </row>
    <row r="1143" spans="1:13">
      <c r="A1143" s="10">
        <v>366741</v>
      </c>
      <c r="B1143" s="1" t="s">
        <v>1073</v>
      </c>
      <c r="C1143" s="1" t="s">
        <v>1073</v>
      </c>
      <c r="D1143" s="41"/>
      <c r="J1143" s="39">
        <v>12325263</v>
      </c>
      <c r="K1143" s="41">
        <v>6</v>
      </c>
      <c r="L1143" s="41">
        <v>1212000</v>
      </c>
      <c r="M1143" s="41"/>
    </row>
    <row r="1144" spans="1:13">
      <c r="A1144" s="10">
        <v>557542</v>
      </c>
      <c r="B1144" s="1" t="s">
        <v>1073</v>
      </c>
      <c r="C1144" s="1" t="s">
        <v>1073</v>
      </c>
      <c r="D1144" s="41"/>
      <c r="J1144" s="39">
        <v>126951</v>
      </c>
      <c r="K1144" s="41">
        <v>0</v>
      </c>
      <c r="L1144" s="41">
        <v>5000000</v>
      </c>
      <c r="M1144" s="41"/>
    </row>
    <row r="1145" spans="1:13">
      <c r="A1145" s="10">
        <v>12321883</v>
      </c>
      <c r="B1145" s="1" t="s">
        <v>1073</v>
      </c>
      <c r="C1145" s="3">
        <v>200000</v>
      </c>
      <c r="D1145" s="41"/>
      <c r="J1145" s="39">
        <v>126952</v>
      </c>
      <c r="K1145" s="41">
        <v>7</v>
      </c>
      <c r="L1145" s="41">
        <v>1291000</v>
      </c>
      <c r="M1145" s="41"/>
    </row>
    <row r="1146" spans="1:13">
      <c r="A1146" s="10">
        <v>246732</v>
      </c>
      <c r="B1146" s="1" t="s">
        <v>1073</v>
      </c>
      <c r="C1146" s="3">
        <v>50000</v>
      </c>
      <c r="D1146" s="41"/>
      <c r="J1146" s="39">
        <v>195514</v>
      </c>
      <c r="K1146" s="41">
        <v>3</v>
      </c>
      <c r="L1146" s="41">
        <v>86502</v>
      </c>
      <c r="M1146" s="41"/>
    </row>
    <row r="1147" spans="1:13">
      <c r="A1147" s="10">
        <v>12329048</v>
      </c>
      <c r="B1147" s="1" t="s">
        <v>1073</v>
      </c>
      <c r="C1147" s="1" t="s">
        <v>1073</v>
      </c>
      <c r="D1147" s="41"/>
      <c r="J1147" s="39">
        <v>199007</v>
      </c>
      <c r="K1147" s="41">
        <v>6</v>
      </c>
      <c r="L1147" s="41">
        <v>0</v>
      </c>
      <c r="M1147" s="41"/>
    </row>
    <row r="1148" spans="1:13">
      <c r="A1148" s="10">
        <v>396792</v>
      </c>
      <c r="B1148" s="1">
        <v>12</v>
      </c>
      <c r="C1148" s="2">
        <v>2100000</v>
      </c>
      <c r="D1148" s="41"/>
      <c r="J1148" s="39">
        <v>199010</v>
      </c>
      <c r="K1148" s="41">
        <v>0</v>
      </c>
      <c r="L1148" s="41">
        <v>2950000</v>
      </c>
      <c r="M1148" s="41"/>
    </row>
    <row r="1149" spans="1:13">
      <c r="A1149" s="10">
        <v>513182</v>
      </c>
      <c r="B1149" s="1" t="s">
        <v>1073</v>
      </c>
      <c r="C1149" s="2">
        <v>850000</v>
      </c>
      <c r="D1149" s="41"/>
      <c r="J1149" s="39">
        <v>199217</v>
      </c>
      <c r="K1149" s="41">
        <v>17</v>
      </c>
      <c r="L1149" s="41">
        <v>5699000</v>
      </c>
      <c r="M1149" s="41"/>
    </row>
    <row r="1150" spans="1:13">
      <c r="A1150" s="10">
        <v>491288</v>
      </c>
      <c r="B1150" s="1">
        <v>3</v>
      </c>
      <c r="C1150" s="2">
        <v>300000</v>
      </c>
      <c r="D1150" s="41"/>
      <c r="J1150" s="39">
        <v>211794</v>
      </c>
      <c r="K1150" s="41">
        <v>0</v>
      </c>
      <c r="L1150" s="41">
        <v>1450000</v>
      </c>
      <c r="M1150" s="41"/>
    </row>
    <row r="1151" spans="1:13">
      <c r="A1151" s="10">
        <v>357346</v>
      </c>
      <c r="B1151" s="1" t="s">
        <v>1073</v>
      </c>
      <c r="C1151" s="2">
        <v>8000000</v>
      </c>
      <c r="D1151" s="41"/>
      <c r="J1151" s="39">
        <v>222816</v>
      </c>
      <c r="K1151" s="41">
        <v>4</v>
      </c>
      <c r="L1151" s="41">
        <v>10400000</v>
      </c>
      <c r="M1151" s="41"/>
    </row>
    <row r="1152" spans="1:13">
      <c r="A1152" s="10">
        <v>342581</v>
      </c>
      <c r="B1152" s="1" t="s">
        <v>1073</v>
      </c>
      <c r="C1152" s="2">
        <v>300000</v>
      </c>
      <c r="D1152" s="41"/>
      <c r="J1152" s="39">
        <v>228872</v>
      </c>
      <c r="K1152" s="41">
        <v>3</v>
      </c>
      <c r="L1152" s="41">
        <v>6000000</v>
      </c>
      <c r="M1152" s="41"/>
    </row>
    <row r="1153" spans="1:13">
      <c r="A1153" s="10">
        <v>107295</v>
      </c>
      <c r="B1153" s="1" t="s">
        <v>1073</v>
      </c>
      <c r="C1153" s="2">
        <v>500000</v>
      </c>
      <c r="D1153" s="41"/>
      <c r="J1153" s="39">
        <v>229765</v>
      </c>
      <c r="K1153" s="41">
        <v>12</v>
      </c>
      <c r="L1153" s="41">
        <v>25000000</v>
      </c>
      <c r="M1153" s="41"/>
    </row>
    <row r="1154" spans="1:13">
      <c r="A1154" s="10">
        <v>452054</v>
      </c>
      <c r="B1154" s="1" t="s">
        <v>1073</v>
      </c>
      <c r="C1154" s="2">
        <v>900000</v>
      </c>
      <c r="D1154" s="41"/>
      <c r="J1154" s="39">
        <v>231278</v>
      </c>
      <c r="K1154" s="41">
        <v>1</v>
      </c>
      <c r="L1154" s="41">
        <v>500000</v>
      </c>
      <c r="M1154" s="41"/>
    </row>
    <row r="1155" spans="1:13">
      <c r="A1155" s="10">
        <v>12295728</v>
      </c>
      <c r="B1155" s="1" t="s">
        <v>1073</v>
      </c>
      <c r="C1155" s="2">
        <v>300000</v>
      </c>
      <c r="D1155" s="41"/>
      <c r="J1155" s="39">
        <v>246732</v>
      </c>
      <c r="K1155" s="41">
        <v>0</v>
      </c>
      <c r="L1155" s="41">
        <v>200000</v>
      </c>
      <c r="M1155" s="41"/>
    </row>
    <row r="1156" spans="1:13">
      <c r="A1156" s="10">
        <v>61661</v>
      </c>
      <c r="B1156" s="1">
        <v>4</v>
      </c>
      <c r="C1156" s="3">
        <v>116000</v>
      </c>
      <c r="D1156" s="41"/>
      <c r="J1156" s="39">
        <v>278608</v>
      </c>
      <c r="K1156" s="41">
        <v>3</v>
      </c>
      <c r="L1156" s="41">
        <v>4750000</v>
      </c>
      <c r="M1156" s="41"/>
    </row>
    <row r="1157" spans="1:13">
      <c r="A1157" s="10">
        <v>440906</v>
      </c>
      <c r="B1157" s="1">
        <v>1</v>
      </c>
      <c r="C1157" s="2">
        <v>479000</v>
      </c>
      <c r="D1157" s="41"/>
      <c r="J1157" s="39">
        <v>292836</v>
      </c>
      <c r="K1157" s="41">
        <v>0</v>
      </c>
      <c r="L1157" s="41">
        <v>700000</v>
      </c>
      <c r="M1157" s="41"/>
    </row>
    <row r="1158" spans="1:13">
      <c r="A1158" s="10">
        <v>561473</v>
      </c>
      <c r="B1158" s="1" t="s">
        <v>1073</v>
      </c>
      <c r="C1158" s="1" t="s">
        <v>1073</v>
      </c>
      <c r="D1158" s="41"/>
      <c r="J1158" s="39">
        <v>345691</v>
      </c>
      <c r="K1158" s="41">
        <v>3</v>
      </c>
      <c r="L1158" s="41">
        <v>2855000</v>
      </c>
      <c r="M1158" s="41"/>
    </row>
    <row r="1159" spans="1:13">
      <c r="A1159" s="10">
        <v>266549</v>
      </c>
      <c r="B1159" s="1" t="s">
        <v>1073</v>
      </c>
      <c r="C1159" s="2">
        <v>1000000</v>
      </c>
      <c r="D1159" s="41"/>
      <c r="J1159" s="39">
        <v>366702</v>
      </c>
      <c r="K1159" s="41">
        <v>2</v>
      </c>
      <c r="L1159" s="41">
        <v>9550000</v>
      </c>
      <c r="M1159" s="41"/>
    </row>
    <row r="1160" spans="1:13">
      <c r="A1160" s="10">
        <v>62270</v>
      </c>
      <c r="B1160" s="1">
        <v>1</v>
      </c>
      <c r="C1160" s="2">
        <v>3400000</v>
      </c>
      <c r="D1160" s="41"/>
      <c r="J1160" s="39">
        <v>480658</v>
      </c>
      <c r="K1160" s="41">
        <v>3</v>
      </c>
      <c r="L1160" s="41">
        <v>800000</v>
      </c>
      <c r="M1160" s="41"/>
    </row>
    <row r="1161" spans="1:13">
      <c r="A1161" s="10">
        <v>535185</v>
      </c>
      <c r="B1161" s="1" t="s">
        <v>1073</v>
      </c>
      <c r="C1161" s="2">
        <v>800000</v>
      </c>
      <c r="D1161" s="41"/>
      <c r="J1161" s="39">
        <v>503354</v>
      </c>
      <c r="K1161" s="41">
        <v>5</v>
      </c>
      <c r="L1161" s="41">
        <v>2800000</v>
      </c>
      <c r="M1161" s="41"/>
    </row>
    <row r="1162" spans="1:13">
      <c r="A1162" s="10">
        <v>12296303</v>
      </c>
      <c r="B1162" s="1" t="s">
        <v>1073</v>
      </c>
      <c r="C1162" s="1" t="s">
        <v>1073</v>
      </c>
      <c r="D1162" s="41"/>
      <c r="J1162" s="39">
        <v>503633</v>
      </c>
      <c r="K1162" s="41">
        <v>0</v>
      </c>
      <c r="L1162" s="41">
        <v>350000</v>
      </c>
      <c r="M1162" s="41"/>
    </row>
    <row r="1163" spans="1:13">
      <c r="A1163" s="10">
        <v>481887</v>
      </c>
      <c r="B1163" s="1">
        <v>2</v>
      </c>
      <c r="C1163" s="2">
        <v>558000</v>
      </c>
      <c r="D1163" s="41"/>
      <c r="J1163" s="39">
        <v>503866</v>
      </c>
      <c r="K1163" s="41">
        <v>6</v>
      </c>
      <c r="L1163" s="41">
        <v>4400000</v>
      </c>
      <c r="M1163" s="41"/>
    </row>
    <row r="1164" spans="1:13">
      <c r="A1164" s="10">
        <v>236374</v>
      </c>
      <c r="B1164" s="1" t="s">
        <v>1073</v>
      </c>
      <c r="C1164" s="2">
        <v>1100000</v>
      </c>
      <c r="D1164" s="41"/>
      <c r="J1164" s="39">
        <v>510053</v>
      </c>
      <c r="K1164" s="41">
        <v>3</v>
      </c>
      <c r="L1164" s="41">
        <v>658000</v>
      </c>
      <c r="M1164" s="41"/>
    </row>
    <row r="1165" spans="1:13">
      <c r="A1165" s="10">
        <v>12299378</v>
      </c>
      <c r="B1165" s="1" t="s">
        <v>1073</v>
      </c>
      <c r="C1165" s="1" t="s">
        <v>1073</v>
      </c>
      <c r="D1165" s="41"/>
      <c r="J1165" s="39">
        <v>523430</v>
      </c>
      <c r="K1165" s="41">
        <v>0</v>
      </c>
      <c r="L1165" s="41">
        <v>10630000</v>
      </c>
      <c r="M1165" s="41"/>
    </row>
    <row r="1166" spans="1:13">
      <c r="A1166" s="10">
        <v>516651</v>
      </c>
      <c r="B1166" s="1" t="s">
        <v>1073</v>
      </c>
      <c r="C1166" s="1" t="s">
        <v>1073</v>
      </c>
      <c r="D1166" s="41"/>
      <c r="J1166" s="39">
        <v>529090</v>
      </c>
      <c r="K1166" s="41">
        <v>5</v>
      </c>
      <c r="L1166" s="41">
        <v>100000</v>
      </c>
      <c r="M1166" s="41"/>
    </row>
    <row r="1167" spans="1:13">
      <c r="A1167" s="10">
        <v>9707</v>
      </c>
      <c r="B1167" s="1" t="s">
        <v>1073</v>
      </c>
      <c r="C1167" s="2">
        <v>400000</v>
      </c>
      <c r="D1167" s="41"/>
      <c r="J1167" s="39">
        <v>529249</v>
      </c>
      <c r="K1167" s="41">
        <v>7</v>
      </c>
      <c r="L1167" s="41">
        <v>0</v>
      </c>
      <c r="M1167" s="41"/>
    </row>
    <row r="1168" spans="1:13">
      <c r="A1168" s="10">
        <v>570466</v>
      </c>
      <c r="B1168" s="1">
        <v>2</v>
      </c>
      <c r="C1168" s="2">
        <v>600000</v>
      </c>
      <c r="D1168" s="41"/>
      <c r="J1168" s="39">
        <v>530345</v>
      </c>
      <c r="K1168" s="41">
        <v>4</v>
      </c>
      <c r="L1168" s="41">
        <v>8000000</v>
      </c>
      <c r="M1168" s="41"/>
    </row>
    <row r="1169" spans="1:13">
      <c r="A1169" s="10">
        <v>240123</v>
      </c>
      <c r="B1169" s="1" t="s">
        <v>1073</v>
      </c>
      <c r="C1169" s="3">
        <v>100000</v>
      </c>
      <c r="D1169" s="41"/>
      <c r="J1169" s="39">
        <v>539088</v>
      </c>
      <c r="K1169" s="41">
        <v>24</v>
      </c>
      <c r="L1169" s="41">
        <v>8394000</v>
      </c>
      <c r="M1169" s="41"/>
    </row>
    <row r="1170" spans="1:13">
      <c r="A1170" s="10">
        <v>560814</v>
      </c>
      <c r="B1170" s="1" t="s">
        <v>1073</v>
      </c>
      <c r="C1170" s="1" t="s">
        <v>1073</v>
      </c>
      <c r="D1170" s="41"/>
      <c r="J1170" s="39">
        <v>543720</v>
      </c>
      <c r="K1170" s="41">
        <v>11</v>
      </c>
      <c r="L1170" s="41">
        <v>469950</v>
      </c>
      <c r="M1170" s="41"/>
    </row>
    <row r="1171" spans="1:13">
      <c r="A1171" s="10">
        <v>439306</v>
      </c>
      <c r="B1171" s="1">
        <v>10</v>
      </c>
      <c r="C1171" s="1" t="s">
        <v>1073</v>
      </c>
      <c r="D1171" s="41"/>
      <c r="J1171" s="39">
        <v>560814</v>
      </c>
      <c r="K1171" s="41">
        <v>6</v>
      </c>
      <c r="L1171" s="41">
        <v>0</v>
      </c>
      <c r="M1171" s="41"/>
    </row>
    <row r="1172" spans="1:13">
      <c r="A1172" s="10">
        <v>570754</v>
      </c>
      <c r="B1172" s="1">
        <v>1</v>
      </c>
      <c r="C1172" s="2">
        <v>450000</v>
      </c>
      <c r="D1172" s="41"/>
      <c r="J1172" s="39">
        <v>563095</v>
      </c>
      <c r="K1172" s="41">
        <v>2</v>
      </c>
      <c r="L1172" s="41">
        <v>6200000</v>
      </c>
      <c r="M1172" s="41"/>
    </row>
    <row r="1173" spans="1:13">
      <c r="A1173" s="10">
        <v>406768</v>
      </c>
      <c r="B1173" s="1" t="s">
        <v>1073</v>
      </c>
      <c r="C1173" s="2">
        <v>5500000</v>
      </c>
      <c r="D1173" s="41"/>
      <c r="J1173" s="39">
        <v>61690</v>
      </c>
      <c r="K1173" s="41">
        <v>4</v>
      </c>
      <c r="L1173" s="41">
        <v>15000000</v>
      </c>
      <c r="M1173" s="41"/>
    </row>
    <row r="1174" spans="1:13">
      <c r="A1174" s="10">
        <v>2722</v>
      </c>
      <c r="B1174" s="1">
        <v>2</v>
      </c>
      <c r="C1174" s="2">
        <v>558000</v>
      </c>
      <c r="D1174" s="41"/>
      <c r="J1174" s="39" t="s">
        <v>69</v>
      </c>
      <c r="K1174" s="41">
        <v>33</v>
      </c>
      <c r="L1174" s="41">
        <v>15116000</v>
      </c>
      <c r="M1174" s="41"/>
    </row>
    <row r="1175" spans="1:13">
      <c r="A1175" s="10">
        <v>366777</v>
      </c>
      <c r="B1175" s="1" t="s">
        <v>1073</v>
      </c>
      <c r="C1175" s="2">
        <v>4045000</v>
      </c>
      <c r="D1175" s="41"/>
      <c r="J1175" s="39" t="s">
        <v>71</v>
      </c>
      <c r="K1175" s="41">
        <v>6</v>
      </c>
      <c r="L1175" s="41">
        <v>18752000</v>
      </c>
      <c r="M1175" s="41"/>
    </row>
    <row r="1176" spans="1:13">
      <c r="A1176" s="10">
        <v>246748</v>
      </c>
      <c r="B1176" s="1" t="s">
        <v>1073</v>
      </c>
      <c r="C1176" s="2">
        <v>3100000</v>
      </c>
      <c r="D1176" s="41"/>
      <c r="J1176" s="39" t="s">
        <v>72</v>
      </c>
      <c r="K1176" s="41">
        <v>0</v>
      </c>
      <c r="L1176" s="41">
        <v>0</v>
      </c>
      <c r="M1176" s="41"/>
    </row>
    <row r="1177" spans="1:13">
      <c r="A1177" s="10">
        <v>1661</v>
      </c>
      <c r="B1177" s="1" t="s">
        <v>1073</v>
      </c>
      <c r="C1177" s="3">
        <v>50000</v>
      </c>
      <c r="D1177" s="41"/>
      <c r="J1177" s="39" t="s">
        <v>74</v>
      </c>
      <c r="K1177" s="41">
        <v>0</v>
      </c>
      <c r="L1177" s="41">
        <v>3000000</v>
      </c>
      <c r="M1177" s="41"/>
    </row>
    <row r="1178" spans="1:13">
      <c r="A1178" s="10">
        <v>62325</v>
      </c>
      <c r="B1178" s="1" t="s">
        <v>1073</v>
      </c>
      <c r="C1178" s="2">
        <v>23000000</v>
      </c>
      <c r="D1178" s="41"/>
      <c r="J1178" s="39">
        <v>12295536</v>
      </c>
      <c r="K1178" s="41">
        <v>0</v>
      </c>
      <c r="L1178" s="41">
        <v>0</v>
      </c>
      <c r="M1178" s="41"/>
    </row>
    <row r="1179" spans="1:13">
      <c r="A1179" s="10">
        <v>211621</v>
      </c>
      <c r="B1179" s="1">
        <v>1</v>
      </c>
      <c r="C1179" s="2">
        <v>1000000</v>
      </c>
      <c r="D1179" s="41"/>
      <c r="J1179" s="39">
        <v>12295980</v>
      </c>
      <c r="K1179" s="41">
        <v>8</v>
      </c>
      <c r="L1179" s="41">
        <v>0</v>
      </c>
      <c r="M1179" s="41"/>
    </row>
    <row r="1180" spans="1:13">
      <c r="A1180" s="10">
        <v>126742</v>
      </c>
      <c r="B1180" s="1" t="s">
        <v>1073</v>
      </c>
      <c r="C1180" s="2">
        <v>5075088</v>
      </c>
      <c r="D1180" s="41"/>
      <c r="J1180" s="39">
        <v>12302808</v>
      </c>
      <c r="K1180" s="41">
        <v>0</v>
      </c>
      <c r="L1180" s="41">
        <v>0</v>
      </c>
      <c r="M1180" s="41"/>
    </row>
    <row r="1181" spans="1:13">
      <c r="A1181" s="10">
        <v>458950</v>
      </c>
      <c r="B1181" s="1" t="s">
        <v>1073</v>
      </c>
      <c r="C1181" s="3">
        <v>100000</v>
      </c>
      <c r="D1181" s="41"/>
      <c r="J1181" s="39">
        <v>12303072</v>
      </c>
      <c r="K1181" s="41">
        <v>4</v>
      </c>
      <c r="L1181" s="41">
        <v>500000</v>
      </c>
      <c r="M1181" s="41"/>
    </row>
    <row r="1182" spans="1:13">
      <c r="A1182" s="10">
        <v>12300486</v>
      </c>
      <c r="B1182" s="1">
        <v>5</v>
      </c>
      <c r="C1182" s="1" t="s">
        <v>1073</v>
      </c>
      <c r="D1182" s="41"/>
      <c r="J1182" s="39">
        <v>12313881</v>
      </c>
      <c r="K1182" s="41">
        <v>21</v>
      </c>
      <c r="L1182" s="41">
        <v>19609000</v>
      </c>
      <c r="M1182" s="41"/>
    </row>
    <row r="1183" spans="1:13">
      <c r="A1183" s="10">
        <v>251808</v>
      </c>
      <c r="B1183" s="1" t="s">
        <v>1073</v>
      </c>
      <c r="C1183" s="3">
        <v>200000</v>
      </c>
      <c r="D1183" s="41"/>
      <c r="J1183" s="39">
        <v>12317091</v>
      </c>
      <c r="K1183" s="41">
        <v>7</v>
      </c>
      <c r="L1183" s="41">
        <v>0</v>
      </c>
      <c r="M1183" s="41"/>
    </row>
    <row r="1184" spans="1:13">
      <c r="A1184" s="10">
        <v>222814</v>
      </c>
      <c r="B1184" s="1">
        <v>4</v>
      </c>
      <c r="C1184" s="2">
        <v>2500000</v>
      </c>
      <c r="D1184" s="41"/>
      <c r="J1184" s="39">
        <v>12318079</v>
      </c>
      <c r="K1184" s="41">
        <v>4</v>
      </c>
      <c r="L1184" s="41">
        <v>766000</v>
      </c>
      <c r="M1184" s="41"/>
    </row>
    <row r="1185" spans="1:13">
      <c r="A1185" s="10">
        <v>519286</v>
      </c>
      <c r="B1185" s="1" t="s">
        <v>1073</v>
      </c>
      <c r="C1185" s="2">
        <v>5505000</v>
      </c>
      <c r="D1185" s="41"/>
      <c r="J1185" s="39">
        <v>12320853</v>
      </c>
      <c r="K1185" s="41">
        <v>0</v>
      </c>
      <c r="L1185" s="41">
        <v>0</v>
      </c>
      <c r="M1185" s="41"/>
    </row>
    <row r="1186" spans="1:13">
      <c r="A1186" s="10">
        <v>211662</v>
      </c>
      <c r="B1186" s="1" t="s">
        <v>1073</v>
      </c>
      <c r="C1186" s="2">
        <v>10050000</v>
      </c>
      <c r="D1186" s="41"/>
      <c r="J1186" s="39">
        <v>12321230</v>
      </c>
      <c r="K1186" s="41">
        <v>6</v>
      </c>
      <c r="L1186" s="41">
        <v>0</v>
      </c>
      <c r="M1186" s="41"/>
    </row>
    <row r="1187" spans="1:13">
      <c r="A1187" s="10">
        <v>12319354</v>
      </c>
      <c r="B1187" s="1" t="s">
        <v>1073</v>
      </c>
      <c r="C1187" s="2">
        <v>1000000</v>
      </c>
      <c r="D1187" s="41"/>
      <c r="J1187" s="39">
        <v>12321241</v>
      </c>
      <c r="K1187" s="41">
        <v>8</v>
      </c>
      <c r="L1187" s="41">
        <v>40232000</v>
      </c>
      <c r="M1187" s="41"/>
    </row>
    <row r="1188" spans="1:13">
      <c r="A1188" s="10">
        <v>569708</v>
      </c>
      <c r="B1188" s="1" t="s">
        <v>1073</v>
      </c>
      <c r="C1188" s="1" t="s">
        <v>1073</v>
      </c>
      <c r="D1188" s="41"/>
      <c r="J1188" s="39">
        <v>12321243</v>
      </c>
      <c r="K1188" s="41">
        <v>403</v>
      </c>
      <c r="L1188" s="41">
        <v>44203000</v>
      </c>
      <c r="M1188" s="41"/>
    </row>
    <row r="1189" spans="1:13">
      <c r="A1189" s="10">
        <v>229932</v>
      </c>
      <c r="B1189" s="1" t="s">
        <v>1073</v>
      </c>
      <c r="C1189" s="3">
        <v>100000</v>
      </c>
      <c r="D1189" s="41"/>
      <c r="J1189" s="39">
        <v>12322430</v>
      </c>
      <c r="K1189" s="41">
        <v>0</v>
      </c>
      <c r="L1189" s="41">
        <v>450000</v>
      </c>
      <c r="M1189" s="41"/>
    </row>
    <row r="1190" spans="1:13">
      <c r="A1190" s="10">
        <v>188114</v>
      </c>
      <c r="B1190" s="1">
        <v>4</v>
      </c>
      <c r="C1190" s="2">
        <v>8160633</v>
      </c>
      <c r="D1190" s="41"/>
      <c r="J1190" s="39">
        <v>12324194</v>
      </c>
      <c r="K1190" s="41">
        <v>8</v>
      </c>
      <c r="L1190" s="41">
        <v>0</v>
      </c>
      <c r="M1190" s="41"/>
    </row>
    <row r="1191" spans="1:13">
      <c r="A1191" s="10">
        <v>308936</v>
      </c>
      <c r="B1191" s="1">
        <v>2</v>
      </c>
      <c r="C1191" s="2">
        <v>558000</v>
      </c>
      <c r="D1191" s="41"/>
      <c r="J1191" s="39">
        <v>12327316</v>
      </c>
      <c r="K1191" s="41">
        <v>0</v>
      </c>
      <c r="L1191" s="41">
        <v>0</v>
      </c>
      <c r="M1191" s="41"/>
    </row>
    <row r="1192" spans="1:13">
      <c r="A1192" s="10">
        <v>231115</v>
      </c>
      <c r="B1192" s="1">
        <v>2</v>
      </c>
      <c r="C1192" s="3">
        <v>58000</v>
      </c>
      <c r="D1192" s="41"/>
      <c r="J1192" s="39">
        <v>12331450</v>
      </c>
      <c r="K1192" s="41">
        <v>4</v>
      </c>
      <c r="L1192" s="41">
        <v>300000</v>
      </c>
      <c r="M1192" s="41"/>
    </row>
    <row r="1193" spans="1:13">
      <c r="A1193" s="10">
        <v>383700</v>
      </c>
      <c r="B1193" s="1">
        <v>3</v>
      </c>
      <c r="C1193" s="2">
        <v>600000</v>
      </c>
      <c r="D1193" s="41"/>
      <c r="J1193" s="39">
        <v>12332670</v>
      </c>
      <c r="K1193" s="41">
        <v>0</v>
      </c>
      <c r="L1193" s="41">
        <v>1500000</v>
      </c>
      <c r="M1193" s="41"/>
    </row>
    <row r="1194" spans="1:13">
      <c r="A1194" s="10">
        <v>12301709</v>
      </c>
      <c r="B1194" s="1">
        <v>2</v>
      </c>
      <c r="C1194" s="2">
        <v>620000</v>
      </c>
      <c r="D1194" s="41"/>
      <c r="J1194" s="39">
        <v>12332811</v>
      </c>
      <c r="K1194" s="41">
        <v>0</v>
      </c>
      <c r="L1194" s="41">
        <v>0</v>
      </c>
      <c r="M1194" s="41"/>
    </row>
    <row r="1195" spans="1:13">
      <c r="A1195" s="10">
        <v>12320506</v>
      </c>
      <c r="B1195" s="1" t="s">
        <v>1073</v>
      </c>
      <c r="C1195" s="2">
        <v>500000</v>
      </c>
      <c r="D1195" s="41"/>
      <c r="J1195" s="39">
        <v>12333237</v>
      </c>
      <c r="K1195" s="41">
        <v>4</v>
      </c>
      <c r="L1195" s="41">
        <v>316000</v>
      </c>
      <c r="M1195" s="41"/>
    </row>
    <row r="1196" spans="1:13">
      <c r="A1196" s="10">
        <v>541001</v>
      </c>
      <c r="B1196" s="1" t="s">
        <v>1073</v>
      </c>
      <c r="C1196" s="2">
        <v>1423000</v>
      </c>
      <c r="D1196" s="41"/>
      <c r="J1196" s="39">
        <v>12334635</v>
      </c>
      <c r="K1196" s="41">
        <v>5</v>
      </c>
      <c r="L1196" s="41">
        <v>61377000</v>
      </c>
      <c r="M1196" s="41"/>
    </row>
    <row r="1197" spans="1:13">
      <c r="A1197" s="10">
        <v>385575</v>
      </c>
      <c r="B1197" s="1" t="s">
        <v>1073</v>
      </c>
      <c r="C1197" s="1" t="s">
        <v>1073</v>
      </c>
      <c r="D1197" s="41"/>
      <c r="J1197" s="39">
        <v>12334637</v>
      </c>
      <c r="K1197" s="41">
        <v>14</v>
      </c>
      <c r="L1197" s="41">
        <v>21624000</v>
      </c>
      <c r="M1197" s="41"/>
    </row>
    <row r="1198" spans="1:13">
      <c r="A1198" s="10">
        <v>330571</v>
      </c>
      <c r="B1198" s="1" t="s">
        <v>1073</v>
      </c>
      <c r="C1198" s="3">
        <v>50000</v>
      </c>
      <c r="D1198" s="41"/>
      <c r="J1198" s="39">
        <v>126963</v>
      </c>
      <c r="K1198" s="41">
        <v>4</v>
      </c>
      <c r="L1198" s="41">
        <v>716000</v>
      </c>
      <c r="M1198" s="41"/>
    </row>
    <row r="1199" spans="1:13">
      <c r="A1199" s="10">
        <v>295027</v>
      </c>
      <c r="B1199" s="1" t="s">
        <v>1073</v>
      </c>
      <c r="C1199" s="1" t="s">
        <v>1073</v>
      </c>
      <c r="D1199" s="41"/>
      <c r="J1199" s="39">
        <v>127198</v>
      </c>
      <c r="K1199" s="41">
        <v>4</v>
      </c>
      <c r="L1199" s="41">
        <v>13406000</v>
      </c>
      <c r="M1199" s="41"/>
    </row>
    <row r="1200" spans="1:13">
      <c r="A1200" s="10">
        <v>400027</v>
      </c>
      <c r="B1200" s="1" t="s">
        <v>1073</v>
      </c>
      <c r="C1200" s="2">
        <v>1500000</v>
      </c>
      <c r="D1200" s="41"/>
      <c r="J1200" s="39">
        <v>195918</v>
      </c>
      <c r="K1200" s="41">
        <v>0</v>
      </c>
      <c r="L1200" s="41">
        <v>16535110</v>
      </c>
      <c r="M1200" s="41"/>
    </row>
    <row r="1201" spans="1:13">
      <c r="A1201" s="10">
        <v>12295842</v>
      </c>
      <c r="B1201" s="1" t="s">
        <v>1073</v>
      </c>
      <c r="C1201" s="3">
        <v>100000</v>
      </c>
      <c r="D1201" s="41"/>
      <c r="J1201" s="39">
        <v>199020</v>
      </c>
      <c r="K1201" s="41">
        <v>0</v>
      </c>
      <c r="L1201" s="41">
        <v>900000</v>
      </c>
      <c r="M1201" s="41"/>
    </row>
    <row r="1202" spans="1:13">
      <c r="A1202" s="10">
        <v>392044</v>
      </c>
      <c r="B1202" s="1" t="s">
        <v>1073</v>
      </c>
      <c r="C1202" s="3">
        <v>250000</v>
      </c>
      <c r="D1202" s="41"/>
      <c r="J1202" s="39">
        <v>240084</v>
      </c>
      <c r="K1202" s="41">
        <v>0</v>
      </c>
      <c r="L1202" s="41">
        <v>13000000</v>
      </c>
      <c r="M1202" s="41"/>
    </row>
    <row r="1203" spans="1:13">
      <c r="A1203" s="10">
        <v>328661</v>
      </c>
      <c r="B1203" s="1" t="s">
        <v>1073</v>
      </c>
      <c r="C1203" s="1" t="s">
        <v>1073</v>
      </c>
      <c r="D1203" s="41"/>
      <c r="J1203" s="39">
        <v>240713</v>
      </c>
      <c r="K1203" s="41">
        <v>4</v>
      </c>
      <c r="L1203" s="41">
        <v>11311000</v>
      </c>
      <c r="M1203" s="41"/>
    </row>
    <row r="1204" spans="1:13">
      <c r="A1204" s="10">
        <v>342246</v>
      </c>
      <c r="B1204" s="1" t="s">
        <v>1073</v>
      </c>
      <c r="C1204" s="1" t="s">
        <v>1073</v>
      </c>
      <c r="D1204" s="41"/>
      <c r="J1204" s="39">
        <v>304264</v>
      </c>
      <c r="K1204" s="41">
        <v>0</v>
      </c>
      <c r="L1204" s="41">
        <v>800000</v>
      </c>
      <c r="M1204" s="41"/>
    </row>
    <row r="1205" spans="1:13">
      <c r="A1205" s="10">
        <v>63886</v>
      </c>
      <c r="B1205" s="1" t="s">
        <v>1073</v>
      </c>
      <c r="C1205" s="2">
        <v>800000</v>
      </c>
      <c r="D1205" s="41"/>
      <c r="J1205" s="39">
        <v>342829</v>
      </c>
      <c r="K1205" s="41">
        <v>3</v>
      </c>
      <c r="L1205" s="41">
        <v>3587000</v>
      </c>
      <c r="M1205" s="41"/>
    </row>
    <row r="1206" spans="1:13">
      <c r="A1206" s="10">
        <v>538731</v>
      </c>
      <c r="B1206" s="1" t="s">
        <v>1073</v>
      </c>
      <c r="C1206" s="2">
        <v>2400000</v>
      </c>
      <c r="D1206" s="41"/>
      <c r="J1206" s="39">
        <v>345427</v>
      </c>
      <c r="K1206" s="41">
        <v>4</v>
      </c>
      <c r="L1206" s="41">
        <v>2216000</v>
      </c>
      <c r="M1206" s="41"/>
    </row>
    <row r="1207" spans="1:13">
      <c r="A1207" s="10">
        <v>530400</v>
      </c>
      <c r="B1207" s="1" t="s">
        <v>1073</v>
      </c>
      <c r="C1207" s="2">
        <v>407000</v>
      </c>
      <c r="D1207" s="41"/>
      <c r="J1207" s="39">
        <v>352167</v>
      </c>
      <c r="K1207" s="41">
        <v>0</v>
      </c>
      <c r="L1207" s="41">
        <v>1200000</v>
      </c>
      <c r="M1207" s="41"/>
    </row>
    <row r="1208" spans="1:13">
      <c r="A1208" s="10">
        <v>2845</v>
      </c>
      <c r="B1208" s="1" t="s">
        <v>1073</v>
      </c>
      <c r="C1208" s="2">
        <v>1000000</v>
      </c>
      <c r="D1208" s="41"/>
      <c r="J1208" s="39">
        <v>396176</v>
      </c>
      <c r="K1208" s="41">
        <v>0</v>
      </c>
      <c r="L1208" s="41">
        <v>100000</v>
      </c>
      <c r="M1208" s="41"/>
    </row>
    <row r="1209" spans="1:13">
      <c r="A1209" s="10">
        <v>579774</v>
      </c>
      <c r="B1209" s="1" t="s">
        <v>1073</v>
      </c>
      <c r="C1209" s="1" t="s">
        <v>1073</v>
      </c>
      <c r="D1209" s="41"/>
      <c r="J1209" s="39">
        <v>401031</v>
      </c>
      <c r="K1209" s="41">
        <v>0</v>
      </c>
      <c r="L1209" s="41">
        <v>2000000</v>
      </c>
      <c r="M1209" s="41"/>
    </row>
    <row r="1210" spans="1:13">
      <c r="A1210" s="10">
        <v>570685</v>
      </c>
      <c r="B1210" s="1">
        <v>2</v>
      </c>
      <c r="C1210" s="2">
        <v>600000</v>
      </c>
      <c r="D1210" s="41"/>
      <c r="J1210" s="39">
        <v>471389</v>
      </c>
      <c r="K1210" s="41">
        <v>4</v>
      </c>
      <c r="L1210" s="41">
        <v>500000</v>
      </c>
      <c r="M1210" s="41"/>
    </row>
    <row r="1211" spans="1:13">
      <c r="A1211" s="10">
        <v>540514</v>
      </c>
      <c r="B1211" s="1" t="s">
        <v>1073</v>
      </c>
      <c r="C1211" s="3">
        <v>170000</v>
      </c>
      <c r="D1211" s="41"/>
      <c r="J1211" s="39">
        <v>477625</v>
      </c>
      <c r="K1211" s="41">
        <v>3</v>
      </c>
      <c r="L1211" s="41">
        <v>0</v>
      </c>
      <c r="M1211" s="41"/>
    </row>
    <row r="1212" spans="1:13">
      <c r="A1212" s="10">
        <v>237458</v>
      </c>
      <c r="B1212" s="1" t="s">
        <v>1073</v>
      </c>
      <c r="C1212" s="2">
        <v>2050000</v>
      </c>
      <c r="D1212" s="41"/>
      <c r="J1212" s="39">
        <v>481857</v>
      </c>
      <c r="K1212" s="41">
        <v>0</v>
      </c>
      <c r="L1212" s="41">
        <v>200000</v>
      </c>
      <c r="M1212" s="41"/>
    </row>
    <row r="1213" spans="1:13">
      <c r="A1213" s="10">
        <v>229775</v>
      </c>
      <c r="B1213" s="1" t="s">
        <v>1073</v>
      </c>
      <c r="C1213" s="3">
        <v>200000</v>
      </c>
      <c r="D1213" s="41"/>
      <c r="J1213" s="39">
        <v>483240</v>
      </c>
      <c r="K1213" s="41">
        <v>0</v>
      </c>
      <c r="L1213" s="41">
        <v>250000</v>
      </c>
      <c r="M1213" s="41"/>
    </row>
    <row r="1214" spans="1:13">
      <c r="A1214" s="10">
        <v>12319319</v>
      </c>
      <c r="B1214" s="1" t="s">
        <v>1073</v>
      </c>
      <c r="C1214" s="1" t="s">
        <v>1073</v>
      </c>
      <c r="D1214" s="41"/>
      <c r="J1214" s="39">
        <v>499483</v>
      </c>
      <c r="K1214" s="41">
        <v>4</v>
      </c>
      <c r="L1214" s="41">
        <v>5800000</v>
      </c>
      <c r="M1214" s="41"/>
    </row>
    <row r="1215" spans="1:13">
      <c r="A1215" s="10">
        <v>12325132</v>
      </c>
      <c r="B1215" s="1" t="s">
        <v>1073</v>
      </c>
      <c r="C1215" s="2">
        <v>300000</v>
      </c>
      <c r="D1215" s="41"/>
      <c r="J1215" s="39">
        <v>501141</v>
      </c>
      <c r="K1215" s="41">
        <v>0</v>
      </c>
      <c r="L1215" s="41">
        <v>100000</v>
      </c>
      <c r="M1215" s="41"/>
    </row>
    <row r="1216" spans="1:13">
      <c r="A1216" s="10">
        <v>569298</v>
      </c>
      <c r="B1216" s="1">
        <v>24</v>
      </c>
      <c r="C1216" s="2">
        <v>13000000</v>
      </c>
      <c r="D1216" s="41"/>
      <c r="J1216" s="39">
        <v>501263</v>
      </c>
      <c r="K1216" s="41">
        <v>0</v>
      </c>
      <c r="L1216" s="41">
        <v>200000</v>
      </c>
      <c r="M1216" s="41"/>
    </row>
    <row r="1217" spans="1:13">
      <c r="A1217" s="10">
        <v>408081</v>
      </c>
      <c r="B1217" s="1" t="s">
        <v>1073</v>
      </c>
      <c r="C1217" s="2">
        <v>300000</v>
      </c>
      <c r="D1217" s="41"/>
      <c r="J1217" s="39">
        <v>501860</v>
      </c>
      <c r="K1217" s="41">
        <v>4</v>
      </c>
      <c r="L1217" s="41">
        <v>916000</v>
      </c>
      <c r="M1217" s="41"/>
    </row>
    <row r="1218" spans="1:13">
      <c r="A1218" s="10">
        <v>545397</v>
      </c>
      <c r="B1218" s="1" t="s">
        <v>1073</v>
      </c>
      <c r="C1218" s="2">
        <v>1000000</v>
      </c>
      <c r="D1218" s="41"/>
      <c r="J1218" s="39">
        <v>510295</v>
      </c>
      <c r="K1218" s="41">
        <v>4</v>
      </c>
      <c r="L1218" s="41">
        <v>466000</v>
      </c>
      <c r="M1218" s="41"/>
    </row>
    <row r="1219" spans="1:13">
      <c r="A1219" s="10">
        <v>407415</v>
      </c>
      <c r="B1219" s="1">
        <v>3</v>
      </c>
      <c r="C1219" s="2">
        <v>1000000</v>
      </c>
      <c r="D1219" s="41"/>
      <c r="J1219" s="39">
        <v>510299</v>
      </c>
      <c r="K1219" s="41">
        <v>0</v>
      </c>
      <c r="L1219" s="41">
        <v>0</v>
      </c>
      <c r="M1219" s="41"/>
    </row>
    <row r="1220" spans="1:13">
      <c r="A1220" s="10">
        <v>199217</v>
      </c>
      <c r="B1220" s="1">
        <v>12</v>
      </c>
      <c r="C1220" s="2">
        <v>779000</v>
      </c>
      <c r="D1220" s="41"/>
      <c r="J1220" s="39">
        <v>511584</v>
      </c>
      <c r="K1220" s="41">
        <v>4</v>
      </c>
      <c r="L1220" s="41">
        <v>116000</v>
      </c>
      <c r="M1220" s="41"/>
    </row>
    <row r="1221" spans="1:13">
      <c r="A1221" s="10">
        <v>357812</v>
      </c>
      <c r="B1221" s="1" t="s">
        <v>1073</v>
      </c>
      <c r="C1221" s="1" t="s">
        <v>1073</v>
      </c>
      <c r="D1221" s="41"/>
      <c r="J1221" s="39">
        <v>514589</v>
      </c>
      <c r="K1221" s="41">
        <v>11</v>
      </c>
      <c r="L1221" s="41">
        <v>38493000</v>
      </c>
      <c r="M1221" s="41"/>
    </row>
    <row r="1222" spans="1:13">
      <c r="A1222" s="10">
        <v>293971</v>
      </c>
      <c r="B1222" s="1" t="s">
        <v>1073</v>
      </c>
      <c r="C1222" s="1" t="s">
        <v>1073</v>
      </c>
      <c r="D1222" s="41"/>
      <c r="J1222" s="39">
        <v>523849</v>
      </c>
      <c r="K1222" s="41">
        <v>0</v>
      </c>
      <c r="L1222" s="41">
        <v>0</v>
      </c>
      <c r="M1222" s="41"/>
    </row>
    <row r="1223" spans="1:13">
      <c r="A1223" s="10">
        <v>12320250</v>
      </c>
      <c r="B1223" s="1" t="s">
        <v>1073</v>
      </c>
      <c r="C1223" s="2">
        <v>1500000</v>
      </c>
      <c r="D1223" s="41"/>
      <c r="J1223" s="39">
        <v>526916</v>
      </c>
      <c r="K1223" s="41">
        <v>4</v>
      </c>
      <c r="L1223" s="41">
        <v>316000</v>
      </c>
      <c r="M1223" s="41"/>
    </row>
    <row r="1224" spans="1:13">
      <c r="A1224" s="10">
        <v>288799</v>
      </c>
      <c r="B1224" s="1">
        <v>4</v>
      </c>
      <c r="C1224" s="2">
        <v>716000</v>
      </c>
      <c r="D1224" s="41"/>
      <c r="J1224" s="39">
        <v>530334</v>
      </c>
      <c r="K1224" s="41">
        <v>0</v>
      </c>
      <c r="L1224" s="41">
        <v>1250000</v>
      </c>
      <c r="M1224" s="41"/>
    </row>
    <row r="1225" spans="1:13">
      <c r="A1225" s="10">
        <v>555965</v>
      </c>
      <c r="B1225" s="1">
        <v>4</v>
      </c>
      <c r="C1225" s="3">
        <v>116000</v>
      </c>
      <c r="D1225" s="41"/>
      <c r="J1225" s="39">
        <v>543771</v>
      </c>
      <c r="K1225" s="41">
        <v>0</v>
      </c>
      <c r="L1225" s="41">
        <v>0</v>
      </c>
      <c r="M1225" s="41"/>
    </row>
    <row r="1226" spans="1:13">
      <c r="A1226" s="10">
        <v>246053</v>
      </c>
      <c r="B1226" s="1" t="s">
        <v>1073</v>
      </c>
      <c r="C1226" s="1" t="s">
        <v>1073</v>
      </c>
      <c r="D1226" s="41"/>
      <c r="J1226" s="39">
        <v>543826</v>
      </c>
      <c r="K1226" s="41">
        <v>69</v>
      </c>
      <c r="L1226" s="41">
        <v>45174000</v>
      </c>
      <c r="M1226" s="41"/>
    </row>
    <row r="1227" spans="1:13">
      <c r="A1227" s="10">
        <v>390</v>
      </c>
      <c r="B1227" s="1" t="s">
        <v>1073</v>
      </c>
      <c r="C1227" s="1" t="s">
        <v>1073</v>
      </c>
      <c r="D1227" s="41"/>
      <c r="J1227" s="39">
        <v>546446</v>
      </c>
      <c r="K1227" s="41">
        <v>0</v>
      </c>
      <c r="L1227" s="41">
        <v>300000</v>
      </c>
      <c r="M1227" s="41"/>
    </row>
    <row r="1228" spans="1:13">
      <c r="A1228" s="10">
        <v>240721</v>
      </c>
      <c r="B1228" s="1" t="s">
        <v>1073</v>
      </c>
      <c r="C1228" s="2">
        <v>600000</v>
      </c>
      <c r="D1228" s="41"/>
      <c r="J1228" s="39">
        <v>558955</v>
      </c>
      <c r="K1228" s="41">
        <v>8</v>
      </c>
      <c r="L1228" s="41">
        <v>0</v>
      </c>
      <c r="M1228" s="41"/>
    </row>
    <row r="1229" spans="1:13">
      <c r="A1229" s="10">
        <v>311393</v>
      </c>
      <c r="B1229" s="1">
        <v>1</v>
      </c>
      <c r="C1229" s="2">
        <v>800000</v>
      </c>
      <c r="D1229" s="41"/>
      <c r="J1229" s="39">
        <v>562953</v>
      </c>
      <c r="K1229" s="41">
        <v>1</v>
      </c>
      <c r="L1229" s="41">
        <v>4000000</v>
      </c>
      <c r="M1229" s="41"/>
    </row>
    <row r="1230" spans="1:13">
      <c r="A1230" s="10">
        <v>478865</v>
      </c>
      <c r="B1230" s="1" t="s">
        <v>1073</v>
      </c>
      <c r="C1230" s="1" t="s">
        <v>1073</v>
      </c>
      <c r="D1230" s="41"/>
      <c r="J1230" s="39">
        <v>569298</v>
      </c>
      <c r="K1230" s="41">
        <v>5</v>
      </c>
      <c r="L1230" s="41">
        <v>116000</v>
      </c>
      <c r="M1230" s="41"/>
    </row>
    <row r="1231" spans="1:13">
      <c r="A1231" s="10">
        <v>253772</v>
      </c>
      <c r="B1231" s="1" t="s">
        <v>1073</v>
      </c>
      <c r="C1231" s="1" t="s">
        <v>1073</v>
      </c>
      <c r="D1231" s="41"/>
      <c r="J1231" s="39">
        <v>574633</v>
      </c>
      <c r="K1231" s="41">
        <v>8</v>
      </c>
      <c r="L1231" s="41">
        <v>0</v>
      </c>
      <c r="M1231" s="41"/>
    </row>
    <row r="1232" spans="1:13">
      <c r="A1232" s="10">
        <v>516570</v>
      </c>
      <c r="B1232" s="1" t="s">
        <v>1073</v>
      </c>
      <c r="C1232" s="3">
        <v>50000</v>
      </c>
      <c r="D1232" s="41"/>
      <c r="J1232" s="39">
        <v>61688</v>
      </c>
      <c r="K1232" s="41">
        <v>4</v>
      </c>
      <c r="L1232" s="41">
        <v>300000</v>
      </c>
      <c r="M1232" s="41"/>
    </row>
    <row r="1233" spans="1:13">
      <c r="A1233" s="10">
        <v>531869</v>
      </c>
      <c r="B1233" s="1" t="s">
        <v>1073</v>
      </c>
      <c r="C1233" s="1" t="s">
        <v>1073</v>
      </c>
      <c r="D1233" s="41"/>
      <c r="J1233" s="39" t="s">
        <v>113</v>
      </c>
      <c r="K1233" s="41">
        <v>0</v>
      </c>
      <c r="L1233" s="41">
        <v>1500000</v>
      </c>
      <c r="M1233" s="41"/>
    </row>
    <row r="1234" spans="1:13">
      <c r="A1234" s="10">
        <v>199156</v>
      </c>
      <c r="B1234" s="1">
        <v>1</v>
      </c>
      <c r="C1234" s="2">
        <v>4785000</v>
      </c>
      <c r="D1234" s="41"/>
      <c r="J1234" s="39">
        <v>115501</v>
      </c>
      <c r="K1234" s="41">
        <v>5</v>
      </c>
      <c r="L1234" s="41">
        <v>1974000</v>
      </c>
      <c r="M1234" s="41"/>
    </row>
    <row r="1235" spans="1:13">
      <c r="A1235" s="10">
        <v>238925</v>
      </c>
      <c r="B1235" s="1">
        <v>2</v>
      </c>
      <c r="C1235" s="3">
        <v>258000</v>
      </c>
      <c r="D1235" s="41"/>
      <c r="J1235" s="39">
        <v>12294918</v>
      </c>
      <c r="K1235" s="41">
        <v>17</v>
      </c>
      <c r="L1235" s="41">
        <v>1400000</v>
      </c>
      <c r="M1235" s="41"/>
    </row>
    <row r="1236" spans="1:13">
      <c r="A1236" s="10">
        <v>12295592</v>
      </c>
      <c r="B1236" s="1" t="s">
        <v>1073</v>
      </c>
      <c r="C1236" s="1" t="s">
        <v>1073</v>
      </c>
      <c r="D1236" s="41"/>
      <c r="J1236" s="39">
        <v>12295189</v>
      </c>
      <c r="K1236" s="41">
        <v>3</v>
      </c>
      <c r="L1236" s="41">
        <v>3558000</v>
      </c>
      <c r="M1236" s="41"/>
    </row>
    <row r="1237" spans="1:13">
      <c r="A1237" s="10">
        <v>12321946</v>
      </c>
      <c r="B1237" s="1">
        <v>3</v>
      </c>
      <c r="C1237" s="3">
        <v>50000</v>
      </c>
      <c r="D1237" s="41"/>
      <c r="J1237" s="39">
        <v>12295860</v>
      </c>
      <c r="K1237" s="41">
        <v>7</v>
      </c>
      <c r="L1237" s="41">
        <v>2450000</v>
      </c>
      <c r="M1237" s="41"/>
    </row>
    <row r="1238" spans="1:13">
      <c r="A1238" s="10">
        <v>241320</v>
      </c>
      <c r="B1238" s="1" t="s">
        <v>1073</v>
      </c>
      <c r="C1238" s="1" t="s">
        <v>1073</v>
      </c>
      <c r="D1238" s="41"/>
      <c r="J1238" s="39">
        <v>12300128</v>
      </c>
      <c r="K1238" s="41">
        <v>0</v>
      </c>
      <c r="L1238" s="41">
        <v>100000</v>
      </c>
      <c r="M1238" s="41"/>
    </row>
    <row r="1239" spans="1:13">
      <c r="A1239" s="10">
        <v>12296482</v>
      </c>
      <c r="B1239" s="1" t="s">
        <v>1073</v>
      </c>
      <c r="C1239" s="3">
        <v>250000</v>
      </c>
      <c r="D1239" s="41"/>
      <c r="J1239" s="39">
        <v>12300329</v>
      </c>
      <c r="K1239" s="41">
        <v>4</v>
      </c>
      <c r="L1239" s="41">
        <v>987000</v>
      </c>
      <c r="M1239" s="41"/>
    </row>
    <row r="1240" spans="1:13">
      <c r="A1240" s="10">
        <v>199257</v>
      </c>
      <c r="B1240" s="1" t="s">
        <v>1073</v>
      </c>
      <c r="C1240" s="2">
        <v>958000</v>
      </c>
      <c r="D1240" s="41"/>
      <c r="J1240" s="39">
        <v>12302519</v>
      </c>
      <c r="K1240" s="41">
        <v>6</v>
      </c>
      <c r="L1240" s="41">
        <v>858000</v>
      </c>
      <c r="M1240" s="41"/>
    </row>
    <row r="1241" spans="1:13">
      <c r="A1241" s="10">
        <v>336564</v>
      </c>
      <c r="B1241" s="1" t="s">
        <v>1073</v>
      </c>
      <c r="C1241" s="3">
        <v>150000</v>
      </c>
      <c r="D1241" s="41"/>
      <c r="J1241" s="39">
        <v>12318696</v>
      </c>
      <c r="K1241" s="41">
        <v>35</v>
      </c>
      <c r="L1241" s="41">
        <v>3276000</v>
      </c>
      <c r="M1241" s="41"/>
    </row>
    <row r="1242" spans="1:13">
      <c r="A1242" s="10">
        <v>565681</v>
      </c>
      <c r="B1242" s="1" t="s">
        <v>1073</v>
      </c>
      <c r="C1242" s="2">
        <v>900000</v>
      </c>
      <c r="D1242" s="41"/>
      <c r="J1242" s="39">
        <v>12318984</v>
      </c>
      <c r="K1242" s="41">
        <v>0</v>
      </c>
      <c r="L1242" s="41">
        <v>0</v>
      </c>
      <c r="M1242" s="41"/>
    </row>
    <row r="1243" spans="1:13">
      <c r="A1243" s="10">
        <v>199033</v>
      </c>
      <c r="B1243" s="1" t="s">
        <v>1073</v>
      </c>
      <c r="C1243" s="2">
        <v>2500000</v>
      </c>
      <c r="D1243" s="41"/>
      <c r="J1243" s="39">
        <v>12331888</v>
      </c>
      <c r="K1243" s="41">
        <v>0</v>
      </c>
      <c r="L1243" s="41">
        <v>0</v>
      </c>
      <c r="M1243" s="41"/>
    </row>
    <row r="1244" spans="1:13">
      <c r="A1244" s="10">
        <v>12323855</v>
      </c>
      <c r="B1244" s="1" t="s">
        <v>1073</v>
      </c>
      <c r="C1244" s="2">
        <v>350000</v>
      </c>
      <c r="D1244" s="41"/>
      <c r="J1244" s="39">
        <v>12332159</v>
      </c>
      <c r="K1244" s="41">
        <v>6</v>
      </c>
      <c r="L1244" s="41">
        <v>1600000</v>
      </c>
      <c r="M1244" s="41"/>
    </row>
    <row r="1245" spans="1:13">
      <c r="A1245" s="10">
        <v>287403</v>
      </c>
      <c r="B1245" s="1" t="s">
        <v>1073</v>
      </c>
      <c r="C1245" s="3">
        <v>70500</v>
      </c>
      <c r="D1245" s="41"/>
      <c r="J1245" s="39">
        <v>126913</v>
      </c>
      <c r="K1245" s="41">
        <v>90</v>
      </c>
      <c r="L1245" s="41">
        <v>7808000</v>
      </c>
      <c r="M1245" s="41"/>
    </row>
    <row r="1246" spans="1:13">
      <c r="A1246" s="10">
        <v>486638</v>
      </c>
      <c r="B1246" s="1" t="s">
        <v>1073</v>
      </c>
      <c r="C1246" s="2">
        <v>1700000</v>
      </c>
      <c r="D1246" s="41"/>
      <c r="J1246" s="39">
        <v>222817</v>
      </c>
      <c r="K1246" s="41">
        <v>134</v>
      </c>
      <c r="L1246" s="41">
        <v>5519000</v>
      </c>
      <c r="M1246" s="41"/>
    </row>
    <row r="1247" spans="1:13">
      <c r="A1247" s="10">
        <v>458986</v>
      </c>
      <c r="B1247" s="1" t="s">
        <v>1073</v>
      </c>
      <c r="C1247" s="2">
        <v>300000</v>
      </c>
      <c r="D1247" s="41"/>
      <c r="J1247" s="39">
        <v>238925</v>
      </c>
      <c r="K1247" s="41">
        <v>5</v>
      </c>
      <c r="L1247" s="41">
        <v>1050000</v>
      </c>
      <c r="M1247" s="41"/>
    </row>
    <row r="1248" spans="1:13">
      <c r="A1248" s="10">
        <v>407654</v>
      </c>
      <c r="B1248" s="1" t="s">
        <v>1073</v>
      </c>
      <c r="C1248" s="3">
        <v>250000</v>
      </c>
      <c r="D1248" s="41"/>
      <c r="J1248" s="39">
        <v>240000</v>
      </c>
      <c r="K1248" s="41">
        <v>0</v>
      </c>
      <c r="L1248" s="41">
        <v>816000</v>
      </c>
      <c r="M1248" s="41"/>
    </row>
    <row r="1249" spans="1:13">
      <c r="A1249" s="10">
        <v>195514</v>
      </c>
      <c r="B1249" s="1">
        <v>5</v>
      </c>
      <c r="C1249" s="1" t="s">
        <v>1073</v>
      </c>
      <c r="D1249" s="41"/>
      <c r="J1249" s="39">
        <v>244995</v>
      </c>
      <c r="K1249" s="41">
        <v>6</v>
      </c>
      <c r="L1249" s="41">
        <v>2458000</v>
      </c>
      <c r="M1249" s="41"/>
    </row>
    <row r="1250" spans="1:13">
      <c r="A1250" s="10">
        <v>547197</v>
      </c>
      <c r="B1250" s="1" t="s">
        <v>1073</v>
      </c>
      <c r="C1250" s="2">
        <v>300000</v>
      </c>
      <c r="D1250" s="41"/>
      <c r="J1250" s="39">
        <v>245224</v>
      </c>
      <c r="K1250" s="41">
        <v>3</v>
      </c>
      <c r="L1250" s="41">
        <v>1150000</v>
      </c>
      <c r="M1250" s="41"/>
    </row>
    <row r="1251" spans="1:13">
      <c r="A1251" s="10">
        <v>347687</v>
      </c>
      <c r="B1251" s="1" t="s">
        <v>1073</v>
      </c>
      <c r="C1251" s="2">
        <v>500000</v>
      </c>
      <c r="D1251" s="41"/>
      <c r="J1251" s="39">
        <v>274080</v>
      </c>
      <c r="K1251" s="41">
        <v>8</v>
      </c>
      <c r="L1251" s="41">
        <v>4200000</v>
      </c>
      <c r="M1251" s="41"/>
    </row>
    <row r="1252" spans="1:13">
      <c r="A1252" s="10">
        <v>199082</v>
      </c>
      <c r="B1252" s="1" t="s">
        <v>1073</v>
      </c>
      <c r="C1252" s="3">
        <v>100000</v>
      </c>
      <c r="D1252" s="41"/>
      <c r="J1252" s="39">
        <v>2772</v>
      </c>
      <c r="K1252" s="41">
        <v>0</v>
      </c>
      <c r="L1252" s="41">
        <v>3903000</v>
      </c>
      <c r="M1252" s="41"/>
    </row>
    <row r="1253" spans="1:13">
      <c r="A1253" s="10">
        <v>277093</v>
      </c>
      <c r="B1253" s="1" t="s">
        <v>1073</v>
      </c>
      <c r="C1253" s="3">
        <v>200000</v>
      </c>
      <c r="D1253" s="41"/>
      <c r="J1253" s="39">
        <v>282063</v>
      </c>
      <c r="K1253" s="41">
        <v>9</v>
      </c>
      <c r="L1253" s="41">
        <v>6500000</v>
      </c>
      <c r="M1253" s="41"/>
    </row>
    <row r="1254" spans="1:13">
      <c r="A1254" s="10">
        <v>61917</v>
      </c>
      <c r="B1254" s="1">
        <v>5</v>
      </c>
      <c r="C1254" s="2">
        <v>6145000</v>
      </c>
      <c r="D1254" s="41"/>
      <c r="J1254" s="39">
        <v>288799</v>
      </c>
      <c r="K1254" s="41">
        <v>0</v>
      </c>
      <c r="L1254" s="41">
        <v>700000</v>
      </c>
      <c r="M1254" s="41"/>
    </row>
    <row r="1255" spans="1:13">
      <c r="A1255" s="10">
        <v>535514</v>
      </c>
      <c r="B1255" s="1">
        <v>6</v>
      </c>
      <c r="C1255" s="3">
        <v>174000</v>
      </c>
      <c r="D1255" s="41"/>
      <c r="J1255" s="39">
        <v>308739</v>
      </c>
      <c r="K1255" s="41">
        <v>5</v>
      </c>
      <c r="L1255" s="41">
        <v>3358000</v>
      </c>
      <c r="M1255" s="41"/>
    </row>
    <row r="1256" spans="1:13">
      <c r="A1256" s="10">
        <v>61788</v>
      </c>
      <c r="B1256" s="1" t="s">
        <v>1073</v>
      </c>
      <c r="C1256" s="1" t="s">
        <v>1073</v>
      </c>
      <c r="D1256" s="41"/>
      <c r="J1256" s="39">
        <v>308936</v>
      </c>
      <c r="K1256" s="41">
        <v>4</v>
      </c>
      <c r="L1256" s="41">
        <v>458000</v>
      </c>
      <c r="M1256" s="41"/>
    </row>
    <row r="1257" spans="1:13">
      <c r="A1257" s="10">
        <v>530334</v>
      </c>
      <c r="B1257" s="1" t="s">
        <v>1073</v>
      </c>
      <c r="C1257" s="2">
        <v>350000</v>
      </c>
      <c r="D1257" s="41"/>
      <c r="J1257" s="39">
        <v>3109</v>
      </c>
      <c r="K1257" s="41">
        <v>4</v>
      </c>
      <c r="L1257" s="41">
        <v>1500000</v>
      </c>
      <c r="M1257" s="41"/>
    </row>
    <row r="1258" spans="1:13">
      <c r="A1258" s="10">
        <v>404185</v>
      </c>
      <c r="B1258" s="1" t="s">
        <v>1073</v>
      </c>
      <c r="C1258" s="1" t="s">
        <v>1073</v>
      </c>
      <c r="D1258" s="41"/>
      <c r="J1258" s="39">
        <v>315088</v>
      </c>
      <c r="K1258" s="41">
        <v>0</v>
      </c>
      <c r="L1258" s="41">
        <v>2258000</v>
      </c>
      <c r="M1258" s="41"/>
    </row>
    <row r="1259" spans="1:13">
      <c r="A1259" s="10">
        <v>62403</v>
      </c>
      <c r="B1259" s="1" t="s">
        <v>1073</v>
      </c>
      <c r="C1259" s="2">
        <v>5250000</v>
      </c>
      <c r="D1259" s="41"/>
      <c r="J1259" s="39">
        <v>328760</v>
      </c>
      <c r="K1259" s="41">
        <v>6</v>
      </c>
      <c r="L1259" s="41">
        <v>1558000</v>
      </c>
      <c r="M1259" s="41"/>
    </row>
    <row r="1260" spans="1:13">
      <c r="A1260" s="10">
        <v>12314920</v>
      </c>
      <c r="B1260" s="1" t="s">
        <v>1073</v>
      </c>
      <c r="C1260" s="2">
        <v>450000</v>
      </c>
      <c r="D1260" s="41"/>
      <c r="J1260" s="39">
        <v>344674</v>
      </c>
      <c r="K1260" s="41">
        <v>1</v>
      </c>
      <c r="L1260" s="41">
        <v>5058000</v>
      </c>
      <c r="M1260" s="41"/>
    </row>
    <row r="1261" spans="1:13">
      <c r="A1261" s="10">
        <v>281759</v>
      </c>
      <c r="B1261" s="1" t="s">
        <v>1073</v>
      </c>
      <c r="C1261" s="2">
        <v>3500000</v>
      </c>
      <c r="D1261" s="41"/>
      <c r="J1261" s="39">
        <v>347564</v>
      </c>
      <c r="K1261" s="41">
        <v>0</v>
      </c>
      <c r="L1261" s="41">
        <v>2358000</v>
      </c>
      <c r="M1261" s="41"/>
    </row>
    <row r="1262" spans="1:13">
      <c r="A1262" s="10">
        <v>12320367</v>
      </c>
      <c r="B1262" s="1" t="s">
        <v>1073</v>
      </c>
      <c r="C1262" s="2">
        <v>400000</v>
      </c>
      <c r="D1262" s="41"/>
      <c r="J1262" s="39">
        <v>371867</v>
      </c>
      <c r="K1262" s="41">
        <v>38</v>
      </c>
      <c r="L1262" s="41">
        <v>7323500</v>
      </c>
      <c r="M1262" s="41"/>
    </row>
    <row r="1263" spans="1:13">
      <c r="A1263" s="10">
        <v>199020</v>
      </c>
      <c r="B1263" s="1" t="s">
        <v>1073</v>
      </c>
      <c r="C1263" s="3">
        <v>200000</v>
      </c>
      <c r="D1263" s="41"/>
      <c r="J1263" s="39">
        <v>385444</v>
      </c>
      <c r="K1263" s="41">
        <v>0</v>
      </c>
      <c r="L1263" s="41">
        <v>708000</v>
      </c>
      <c r="M1263" s="41"/>
    </row>
    <row r="1264" spans="1:13">
      <c r="A1264" s="10">
        <v>12327841</v>
      </c>
      <c r="B1264" s="1" t="s">
        <v>1073</v>
      </c>
      <c r="C1264" s="3">
        <v>200000</v>
      </c>
      <c r="D1264" s="41"/>
      <c r="J1264" s="39">
        <v>385457</v>
      </c>
      <c r="K1264" s="41">
        <v>7</v>
      </c>
      <c r="L1264" s="41">
        <v>1300000</v>
      </c>
      <c r="M1264" s="41"/>
    </row>
    <row r="1265" spans="1:13">
      <c r="A1265" s="10">
        <v>12300880</v>
      </c>
      <c r="B1265" s="1">
        <v>226</v>
      </c>
      <c r="C1265" s="2">
        <v>1179000</v>
      </c>
      <c r="D1265" s="41"/>
      <c r="J1265" s="39">
        <v>390771</v>
      </c>
      <c r="K1265" s="41">
        <v>6</v>
      </c>
      <c r="L1265" s="41">
        <v>850000</v>
      </c>
      <c r="M1265" s="41"/>
    </row>
    <row r="1266" spans="1:13">
      <c r="A1266" s="10">
        <v>350476</v>
      </c>
      <c r="B1266" s="1">
        <v>3</v>
      </c>
      <c r="C1266" s="3">
        <v>287000</v>
      </c>
      <c r="D1266" s="41"/>
      <c r="J1266" s="39">
        <v>390838</v>
      </c>
      <c r="K1266" s="41">
        <v>6</v>
      </c>
      <c r="L1266" s="41">
        <v>3029000</v>
      </c>
      <c r="M1266" s="41"/>
    </row>
    <row r="1267" spans="1:13">
      <c r="A1267" s="10">
        <v>12304208</v>
      </c>
      <c r="B1267" s="1" t="s">
        <v>1073</v>
      </c>
      <c r="C1267" s="2">
        <v>800000</v>
      </c>
      <c r="D1267" s="41"/>
      <c r="J1267" s="39">
        <v>399513</v>
      </c>
      <c r="K1267" s="41">
        <v>0</v>
      </c>
      <c r="L1267" s="41">
        <v>11116000</v>
      </c>
      <c r="M1267" s="41"/>
    </row>
    <row r="1268" spans="1:13">
      <c r="A1268" s="10">
        <v>496200</v>
      </c>
      <c r="B1268" s="1">
        <v>3</v>
      </c>
      <c r="C1268" s="2">
        <v>550000</v>
      </c>
      <c r="D1268" s="41"/>
      <c r="J1268" s="39">
        <v>404051</v>
      </c>
      <c r="K1268" s="41">
        <v>15</v>
      </c>
      <c r="L1268" s="41">
        <v>25065402</v>
      </c>
      <c r="M1268" s="41"/>
    </row>
    <row r="1269" spans="1:13">
      <c r="A1269" s="10">
        <v>256637</v>
      </c>
      <c r="B1269" s="1">
        <v>3</v>
      </c>
      <c r="C1269" s="2">
        <v>800000</v>
      </c>
      <c r="D1269" s="41"/>
      <c r="J1269" s="39">
        <v>404090</v>
      </c>
      <c r="K1269" s="41">
        <v>5</v>
      </c>
      <c r="L1269" s="41">
        <v>6574000</v>
      </c>
      <c r="M1269" s="41"/>
    </row>
    <row r="1270" spans="1:13">
      <c r="A1270" s="10">
        <v>344674</v>
      </c>
      <c r="B1270" s="1">
        <v>4</v>
      </c>
      <c r="C1270" s="2">
        <v>3116000</v>
      </c>
      <c r="D1270" s="41"/>
      <c r="J1270" s="39">
        <v>404283</v>
      </c>
      <c r="K1270" s="41">
        <v>3</v>
      </c>
      <c r="L1270" s="41">
        <v>166000</v>
      </c>
      <c r="M1270" s="41"/>
    </row>
    <row r="1271" spans="1:13">
      <c r="A1271" s="10">
        <v>343974</v>
      </c>
      <c r="B1271" s="1" t="s">
        <v>1073</v>
      </c>
      <c r="C1271" s="2">
        <v>750000</v>
      </c>
      <c r="D1271" s="41"/>
      <c r="J1271" s="39">
        <v>422775</v>
      </c>
      <c r="K1271" s="41">
        <v>8</v>
      </c>
      <c r="L1271" s="41">
        <v>63587896</v>
      </c>
      <c r="M1271" s="41"/>
    </row>
    <row r="1272" spans="1:13">
      <c r="A1272" s="10">
        <v>240048</v>
      </c>
      <c r="B1272" s="1">
        <v>50</v>
      </c>
      <c r="C1272" s="2">
        <v>700000</v>
      </c>
      <c r="D1272" s="41"/>
      <c r="J1272" s="39">
        <v>453810</v>
      </c>
      <c r="K1272" s="41">
        <v>3</v>
      </c>
      <c r="L1272" s="41">
        <v>58000</v>
      </c>
      <c r="M1272" s="41"/>
    </row>
    <row r="1273" spans="1:13">
      <c r="A1273" s="10">
        <v>240416</v>
      </c>
      <c r="B1273" s="1" t="s">
        <v>1073</v>
      </c>
      <c r="C1273" s="3">
        <v>200000</v>
      </c>
      <c r="D1273" s="41"/>
      <c r="J1273" s="39">
        <v>458978</v>
      </c>
      <c r="K1273" s="41">
        <v>0</v>
      </c>
      <c r="L1273" s="41">
        <v>158000</v>
      </c>
      <c r="M1273" s="41"/>
    </row>
    <row r="1274" spans="1:13">
      <c r="A1274" s="10">
        <v>12304884</v>
      </c>
      <c r="B1274" s="1" t="s">
        <v>1073</v>
      </c>
      <c r="C1274" s="2">
        <v>300000</v>
      </c>
      <c r="D1274" s="41"/>
      <c r="J1274" s="39">
        <v>475159</v>
      </c>
      <c r="K1274" s="41">
        <v>3</v>
      </c>
      <c r="L1274" s="41">
        <v>7568000</v>
      </c>
      <c r="M1274" s="41"/>
    </row>
    <row r="1275" spans="1:13">
      <c r="A1275" s="10">
        <v>509473</v>
      </c>
      <c r="B1275" s="1" t="s">
        <v>1073</v>
      </c>
      <c r="C1275" s="1" t="s">
        <v>1073</v>
      </c>
      <c r="D1275" s="41"/>
      <c r="J1275" s="39">
        <v>481887</v>
      </c>
      <c r="K1275" s="41">
        <v>1</v>
      </c>
      <c r="L1275" s="41">
        <v>1258000</v>
      </c>
      <c r="M1275" s="41"/>
    </row>
    <row r="1276" spans="1:13">
      <c r="A1276" s="10">
        <v>12296204</v>
      </c>
      <c r="B1276" s="1" t="s">
        <v>1073</v>
      </c>
      <c r="C1276" s="3">
        <v>100000</v>
      </c>
      <c r="D1276" s="41"/>
      <c r="J1276" s="39">
        <v>525138</v>
      </c>
      <c r="K1276" s="41">
        <v>1</v>
      </c>
      <c r="L1276" s="41">
        <v>716000</v>
      </c>
      <c r="M1276" s="41"/>
    </row>
    <row r="1277" spans="1:13">
      <c r="A1277" s="10">
        <v>312931</v>
      </c>
      <c r="B1277" s="1" t="s">
        <v>1073</v>
      </c>
      <c r="C1277" s="1" t="s">
        <v>1073</v>
      </c>
      <c r="D1277" s="41"/>
      <c r="J1277" s="39">
        <v>531749</v>
      </c>
      <c r="K1277" s="41">
        <v>3</v>
      </c>
      <c r="L1277" s="41">
        <v>174000</v>
      </c>
      <c r="M1277" s="41"/>
    </row>
    <row r="1278" spans="1:13">
      <c r="A1278" s="10">
        <v>511938</v>
      </c>
      <c r="B1278" s="1" t="s">
        <v>1073</v>
      </c>
      <c r="C1278" s="2">
        <v>300000</v>
      </c>
      <c r="D1278" s="41"/>
      <c r="J1278" s="39">
        <v>532244</v>
      </c>
      <c r="K1278" s="41">
        <v>5</v>
      </c>
      <c r="L1278" s="41">
        <v>450000</v>
      </c>
      <c r="M1278" s="41"/>
    </row>
    <row r="1279" spans="1:13">
      <c r="A1279" s="10">
        <v>545391</v>
      </c>
      <c r="B1279" s="1" t="s">
        <v>1073</v>
      </c>
      <c r="C1279" s="2">
        <v>2954600</v>
      </c>
      <c r="D1279" s="41"/>
      <c r="J1279" s="39">
        <v>563090</v>
      </c>
      <c r="K1279" s="41">
        <v>0</v>
      </c>
      <c r="L1279" s="41">
        <v>0</v>
      </c>
      <c r="M1279" s="41"/>
    </row>
    <row r="1280" spans="1:13">
      <c r="A1280" s="10">
        <v>344532</v>
      </c>
      <c r="B1280" s="1" t="s">
        <v>1073</v>
      </c>
      <c r="C1280" s="2">
        <v>300000</v>
      </c>
      <c r="D1280" s="41"/>
      <c r="J1280" s="39">
        <v>580633</v>
      </c>
      <c r="K1280" s="41">
        <v>6</v>
      </c>
      <c r="L1280" s="41">
        <v>1658000</v>
      </c>
      <c r="M1280" s="41"/>
    </row>
    <row r="1281" spans="1:13">
      <c r="A1281" s="10">
        <v>3088</v>
      </c>
      <c r="B1281" s="1" t="s">
        <v>1073</v>
      </c>
      <c r="C1281" s="2">
        <v>500000</v>
      </c>
      <c r="D1281" s="41"/>
      <c r="J1281" s="39">
        <v>61483</v>
      </c>
      <c r="K1281" s="41">
        <v>5</v>
      </c>
      <c r="L1281" s="41">
        <v>3216000</v>
      </c>
      <c r="M1281" s="41"/>
    </row>
    <row r="1282" spans="1:13">
      <c r="A1282" s="10">
        <v>274521</v>
      </c>
      <c r="B1282" s="1" t="s">
        <v>1073</v>
      </c>
      <c r="C1282" s="1" t="s">
        <v>1073</v>
      </c>
      <c r="D1282" s="41"/>
      <c r="J1282" s="39">
        <v>61718</v>
      </c>
      <c r="K1282" s="41">
        <v>1</v>
      </c>
      <c r="L1282" s="41">
        <v>2316000</v>
      </c>
      <c r="M1282" s="41"/>
    </row>
    <row r="1283" spans="1:13">
      <c r="A1283" s="10">
        <v>468349</v>
      </c>
      <c r="B1283" s="1" t="s">
        <v>1073</v>
      </c>
      <c r="C1283" s="2">
        <v>300000</v>
      </c>
      <c r="D1283" s="41"/>
      <c r="J1283" s="39">
        <v>62052</v>
      </c>
      <c r="K1283" s="41">
        <v>0</v>
      </c>
      <c r="L1283" s="41">
        <v>1558000</v>
      </c>
      <c r="M1283" s="41"/>
    </row>
    <row r="1284" spans="1:13">
      <c r="A1284" s="10">
        <v>514871</v>
      </c>
      <c r="B1284" s="1">
        <v>18</v>
      </c>
      <c r="C1284" s="2">
        <v>1287000</v>
      </c>
      <c r="D1284" s="41"/>
      <c r="J1284" s="39">
        <v>62165</v>
      </c>
      <c r="K1284" s="41">
        <v>12</v>
      </c>
      <c r="L1284" s="41">
        <v>5929000</v>
      </c>
      <c r="M1284" s="41"/>
    </row>
    <row r="1285" spans="1:13">
      <c r="A1285" s="10">
        <v>546446</v>
      </c>
      <c r="B1285" s="1" t="s">
        <v>1073</v>
      </c>
      <c r="C1285" s="2">
        <v>300000</v>
      </c>
      <c r="D1285" s="41"/>
      <c r="J1285" s="39">
        <v>62206</v>
      </c>
      <c r="K1285" s="41">
        <v>0</v>
      </c>
      <c r="L1285" s="41">
        <v>0</v>
      </c>
      <c r="M1285" s="41"/>
    </row>
    <row r="1286" spans="1:13">
      <c r="A1286" s="10">
        <v>544831</v>
      </c>
      <c r="B1286" s="1">
        <v>5</v>
      </c>
      <c r="C1286" s="3">
        <v>87000</v>
      </c>
      <c r="D1286" s="41"/>
      <c r="J1286" s="39">
        <v>9191</v>
      </c>
      <c r="K1286" s="41">
        <v>6</v>
      </c>
      <c r="L1286" s="41">
        <v>2816000</v>
      </c>
      <c r="M1286" s="41"/>
    </row>
    <row r="1287" spans="1:13">
      <c r="A1287" s="10">
        <v>364537</v>
      </c>
      <c r="B1287" s="1" t="s">
        <v>1073</v>
      </c>
      <c r="C1287" s="1" t="s">
        <v>1073</v>
      </c>
      <c r="D1287" s="41"/>
      <c r="J1287" s="39" t="s">
        <v>804</v>
      </c>
      <c r="K1287" s="41">
        <v>35</v>
      </c>
      <c r="L1287" s="41">
        <v>355000</v>
      </c>
      <c r="M1287" s="41"/>
    </row>
    <row r="1288" spans="1:13">
      <c r="A1288" s="10">
        <v>339315</v>
      </c>
      <c r="B1288" s="1">
        <v>5</v>
      </c>
      <c r="C1288" s="2">
        <v>558000</v>
      </c>
      <c r="D1288" s="41"/>
      <c r="J1288" s="39" t="s">
        <v>806</v>
      </c>
      <c r="K1288" s="41">
        <v>65</v>
      </c>
      <c r="L1288" s="41">
        <v>1407000</v>
      </c>
      <c r="M1288" s="41"/>
    </row>
    <row r="1289" spans="1:13">
      <c r="A1289" s="10">
        <v>575012</v>
      </c>
      <c r="B1289" s="1" t="s">
        <v>1073</v>
      </c>
      <c r="C1289" s="2">
        <v>1860000</v>
      </c>
      <c r="D1289" s="41"/>
      <c r="J1289" s="39">
        <v>12322582</v>
      </c>
      <c r="K1289" s="41">
        <v>0</v>
      </c>
      <c r="L1289" s="41">
        <v>200000</v>
      </c>
      <c r="M1289" s="41"/>
    </row>
    <row r="1290" spans="1:13">
      <c r="A1290" s="10">
        <v>545500</v>
      </c>
      <c r="B1290" s="1">
        <v>5</v>
      </c>
      <c r="C1290" s="1" t="s">
        <v>1073</v>
      </c>
      <c r="D1290" s="41"/>
      <c r="J1290" s="39">
        <v>12325045</v>
      </c>
      <c r="K1290" s="41">
        <v>0</v>
      </c>
      <c r="L1290" s="41">
        <v>200000</v>
      </c>
      <c r="M1290" s="41"/>
    </row>
    <row r="1291" spans="1:13">
      <c r="A1291" s="10">
        <v>12304225</v>
      </c>
      <c r="B1291" s="1" t="s">
        <v>1073</v>
      </c>
      <c r="C1291" s="1" t="s">
        <v>1073</v>
      </c>
      <c r="D1291" s="41"/>
      <c r="J1291" s="39">
        <v>12325132</v>
      </c>
      <c r="K1291" s="41">
        <v>4</v>
      </c>
      <c r="L1291" s="41">
        <v>1200000</v>
      </c>
      <c r="M1291" s="41"/>
    </row>
    <row r="1292" spans="1:13">
      <c r="A1292" s="10">
        <v>63851</v>
      </c>
      <c r="B1292" s="1">
        <v>15</v>
      </c>
      <c r="C1292" s="3">
        <v>100000</v>
      </c>
      <c r="D1292" s="41"/>
      <c r="J1292" s="39">
        <v>214353</v>
      </c>
      <c r="K1292" s="41">
        <v>0</v>
      </c>
      <c r="L1292" s="41">
        <v>5000000</v>
      </c>
      <c r="M1292" s="41"/>
    </row>
    <row r="1293" spans="1:13">
      <c r="A1293" s="10">
        <v>61890</v>
      </c>
      <c r="B1293" s="1">
        <v>2</v>
      </c>
      <c r="C1293" s="3">
        <v>58000</v>
      </c>
      <c r="D1293" s="41"/>
      <c r="J1293" s="39">
        <v>224061</v>
      </c>
      <c r="K1293" s="41">
        <v>4</v>
      </c>
      <c r="L1293" s="41">
        <v>5400000</v>
      </c>
      <c r="M1293" s="41"/>
    </row>
    <row r="1294" spans="1:13">
      <c r="A1294" s="10">
        <v>126926</v>
      </c>
      <c r="B1294" s="1" t="s">
        <v>1073</v>
      </c>
      <c r="C1294" s="2">
        <v>7015000</v>
      </c>
      <c r="D1294" s="41"/>
      <c r="J1294" s="39">
        <v>237416</v>
      </c>
      <c r="K1294" s="41">
        <v>4</v>
      </c>
      <c r="L1294" s="41">
        <v>150000</v>
      </c>
      <c r="M1294" s="41"/>
    </row>
    <row r="1295" spans="1:13">
      <c r="A1295" s="10">
        <v>336129</v>
      </c>
      <c r="B1295" s="1" t="s">
        <v>1073</v>
      </c>
      <c r="C1295" s="2">
        <v>8550000</v>
      </c>
      <c r="D1295" s="41"/>
      <c r="J1295" s="39">
        <v>237428</v>
      </c>
      <c r="K1295" s="41">
        <v>0</v>
      </c>
      <c r="L1295" s="41">
        <v>0</v>
      </c>
      <c r="M1295" s="41"/>
    </row>
    <row r="1296" spans="1:13">
      <c r="A1296" s="10">
        <v>61892</v>
      </c>
      <c r="B1296" s="1" t="s">
        <v>1073</v>
      </c>
      <c r="C1296" s="2">
        <v>500000</v>
      </c>
      <c r="D1296" s="41"/>
      <c r="J1296" s="39">
        <v>246053</v>
      </c>
      <c r="K1296" s="41">
        <v>3</v>
      </c>
      <c r="L1296" s="41">
        <v>400000</v>
      </c>
      <c r="M1296" s="41"/>
    </row>
    <row r="1297" spans="1:13">
      <c r="A1297" s="10">
        <v>12295864</v>
      </c>
      <c r="B1297" s="1" t="s">
        <v>1073</v>
      </c>
      <c r="C1297" s="3">
        <v>200000</v>
      </c>
      <c r="D1297" s="41"/>
      <c r="J1297" s="39">
        <v>246587</v>
      </c>
      <c r="K1297" s="41">
        <v>4</v>
      </c>
      <c r="L1297" s="41">
        <v>2200000</v>
      </c>
      <c r="M1297" s="41"/>
    </row>
    <row r="1298" spans="1:13">
      <c r="A1298" s="10">
        <v>404929</v>
      </c>
      <c r="B1298" s="1">
        <v>3</v>
      </c>
      <c r="C1298" s="2">
        <v>1150000</v>
      </c>
      <c r="D1298" s="41"/>
      <c r="J1298" s="39">
        <v>260298</v>
      </c>
      <c r="K1298" s="41">
        <v>4</v>
      </c>
      <c r="L1298" s="41">
        <v>1150000</v>
      </c>
      <c r="M1298" s="41"/>
    </row>
    <row r="1299" spans="1:13">
      <c r="A1299" s="10">
        <v>211739</v>
      </c>
      <c r="B1299" s="1" t="s">
        <v>1073</v>
      </c>
      <c r="C1299" s="2">
        <v>700000</v>
      </c>
      <c r="D1299" s="41"/>
      <c r="J1299" s="39">
        <v>262784</v>
      </c>
      <c r="K1299" s="41">
        <v>0</v>
      </c>
      <c r="L1299" s="41">
        <v>250000</v>
      </c>
      <c r="M1299" s="41"/>
    </row>
    <row r="1300" spans="1:13">
      <c r="A1300" s="10">
        <v>260298</v>
      </c>
      <c r="B1300" s="1">
        <v>3</v>
      </c>
      <c r="C1300" s="2">
        <v>300000</v>
      </c>
      <c r="D1300" s="41"/>
      <c r="J1300" s="39">
        <v>2628</v>
      </c>
      <c r="K1300" s="41">
        <v>4</v>
      </c>
      <c r="L1300" s="41">
        <v>21049325</v>
      </c>
      <c r="M1300" s="41"/>
    </row>
    <row r="1301" spans="1:13">
      <c r="A1301" s="10">
        <v>61526</v>
      </c>
      <c r="B1301" s="1" t="s">
        <v>1073</v>
      </c>
      <c r="C1301" s="2">
        <v>3000000</v>
      </c>
      <c r="D1301" s="41"/>
      <c r="J1301" s="39">
        <v>264668</v>
      </c>
      <c r="K1301" s="41">
        <v>3</v>
      </c>
      <c r="L1301" s="41">
        <v>2170000</v>
      </c>
      <c r="M1301" s="41"/>
    </row>
    <row r="1302" spans="1:13">
      <c r="A1302" s="10">
        <v>12327271</v>
      </c>
      <c r="B1302" s="1" t="s">
        <v>1073</v>
      </c>
      <c r="C1302" s="1" t="s">
        <v>1073</v>
      </c>
      <c r="D1302" s="41"/>
      <c r="J1302" s="39">
        <v>265773</v>
      </c>
      <c r="K1302" s="41">
        <v>3</v>
      </c>
      <c r="L1302" s="41">
        <v>7266000</v>
      </c>
      <c r="M1302" s="41"/>
    </row>
    <row r="1303" spans="1:13">
      <c r="A1303" s="10">
        <v>458917</v>
      </c>
      <c r="B1303" s="1" t="s">
        <v>1073</v>
      </c>
      <c r="C1303" s="2">
        <v>700000</v>
      </c>
      <c r="D1303" s="41"/>
      <c r="J1303" s="39">
        <v>267428</v>
      </c>
      <c r="K1303" s="41">
        <v>119</v>
      </c>
      <c r="L1303" s="41">
        <v>12227345</v>
      </c>
      <c r="M1303" s="41"/>
    </row>
    <row r="1304" spans="1:13">
      <c r="A1304" s="10">
        <v>127542</v>
      </c>
      <c r="B1304" s="1">
        <v>5</v>
      </c>
      <c r="C1304" s="2">
        <v>1345000</v>
      </c>
      <c r="D1304" s="41"/>
      <c r="J1304" s="39">
        <v>270056</v>
      </c>
      <c r="K1304" s="41">
        <v>4</v>
      </c>
      <c r="L1304" s="41">
        <v>9500000</v>
      </c>
      <c r="M1304" s="41"/>
    </row>
    <row r="1305" spans="1:13">
      <c r="A1305" s="10">
        <v>12295813</v>
      </c>
      <c r="B1305" s="1" t="s">
        <v>1073</v>
      </c>
      <c r="C1305" s="2">
        <v>300000</v>
      </c>
      <c r="D1305" s="41"/>
      <c r="J1305" s="39">
        <v>274521</v>
      </c>
      <c r="K1305" s="41">
        <v>4</v>
      </c>
      <c r="L1305" s="41">
        <v>1758000</v>
      </c>
      <c r="M1305" s="41"/>
    </row>
    <row r="1306" spans="1:13">
      <c r="A1306" s="10">
        <v>12321230</v>
      </c>
      <c r="B1306" s="1">
        <v>5</v>
      </c>
      <c r="C1306" s="1" t="s">
        <v>1073</v>
      </c>
      <c r="D1306" s="41"/>
      <c r="J1306" s="39">
        <v>283425</v>
      </c>
      <c r="K1306" s="41">
        <v>2</v>
      </c>
      <c r="L1306" s="41">
        <v>600000</v>
      </c>
      <c r="M1306" s="41"/>
    </row>
    <row r="1307" spans="1:13">
      <c r="A1307" s="10">
        <v>257042</v>
      </c>
      <c r="B1307" s="1" t="s">
        <v>1073</v>
      </c>
      <c r="C1307" s="1" t="s">
        <v>1073</v>
      </c>
      <c r="D1307" s="41"/>
      <c r="J1307" s="39">
        <v>293932</v>
      </c>
      <c r="K1307" s="41">
        <v>8</v>
      </c>
      <c r="L1307" s="41">
        <v>3510000</v>
      </c>
      <c r="M1307" s="41"/>
    </row>
    <row r="1308" spans="1:13">
      <c r="A1308" s="10">
        <v>340429</v>
      </c>
      <c r="B1308" s="1" t="s">
        <v>1073</v>
      </c>
      <c r="C1308" s="1" t="s">
        <v>1073</v>
      </c>
      <c r="D1308" s="41"/>
      <c r="J1308" s="39">
        <v>298581</v>
      </c>
      <c r="K1308" s="41">
        <v>7</v>
      </c>
      <c r="L1308" s="41">
        <v>5000000</v>
      </c>
      <c r="M1308" s="41"/>
    </row>
    <row r="1309" spans="1:13">
      <c r="A1309" s="10">
        <v>512404</v>
      </c>
      <c r="B1309" s="1" t="s">
        <v>1073</v>
      </c>
      <c r="C1309" s="2">
        <v>1500000</v>
      </c>
      <c r="D1309" s="41"/>
      <c r="J1309" s="39">
        <v>305323</v>
      </c>
      <c r="K1309" s="41">
        <v>0</v>
      </c>
      <c r="L1309" s="41">
        <v>0</v>
      </c>
      <c r="M1309" s="41"/>
    </row>
    <row r="1310" spans="1:13">
      <c r="A1310" s="10">
        <v>515338</v>
      </c>
      <c r="B1310" s="1">
        <v>1</v>
      </c>
      <c r="C1310" s="2">
        <v>2179000</v>
      </c>
      <c r="D1310" s="41"/>
      <c r="J1310" s="39">
        <v>327725</v>
      </c>
      <c r="K1310" s="41">
        <v>5</v>
      </c>
      <c r="L1310" s="41">
        <v>2900000</v>
      </c>
      <c r="M1310" s="41"/>
    </row>
    <row r="1311" spans="1:13">
      <c r="A1311" s="10">
        <v>126952</v>
      </c>
      <c r="B1311" s="1">
        <v>10</v>
      </c>
      <c r="C1311" s="3">
        <v>250000</v>
      </c>
      <c r="D1311" s="41"/>
      <c r="J1311" s="39">
        <v>342581</v>
      </c>
      <c r="K1311" s="41">
        <v>3</v>
      </c>
      <c r="L1311" s="41">
        <v>1100000</v>
      </c>
      <c r="M1311" s="41"/>
    </row>
    <row r="1312" spans="1:13">
      <c r="A1312" s="10">
        <v>475081</v>
      </c>
      <c r="B1312" s="1">
        <v>5</v>
      </c>
      <c r="C1312" s="1" t="s">
        <v>1073</v>
      </c>
      <c r="D1312" s="41"/>
      <c r="J1312" s="39">
        <v>364974</v>
      </c>
      <c r="K1312" s="41">
        <v>1</v>
      </c>
      <c r="L1312" s="41">
        <v>1150000</v>
      </c>
      <c r="M1312" s="41"/>
    </row>
    <row r="1313" spans="1:13">
      <c r="A1313" s="10">
        <v>399087</v>
      </c>
      <c r="B1313" s="1">
        <v>3</v>
      </c>
      <c r="C1313" s="1" t="s">
        <v>1073</v>
      </c>
      <c r="D1313" s="41"/>
      <c r="J1313" s="39">
        <v>366695</v>
      </c>
      <c r="K1313" s="41">
        <v>1</v>
      </c>
      <c r="L1313" s="41">
        <v>4200000</v>
      </c>
      <c r="M1313" s="41"/>
    </row>
    <row r="1314" spans="1:13">
      <c r="A1314" s="10">
        <v>240084</v>
      </c>
      <c r="B1314" s="1" t="s">
        <v>1073</v>
      </c>
      <c r="C1314" s="2">
        <v>7000000</v>
      </c>
      <c r="D1314" s="41"/>
      <c r="J1314" s="39">
        <v>369735</v>
      </c>
      <c r="K1314" s="41">
        <v>7</v>
      </c>
      <c r="L1314" s="41">
        <v>4329000</v>
      </c>
      <c r="M1314" s="41"/>
    </row>
    <row r="1315" spans="1:13">
      <c r="A1315" s="10">
        <v>186394</v>
      </c>
      <c r="B1315" s="1">
        <v>3</v>
      </c>
      <c r="C1315" s="2">
        <v>4000000</v>
      </c>
      <c r="D1315" s="41"/>
      <c r="J1315" s="39">
        <v>405373</v>
      </c>
      <c r="K1315" s="41">
        <v>4</v>
      </c>
      <c r="L1315" s="41">
        <v>1158000</v>
      </c>
      <c r="M1315" s="41"/>
    </row>
    <row r="1316" spans="1:13">
      <c r="A1316" s="10">
        <v>12322496</v>
      </c>
      <c r="B1316" s="1" t="s">
        <v>1073</v>
      </c>
      <c r="C1316" s="2">
        <v>500000</v>
      </c>
      <c r="D1316" s="41"/>
      <c r="J1316" s="39">
        <v>466676</v>
      </c>
      <c r="K1316" s="41">
        <v>3</v>
      </c>
      <c r="L1316" s="41">
        <v>3558000</v>
      </c>
      <c r="M1316" s="41"/>
    </row>
    <row r="1317" spans="1:13">
      <c r="A1317" s="10">
        <v>489157</v>
      </c>
      <c r="B1317" s="1" t="s">
        <v>1073</v>
      </c>
      <c r="C1317" s="2">
        <v>963000</v>
      </c>
      <c r="D1317" s="41"/>
      <c r="J1317" s="39">
        <v>514162</v>
      </c>
      <c r="K1317" s="41">
        <v>4</v>
      </c>
      <c r="L1317" s="41">
        <v>3400000</v>
      </c>
      <c r="M1317" s="41"/>
    </row>
    <row r="1318" spans="1:13">
      <c r="A1318" s="10">
        <v>12304720</v>
      </c>
      <c r="B1318" s="1" t="s">
        <v>1073</v>
      </c>
      <c r="C1318" s="1" t="s">
        <v>1073</v>
      </c>
      <c r="D1318" s="41"/>
      <c r="J1318" s="39">
        <v>519379</v>
      </c>
      <c r="K1318" s="41">
        <v>0</v>
      </c>
      <c r="L1318" s="41">
        <v>400000</v>
      </c>
      <c r="M1318" s="41"/>
    </row>
    <row r="1319" spans="1:13">
      <c r="A1319" s="10">
        <v>344173</v>
      </c>
      <c r="B1319" s="1">
        <v>62</v>
      </c>
      <c r="C1319" s="2">
        <v>1225000</v>
      </c>
      <c r="D1319" s="41"/>
      <c r="J1319" s="39">
        <v>526575</v>
      </c>
      <c r="K1319" s="41">
        <v>0</v>
      </c>
      <c r="L1319" s="41">
        <v>1250000</v>
      </c>
      <c r="M1319" s="41"/>
    </row>
    <row r="1320" spans="1:13">
      <c r="A1320" s="10">
        <v>547922</v>
      </c>
      <c r="B1320" s="1" t="s">
        <v>1073</v>
      </c>
      <c r="C1320" s="1" t="s">
        <v>1073</v>
      </c>
      <c r="D1320" s="41"/>
      <c r="J1320" s="39">
        <v>527659</v>
      </c>
      <c r="K1320" s="41">
        <v>6</v>
      </c>
      <c r="L1320" s="41">
        <v>350000</v>
      </c>
      <c r="M1320" s="41"/>
    </row>
    <row r="1321" spans="1:13">
      <c r="A1321" s="10">
        <v>12314331</v>
      </c>
      <c r="B1321" s="1">
        <v>3</v>
      </c>
      <c r="C1321" s="2">
        <v>500000</v>
      </c>
      <c r="D1321" s="41"/>
      <c r="J1321" s="39">
        <v>535762</v>
      </c>
      <c r="K1321" s="41">
        <v>0</v>
      </c>
      <c r="L1321" s="41">
        <v>850000</v>
      </c>
      <c r="M1321" s="41"/>
    </row>
    <row r="1322" spans="1:13">
      <c r="A1322" s="10">
        <v>62206</v>
      </c>
      <c r="B1322" s="1" t="s">
        <v>1073</v>
      </c>
      <c r="C1322" s="1" t="s">
        <v>1073</v>
      </c>
      <c r="D1322" s="41"/>
      <c r="J1322" s="39">
        <v>538626</v>
      </c>
      <c r="K1322" s="41">
        <v>1</v>
      </c>
      <c r="L1322" s="41">
        <v>1708000</v>
      </c>
      <c r="M1322" s="41"/>
    </row>
    <row r="1323" spans="1:13">
      <c r="A1323" s="10">
        <v>416191</v>
      </c>
      <c r="B1323" s="1" t="s">
        <v>1073</v>
      </c>
      <c r="C1323" s="3">
        <v>250000</v>
      </c>
      <c r="D1323" s="41"/>
      <c r="J1323" s="39">
        <v>548720</v>
      </c>
      <c r="K1323" s="41">
        <v>3</v>
      </c>
      <c r="L1323" s="41">
        <v>537000</v>
      </c>
      <c r="M1323" s="41"/>
    </row>
    <row r="1324" spans="1:13">
      <c r="A1324" s="10">
        <v>277306</v>
      </c>
      <c r="B1324" s="1" t="s">
        <v>1073</v>
      </c>
      <c r="C1324" s="3">
        <v>100000</v>
      </c>
      <c r="D1324" s="41"/>
      <c r="J1324" s="39">
        <v>557418</v>
      </c>
      <c r="K1324" s="41">
        <v>4</v>
      </c>
      <c r="L1324" s="41">
        <v>1979000</v>
      </c>
      <c r="M1324" s="41"/>
    </row>
    <row r="1325" spans="1:13">
      <c r="A1325" s="10">
        <v>391846</v>
      </c>
      <c r="B1325" s="1" t="s">
        <v>1073</v>
      </c>
      <c r="C1325" s="2">
        <v>300000</v>
      </c>
      <c r="D1325" s="41"/>
      <c r="J1325" s="39">
        <v>559133</v>
      </c>
      <c r="K1325" s="41">
        <v>3</v>
      </c>
      <c r="L1325" s="41">
        <v>2700000</v>
      </c>
      <c r="M1325" s="41"/>
    </row>
    <row r="1326" spans="1:13">
      <c r="A1326" s="10">
        <v>12322396</v>
      </c>
      <c r="B1326" s="1" t="s">
        <v>1073</v>
      </c>
      <c r="C1326" s="1" t="s">
        <v>1073</v>
      </c>
      <c r="D1326" s="41"/>
      <c r="J1326" s="39">
        <v>559287</v>
      </c>
      <c r="K1326" s="41">
        <v>0</v>
      </c>
      <c r="L1326" s="41">
        <v>1562500</v>
      </c>
      <c r="M1326" s="41"/>
    </row>
    <row r="1327" spans="1:13">
      <c r="A1327" s="10">
        <v>530058</v>
      </c>
      <c r="B1327" s="1">
        <v>3</v>
      </c>
      <c r="C1327" s="2">
        <v>1000000</v>
      </c>
      <c r="D1327" s="41"/>
      <c r="J1327" s="39">
        <v>562943</v>
      </c>
      <c r="K1327" s="41">
        <v>6</v>
      </c>
      <c r="L1327" s="41">
        <v>0</v>
      </c>
      <c r="M1327" s="41"/>
    </row>
    <row r="1328" spans="1:13">
      <c r="A1328" s="10">
        <v>61933</v>
      </c>
      <c r="B1328" s="1" t="s">
        <v>1073</v>
      </c>
      <c r="C1328" s="2">
        <v>6170306</v>
      </c>
      <c r="D1328" s="41"/>
      <c r="J1328" s="39">
        <v>61673</v>
      </c>
      <c r="K1328" s="41">
        <v>4</v>
      </c>
      <c r="L1328" s="41">
        <v>953000</v>
      </c>
      <c r="M1328" s="41"/>
    </row>
    <row r="1329" spans="1:13">
      <c r="A1329" s="10">
        <v>473619</v>
      </c>
      <c r="B1329" s="1" t="s">
        <v>1073</v>
      </c>
      <c r="C1329" s="2">
        <v>500000</v>
      </c>
      <c r="D1329" s="41"/>
      <c r="J1329" s="39">
        <v>61881</v>
      </c>
      <c r="K1329" s="41">
        <v>24</v>
      </c>
      <c r="L1329" s="41">
        <v>18534467</v>
      </c>
      <c r="M1329" s="41"/>
    </row>
    <row r="1330" spans="1:13">
      <c r="A1330" s="10">
        <v>457463</v>
      </c>
      <c r="B1330" s="1" t="s">
        <v>1073</v>
      </c>
      <c r="C1330" s="2">
        <v>500000</v>
      </c>
      <c r="D1330" s="41"/>
      <c r="J1330" s="39">
        <v>61933</v>
      </c>
      <c r="K1330" s="41">
        <v>11</v>
      </c>
      <c r="L1330" s="41">
        <v>22308850</v>
      </c>
      <c r="M1330" s="41"/>
    </row>
    <row r="1331" spans="1:13">
      <c r="A1331" s="10">
        <v>126916</v>
      </c>
      <c r="B1331" s="1">
        <v>15</v>
      </c>
      <c r="C1331" s="2">
        <v>6448290</v>
      </c>
      <c r="D1331" s="41"/>
      <c r="J1331" s="39">
        <v>61937</v>
      </c>
      <c r="K1331" s="41">
        <v>64</v>
      </c>
      <c r="L1331" s="41">
        <v>21955565</v>
      </c>
      <c r="M1331" s="41"/>
    </row>
    <row r="1332" spans="1:13">
      <c r="A1332" s="10">
        <v>12297040</v>
      </c>
      <c r="B1332" s="1" t="s">
        <v>1073</v>
      </c>
      <c r="C1332" s="1" t="s">
        <v>1073</v>
      </c>
      <c r="D1332" s="41"/>
      <c r="J1332" s="39">
        <v>61947</v>
      </c>
      <c r="K1332" s="41">
        <v>13</v>
      </c>
      <c r="L1332" s="41">
        <v>5493000</v>
      </c>
      <c r="M1332" s="41"/>
    </row>
    <row r="1333" spans="1:13">
      <c r="A1333" s="10">
        <v>533367</v>
      </c>
      <c r="B1333" s="1" t="s">
        <v>1073</v>
      </c>
      <c r="C1333" s="2">
        <v>450000</v>
      </c>
      <c r="D1333" s="41"/>
      <c r="J1333" s="39">
        <v>61948</v>
      </c>
      <c r="K1333" s="41">
        <v>0</v>
      </c>
      <c r="L1333" s="41">
        <v>100000</v>
      </c>
      <c r="M1333" s="41"/>
    </row>
    <row r="1334" spans="1:13">
      <c r="A1334" s="10">
        <v>347151</v>
      </c>
      <c r="B1334" s="1" t="s">
        <v>1073</v>
      </c>
      <c r="C1334" s="3">
        <v>200000</v>
      </c>
      <c r="D1334" s="41"/>
      <c r="J1334" s="39">
        <v>63851</v>
      </c>
      <c r="K1334" s="41">
        <v>64</v>
      </c>
      <c r="L1334" s="41">
        <v>178500</v>
      </c>
      <c r="M1334" s="41"/>
    </row>
    <row r="1335" spans="1:13">
      <c r="A1335" s="10">
        <v>523859</v>
      </c>
      <c r="B1335" s="1">
        <v>3</v>
      </c>
      <c r="C1335" s="1" t="s">
        <v>1073</v>
      </c>
      <c r="D1335" s="41"/>
      <c r="J1335" s="39">
        <v>67033</v>
      </c>
      <c r="K1335" s="41">
        <v>6</v>
      </c>
      <c r="L1335" s="41">
        <v>150000</v>
      </c>
      <c r="M1335" s="41"/>
    </row>
    <row r="1336" spans="1:13">
      <c r="A1336" s="10">
        <v>62423</v>
      </c>
      <c r="B1336" s="1">
        <v>13</v>
      </c>
      <c r="C1336" s="1" t="s">
        <v>1073</v>
      </c>
      <c r="D1336" s="41"/>
      <c r="J1336" s="39">
        <v>67035</v>
      </c>
      <c r="K1336" s="41">
        <v>16</v>
      </c>
      <c r="L1336" s="41">
        <v>5429000</v>
      </c>
      <c r="M1336" s="41"/>
    </row>
    <row r="1337" spans="1:13">
      <c r="A1337" s="10">
        <v>62449</v>
      </c>
      <c r="B1337" s="1" t="s">
        <v>1073</v>
      </c>
      <c r="C1337" s="2">
        <v>3100000</v>
      </c>
      <c r="D1337" s="41"/>
      <c r="J1337" s="39">
        <v>8334</v>
      </c>
      <c r="K1337" s="41">
        <v>70</v>
      </c>
      <c r="L1337" s="41">
        <v>10229000</v>
      </c>
      <c r="M1337" s="41"/>
    </row>
    <row r="1338" spans="1:13">
      <c r="A1338" s="10">
        <v>541322</v>
      </c>
      <c r="B1338" s="1" t="s">
        <v>1073</v>
      </c>
      <c r="C1338" s="3">
        <v>150000</v>
      </c>
      <c r="D1338" s="41"/>
      <c r="J1338" s="39" t="s">
        <v>846</v>
      </c>
      <c r="K1338" s="41">
        <v>215</v>
      </c>
      <c r="L1338" s="41">
        <v>435500</v>
      </c>
      <c r="M1338" s="41"/>
    </row>
    <row r="1339" spans="1:13">
      <c r="A1339" s="10">
        <v>410986</v>
      </c>
      <c r="B1339" s="1" t="s">
        <v>1073</v>
      </c>
      <c r="C1339" s="1" t="s">
        <v>1073</v>
      </c>
      <c r="D1339" s="41"/>
      <c r="J1339" s="39">
        <v>107291</v>
      </c>
      <c r="K1339" s="41">
        <v>0</v>
      </c>
      <c r="L1339" s="41">
        <v>2000000</v>
      </c>
      <c r="M1339" s="41"/>
    </row>
    <row r="1340" spans="1:13">
      <c r="A1340" s="10">
        <v>356600</v>
      </c>
      <c r="B1340" s="1" t="s">
        <v>1073</v>
      </c>
      <c r="C1340" s="2">
        <v>20000000</v>
      </c>
      <c r="D1340" s="41"/>
      <c r="J1340" s="39">
        <v>107296</v>
      </c>
      <c r="K1340" s="41">
        <v>0</v>
      </c>
      <c r="L1340" s="41">
        <v>0</v>
      </c>
      <c r="M1340" s="41"/>
    </row>
    <row r="1341" spans="1:13">
      <c r="A1341" s="10">
        <v>538191</v>
      </c>
      <c r="B1341" s="1" t="s">
        <v>1073</v>
      </c>
      <c r="C1341" s="1" t="s">
        <v>1073</v>
      </c>
      <c r="D1341" s="41"/>
      <c r="J1341" s="39">
        <v>107297</v>
      </c>
      <c r="K1341" s="41">
        <v>29</v>
      </c>
      <c r="L1341" s="41">
        <v>23812000</v>
      </c>
      <c r="M1341" s="41"/>
    </row>
    <row r="1342" spans="1:13">
      <c r="A1342" s="10">
        <v>341164</v>
      </c>
      <c r="B1342" s="1">
        <v>3</v>
      </c>
      <c r="C1342" s="2">
        <v>4590000</v>
      </c>
      <c r="D1342" s="41"/>
      <c r="J1342" s="39">
        <v>12297387</v>
      </c>
      <c r="K1342" s="41">
        <v>45</v>
      </c>
      <c r="L1342" s="41">
        <v>1325000</v>
      </c>
      <c r="M1342" s="41"/>
    </row>
    <row r="1343" spans="1:13">
      <c r="A1343" s="10">
        <v>453810</v>
      </c>
      <c r="B1343" s="1">
        <v>4</v>
      </c>
      <c r="C1343" s="2">
        <v>516000</v>
      </c>
      <c r="D1343" s="41"/>
      <c r="J1343" s="39">
        <v>12304609</v>
      </c>
      <c r="K1343" s="41">
        <v>5</v>
      </c>
      <c r="L1343" s="41">
        <v>1750000</v>
      </c>
      <c r="M1343" s="41"/>
    </row>
    <row r="1344" spans="1:13">
      <c r="A1344" s="10">
        <v>532583</v>
      </c>
      <c r="B1344" s="1" t="s">
        <v>1073</v>
      </c>
      <c r="C1344" s="2">
        <v>2400000</v>
      </c>
      <c r="D1344" s="41"/>
      <c r="J1344" s="39">
        <v>12322314</v>
      </c>
      <c r="K1344" s="41">
        <v>2</v>
      </c>
      <c r="L1344" s="41">
        <v>1850000</v>
      </c>
      <c r="M1344" s="41"/>
    </row>
    <row r="1345" spans="1:13">
      <c r="A1345" s="10">
        <v>12322024</v>
      </c>
      <c r="B1345" s="1">
        <v>3</v>
      </c>
      <c r="C1345" s="2">
        <v>350000</v>
      </c>
      <c r="D1345" s="41"/>
      <c r="J1345" s="39">
        <v>12322963</v>
      </c>
      <c r="K1345" s="41">
        <v>37</v>
      </c>
      <c r="L1345" s="41">
        <v>824000</v>
      </c>
      <c r="M1345" s="41"/>
    </row>
    <row r="1346" spans="1:13">
      <c r="A1346" s="10">
        <v>490023</v>
      </c>
      <c r="B1346" s="1">
        <v>6</v>
      </c>
      <c r="C1346" s="2">
        <v>1287000</v>
      </c>
      <c r="D1346" s="41"/>
      <c r="J1346" s="39">
        <v>12323388</v>
      </c>
      <c r="K1346" s="41">
        <v>70</v>
      </c>
      <c r="L1346" s="41">
        <v>291000</v>
      </c>
      <c r="M1346" s="41"/>
    </row>
    <row r="1347" spans="1:13">
      <c r="A1347" s="10">
        <v>404283</v>
      </c>
      <c r="B1347" s="1">
        <v>2</v>
      </c>
      <c r="C1347" s="3">
        <v>58000</v>
      </c>
      <c r="D1347" s="41"/>
      <c r="J1347" s="39">
        <v>12325413</v>
      </c>
      <c r="K1347" s="41">
        <v>52</v>
      </c>
      <c r="L1347" s="41">
        <v>100000</v>
      </c>
      <c r="M1347" s="41"/>
    </row>
    <row r="1348" spans="1:13">
      <c r="A1348" s="10">
        <v>240378</v>
      </c>
      <c r="B1348" s="1" t="s">
        <v>1073</v>
      </c>
      <c r="C1348" s="2">
        <v>300000</v>
      </c>
      <c r="D1348" s="41"/>
      <c r="J1348" s="39">
        <v>12326005</v>
      </c>
      <c r="K1348" s="41">
        <v>1</v>
      </c>
      <c r="L1348" s="41">
        <v>8688000</v>
      </c>
      <c r="M1348" s="41"/>
    </row>
    <row r="1349" spans="1:13">
      <c r="A1349" s="10">
        <v>61996</v>
      </c>
      <c r="B1349" s="1">
        <v>3</v>
      </c>
      <c r="C1349" s="3">
        <v>125000</v>
      </c>
      <c r="D1349" s="41"/>
      <c r="J1349" s="39">
        <v>12328568</v>
      </c>
      <c r="K1349" s="41">
        <v>2</v>
      </c>
      <c r="L1349" s="41">
        <v>50000</v>
      </c>
      <c r="M1349" s="41"/>
    </row>
    <row r="1350" spans="1:13">
      <c r="A1350" s="10">
        <v>570313</v>
      </c>
      <c r="B1350" s="1" t="s">
        <v>1073</v>
      </c>
      <c r="C1350" s="1" t="s">
        <v>1073</v>
      </c>
      <c r="D1350" s="41"/>
      <c r="J1350" s="39">
        <v>126742</v>
      </c>
      <c r="K1350" s="41">
        <v>5</v>
      </c>
      <c r="L1350" s="41">
        <v>16427992</v>
      </c>
      <c r="M1350" s="41"/>
    </row>
    <row r="1351" spans="1:13">
      <c r="A1351" s="10">
        <v>466676</v>
      </c>
      <c r="B1351" s="1" t="s">
        <v>1073</v>
      </c>
      <c r="C1351" s="3">
        <v>200000</v>
      </c>
      <c r="D1351" s="41"/>
      <c r="J1351" s="39">
        <v>149756</v>
      </c>
      <c r="K1351" s="41">
        <v>3</v>
      </c>
      <c r="L1351" s="41">
        <v>1800000</v>
      </c>
      <c r="M1351" s="41"/>
    </row>
    <row r="1352" spans="1:13">
      <c r="A1352" s="10">
        <v>12322237</v>
      </c>
      <c r="B1352" s="1" t="s">
        <v>1073</v>
      </c>
      <c r="C1352" s="1" t="s">
        <v>1073</v>
      </c>
      <c r="D1352" s="41"/>
      <c r="J1352" s="39">
        <v>195909</v>
      </c>
      <c r="K1352" s="41">
        <v>6</v>
      </c>
      <c r="L1352" s="41">
        <v>650000</v>
      </c>
      <c r="M1352" s="41"/>
    </row>
    <row r="1353" spans="1:13">
      <c r="A1353" s="10">
        <v>12322870</v>
      </c>
      <c r="B1353" s="1" t="s">
        <v>1073</v>
      </c>
      <c r="C1353" s="1" t="s">
        <v>1073</v>
      </c>
      <c r="D1353" s="41"/>
      <c r="J1353" s="39">
        <v>219804</v>
      </c>
      <c r="K1353" s="41">
        <v>0</v>
      </c>
      <c r="L1353" s="41">
        <v>200000</v>
      </c>
      <c r="M1353" s="41"/>
    </row>
    <row r="1354" spans="1:13">
      <c r="A1354" s="10">
        <v>563095</v>
      </c>
      <c r="B1354" s="1" t="s">
        <v>1073</v>
      </c>
      <c r="C1354" s="2">
        <v>2900000</v>
      </c>
      <c r="D1354" s="41"/>
      <c r="J1354" s="39">
        <v>224007</v>
      </c>
      <c r="K1354" s="41">
        <v>50</v>
      </c>
      <c r="L1354" s="41">
        <v>3900000</v>
      </c>
      <c r="M1354" s="41"/>
    </row>
    <row r="1355" spans="1:13">
      <c r="A1355" s="10">
        <v>62119</v>
      </c>
      <c r="B1355" s="1">
        <v>1</v>
      </c>
      <c r="C1355" s="2">
        <v>300000</v>
      </c>
      <c r="D1355" s="41"/>
      <c r="J1355" s="39">
        <v>237411</v>
      </c>
      <c r="K1355" s="41">
        <v>0</v>
      </c>
      <c r="L1355" s="41">
        <v>4000000</v>
      </c>
      <c r="M1355" s="41"/>
    </row>
    <row r="1356" spans="1:13">
      <c r="A1356" s="10">
        <v>574426</v>
      </c>
      <c r="B1356" s="1" t="s">
        <v>1073</v>
      </c>
      <c r="C1356" s="1" t="s">
        <v>1073</v>
      </c>
      <c r="D1356" s="41"/>
      <c r="J1356" s="39">
        <v>244518</v>
      </c>
      <c r="K1356" s="41">
        <v>5</v>
      </c>
      <c r="L1356" s="41">
        <v>9200000</v>
      </c>
      <c r="M1356" s="41"/>
    </row>
    <row r="1357" spans="1:13">
      <c r="A1357" s="10">
        <v>246348</v>
      </c>
      <c r="B1357" s="1" t="s">
        <v>1073</v>
      </c>
      <c r="C1357" s="3">
        <v>200000</v>
      </c>
      <c r="D1357" s="41"/>
      <c r="J1357" s="39">
        <v>244905</v>
      </c>
      <c r="K1357" s="41">
        <v>3</v>
      </c>
      <c r="L1357" s="41">
        <v>700000</v>
      </c>
      <c r="M1357" s="41"/>
    </row>
    <row r="1358" spans="1:13">
      <c r="A1358" s="10">
        <v>293932</v>
      </c>
      <c r="B1358" s="1" t="s">
        <v>1073</v>
      </c>
      <c r="C1358" s="2">
        <v>1695000</v>
      </c>
      <c r="D1358" s="41"/>
      <c r="J1358" s="39">
        <v>2643</v>
      </c>
      <c r="K1358" s="41">
        <v>0</v>
      </c>
      <c r="L1358" s="41">
        <v>400000</v>
      </c>
      <c r="M1358" s="41"/>
    </row>
    <row r="1359" spans="1:13">
      <c r="A1359" s="10">
        <v>522982</v>
      </c>
      <c r="B1359" s="1" t="s">
        <v>1073</v>
      </c>
      <c r="C1359" s="2">
        <v>500000</v>
      </c>
      <c r="D1359" s="41"/>
      <c r="J1359" s="39">
        <v>2722</v>
      </c>
      <c r="K1359" s="41">
        <v>6</v>
      </c>
      <c r="L1359" s="41">
        <v>900000</v>
      </c>
      <c r="M1359" s="41"/>
    </row>
    <row r="1360" spans="1:13">
      <c r="A1360" s="10">
        <v>494998</v>
      </c>
      <c r="B1360" s="1">
        <v>3</v>
      </c>
      <c r="C1360" s="2">
        <v>300000</v>
      </c>
      <c r="D1360" s="41"/>
      <c r="J1360" s="39">
        <v>272399</v>
      </c>
      <c r="K1360" s="41">
        <v>0</v>
      </c>
      <c r="L1360" s="41">
        <v>50000</v>
      </c>
      <c r="M1360" s="41"/>
    </row>
    <row r="1361" spans="1:13">
      <c r="A1361" s="10">
        <v>501643</v>
      </c>
      <c r="B1361" s="1" t="s">
        <v>1073</v>
      </c>
      <c r="C1361" s="2">
        <v>2850000</v>
      </c>
      <c r="D1361" s="41"/>
      <c r="J1361" s="39">
        <v>277789</v>
      </c>
      <c r="K1361" s="41">
        <v>0</v>
      </c>
      <c r="L1361" s="41">
        <v>500000</v>
      </c>
      <c r="M1361" s="41"/>
    </row>
    <row r="1362" spans="1:13">
      <c r="A1362" s="10">
        <v>503866</v>
      </c>
      <c r="B1362" s="1" t="s">
        <v>1073</v>
      </c>
      <c r="C1362" s="2">
        <v>1900000</v>
      </c>
      <c r="D1362" s="41"/>
      <c r="J1362" s="39">
        <v>2787</v>
      </c>
      <c r="K1362" s="41">
        <v>1</v>
      </c>
      <c r="L1362" s="41">
        <v>15040368</v>
      </c>
      <c r="M1362" s="41"/>
    </row>
    <row r="1363" spans="1:13">
      <c r="A1363" s="10">
        <v>551630</v>
      </c>
      <c r="B1363" s="1" t="s">
        <v>1073</v>
      </c>
      <c r="C1363" s="3">
        <v>50000</v>
      </c>
      <c r="D1363" s="41"/>
      <c r="J1363" s="39">
        <v>339315</v>
      </c>
      <c r="K1363" s="41">
        <v>5</v>
      </c>
      <c r="L1363" s="41">
        <v>4500000</v>
      </c>
      <c r="M1363" s="41"/>
    </row>
    <row r="1364" spans="1:13">
      <c r="A1364" s="10">
        <v>12321239</v>
      </c>
      <c r="B1364" s="1">
        <v>443</v>
      </c>
      <c r="C1364" s="2">
        <v>2325000</v>
      </c>
      <c r="D1364" s="41"/>
      <c r="J1364" s="39">
        <v>365502</v>
      </c>
      <c r="K1364" s="41">
        <v>82</v>
      </c>
      <c r="L1364" s="41">
        <v>325000</v>
      </c>
      <c r="M1364" s="41"/>
    </row>
    <row r="1365" spans="1:13">
      <c r="A1365" s="10">
        <v>12300470</v>
      </c>
      <c r="B1365" s="1" t="s">
        <v>1073</v>
      </c>
      <c r="C1365" s="2">
        <v>800000</v>
      </c>
      <c r="D1365" s="41"/>
      <c r="J1365" s="39">
        <v>369875</v>
      </c>
      <c r="K1365" s="41">
        <v>5</v>
      </c>
      <c r="L1365" s="41">
        <v>1400000</v>
      </c>
      <c r="M1365" s="41"/>
    </row>
    <row r="1366" spans="1:13">
      <c r="A1366" s="10">
        <v>61841</v>
      </c>
      <c r="B1366" s="1" t="s">
        <v>1073</v>
      </c>
      <c r="C1366" s="2">
        <v>600000</v>
      </c>
      <c r="D1366" s="41"/>
      <c r="J1366" s="39">
        <v>370031</v>
      </c>
      <c r="K1366" s="41">
        <v>0</v>
      </c>
      <c r="L1366" s="41">
        <v>500000</v>
      </c>
      <c r="M1366" s="41"/>
    </row>
    <row r="1367" spans="1:13">
      <c r="A1367" s="10">
        <v>191791</v>
      </c>
      <c r="B1367" s="1">
        <v>47</v>
      </c>
      <c r="C1367" s="2">
        <v>7370000</v>
      </c>
      <c r="D1367" s="41"/>
      <c r="J1367" s="39">
        <v>370040</v>
      </c>
      <c r="K1367" s="41">
        <v>5</v>
      </c>
      <c r="L1367" s="41">
        <v>1200000</v>
      </c>
      <c r="M1367" s="41"/>
    </row>
    <row r="1368" spans="1:13">
      <c r="A1368" s="10">
        <v>12296292</v>
      </c>
      <c r="B1368" s="1" t="s">
        <v>1073</v>
      </c>
      <c r="C1368" s="1" t="s">
        <v>1073</v>
      </c>
      <c r="D1368" s="41"/>
      <c r="J1368" s="39">
        <v>411581</v>
      </c>
      <c r="K1368" s="41">
        <v>5</v>
      </c>
      <c r="L1368" s="41">
        <v>279000</v>
      </c>
      <c r="M1368" s="41"/>
    </row>
    <row r="1369" spans="1:13">
      <c r="A1369" s="10">
        <v>348418</v>
      </c>
      <c r="B1369" s="1">
        <v>1</v>
      </c>
      <c r="C1369" s="3">
        <v>29000</v>
      </c>
      <c r="D1369" s="41"/>
      <c r="J1369" s="39">
        <v>453857</v>
      </c>
      <c r="K1369" s="41">
        <v>0</v>
      </c>
      <c r="L1369" s="41">
        <v>0</v>
      </c>
      <c r="M1369" s="41"/>
    </row>
    <row r="1370" spans="1:13">
      <c r="A1370" s="10">
        <v>12319847</v>
      </c>
      <c r="B1370" s="1" t="s">
        <v>1073</v>
      </c>
      <c r="C1370" s="2">
        <v>2400000</v>
      </c>
      <c r="D1370" s="41"/>
      <c r="J1370" s="39">
        <v>458948</v>
      </c>
      <c r="K1370" s="41">
        <v>2</v>
      </c>
      <c r="L1370" s="41">
        <v>2000000</v>
      </c>
      <c r="M1370" s="41"/>
    </row>
    <row r="1371" spans="1:13">
      <c r="A1371" s="10">
        <v>308739</v>
      </c>
      <c r="B1371" s="1">
        <v>4</v>
      </c>
      <c r="C1371" s="2">
        <v>1916000</v>
      </c>
      <c r="D1371" s="41"/>
      <c r="J1371" s="39">
        <v>480251</v>
      </c>
      <c r="K1371" s="41">
        <v>5</v>
      </c>
      <c r="L1371" s="41">
        <v>5100000</v>
      </c>
      <c r="M1371" s="41"/>
    </row>
    <row r="1372" spans="1:13">
      <c r="A1372" s="10">
        <v>115501</v>
      </c>
      <c r="B1372" s="1">
        <v>2</v>
      </c>
      <c r="C1372" s="2">
        <v>758000</v>
      </c>
      <c r="D1372" s="41"/>
      <c r="J1372" s="39">
        <v>492248</v>
      </c>
      <c r="K1372" s="41">
        <v>6</v>
      </c>
      <c r="L1372" s="41">
        <v>15706145</v>
      </c>
      <c r="M1372" s="41"/>
    </row>
    <row r="1373" spans="1:13">
      <c r="A1373" s="10">
        <v>489150</v>
      </c>
      <c r="B1373" s="1">
        <v>3</v>
      </c>
      <c r="C1373" s="3">
        <v>100000</v>
      </c>
      <c r="D1373" s="41"/>
      <c r="J1373" s="39">
        <v>509433</v>
      </c>
      <c r="K1373" s="41">
        <v>1</v>
      </c>
      <c r="L1373" s="41">
        <v>4050000</v>
      </c>
      <c r="M1373" s="41"/>
    </row>
    <row r="1374" spans="1:13">
      <c r="A1374" s="10">
        <v>385492</v>
      </c>
      <c r="B1374" s="1" t="s">
        <v>1073</v>
      </c>
      <c r="C1374" s="2">
        <v>300000</v>
      </c>
      <c r="D1374" s="41"/>
      <c r="J1374" s="39">
        <v>509739</v>
      </c>
      <c r="K1374" s="41">
        <v>1</v>
      </c>
      <c r="L1374" s="41">
        <v>900000</v>
      </c>
      <c r="M1374" s="41"/>
    </row>
    <row r="1375" spans="1:13">
      <c r="A1375" s="10">
        <v>62277</v>
      </c>
      <c r="B1375" s="1">
        <v>415</v>
      </c>
      <c r="C1375" s="2">
        <v>6020000</v>
      </c>
      <c r="D1375" s="41"/>
      <c r="J1375" s="39">
        <v>513155</v>
      </c>
      <c r="K1375" s="41">
        <v>100</v>
      </c>
      <c r="L1375" s="41">
        <v>2004000</v>
      </c>
      <c r="M1375" s="41"/>
    </row>
    <row r="1376" spans="1:13">
      <c r="A1376" s="10">
        <v>547291</v>
      </c>
      <c r="B1376" s="1">
        <v>70</v>
      </c>
      <c r="C1376" s="2">
        <v>1387000</v>
      </c>
      <c r="D1376" s="41"/>
      <c r="J1376" s="39">
        <v>533579</v>
      </c>
      <c r="K1376" s="41">
        <v>4</v>
      </c>
      <c r="L1376" s="41">
        <v>2100000</v>
      </c>
      <c r="M1376" s="41"/>
    </row>
    <row r="1377" spans="1:13">
      <c r="A1377" s="10">
        <v>452333</v>
      </c>
      <c r="B1377" s="1">
        <v>3</v>
      </c>
      <c r="C1377" s="1" t="s">
        <v>1073</v>
      </c>
      <c r="D1377" s="41"/>
      <c r="J1377" s="39">
        <v>533799</v>
      </c>
      <c r="K1377" s="41">
        <v>1</v>
      </c>
      <c r="L1377" s="41">
        <v>829000</v>
      </c>
      <c r="M1377" s="41"/>
    </row>
    <row r="1378" spans="1:13">
      <c r="A1378" s="10">
        <v>345394</v>
      </c>
      <c r="B1378" s="1" t="s">
        <v>1073</v>
      </c>
      <c r="C1378" s="2">
        <v>500000</v>
      </c>
      <c r="D1378" s="41"/>
      <c r="J1378" s="39">
        <v>543746</v>
      </c>
      <c r="K1378" s="41">
        <v>3</v>
      </c>
      <c r="L1378" s="41">
        <v>1179000</v>
      </c>
      <c r="M1378" s="41"/>
    </row>
    <row r="1379" spans="1:13">
      <c r="A1379" s="10">
        <v>489935</v>
      </c>
      <c r="B1379" s="1" t="s">
        <v>1073</v>
      </c>
      <c r="C1379" s="2">
        <v>78000000</v>
      </c>
      <c r="D1379" s="41"/>
      <c r="J1379" s="39">
        <v>551710</v>
      </c>
      <c r="K1379" s="41">
        <v>5</v>
      </c>
      <c r="L1379" s="41">
        <v>5300000</v>
      </c>
      <c r="M1379" s="41"/>
    </row>
    <row r="1380" spans="1:13">
      <c r="A1380" s="10">
        <v>414586</v>
      </c>
      <c r="B1380" s="1" t="s">
        <v>1073</v>
      </c>
      <c r="C1380" s="2">
        <v>1250000</v>
      </c>
      <c r="D1380" s="41"/>
      <c r="J1380" s="39">
        <v>553891</v>
      </c>
      <c r="K1380" s="41">
        <v>10</v>
      </c>
      <c r="L1380" s="41">
        <v>1100000</v>
      </c>
      <c r="M1380" s="41"/>
    </row>
    <row r="1381" spans="1:13">
      <c r="A1381" s="10">
        <v>516126</v>
      </c>
      <c r="B1381" s="1" t="s">
        <v>1073</v>
      </c>
      <c r="C1381" s="1" t="s">
        <v>1073</v>
      </c>
      <c r="D1381" s="41"/>
      <c r="J1381" s="39">
        <v>565681</v>
      </c>
      <c r="K1381" s="41">
        <v>2</v>
      </c>
      <c r="L1381" s="41">
        <v>2100000</v>
      </c>
      <c r="M1381" s="41"/>
    </row>
    <row r="1382" spans="1:13">
      <c r="A1382" s="10">
        <v>524858</v>
      </c>
      <c r="B1382" s="1">
        <v>2</v>
      </c>
      <c r="C1382" s="2">
        <v>450000</v>
      </c>
      <c r="D1382" s="41"/>
      <c r="J1382" s="39">
        <v>570740</v>
      </c>
      <c r="K1382" s="41">
        <v>0</v>
      </c>
      <c r="L1382" s="41">
        <v>2550000</v>
      </c>
      <c r="M1382" s="41"/>
    </row>
    <row r="1383" spans="1:13">
      <c r="A1383" s="10">
        <v>199072</v>
      </c>
      <c r="B1383" s="1" t="s">
        <v>1073</v>
      </c>
      <c r="C1383" s="2">
        <v>550000</v>
      </c>
      <c r="D1383" s="41"/>
      <c r="J1383" s="39">
        <v>61600</v>
      </c>
      <c r="K1383" s="41">
        <v>3</v>
      </c>
      <c r="L1383" s="41">
        <v>1000000</v>
      </c>
      <c r="M1383" s="41"/>
    </row>
    <row r="1384" spans="1:13">
      <c r="A1384" s="10">
        <v>346894</v>
      </c>
      <c r="B1384" s="1" t="s">
        <v>1073</v>
      </c>
      <c r="C1384" s="1" t="s">
        <v>1073</v>
      </c>
      <c r="D1384" s="41"/>
      <c r="J1384" s="39">
        <v>61883</v>
      </c>
      <c r="K1384" s="41">
        <v>17</v>
      </c>
      <c r="L1384" s="41">
        <v>33645000</v>
      </c>
      <c r="M1384" s="41"/>
    </row>
    <row r="1385" spans="1:13">
      <c r="A1385" s="10">
        <v>292486</v>
      </c>
      <c r="B1385" s="1">
        <v>3</v>
      </c>
      <c r="C1385" s="2">
        <v>2900000</v>
      </c>
      <c r="D1385" s="41"/>
      <c r="J1385" s="39">
        <v>61890</v>
      </c>
      <c r="K1385" s="41">
        <v>3</v>
      </c>
      <c r="L1385" s="41">
        <v>800000</v>
      </c>
      <c r="M1385" s="41"/>
    </row>
    <row r="1386" spans="1:13">
      <c r="A1386" s="10">
        <v>246587</v>
      </c>
      <c r="B1386" s="1" t="s">
        <v>1073</v>
      </c>
      <c r="C1386" s="2">
        <v>800000</v>
      </c>
      <c r="D1386" s="41"/>
      <c r="J1386" s="39">
        <v>62315</v>
      </c>
      <c r="K1386" s="41">
        <v>0</v>
      </c>
      <c r="L1386" s="41">
        <v>4000000</v>
      </c>
      <c r="M1386" s="41"/>
    </row>
    <row r="1387" spans="1:13">
      <c r="A1387" s="10">
        <v>63853</v>
      </c>
      <c r="B1387" s="1">
        <v>3</v>
      </c>
      <c r="C1387" s="2">
        <v>1087000</v>
      </c>
      <c r="D1387" s="41"/>
      <c r="J1387" s="39">
        <v>62320</v>
      </c>
      <c r="K1387" s="41">
        <v>5</v>
      </c>
      <c r="L1387" s="41">
        <v>100000</v>
      </c>
      <c r="M1387" s="41"/>
    </row>
    <row r="1388" spans="1:13">
      <c r="A1388" s="10">
        <v>366718</v>
      </c>
      <c r="B1388" s="1" t="s">
        <v>1073</v>
      </c>
      <c r="C1388" s="2">
        <v>15988911</v>
      </c>
      <c r="D1388" s="41"/>
      <c r="J1388" s="39">
        <v>63853</v>
      </c>
      <c r="K1388" s="41">
        <v>5</v>
      </c>
      <c r="L1388" s="41">
        <v>7000000</v>
      </c>
      <c r="M1388" s="41"/>
    </row>
    <row r="1389" spans="1:13">
      <c r="A1389" s="10">
        <v>107291</v>
      </c>
      <c r="B1389" s="1" t="s">
        <v>1073</v>
      </c>
      <c r="C1389" s="2">
        <v>1500000</v>
      </c>
      <c r="D1389" s="41"/>
      <c r="J1389" s="39">
        <v>63854</v>
      </c>
      <c r="K1389" s="41">
        <v>0</v>
      </c>
      <c r="L1389" s="41">
        <v>500000</v>
      </c>
      <c r="M1389" s="41"/>
    </row>
    <row r="1390" spans="1:13">
      <c r="A1390" s="10">
        <v>237428</v>
      </c>
      <c r="B1390" s="1" t="s">
        <v>1073</v>
      </c>
      <c r="C1390" s="1" t="s">
        <v>1073</v>
      </c>
      <c r="D1390" s="41"/>
      <c r="J1390" s="39" t="s">
        <v>884</v>
      </c>
      <c r="K1390" s="41">
        <v>51</v>
      </c>
      <c r="L1390" s="41">
        <v>3100000</v>
      </c>
      <c r="M1390" s="41"/>
    </row>
    <row r="1391" spans="1:13">
      <c r="A1391" s="10">
        <v>202378</v>
      </c>
      <c r="B1391" s="1">
        <v>1</v>
      </c>
      <c r="C1391" s="2">
        <v>800000</v>
      </c>
      <c r="D1391" s="41"/>
      <c r="J1391" s="39" t="s">
        <v>886</v>
      </c>
      <c r="K1391" s="41">
        <v>0</v>
      </c>
      <c r="L1391" s="41">
        <v>0</v>
      </c>
      <c r="M1391" s="41"/>
    </row>
    <row r="1392" spans="1:13">
      <c r="A1392" s="10">
        <v>211583</v>
      </c>
      <c r="B1392" s="1">
        <v>3</v>
      </c>
      <c r="C1392" s="3">
        <v>100000</v>
      </c>
      <c r="D1392" s="41"/>
      <c r="J1392" s="39">
        <v>114982</v>
      </c>
      <c r="K1392" s="41">
        <v>3</v>
      </c>
      <c r="L1392" s="41">
        <v>350000</v>
      </c>
      <c r="M1392" s="41"/>
    </row>
    <row r="1393" spans="1:13">
      <c r="A1393" s="10">
        <v>282970</v>
      </c>
      <c r="B1393" s="1">
        <v>4</v>
      </c>
      <c r="C1393" s="2">
        <v>316000</v>
      </c>
      <c r="D1393" s="41"/>
      <c r="J1393" s="39">
        <v>186842</v>
      </c>
      <c r="K1393" s="41">
        <v>0</v>
      </c>
      <c r="L1393" s="41">
        <v>2879000</v>
      </c>
      <c r="M1393" s="41"/>
    </row>
    <row r="1394" spans="1:13">
      <c r="A1394" s="10">
        <v>12318489</v>
      </c>
      <c r="B1394" s="1" t="s">
        <v>1073</v>
      </c>
      <c r="C1394" s="1" t="s">
        <v>1073</v>
      </c>
      <c r="D1394" s="41"/>
      <c r="J1394" s="39">
        <v>196535</v>
      </c>
      <c r="K1394" s="41">
        <v>3</v>
      </c>
      <c r="L1394" s="41">
        <v>1050000</v>
      </c>
      <c r="M1394" s="41"/>
    </row>
    <row r="1395" spans="1:13">
      <c r="A1395" s="10">
        <v>12300839</v>
      </c>
      <c r="B1395" s="1" t="s">
        <v>1073</v>
      </c>
      <c r="C1395" s="1" t="s">
        <v>1073</v>
      </c>
      <c r="D1395" s="41"/>
      <c r="J1395" s="39">
        <v>201641</v>
      </c>
      <c r="K1395" s="41">
        <v>3</v>
      </c>
      <c r="L1395" s="41">
        <v>1629000</v>
      </c>
      <c r="M1395" s="41"/>
    </row>
    <row r="1396" spans="1:13">
      <c r="A1396" s="10">
        <v>12324291</v>
      </c>
      <c r="B1396" s="1" t="s">
        <v>1073</v>
      </c>
      <c r="C1396" s="1" t="s">
        <v>1073</v>
      </c>
      <c r="D1396" s="41"/>
      <c r="J1396" s="39">
        <v>246748</v>
      </c>
      <c r="K1396" s="41">
        <v>3</v>
      </c>
      <c r="L1396" s="41">
        <v>9500000</v>
      </c>
      <c r="M1396" s="41"/>
    </row>
    <row r="1397" spans="1:13">
      <c r="A1397" s="10">
        <v>7567</v>
      </c>
      <c r="B1397" s="1" t="s">
        <v>1073</v>
      </c>
      <c r="C1397" s="2">
        <v>600000</v>
      </c>
      <c r="D1397" s="41"/>
      <c r="J1397" s="39">
        <v>251808</v>
      </c>
      <c r="K1397" s="41">
        <v>0</v>
      </c>
      <c r="L1397" s="41">
        <v>500000</v>
      </c>
      <c r="M1397" s="41"/>
    </row>
    <row r="1398" spans="1:13">
      <c r="A1398" s="10">
        <v>274080</v>
      </c>
      <c r="B1398" s="1">
        <v>6</v>
      </c>
      <c r="C1398" s="2">
        <v>2174000</v>
      </c>
      <c r="D1398" s="41"/>
      <c r="J1398" s="39">
        <v>252235</v>
      </c>
      <c r="K1398" s="41">
        <v>2</v>
      </c>
      <c r="L1398" s="41">
        <v>2200000</v>
      </c>
      <c r="M1398" s="41"/>
    </row>
    <row r="1399" spans="1:13">
      <c r="A1399" s="10">
        <v>548291</v>
      </c>
      <c r="B1399" s="1" t="s">
        <v>1073</v>
      </c>
      <c r="C1399" s="3">
        <v>100000</v>
      </c>
      <c r="D1399" s="41"/>
      <c r="J1399" s="39">
        <v>260825</v>
      </c>
      <c r="K1399" s="41">
        <v>2</v>
      </c>
      <c r="L1399" s="41">
        <v>350000</v>
      </c>
      <c r="M1399" s="41"/>
    </row>
    <row r="1400" spans="1:13">
      <c r="A1400" s="10">
        <v>515755</v>
      </c>
      <c r="B1400" s="1" t="s">
        <v>1073</v>
      </c>
      <c r="C1400" s="2">
        <v>600000</v>
      </c>
      <c r="D1400" s="41"/>
      <c r="J1400" s="39">
        <v>265541</v>
      </c>
      <c r="K1400" s="41">
        <v>0</v>
      </c>
      <c r="L1400" s="41">
        <v>600000</v>
      </c>
      <c r="M1400" s="41"/>
    </row>
    <row r="1401" spans="1:13">
      <c r="A1401" s="10">
        <v>12322493</v>
      </c>
      <c r="B1401" s="1" t="s">
        <v>1073</v>
      </c>
      <c r="C1401" s="1" t="s">
        <v>1073</v>
      </c>
      <c r="D1401" s="41"/>
      <c r="J1401" s="39">
        <v>269588</v>
      </c>
      <c r="K1401" s="41">
        <v>3</v>
      </c>
      <c r="L1401" s="41">
        <v>200000</v>
      </c>
      <c r="M1401" s="41"/>
    </row>
    <row r="1402" spans="1:13">
      <c r="A1402" s="10">
        <v>12322473</v>
      </c>
      <c r="B1402" s="1" t="s">
        <v>1073</v>
      </c>
      <c r="C1402" s="3">
        <v>100000</v>
      </c>
      <c r="D1402" s="41"/>
      <c r="J1402" s="39">
        <v>269947</v>
      </c>
      <c r="K1402" s="41">
        <v>0</v>
      </c>
      <c r="L1402" s="41">
        <v>11229000</v>
      </c>
      <c r="M1402" s="41"/>
    </row>
    <row r="1403" spans="1:13">
      <c r="A1403" s="10">
        <v>61800</v>
      </c>
      <c r="B1403" s="1" t="s">
        <v>1073</v>
      </c>
      <c r="C1403" s="2">
        <v>2532705</v>
      </c>
      <c r="D1403" s="41"/>
      <c r="J1403" s="39">
        <v>274154</v>
      </c>
      <c r="K1403" s="41">
        <v>0</v>
      </c>
      <c r="L1403" s="41">
        <v>1100000</v>
      </c>
      <c r="M1403" s="41"/>
    </row>
    <row r="1404" spans="1:13">
      <c r="A1404" s="10">
        <v>13547</v>
      </c>
      <c r="B1404" s="1" t="s">
        <v>1073</v>
      </c>
      <c r="C1404" s="2">
        <v>1160000</v>
      </c>
      <c r="D1404" s="41"/>
      <c r="J1404" s="39">
        <v>274492</v>
      </c>
      <c r="K1404" s="41">
        <v>3</v>
      </c>
      <c r="L1404" s="41">
        <v>1178000</v>
      </c>
      <c r="M1404" s="41"/>
    </row>
    <row r="1405" spans="1:13">
      <c r="A1405" s="10">
        <v>331841</v>
      </c>
      <c r="B1405" s="1" t="s">
        <v>1073</v>
      </c>
      <c r="C1405" s="2">
        <v>3500000</v>
      </c>
      <c r="D1405" s="41"/>
      <c r="J1405" s="39">
        <v>275660</v>
      </c>
      <c r="K1405" s="41">
        <v>0</v>
      </c>
      <c r="L1405" s="41">
        <v>950000</v>
      </c>
      <c r="M1405" s="41"/>
    </row>
    <row r="1406" spans="1:13">
      <c r="A1406" s="10">
        <v>12296252</v>
      </c>
      <c r="B1406" s="1">
        <v>23</v>
      </c>
      <c r="C1406" s="3">
        <v>58000</v>
      </c>
      <c r="D1406" s="41"/>
      <c r="J1406" s="39">
        <v>2790</v>
      </c>
      <c r="K1406" s="41">
        <v>0</v>
      </c>
      <c r="L1406" s="41">
        <v>0</v>
      </c>
      <c r="M1406" s="41"/>
    </row>
    <row r="1407" spans="1:13">
      <c r="A1407" s="10">
        <v>503354</v>
      </c>
      <c r="B1407" s="1">
        <v>5</v>
      </c>
      <c r="C1407" s="2">
        <v>1327000</v>
      </c>
      <c r="D1407" s="41"/>
      <c r="J1407" s="39">
        <v>280640</v>
      </c>
      <c r="K1407" s="41">
        <v>0</v>
      </c>
      <c r="L1407" s="41">
        <v>1600000</v>
      </c>
      <c r="M1407" s="41"/>
    </row>
    <row r="1408" spans="1:13">
      <c r="A1408" s="10">
        <v>12296084</v>
      </c>
      <c r="B1408" s="1" t="s">
        <v>1073</v>
      </c>
      <c r="C1408" s="2">
        <v>300000</v>
      </c>
      <c r="D1408" s="41"/>
      <c r="J1408" s="39">
        <v>282957</v>
      </c>
      <c r="K1408" s="41">
        <v>3</v>
      </c>
      <c r="L1408" s="41">
        <v>1329000</v>
      </c>
      <c r="M1408" s="41"/>
    </row>
    <row r="1409" spans="1:13">
      <c r="A1409" s="10">
        <v>342631</v>
      </c>
      <c r="B1409" s="1" t="s">
        <v>1073</v>
      </c>
      <c r="C1409" s="1" t="s">
        <v>1073</v>
      </c>
      <c r="D1409" s="41"/>
      <c r="J1409" s="39">
        <v>286026</v>
      </c>
      <c r="K1409" s="41">
        <v>4</v>
      </c>
      <c r="L1409" s="41">
        <v>1079000</v>
      </c>
      <c r="M1409" s="41"/>
    </row>
    <row r="1410" spans="1:13">
      <c r="A1410" s="10">
        <v>12327316</v>
      </c>
      <c r="B1410" s="1" t="s">
        <v>1073</v>
      </c>
      <c r="C1410" s="1" t="s">
        <v>1073</v>
      </c>
      <c r="D1410" s="41"/>
      <c r="J1410" s="39">
        <v>328295</v>
      </c>
      <c r="K1410" s="41">
        <v>3</v>
      </c>
      <c r="L1410" s="41">
        <v>1150000</v>
      </c>
      <c r="M1410" s="41"/>
    </row>
    <row r="1411" spans="1:13">
      <c r="A1411" s="10">
        <v>532034</v>
      </c>
      <c r="B1411" s="1" t="s">
        <v>1073</v>
      </c>
      <c r="C1411" s="2">
        <v>1250000</v>
      </c>
      <c r="D1411" s="41"/>
      <c r="J1411" s="39">
        <v>330571</v>
      </c>
      <c r="K1411" s="41">
        <v>0</v>
      </c>
      <c r="L1411" s="41">
        <v>200000</v>
      </c>
      <c r="M1411" s="41"/>
    </row>
    <row r="1412" spans="1:13">
      <c r="A1412" s="10">
        <v>370055</v>
      </c>
      <c r="B1412" s="1">
        <v>1</v>
      </c>
      <c r="C1412" s="2">
        <v>450000</v>
      </c>
      <c r="D1412" s="41"/>
      <c r="J1412" s="39">
        <v>366676</v>
      </c>
      <c r="K1412" s="41">
        <v>3</v>
      </c>
      <c r="L1412" s="41">
        <v>3079000</v>
      </c>
      <c r="M1412" s="41"/>
    </row>
    <row r="1413" spans="1:13">
      <c r="A1413" s="10">
        <v>199317</v>
      </c>
      <c r="B1413" s="1" t="s">
        <v>1073</v>
      </c>
      <c r="C1413" s="3">
        <v>100000</v>
      </c>
      <c r="D1413" s="41"/>
      <c r="J1413" s="39">
        <v>377602</v>
      </c>
      <c r="K1413" s="41">
        <v>3</v>
      </c>
      <c r="L1413" s="41">
        <v>500000</v>
      </c>
      <c r="M1413" s="41"/>
    </row>
    <row r="1414" spans="1:13">
      <c r="A1414" s="10">
        <v>370031</v>
      </c>
      <c r="B1414" s="1">
        <v>3</v>
      </c>
      <c r="C1414" s="3">
        <v>87000</v>
      </c>
      <c r="D1414" s="41"/>
      <c r="J1414" s="39">
        <v>399936</v>
      </c>
      <c r="K1414" s="41">
        <v>3</v>
      </c>
      <c r="L1414" s="41">
        <v>700000</v>
      </c>
      <c r="M1414" s="41"/>
    </row>
    <row r="1415" spans="1:13">
      <c r="A1415" s="10">
        <v>240734</v>
      </c>
      <c r="B1415" s="1" t="s">
        <v>1073</v>
      </c>
      <c r="C1415" s="2">
        <v>1200000</v>
      </c>
      <c r="D1415" s="41"/>
      <c r="J1415" s="39">
        <v>402240</v>
      </c>
      <c r="K1415" s="41">
        <v>1</v>
      </c>
      <c r="L1415" s="41">
        <v>7404000</v>
      </c>
      <c r="M1415" s="41"/>
    </row>
    <row r="1416" spans="1:13">
      <c r="A1416" s="10">
        <v>12328320</v>
      </c>
      <c r="B1416" s="1" t="s">
        <v>1073</v>
      </c>
      <c r="C1416" s="1" t="s">
        <v>1073</v>
      </c>
      <c r="D1416" s="41"/>
      <c r="J1416" s="39">
        <v>405829</v>
      </c>
      <c r="K1416" s="41">
        <v>6</v>
      </c>
      <c r="L1416" s="41">
        <v>1500000</v>
      </c>
      <c r="M1416" s="41"/>
    </row>
    <row r="1417" spans="1:13">
      <c r="A1417" s="10">
        <v>12325673</v>
      </c>
      <c r="B1417" s="1">
        <v>3</v>
      </c>
      <c r="C1417" s="1" t="s">
        <v>1073</v>
      </c>
      <c r="D1417" s="41"/>
      <c r="J1417" s="39">
        <v>407992</v>
      </c>
      <c r="K1417" s="41">
        <v>3</v>
      </c>
      <c r="L1417" s="41">
        <v>5829000</v>
      </c>
      <c r="M1417" s="41"/>
    </row>
    <row r="1418" spans="1:13">
      <c r="A1418" s="10">
        <v>527188</v>
      </c>
      <c r="B1418" s="1" t="s">
        <v>1073</v>
      </c>
      <c r="C1418" s="3">
        <v>200000</v>
      </c>
      <c r="D1418" s="41"/>
      <c r="J1418" s="39">
        <v>458949</v>
      </c>
      <c r="K1418" s="41">
        <v>1</v>
      </c>
      <c r="L1418" s="41">
        <v>5912000</v>
      </c>
      <c r="M1418" s="41"/>
    </row>
    <row r="1419" spans="1:13">
      <c r="A1419" s="10">
        <v>572380</v>
      </c>
      <c r="B1419" s="1" t="s">
        <v>1073</v>
      </c>
      <c r="C1419" s="2">
        <v>1150000</v>
      </c>
      <c r="D1419" s="41"/>
      <c r="J1419" s="39">
        <v>476211</v>
      </c>
      <c r="K1419" s="41">
        <v>0</v>
      </c>
      <c r="L1419" s="41">
        <v>0</v>
      </c>
      <c r="M1419" s="41"/>
    </row>
    <row r="1420" spans="1:13">
      <c r="A1420" s="10">
        <v>222820</v>
      </c>
      <c r="B1420" s="1" t="s">
        <v>1073</v>
      </c>
      <c r="C1420" s="3">
        <v>200000</v>
      </c>
      <c r="D1420" s="41"/>
      <c r="J1420" s="39">
        <v>501084</v>
      </c>
      <c r="K1420" s="41">
        <v>3</v>
      </c>
      <c r="L1420" s="41">
        <v>1600000</v>
      </c>
      <c r="M1420" s="41"/>
    </row>
    <row r="1421" spans="1:13">
      <c r="A1421" s="10">
        <v>10342</v>
      </c>
      <c r="B1421" s="1" t="s">
        <v>1073</v>
      </c>
      <c r="C1421" s="3">
        <v>263742</v>
      </c>
      <c r="D1421" s="41"/>
      <c r="J1421" s="39">
        <v>509536</v>
      </c>
      <c r="K1421" s="41">
        <v>0</v>
      </c>
      <c r="L1421" s="41">
        <v>0</v>
      </c>
      <c r="M1421" s="41"/>
    </row>
    <row r="1422" spans="1:13">
      <c r="A1422" s="10">
        <v>415949</v>
      </c>
      <c r="B1422" s="1">
        <v>21</v>
      </c>
      <c r="C1422" s="2">
        <v>4058000</v>
      </c>
      <c r="D1422" s="41"/>
      <c r="J1422" s="39">
        <v>512441</v>
      </c>
      <c r="K1422" s="41">
        <v>3</v>
      </c>
      <c r="L1422" s="41">
        <v>100000</v>
      </c>
      <c r="M1422" s="41"/>
    </row>
    <row r="1423" spans="1:13">
      <c r="A1423" s="10">
        <v>368809</v>
      </c>
      <c r="B1423" s="1" t="s">
        <v>1073</v>
      </c>
      <c r="C1423" s="1" t="s">
        <v>1073</v>
      </c>
      <c r="D1423" s="41"/>
      <c r="J1423" s="39">
        <v>521902</v>
      </c>
      <c r="K1423" s="41">
        <v>0</v>
      </c>
      <c r="L1423" s="41">
        <v>300000</v>
      </c>
      <c r="M1423" s="41"/>
    </row>
    <row r="1424" spans="1:13">
      <c r="A1424" s="10">
        <v>12327177</v>
      </c>
      <c r="B1424" s="1">
        <v>410</v>
      </c>
      <c r="C1424" s="2">
        <v>2136000</v>
      </c>
      <c r="D1424" s="41"/>
      <c r="J1424" s="39">
        <v>522468</v>
      </c>
      <c r="K1424" s="41">
        <v>3</v>
      </c>
      <c r="L1424" s="41">
        <v>750000</v>
      </c>
      <c r="M1424" s="41"/>
    </row>
    <row r="1425" spans="1:13">
      <c r="A1425" s="10">
        <v>9808</v>
      </c>
      <c r="B1425" s="1">
        <v>3</v>
      </c>
      <c r="C1425" s="2">
        <v>600000</v>
      </c>
      <c r="D1425" s="41"/>
      <c r="J1425" s="39">
        <v>531707</v>
      </c>
      <c r="K1425" s="41">
        <v>3</v>
      </c>
      <c r="L1425" s="41">
        <v>129000</v>
      </c>
      <c r="M1425" s="41"/>
    </row>
    <row r="1426" spans="1:13">
      <c r="A1426" s="10">
        <v>126913</v>
      </c>
      <c r="B1426" s="1" t="s">
        <v>1073</v>
      </c>
      <c r="C1426" s="2">
        <v>2700000</v>
      </c>
      <c r="D1426" s="41"/>
      <c r="J1426" s="39">
        <v>531733</v>
      </c>
      <c r="K1426" s="41">
        <v>0</v>
      </c>
      <c r="L1426" s="41">
        <v>8200000</v>
      </c>
      <c r="M1426" s="41"/>
    </row>
    <row r="1427" spans="1:13">
      <c r="A1427" s="10">
        <v>199037</v>
      </c>
      <c r="B1427" s="1" t="s">
        <v>1073</v>
      </c>
      <c r="C1427" s="2">
        <v>1050000</v>
      </c>
      <c r="D1427" s="41"/>
      <c r="J1427" s="39">
        <v>533931</v>
      </c>
      <c r="K1427" s="41">
        <v>0</v>
      </c>
      <c r="L1427" s="41">
        <v>2750000</v>
      </c>
      <c r="M1427" s="41"/>
    </row>
    <row r="1428" spans="1:13">
      <c r="A1428" s="10">
        <v>12321233</v>
      </c>
      <c r="B1428" s="1" t="s">
        <v>1073</v>
      </c>
      <c r="C1428" s="1" t="s">
        <v>1073</v>
      </c>
      <c r="D1428" s="41"/>
      <c r="J1428" s="39">
        <v>538067</v>
      </c>
      <c r="K1428" s="41">
        <v>3</v>
      </c>
      <c r="L1428" s="41">
        <v>1150000</v>
      </c>
      <c r="M1428" s="41"/>
    </row>
    <row r="1429" spans="1:13">
      <c r="A1429" s="10">
        <v>521830</v>
      </c>
      <c r="B1429" s="1">
        <v>17</v>
      </c>
      <c r="C1429" s="2">
        <v>1108000</v>
      </c>
      <c r="D1429" s="41"/>
      <c r="J1429" s="39">
        <v>540113</v>
      </c>
      <c r="K1429" s="41">
        <v>0</v>
      </c>
      <c r="L1429" s="41">
        <v>0</v>
      </c>
      <c r="M1429" s="41"/>
    </row>
    <row r="1430" spans="1:13">
      <c r="A1430" s="10">
        <v>408617</v>
      </c>
      <c r="B1430" s="1">
        <v>1</v>
      </c>
      <c r="C1430" s="2">
        <v>650000</v>
      </c>
      <c r="D1430" s="41"/>
      <c r="J1430" s="39">
        <v>551969</v>
      </c>
      <c r="K1430" s="41">
        <v>0</v>
      </c>
      <c r="L1430" s="41">
        <v>150000</v>
      </c>
      <c r="M1430" s="41"/>
    </row>
    <row r="1431" spans="1:13">
      <c r="A1431" s="10">
        <v>231182</v>
      </c>
      <c r="B1431" s="1" t="s">
        <v>1073</v>
      </c>
      <c r="C1431" s="1" t="s">
        <v>1073</v>
      </c>
      <c r="D1431" s="41"/>
      <c r="J1431" s="39">
        <v>557861</v>
      </c>
      <c r="K1431" s="41">
        <v>0</v>
      </c>
      <c r="L1431" s="41">
        <v>2500000</v>
      </c>
      <c r="M1431" s="41"/>
    </row>
    <row r="1432" spans="1:13">
      <c r="A1432" s="10">
        <v>11201</v>
      </c>
      <c r="B1432" s="1" t="s">
        <v>1073</v>
      </c>
      <c r="C1432" s="2">
        <v>400000</v>
      </c>
      <c r="D1432" s="41"/>
      <c r="J1432" s="39">
        <v>563913</v>
      </c>
      <c r="K1432" s="41">
        <v>57</v>
      </c>
      <c r="L1432" s="41">
        <v>58000</v>
      </c>
      <c r="M1432" s="41"/>
    </row>
    <row r="1433" spans="1:13">
      <c r="A1433" s="10">
        <v>458948</v>
      </c>
      <c r="B1433" s="1" t="s">
        <v>1073</v>
      </c>
      <c r="C1433" s="2">
        <v>1500000</v>
      </c>
      <c r="D1433" s="41"/>
      <c r="J1433" s="39">
        <v>573761</v>
      </c>
      <c r="K1433" s="41">
        <v>3</v>
      </c>
      <c r="L1433" s="41">
        <v>300000</v>
      </c>
      <c r="M1433" s="41"/>
    </row>
    <row r="1434" spans="1:13">
      <c r="A1434" s="10">
        <v>3576</v>
      </c>
      <c r="B1434" s="1" t="s">
        <v>1073</v>
      </c>
      <c r="C1434" s="2">
        <v>529000</v>
      </c>
      <c r="D1434" s="41"/>
      <c r="J1434" s="39">
        <v>61579</v>
      </c>
      <c r="K1434" s="41">
        <v>4</v>
      </c>
      <c r="L1434" s="41">
        <v>6208000</v>
      </c>
      <c r="M1434" s="41"/>
    </row>
    <row r="1435" spans="1:13">
      <c r="A1435" s="10">
        <v>61860</v>
      </c>
      <c r="B1435" s="1">
        <v>1</v>
      </c>
      <c r="C1435" s="2">
        <v>2129000</v>
      </c>
      <c r="D1435" s="41"/>
      <c r="J1435" s="39">
        <v>61897</v>
      </c>
      <c r="K1435" s="41">
        <v>0</v>
      </c>
      <c r="L1435" s="41">
        <v>2000000</v>
      </c>
      <c r="M1435" s="41"/>
    </row>
    <row r="1436" spans="1:13">
      <c r="A1436" s="10">
        <v>291861</v>
      </c>
      <c r="B1436" s="1" t="s">
        <v>1073</v>
      </c>
      <c r="C1436" s="2">
        <v>585000</v>
      </c>
      <c r="D1436" s="41"/>
      <c r="J1436" s="39">
        <v>62270</v>
      </c>
      <c r="K1436" s="41">
        <v>3</v>
      </c>
      <c r="L1436" s="41">
        <v>7500000</v>
      </c>
      <c r="M1436" s="41"/>
    </row>
    <row r="1437" spans="1:13">
      <c r="A1437" s="10">
        <v>548910</v>
      </c>
      <c r="B1437" s="1">
        <v>3</v>
      </c>
      <c r="C1437" s="1" t="s">
        <v>1073</v>
      </c>
      <c r="D1437" s="41"/>
      <c r="J1437" s="39">
        <v>62462</v>
      </c>
      <c r="K1437" s="41">
        <v>1</v>
      </c>
      <c r="L1437" s="41">
        <v>0</v>
      </c>
      <c r="M1437" s="41"/>
    </row>
    <row r="1438" spans="1:13">
      <c r="A1438" s="10">
        <v>418829</v>
      </c>
      <c r="B1438" s="1" t="s">
        <v>1073</v>
      </c>
      <c r="C1438" s="3">
        <v>100000</v>
      </c>
      <c r="D1438" s="41"/>
      <c r="J1438" s="39">
        <v>63863</v>
      </c>
      <c r="K1438" s="41">
        <v>3</v>
      </c>
      <c r="L1438" s="41">
        <v>50000</v>
      </c>
      <c r="M1438" s="41"/>
    </row>
    <row r="1439" spans="1:13">
      <c r="A1439" s="10">
        <v>61814</v>
      </c>
      <c r="B1439" s="1">
        <v>3</v>
      </c>
      <c r="C1439" s="2">
        <v>500000</v>
      </c>
      <c r="D1439" s="41"/>
      <c r="J1439" s="39">
        <v>12304225</v>
      </c>
      <c r="K1439" s="41">
        <v>0</v>
      </c>
      <c r="L1439" s="41">
        <v>0</v>
      </c>
      <c r="M1439" s="41"/>
    </row>
    <row r="1440" spans="1:13">
      <c r="A1440" s="10">
        <v>576041</v>
      </c>
      <c r="B1440" s="1">
        <v>3</v>
      </c>
      <c r="C1440" s="3">
        <v>50000</v>
      </c>
      <c r="D1440" s="41"/>
      <c r="J1440" s="39">
        <v>12304278</v>
      </c>
      <c r="K1440" s="41">
        <v>2</v>
      </c>
      <c r="L1440" s="41">
        <v>2450000</v>
      </c>
      <c r="M1440" s="41"/>
    </row>
    <row r="1441" spans="1:13">
      <c r="A1441" s="10">
        <v>283130</v>
      </c>
      <c r="B1441" s="1" t="s">
        <v>1073</v>
      </c>
      <c r="C1441" s="2">
        <v>1500000</v>
      </c>
      <c r="D1441" s="41"/>
      <c r="J1441" s="39">
        <v>12304939</v>
      </c>
      <c r="K1441" s="41">
        <v>4</v>
      </c>
      <c r="L1441" s="41">
        <v>3200000</v>
      </c>
      <c r="M1441" s="41"/>
    </row>
    <row r="1442" spans="1:13">
      <c r="A1442" s="10">
        <v>195909</v>
      </c>
      <c r="B1442" s="1" t="s">
        <v>1073</v>
      </c>
      <c r="C1442" s="3">
        <v>50000</v>
      </c>
      <c r="D1442" s="41"/>
      <c r="J1442" s="39">
        <v>12304943</v>
      </c>
      <c r="K1442" s="41">
        <v>6</v>
      </c>
      <c r="L1442" s="41">
        <v>200000</v>
      </c>
      <c r="M1442" s="41"/>
    </row>
    <row r="1443" spans="1:13">
      <c r="A1443" s="10">
        <v>12296819</v>
      </c>
      <c r="B1443" s="1" t="s">
        <v>1073</v>
      </c>
      <c r="C1443" s="1" t="s">
        <v>1073</v>
      </c>
      <c r="D1443" s="41"/>
      <c r="J1443" s="39">
        <v>12320273</v>
      </c>
      <c r="K1443" s="41">
        <v>84</v>
      </c>
      <c r="L1443" s="41">
        <v>137500</v>
      </c>
      <c r="M1443" s="41"/>
    </row>
    <row r="1444" spans="1:13">
      <c r="A1444" s="10">
        <v>12295536</v>
      </c>
      <c r="B1444" s="1" t="s">
        <v>1073</v>
      </c>
      <c r="C1444" s="2">
        <v>1000000</v>
      </c>
      <c r="D1444" s="41"/>
      <c r="J1444" s="39">
        <v>12327984</v>
      </c>
      <c r="K1444" s="41">
        <v>4</v>
      </c>
      <c r="L1444" s="41">
        <v>4300000</v>
      </c>
      <c r="M1444" s="41"/>
    </row>
    <row r="1445" spans="1:13">
      <c r="A1445" s="10">
        <v>12326605</v>
      </c>
      <c r="B1445" s="1" t="s">
        <v>1073</v>
      </c>
      <c r="C1445" s="1" t="s">
        <v>1073</v>
      </c>
      <c r="D1445" s="41"/>
      <c r="J1445" s="39">
        <v>12331996</v>
      </c>
      <c r="K1445" s="41">
        <v>4</v>
      </c>
      <c r="L1445" s="41">
        <v>2937000</v>
      </c>
      <c r="M1445" s="41"/>
    </row>
    <row r="1446" spans="1:13">
      <c r="A1446" s="10">
        <v>524283</v>
      </c>
      <c r="B1446" s="1" t="s">
        <v>1073</v>
      </c>
      <c r="C1446" s="1" t="s">
        <v>1073</v>
      </c>
      <c r="D1446" s="41"/>
      <c r="J1446" s="39">
        <v>126916</v>
      </c>
      <c r="K1446" s="41">
        <v>5</v>
      </c>
      <c r="L1446" s="41">
        <v>16243063</v>
      </c>
      <c r="M1446" s="41"/>
    </row>
    <row r="1447" spans="1:13">
      <c r="A1447" s="10">
        <v>12325413</v>
      </c>
      <c r="B1447" s="1" t="s">
        <v>1073</v>
      </c>
      <c r="C1447" s="3">
        <v>150000</v>
      </c>
      <c r="D1447" s="41"/>
      <c r="J1447" s="39">
        <v>13053</v>
      </c>
      <c r="K1447" s="41">
        <v>0</v>
      </c>
      <c r="L1447" s="41">
        <v>0</v>
      </c>
      <c r="M1447" s="41"/>
    </row>
    <row r="1448" spans="1:13">
      <c r="A1448" s="10">
        <v>211575</v>
      </c>
      <c r="B1448" s="1">
        <v>3</v>
      </c>
      <c r="C1448" s="2">
        <v>4000000</v>
      </c>
      <c r="D1448" s="41"/>
      <c r="J1448" s="39">
        <v>13057</v>
      </c>
      <c r="K1448" s="41">
        <v>18</v>
      </c>
      <c r="L1448" s="41">
        <v>8724905</v>
      </c>
      <c r="M1448" s="41"/>
    </row>
    <row r="1449" spans="1:13">
      <c r="A1449" s="10">
        <v>370215</v>
      </c>
      <c r="B1449" s="1" t="s">
        <v>1073</v>
      </c>
      <c r="C1449" s="2">
        <v>600000</v>
      </c>
      <c r="D1449" s="41"/>
      <c r="J1449" s="39">
        <v>196416</v>
      </c>
      <c r="K1449" s="41">
        <v>3</v>
      </c>
      <c r="L1449" s="41">
        <v>1300000</v>
      </c>
      <c r="M1449" s="41"/>
    </row>
    <row r="1450" spans="1:13">
      <c r="A1450" s="10">
        <v>12296078</v>
      </c>
      <c r="B1450" s="1" t="s">
        <v>1073</v>
      </c>
      <c r="C1450" s="1" t="s">
        <v>1073</v>
      </c>
      <c r="D1450" s="41"/>
      <c r="J1450" s="39">
        <v>225921</v>
      </c>
      <c r="K1450" s="41">
        <v>10</v>
      </c>
      <c r="L1450" s="41">
        <v>150000</v>
      </c>
      <c r="M1450" s="41"/>
    </row>
    <row r="1451" spans="1:13">
      <c r="A1451" s="10">
        <v>199061</v>
      </c>
      <c r="B1451" s="1" t="s">
        <v>1073</v>
      </c>
      <c r="C1451" s="2">
        <v>1250000</v>
      </c>
      <c r="D1451" s="41"/>
      <c r="J1451" s="39">
        <v>2385</v>
      </c>
      <c r="K1451" s="41">
        <v>6</v>
      </c>
      <c r="L1451" s="41">
        <v>3100000</v>
      </c>
      <c r="M1451" s="41"/>
    </row>
    <row r="1452" spans="1:13">
      <c r="A1452" s="10">
        <v>366677</v>
      </c>
      <c r="B1452" s="1" t="s">
        <v>1073</v>
      </c>
      <c r="C1452" s="3">
        <v>58000</v>
      </c>
      <c r="D1452" s="41"/>
      <c r="J1452" s="39">
        <v>243377</v>
      </c>
      <c r="K1452" s="41">
        <v>1</v>
      </c>
      <c r="L1452" s="41">
        <v>0</v>
      </c>
      <c r="M1452" s="41"/>
    </row>
    <row r="1453" spans="1:13">
      <c r="A1453" s="10">
        <v>512441</v>
      </c>
      <c r="B1453" s="1" t="s">
        <v>1073</v>
      </c>
      <c r="C1453" s="1" t="s">
        <v>1073</v>
      </c>
      <c r="D1453" s="41"/>
      <c r="J1453" s="39">
        <v>2587</v>
      </c>
      <c r="K1453" s="41">
        <v>2</v>
      </c>
      <c r="L1453" s="41">
        <v>22182354</v>
      </c>
      <c r="M1453" s="41"/>
    </row>
    <row r="1454" spans="1:13">
      <c r="A1454" s="10">
        <v>578664</v>
      </c>
      <c r="B1454" s="1" t="s">
        <v>1073</v>
      </c>
      <c r="C1454" s="2">
        <v>2500000</v>
      </c>
      <c r="D1454" s="41"/>
      <c r="J1454" s="39">
        <v>260562</v>
      </c>
      <c r="K1454" s="41">
        <v>4</v>
      </c>
      <c r="L1454" s="41">
        <v>600000</v>
      </c>
      <c r="M1454" s="41"/>
    </row>
    <row r="1455" spans="1:13">
      <c r="A1455" s="10">
        <v>537323</v>
      </c>
      <c r="B1455" s="1" t="s">
        <v>1073</v>
      </c>
      <c r="C1455" s="2">
        <v>850000</v>
      </c>
      <c r="D1455" s="41"/>
      <c r="J1455" s="39">
        <v>261870</v>
      </c>
      <c r="K1455" s="41">
        <v>2</v>
      </c>
      <c r="L1455" s="41">
        <v>829000</v>
      </c>
      <c r="M1455" s="41"/>
    </row>
    <row r="1456" spans="1:13">
      <c r="A1456" s="10">
        <v>61924</v>
      </c>
      <c r="B1456" s="1" t="s">
        <v>1073</v>
      </c>
      <c r="C1456" s="1" t="s">
        <v>1073</v>
      </c>
      <c r="D1456" s="41"/>
      <c r="J1456" s="39">
        <v>281833</v>
      </c>
      <c r="K1456" s="41">
        <v>0</v>
      </c>
      <c r="L1456" s="41">
        <v>0</v>
      </c>
      <c r="M1456" s="41"/>
    </row>
    <row r="1457" spans="1:13">
      <c r="A1457" s="10">
        <v>407149</v>
      </c>
      <c r="B1457" s="1">
        <v>2</v>
      </c>
      <c r="C1457" s="2">
        <v>400000</v>
      </c>
      <c r="D1457" s="41"/>
      <c r="J1457" s="39">
        <v>282319</v>
      </c>
      <c r="K1457" s="41">
        <v>5</v>
      </c>
      <c r="L1457" s="41">
        <v>1500000</v>
      </c>
      <c r="M1457" s="41"/>
    </row>
    <row r="1458" spans="1:13">
      <c r="A1458" s="10">
        <v>501084</v>
      </c>
      <c r="B1458" s="1" t="s">
        <v>1073</v>
      </c>
      <c r="C1458" s="3">
        <v>200000</v>
      </c>
      <c r="D1458" s="41"/>
      <c r="J1458" s="39">
        <v>282322</v>
      </c>
      <c r="K1458" s="41">
        <v>6</v>
      </c>
      <c r="L1458" s="41">
        <v>1650000</v>
      </c>
      <c r="M1458" s="41"/>
    </row>
    <row r="1459" spans="1:13">
      <c r="A1459" s="10">
        <v>12328412</v>
      </c>
      <c r="B1459" s="1" t="s">
        <v>1073</v>
      </c>
      <c r="C1459" s="2">
        <v>450000</v>
      </c>
      <c r="D1459" s="41"/>
      <c r="J1459" s="39">
        <v>288206</v>
      </c>
      <c r="K1459" s="41">
        <v>2</v>
      </c>
      <c r="L1459" s="41">
        <v>3500000</v>
      </c>
      <c r="M1459" s="41"/>
    </row>
    <row r="1460" spans="1:13">
      <c r="A1460" s="10">
        <v>404926</v>
      </c>
      <c r="B1460" s="1" t="s">
        <v>1073</v>
      </c>
      <c r="C1460" s="1" t="s">
        <v>1073</v>
      </c>
      <c r="D1460" s="41"/>
      <c r="J1460" s="39">
        <v>292486</v>
      </c>
      <c r="K1460" s="41">
        <v>3</v>
      </c>
      <c r="L1460" s="41">
        <v>3412000</v>
      </c>
      <c r="M1460" s="41"/>
    </row>
    <row r="1461" spans="1:13">
      <c r="A1461" s="10">
        <v>12322214</v>
      </c>
      <c r="B1461" s="1" t="s">
        <v>1073</v>
      </c>
      <c r="C1461" s="2">
        <v>400000</v>
      </c>
      <c r="D1461" s="41"/>
      <c r="J1461" s="39">
        <v>298574</v>
      </c>
      <c r="K1461" s="41">
        <v>5</v>
      </c>
      <c r="L1461" s="41">
        <v>1100000</v>
      </c>
      <c r="M1461" s="41"/>
    </row>
    <row r="1462" spans="1:13">
      <c r="A1462" s="10">
        <v>12296266</v>
      </c>
      <c r="B1462" s="1">
        <v>331</v>
      </c>
      <c r="C1462" s="2">
        <v>2055000</v>
      </c>
      <c r="D1462" s="41"/>
      <c r="J1462" s="39">
        <v>314840</v>
      </c>
      <c r="K1462" s="41">
        <v>3</v>
      </c>
      <c r="L1462" s="41">
        <v>2700000</v>
      </c>
      <c r="M1462" s="41"/>
    </row>
    <row r="1463" spans="1:13">
      <c r="A1463" s="10">
        <v>314806</v>
      </c>
      <c r="B1463" s="1" t="s">
        <v>1073</v>
      </c>
      <c r="C1463" s="3">
        <v>200000</v>
      </c>
      <c r="D1463" s="41"/>
      <c r="J1463" s="39">
        <v>366683</v>
      </c>
      <c r="K1463" s="41">
        <v>7</v>
      </c>
      <c r="L1463" s="41">
        <v>1500000</v>
      </c>
      <c r="M1463" s="41"/>
    </row>
    <row r="1464" spans="1:13">
      <c r="A1464" s="10">
        <v>3060</v>
      </c>
      <c r="B1464" s="1" t="s">
        <v>1073</v>
      </c>
      <c r="C1464" s="2">
        <v>300000</v>
      </c>
      <c r="D1464" s="41"/>
      <c r="J1464" s="39">
        <v>369922</v>
      </c>
      <c r="K1464" s="41">
        <v>1</v>
      </c>
      <c r="L1464" s="41">
        <v>29000</v>
      </c>
      <c r="M1464" s="41"/>
    </row>
    <row r="1465" spans="1:13">
      <c r="A1465" s="10">
        <v>61579</v>
      </c>
      <c r="B1465" s="1">
        <v>2</v>
      </c>
      <c r="C1465" s="2">
        <v>2550000</v>
      </c>
      <c r="D1465" s="41"/>
      <c r="J1465" s="39">
        <v>392325</v>
      </c>
      <c r="K1465" s="41">
        <v>6</v>
      </c>
      <c r="L1465" s="41">
        <v>2800000</v>
      </c>
      <c r="M1465" s="41"/>
    </row>
    <row r="1466" spans="1:13">
      <c r="A1466" s="10">
        <v>465620</v>
      </c>
      <c r="B1466" s="1" t="s">
        <v>1073</v>
      </c>
      <c r="C1466" s="3">
        <v>258000</v>
      </c>
      <c r="D1466" s="41"/>
      <c r="J1466" s="39">
        <v>393328</v>
      </c>
      <c r="K1466" s="41">
        <v>4</v>
      </c>
      <c r="L1466" s="41">
        <v>2000000</v>
      </c>
      <c r="M1466" s="41"/>
    </row>
    <row r="1467" spans="1:13">
      <c r="A1467" s="10">
        <v>422725</v>
      </c>
      <c r="B1467" s="1" t="s">
        <v>1073</v>
      </c>
      <c r="C1467" s="1" t="s">
        <v>1073</v>
      </c>
      <c r="D1467" s="41"/>
      <c r="J1467" s="39">
        <v>458928</v>
      </c>
      <c r="K1467" s="41">
        <v>4</v>
      </c>
      <c r="L1467" s="41">
        <v>8000000</v>
      </c>
      <c r="M1467" s="41"/>
    </row>
    <row r="1468" spans="1:13">
      <c r="A1468" s="10">
        <v>493400</v>
      </c>
      <c r="B1468" s="1" t="s">
        <v>1073</v>
      </c>
      <c r="C1468" s="1" t="s">
        <v>1073</v>
      </c>
      <c r="D1468" s="41"/>
      <c r="J1468" s="39">
        <v>479735</v>
      </c>
      <c r="K1468" s="41">
        <v>58</v>
      </c>
      <c r="L1468" s="41">
        <v>625000</v>
      </c>
      <c r="M1468" s="41"/>
    </row>
    <row r="1469" spans="1:13">
      <c r="A1469" s="10">
        <v>517666</v>
      </c>
      <c r="B1469" s="1" t="s">
        <v>1073</v>
      </c>
      <c r="C1469" s="3">
        <v>200000</v>
      </c>
      <c r="D1469" s="41"/>
      <c r="J1469" s="39">
        <v>502217</v>
      </c>
      <c r="K1469" s="41">
        <v>4</v>
      </c>
      <c r="L1469" s="41">
        <v>200000</v>
      </c>
      <c r="M1469" s="41"/>
    </row>
    <row r="1470" spans="1:13">
      <c r="A1470" s="10">
        <v>244905</v>
      </c>
      <c r="B1470" s="1">
        <v>1</v>
      </c>
      <c r="C1470" s="2">
        <v>300000</v>
      </c>
      <c r="D1470" s="41"/>
      <c r="J1470" s="39">
        <v>511538</v>
      </c>
      <c r="K1470" s="41">
        <v>1</v>
      </c>
      <c r="L1470" s="41">
        <v>1050000</v>
      </c>
      <c r="M1470" s="41"/>
    </row>
    <row r="1471" spans="1:13">
      <c r="A1471" s="10">
        <v>544812</v>
      </c>
      <c r="B1471" s="1" t="s">
        <v>1073</v>
      </c>
      <c r="C1471" s="2">
        <v>1450000</v>
      </c>
      <c r="D1471" s="41"/>
      <c r="J1471" s="39">
        <v>520800</v>
      </c>
      <c r="K1471" s="41">
        <v>2</v>
      </c>
      <c r="L1471" s="41">
        <v>479000</v>
      </c>
      <c r="M1471" s="41"/>
    </row>
    <row r="1472" spans="1:13">
      <c r="A1472" s="10">
        <v>12301184</v>
      </c>
      <c r="B1472" s="1">
        <v>1</v>
      </c>
      <c r="C1472" s="2">
        <v>400000</v>
      </c>
      <c r="D1472" s="41"/>
      <c r="J1472" s="39">
        <v>520960</v>
      </c>
      <c r="K1472" s="41">
        <v>0</v>
      </c>
      <c r="L1472" s="41">
        <v>1600000</v>
      </c>
      <c r="M1472" s="41"/>
    </row>
    <row r="1473" spans="1:13">
      <c r="A1473" s="10">
        <v>12296347</v>
      </c>
      <c r="B1473" s="1" t="s">
        <v>1073</v>
      </c>
      <c r="C1473" s="2">
        <v>3850000</v>
      </c>
      <c r="D1473" s="41"/>
      <c r="J1473" s="39">
        <v>530211</v>
      </c>
      <c r="K1473" s="41">
        <v>142</v>
      </c>
      <c r="L1473" s="41">
        <v>1295000</v>
      </c>
      <c r="M1473" s="41"/>
    </row>
    <row r="1474" spans="1:13">
      <c r="A1474" s="10">
        <v>12299381</v>
      </c>
      <c r="B1474" s="1" t="s">
        <v>1073</v>
      </c>
      <c r="C1474" s="1" t="s">
        <v>1073</v>
      </c>
      <c r="D1474" s="41"/>
      <c r="J1474" s="39">
        <v>535182</v>
      </c>
      <c r="K1474" s="41">
        <v>5</v>
      </c>
      <c r="L1474" s="41">
        <v>5350000</v>
      </c>
      <c r="M1474" s="41"/>
    </row>
    <row r="1475" spans="1:13">
      <c r="A1475" s="10">
        <v>62004</v>
      </c>
      <c r="B1475" s="1">
        <v>4</v>
      </c>
      <c r="C1475" s="2">
        <v>3168385</v>
      </c>
      <c r="D1475" s="41"/>
      <c r="J1475" s="39">
        <v>537838</v>
      </c>
      <c r="K1475" s="41">
        <v>3</v>
      </c>
      <c r="L1475" s="41">
        <v>3929000</v>
      </c>
      <c r="M1475" s="41"/>
    </row>
    <row r="1476" spans="1:13">
      <c r="A1476" s="10">
        <v>62337</v>
      </c>
      <c r="B1476" s="1" t="s">
        <v>1073</v>
      </c>
      <c r="C1476" s="1" t="s">
        <v>1073</v>
      </c>
      <c r="D1476" s="41"/>
      <c r="J1476" s="39">
        <v>539617</v>
      </c>
      <c r="K1476" s="41">
        <v>3</v>
      </c>
      <c r="L1476" s="41">
        <v>1200000</v>
      </c>
      <c r="M1476" s="41"/>
    </row>
    <row r="1477" spans="1:13">
      <c r="A1477" s="10">
        <v>199290</v>
      </c>
      <c r="B1477" s="1" t="s">
        <v>1073</v>
      </c>
      <c r="C1477" s="2">
        <v>700000</v>
      </c>
      <c r="D1477" s="41"/>
      <c r="J1477" s="39">
        <v>545395</v>
      </c>
      <c r="K1477" s="41">
        <v>1</v>
      </c>
      <c r="L1477" s="41">
        <v>0</v>
      </c>
      <c r="M1477" s="41"/>
    </row>
    <row r="1478" spans="1:13">
      <c r="A1478" s="10">
        <v>61937</v>
      </c>
      <c r="B1478" s="1" t="s">
        <v>1073</v>
      </c>
      <c r="C1478" s="2">
        <v>9404849</v>
      </c>
      <c r="D1478" s="41"/>
      <c r="J1478" s="39">
        <v>61487</v>
      </c>
      <c r="K1478" s="41">
        <v>4</v>
      </c>
      <c r="L1478" s="41">
        <v>400000</v>
      </c>
      <c r="M1478" s="41"/>
    </row>
    <row r="1479" spans="1:13">
      <c r="A1479" s="10">
        <v>13387</v>
      </c>
      <c r="B1479" s="1" t="s">
        <v>1073</v>
      </c>
      <c r="C1479" s="2">
        <v>300000</v>
      </c>
      <c r="D1479" s="41"/>
      <c r="J1479" s="39">
        <v>61490</v>
      </c>
      <c r="K1479" s="41">
        <v>1</v>
      </c>
      <c r="L1479" s="41">
        <v>1500000</v>
      </c>
      <c r="M1479" s="41"/>
    </row>
    <row r="1480" spans="1:13">
      <c r="A1480" s="10">
        <v>368553</v>
      </c>
      <c r="B1480" s="1" t="s">
        <v>1073</v>
      </c>
      <c r="C1480" s="1" t="s">
        <v>1073</v>
      </c>
      <c r="D1480" s="41"/>
      <c r="J1480" s="39">
        <v>61564</v>
      </c>
      <c r="K1480" s="41">
        <v>5</v>
      </c>
      <c r="L1480" s="41">
        <v>13500000</v>
      </c>
      <c r="M1480" s="41"/>
    </row>
    <row r="1481" spans="1:13">
      <c r="A1481" s="10">
        <v>560095</v>
      </c>
      <c r="B1481" s="1">
        <v>1</v>
      </c>
      <c r="C1481" s="2">
        <v>600000</v>
      </c>
      <c r="D1481" s="41"/>
      <c r="J1481" s="39">
        <v>61788</v>
      </c>
      <c r="K1481" s="41">
        <v>4</v>
      </c>
      <c r="L1481" s="41">
        <v>300000</v>
      </c>
      <c r="M1481" s="41"/>
    </row>
    <row r="1482" spans="1:13">
      <c r="A1482" s="10">
        <v>407121</v>
      </c>
      <c r="B1482" s="1">
        <v>2</v>
      </c>
      <c r="C1482" s="2">
        <v>400000</v>
      </c>
      <c r="D1482" s="41"/>
      <c r="J1482" s="39">
        <v>61851</v>
      </c>
      <c r="K1482" s="41">
        <v>3</v>
      </c>
      <c r="L1482" s="41">
        <v>1900000</v>
      </c>
      <c r="M1482" s="41"/>
    </row>
    <row r="1483" spans="1:13">
      <c r="A1483" s="10">
        <v>392253</v>
      </c>
      <c r="B1483" s="1" t="s">
        <v>1073</v>
      </c>
      <c r="C1483" s="2">
        <v>800000</v>
      </c>
      <c r="D1483" s="41"/>
      <c r="J1483" s="39">
        <v>61859</v>
      </c>
      <c r="K1483" s="41">
        <v>4</v>
      </c>
      <c r="L1483" s="41">
        <v>100000</v>
      </c>
      <c r="M1483" s="41"/>
    </row>
    <row r="1484" spans="1:13">
      <c r="A1484" s="10">
        <v>512798</v>
      </c>
      <c r="B1484" s="1">
        <v>3</v>
      </c>
      <c r="C1484" s="1" t="s">
        <v>1073</v>
      </c>
      <c r="D1484" s="41"/>
      <c r="J1484" s="39">
        <v>61860</v>
      </c>
      <c r="K1484" s="41">
        <v>16</v>
      </c>
      <c r="L1484" s="41">
        <v>6300000</v>
      </c>
      <c r="M1484" s="41"/>
    </row>
    <row r="1485" spans="1:13">
      <c r="A1485" s="10">
        <v>12321973</v>
      </c>
      <c r="B1485" s="1" t="s">
        <v>1073</v>
      </c>
      <c r="C1485" s="3">
        <v>150000</v>
      </c>
      <c r="D1485" s="41"/>
      <c r="J1485" s="39">
        <v>61924</v>
      </c>
      <c r="K1485" s="41">
        <v>0</v>
      </c>
      <c r="L1485" s="41">
        <v>150000</v>
      </c>
      <c r="M1485" s="41"/>
    </row>
    <row r="1486" spans="1:13">
      <c r="A1486" s="10">
        <v>281440</v>
      </c>
      <c r="B1486" s="1">
        <v>4</v>
      </c>
      <c r="C1486" s="2">
        <v>316000</v>
      </c>
      <c r="D1486" s="41"/>
      <c r="J1486" s="39">
        <v>62074</v>
      </c>
      <c r="K1486" s="41">
        <v>2</v>
      </c>
      <c r="L1486" s="41">
        <v>300000</v>
      </c>
      <c r="M1486" s="41"/>
    </row>
    <row r="1487" spans="1:13">
      <c r="A1487" s="10">
        <v>400338</v>
      </c>
      <c r="B1487" s="1" t="s">
        <v>1073</v>
      </c>
      <c r="C1487" s="2">
        <v>4200000</v>
      </c>
      <c r="D1487" s="41"/>
      <c r="J1487" s="39">
        <v>62079</v>
      </c>
      <c r="K1487" s="41">
        <v>3</v>
      </c>
      <c r="L1487" s="41">
        <v>300000</v>
      </c>
      <c r="M1487" s="41"/>
    </row>
    <row r="1488" spans="1:13">
      <c r="A1488" s="10">
        <v>492045</v>
      </c>
      <c r="B1488" s="1" t="s">
        <v>1073</v>
      </c>
      <c r="C1488" s="1" t="s">
        <v>1073</v>
      </c>
      <c r="D1488" s="41"/>
      <c r="J1488" s="39">
        <v>62246</v>
      </c>
      <c r="K1488" s="41">
        <v>5</v>
      </c>
      <c r="L1488" s="41">
        <v>500000</v>
      </c>
      <c r="M1488" s="41"/>
    </row>
    <row r="1489" spans="1:13">
      <c r="A1489" s="10">
        <v>286026</v>
      </c>
      <c r="B1489" s="1" t="s">
        <v>1073</v>
      </c>
      <c r="C1489" s="2">
        <v>300000</v>
      </c>
      <c r="D1489" s="41"/>
      <c r="J1489" s="39">
        <v>62286</v>
      </c>
      <c r="K1489" s="41">
        <v>0</v>
      </c>
      <c r="L1489" s="41">
        <v>0</v>
      </c>
      <c r="M1489" s="41"/>
    </row>
    <row r="1490" spans="1:13">
      <c r="A1490" s="10">
        <v>532798</v>
      </c>
      <c r="B1490" s="1" t="s">
        <v>1073</v>
      </c>
      <c r="C1490" s="2">
        <v>20000000</v>
      </c>
      <c r="D1490" s="41"/>
      <c r="J1490" s="39">
        <v>62423</v>
      </c>
      <c r="K1490" s="41">
        <v>57</v>
      </c>
      <c r="L1490" s="41">
        <v>829000</v>
      </c>
      <c r="M1490" s="41"/>
    </row>
    <row r="1491" spans="1:13">
      <c r="A1491" s="10">
        <v>544599</v>
      </c>
      <c r="B1491" s="1" t="s">
        <v>1073</v>
      </c>
      <c r="C1491" s="1" t="s">
        <v>1073</v>
      </c>
      <c r="D1491" s="41"/>
      <c r="J1491" s="39">
        <v>63866</v>
      </c>
      <c r="K1491" s="41">
        <v>4</v>
      </c>
      <c r="L1491" s="41">
        <v>200000</v>
      </c>
      <c r="M1491" s="41"/>
    </row>
    <row r="1492" spans="1:13">
      <c r="A1492" s="10">
        <v>348868</v>
      </c>
      <c r="B1492" s="1" t="s">
        <v>1073</v>
      </c>
      <c r="C1492" s="3">
        <v>200000</v>
      </c>
      <c r="D1492" s="41"/>
      <c r="J1492" s="39" t="s">
        <v>964</v>
      </c>
      <c r="K1492" s="41">
        <v>53</v>
      </c>
      <c r="L1492" s="41">
        <v>445000</v>
      </c>
      <c r="M1492" s="41"/>
    </row>
    <row r="1493" spans="1:13">
      <c r="A1493" s="10">
        <v>538252</v>
      </c>
      <c r="B1493" s="1" t="s">
        <v>1073</v>
      </c>
      <c r="C1493" s="2">
        <v>2000000</v>
      </c>
      <c r="D1493" s="41"/>
      <c r="J1493" s="39" t="s">
        <v>966</v>
      </c>
      <c r="K1493" s="41">
        <v>3</v>
      </c>
      <c r="L1493" s="41">
        <v>150000</v>
      </c>
      <c r="M1493" s="41"/>
    </row>
    <row r="1494" spans="1:13">
      <c r="A1494" s="10">
        <v>401031</v>
      </c>
      <c r="B1494" s="1" t="s">
        <v>1073</v>
      </c>
      <c r="C1494" s="2">
        <v>850000</v>
      </c>
      <c r="D1494" s="41"/>
      <c r="J1494" s="39" t="s">
        <v>967</v>
      </c>
      <c r="K1494" s="41">
        <v>0</v>
      </c>
      <c r="L1494" s="41">
        <v>0</v>
      </c>
      <c r="M1494" s="41"/>
    </row>
    <row r="1495" spans="1:13">
      <c r="A1495" s="10">
        <v>12295831</v>
      </c>
      <c r="B1495" s="1" t="s">
        <v>1073</v>
      </c>
      <c r="C1495" s="3">
        <v>100000</v>
      </c>
      <c r="D1495" s="41"/>
      <c r="J1495" s="39">
        <v>107295</v>
      </c>
      <c r="K1495" s="41">
        <v>2</v>
      </c>
      <c r="L1495" s="41">
        <v>2400000</v>
      </c>
      <c r="M1495" s="41"/>
    </row>
    <row r="1496" spans="1:13">
      <c r="A1496" s="10">
        <v>12322462</v>
      </c>
      <c r="B1496" s="1" t="s">
        <v>1073</v>
      </c>
      <c r="C1496" s="2">
        <v>470000</v>
      </c>
      <c r="D1496" s="41"/>
      <c r="J1496" s="39">
        <v>107298</v>
      </c>
      <c r="K1496" s="41">
        <v>1</v>
      </c>
      <c r="L1496" s="41">
        <v>2100000</v>
      </c>
      <c r="M1496" s="41"/>
    </row>
    <row r="1497" spans="1:13">
      <c r="A1497" s="10">
        <v>12320360</v>
      </c>
      <c r="B1497" s="1" t="s">
        <v>1073</v>
      </c>
      <c r="C1497" s="1" t="s">
        <v>1073</v>
      </c>
      <c r="D1497" s="41"/>
      <c r="J1497" s="39">
        <v>12300536</v>
      </c>
      <c r="K1497" s="41">
        <v>0</v>
      </c>
      <c r="L1497" s="41">
        <v>0</v>
      </c>
      <c r="M1497" s="41"/>
    </row>
    <row r="1498" spans="1:13">
      <c r="A1498" s="10">
        <v>63850</v>
      </c>
      <c r="B1498" s="1">
        <v>1</v>
      </c>
      <c r="C1498" s="2">
        <v>8800000</v>
      </c>
      <c r="D1498" s="41"/>
      <c r="J1498" s="39">
        <v>12303881</v>
      </c>
      <c r="K1498" s="41">
        <v>0</v>
      </c>
      <c r="L1498" s="41">
        <v>2200000</v>
      </c>
      <c r="M1498" s="41"/>
    </row>
    <row r="1499" spans="1:13">
      <c r="A1499" s="10">
        <v>299881</v>
      </c>
      <c r="B1499" s="1" t="s">
        <v>1073</v>
      </c>
      <c r="C1499" s="3">
        <v>100000</v>
      </c>
      <c r="D1499" s="41"/>
      <c r="J1499" s="39">
        <v>12304884</v>
      </c>
      <c r="K1499" s="41">
        <v>1</v>
      </c>
      <c r="L1499" s="41">
        <v>100000</v>
      </c>
      <c r="M1499" s="41"/>
    </row>
    <row r="1500" spans="1:13">
      <c r="A1500" s="10">
        <v>12332159</v>
      </c>
      <c r="B1500" s="1" t="s">
        <v>1073</v>
      </c>
      <c r="C1500" s="2">
        <v>1100000</v>
      </c>
      <c r="D1500" s="41"/>
      <c r="J1500" s="39">
        <v>12318489</v>
      </c>
      <c r="K1500" s="41">
        <v>90</v>
      </c>
      <c r="L1500" s="41">
        <v>145000</v>
      </c>
      <c r="M1500" s="41"/>
    </row>
    <row r="1501" spans="1:13">
      <c r="A1501" s="10">
        <v>12331996</v>
      </c>
      <c r="B1501" s="1">
        <v>2</v>
      </c>
      <c r="C1501" s="2">
        <v>1200000</v>
      </c>
      <c r="D1501" s="41"/>
      <c r="J1501" s="39">
        <v>12319702</v>
      </c>
      <c r="K1501" s="41">
        <v>0</v>
      </c>
      <c r="L1501" s="41">
        <v>0</v>
      </c>
      <c r="M1501" s="41"/>
    </row>
    <row r="1502" spans="1:13">
      <c r="A1502" s="10">
        <v>12331888</v>
      </c>
      <c r="B1502" s="1">
        <v>2</v>
      </c>
      <c r="C1502" s="3">
        <v>58000</v>
      </c>
      <c r="D1502" s="41"/>
      <c r="J1502" s="39">
        <v>12323425</v>
      </c>
      <c r="K1502" s="41">
        <v>1</v>
      </c>
      <c r="L1502" s="41">
        <v>8800000</v>
      </c>
      <c r="M1502" s="41"/>
    </row>
    <row r="1503" spans="1:13">
      <c r="A1503" s="10">
        <v>12332813</v>
      </c>
      <c r="B1503" s="1" t="s">
        <v>1073</v>
      </c>
      <c r="C1503" s="3">
        <v>200000</v>
      </c>
      <c r="D1503" s="41"/>
      <c r="J1503" s="39">
        <v>126597</v>
      </c>
      <c r="K1503" s="41">
        <v>0</v>
      </c>
      <c r="L1503" s="41">
        <v>0</v>
      </c>
      <c r="M1503" s="41"/>
    </row>
    <row r="1504" spans="1:13">
      <c r="A1504" s="10">
        <v>12332390</v>
      </c>
      <c r="B1504" s="1" t="s">
        <v>1073</v>
      </c>
      <c r="C1504" s="3">
        <v>220000</v>
      </c>
      <c r="D1504" s="41"/>
      <c r="J1504" s="39">
        <v>126737</v>
      </c>
      <c r="K1504" s="41">
        <v>0</v>
      </c>
      <c r="L1504" s="41">
        <v>3800000</v>
      </c>
      <c r="M1504" s="41"/>
    </row>
    <row r="1505" spans="1:13">
      <c r="A1505" s="10">
        <v>12332756</v>
      </c>
      <c r="B1505" s="1" t="s">
        <v>1073</v>
      </c>
      <c r="C1505" s="1" t="s">
        <v>1073</v>
      </c>
      <c r="D1505" s="41"/>
      <c r="J1505" s="39">
        <v>12954</v>
      </c>
      <c r="K1505" s="41">
        <v>1</v>
      </c>
      <c r="L1505" s="41">
        <v>400000</v>
      </c>
      <c r="M1505" s="41"/>
    </row>
    <row r="1506" spans="1:13">
      <c r="A1506" s="10">
        <v>12332492</v>
      </c>
      <c r="B1506" s="1" t="s">
        <v>1073</v>
      </c>
      <c r="C1506" s="1" t="s">
        <v>1073</v>
      </c>
      <c r="D1506" s="41"/>
      <c r="J1506" s="39">
        <v>188114</v>
      </c>
      <c r="K1506" s="41">
        <v>4</v>
      </c>
      <c r="L1506" s="41">
        <v>29928372</v>
      </c>
      <c r="M1506" s="41"/>
    </row>
    <row r="1507" spans="1:13">
      <c r="A1507" s="10">
        <v>12332361</v>
      </c>
      <c r="B1507" s="1" t="s">
        <v>1073</v>
      </c>
      <c r="C1507" s="2">
        <v>1994660</v>
      </c>
      <c r="D1507" s="41"/>
      <c r="J1507" s="39">
        <v>191791</v>
      </c>
      <c r="K1507" s="41">
        <v>1</v>
      </c>
      <c r="L1507" s="41">
        <v>14188122</v>
      </c>
      <c r="M1507" s="41"/>
    </row>
    <row r="1508" spans="1:13">
      <c r="A1508" s="10">
        <v>12332439</v>
      </c>
      <c r="B1508" s="1">
        <v>98</v>
      </c>
      <c r="C1508" s="2">
        <v>462000</v>
      </c>
      <c r="D1508" s="41"/>
      <c r="J1508" s="39">
        <v>202378</v>
      </c>
      <c r="K1508" s="41">
        <v>0</v>
      </c>
      <c r="L1508" s="41">
        <v>2000000</v>
      </c>
      <c r="M1508" s="41"/>
    </row>
    <row r="1509" spans="1:13">
      <c r="A1509" s="10">
        <v>12332401</v>
      </c>
      <c r="B1509" s="1" t="s">
        <v>1073</v>
      </c>
      <c r="C1509" s="2">
        <v>1000000</v>
      </c>
      <c r="D1509" s="41"/>
      <c r="J1509" s="39">
        <v>222814</v>
      </c>
      <c r="K1509" s="41">
        <v>0</v>
      </c>
      <c r="L1509" s="41">
        <v>7500000</v>
      </c>
      <c r="M1509" s="41"/>
    </row>
    <row r="1510" spans="1:13">
      <c r="A1510" s="10">
        <v>12332811</v>
      </c>
      <c r="B1510" s="1" t="s">
        <v>1073</v>
      </c>
      <c r="C1510" s="1" t="s">
        <v>1073</v>
      </c>
      <c r="D1510" s="41"/>
      <c r="J1510" s="39">
        <v>231806</v>
      </c>
      <c r="K1510" s="41">
        <v>1</v>
      </c>
      <c r="L1510" s="41">
        <v>4000000</v>
      </c>
      <c r="M1510" s="41"/>
    </row>
    <row r="1511" spans="1:13">
      <c r="A1511" s="10">
        <v>12332325</v>
      </c>
      <c r="B1511" s="1" t="s">
        <v>1073</v>
      </c>
      <c r="C1511" s="2">
        <v>500000</v>
      </c>
      <c r="D1511" s="41"/>
      <c r="J1511" s="39">
        <v>240684</v>
      </c>
      <c r="K1511" s="41">
        <v>0</v>
      </c>
      <c r="L1511" s="41">
        <v>2100000</v>
      </c>
      <c r="M1511" s="41"/>
    </row>
    <row r="1512" spans="1:13">
      <c r="A1512" s="10">
        <v>12332670</v>
      </c>
      <c r="B1512" s="1" t="s">
        <v>1073</v>
      </c>
      <c r="C1512" s="2">
        <v>731000</v>
      </c>
      <c r="D1512" s="41"/>
      <c r="J1512" s="39">
        <v>248829</v>
      </c>
      <c r="K1512" s="41">
        <v>0</v>
      </c>
      <c r="L1512" s="41">
        <v>500000</v>
      </c>
      <c r="M1512" s="41"/>
    </row>
    <row r="1513" spans="1:13">
      <c r="A1513" s="10">
        <v>12332861</v>
      </c>
      <c r="B1513" s="1" t="s">
        <v>1073</v>
      </c>
      <c r="C1513" s="3">
        <v>200000</v>
      </c>
      <c r="D1513" s="41"/>
      <c r="J1513" s="39">
        <v>257042</v>
      </c>
      <c r="K1513" s="41">
        <v>0</v>
      </c>
      <c r="L1513" s="41">
        <v>0</v>
      </c>
      <c r="M1513" s="41"/>
    </row>
    <row r="1514" spans="1:13">
      <c r="A1514" s="10">
        <v>12332347</v>
      </c>
      <c r="B1514" s="1">
        <v>12</v>
      </c>
      <c r="C1514" s="3">
        <v>29000</v>
      </c>
      <c r="D1514" s="41"/>
      <c r="J1514" s="39">
        <v>258245</v>
      </c>
      <c r="K1514" s="41">
        <v>0</v>
      </c>
      <c r="L1514" s="41">
        <v>0</v>
      </c>
      <c r="M1514" s="41"/>
    </row>
    <row r="1515" spans="1:13">
      <c r="A1515" s="10">
        <v>12333031</v>
      </c>
      <c r="B1515" s="1">
        <v>4</v>
      </c>
      <c r="C1515" s="2">
        <v>12417060</v>
      </c>
      <c r="D1515" s="41"/>
      <c r="J1515" s="39">
        <v>2677</v>
      </c>
      <c r="K1515" s="41">
        <v>3</v>
      </c>
      <c r="L1515" s="41">
        <v>1900000</v>
      </c>
      <c r="M1515" s="41"/>
    </row>
    <row r="1516" spans="1:13">
      <c r="A1516" s="10">
        <v>12332971</v>
      </c>
      <c r="B1516" s="1" t="s">
        <v>1073</v>
      </c>
      <c r="C1516" s="1" t="s">
        <v>1073</v>
      </c>
      <c r="D1516" s="41"/>
      <c r="J1516" s="39">
        <v>277793</v>
      </c>
      <c r="K1516" s="41">
        <v>4</v>
      </c>
      <c r="L1516" s="41">
        <v>13650000</v>
      </c>
      <c r="M1516" s="41"/>
    </row>
    <row r="1517" spans="1:13">
      <c r="A1517" s="10" t="s">
        <v>1630</v>
      </c>
      <c r="B1517" s="1" t="s">
        <v>1073</v>
      </c>
      <c r="C1517" s="1" t="s">
        <v>1073</v>
      </c>
      <c r="D1517" s="41"/>
      <c r="J1517" s="39">
        <v>281759</v>
      </c>
      <c r="K1517" s="41">
        <v>0</v>
      </c>
      <c r="L1517" s="41">
        <v>13350000</v>
      </c>
      <c r="M1517" s="41"/>
    </row>
    <row r="1518" spans="1:13">
      <c r="A1518" s="10">
        <v>12333237</v>
      </c>
      <c r="B1518" s="1">
        <v>4</v>
      </c>
      <c r="C1518" s="1" t="s">
        <v>1073</v>
      </c>
      <c r="D1518" s="41"/>
      <c r="J1518" s="39">
        <v>295027</v>
      </c>
      <c r="K1518" s="41">
        <v>0</v>
      </c>
      <c r="L1518" s="41">
        <v>50000</v>
      </c>
      <c r="M1518" s="41"/>
    </row>
    <row r="1519" spans="1:13">
      <c r="A1519" s="10">
        <v>546109</v>
      </c>
      <c r="B1519" s="1" t="s">
        <v>1073</v>
      </c>
      <c r="C1519" s="3">
        <v>29000</v>
      </c>
      <c r="D1519" s="41"/>
      <c r="J1519" s="39">
        <v>298411</v>
      </c>
      <c r="K1519" s="41">
        <v>0</v>
      </c>
      <c r="L1519" s="41">
        <v>600000</v>
      </c>
      <c r="M1519" s="41"/>
    </row>
    <row r="1520" spans="1:13">
      <c r="A1520" s="10">
        <v>480222</v>
      </c>
      <c r="B1520" s="1" t="s">
        <v>1073</v>
      </c>
      <c r="C1520" s="2">
        <v>400000</v>
      </c>
      <c r="D1520" s="41"/>
      <c r="J1520" s="39">
        <v>328949</v>
      </c>
      <c r="K1520" s="41">
        <v>3</v>
      </c>
      <c r="L1520" s="41">
        <v>1200000</v>
      </c>
      <c r="M1520" s="41"/>
    </row>
    <row r="1521" spans="1:13">
      <c r="A1521" s="10">
        <v>580677</v>
      </c>
      <c r="B1521" s="1" t="s">
        <v>1073</v>
      </c>
      <c r="C1521" s="2">
        <v>570000</v>
      </c>
      <c r="D1521" s="41"/>
      <c r="J1521" s="39">
        <v>342631</v>
      </c>
      <c r="K1521" s="41">
        <v>0</v>
      </c>
      <c r="L1521" s="41">
        <v>1000000</v>
      </c>
      <c r="M1521" s="41"/>
    </row>
    <row r="1522" spans="1:13">
      <c r="A1522" s="10">
        <v>61721</v>
      </c>
      <c r="B1522" s="1" t="s">
        <v>1073</v>
      </c>
      <c r="C1522" s="2">
        <v>500000</v>
      </c>
      <c r="D1522" s="41"/>
      <c r="J1522" s="39">
        <v>344001</v>
      </c>
      <c r="K1522" s="41">
        <v>0</v>
      </c>
      <c r="L1522" s="41">
        <v>300000</v>
      </c>
      <c r="M1522" s="41"/>
    </row>
    <row r="1523" spans="1:13">
      <c r="A1523" s="10">
        <v>274707</v>
      </c>
      <c r="B1523" s="1" t="s">
        <v>1073</v>
      </c>
      <c r="C1523" s="1" t="s">
        <v>1073</v>
      </c>
      <c r="D1523" s="41"/>
      <c r="J1523" s="39">
        <v>347320</v>
      </c>
      <c r="K1523" s="41">
        <v>0</v>
      </c>
      <c r="L1523" s="41">
        <v>3450000</v>
      </c>
      <c r="M1523" s="41"/>
    </row>
    <row r="1524" spans="1:13">
      <c r="A1524" s="10">
        <v>478811</v>
      </c>
      <c r="B1524" s="1" t="s">
        <v>1073</v>
      </c>
      <c r="C1524" s="2">
        <v>11000000</v>
      </c>
      <c r="D1524" s="41"/>
      <c r="J1524" s="39">
        <v>348868</v>
      </c>
      <c r="K1524" s="41">
        <v>0</v>
      </c>
      <c r="L1524" s="41">
        <v>0</v>
      </c>
      <c r="M1524" s="41"/>
    </row>
    <row r="1525" spans="1:13">
      <c r="A1525" s="10">
        <v>542219</v>
      </c>
      <c r="B1525" s="1" t="s">
        <v>1073</v>
      </c>
      <c r="C1525" s="2">
        <v>4000000</v>
      </c>
      <c r="D1525" s="41"/>
      <c r="J1525" s="39">
        <v>357182</v>
      </c>
      <c r="K1525" s="41">
        <v>0</v>
      </c>
      <c r="L1525" s="41">
        <v>300000</v>
      </c>
      <c r="M1525" s="41"/>
    </row>
    <row r="1526" spans="1:13">
      <c r="A1526" s="10">
        <v>12331261</v>
      </c>
      <c r="B1526" s="1">
        <v>6</v>
      </c>
      <c r="C1526" s="2">
        <v>1348000</v>
      </c>
      <c r="D1526" s="41"/>
      <c r="J1526" s="39">
        <v>368908</v>
      </c>
      <c r="K1526" s="41">
        <v>0</v>
      </c>
      <c r="L1526" s="41">
        <v>1800000</v>
      </c>
      <c r="M1526" s="41"/>
    </row>
    <row r="1527" spans="1:13">
      <c r="A1527" s="10">
        <v>12331450</v>
      </c>
      <c r="B1527" s="1" t="s">
        <v>1073</v>
      </c>
      <c r="C1527" s="3">
        <v>100000</v>
      </c>
      <c r="D1527" s="41"/>
      <c r="J1527" s="39">
        <v>375678</v>
      </c>
      <c r="K1527" s="41">
        <v>9</v>
      </c>
      <c r="L1527" s="41">
        <v>5300000</v>
      </c>
      <c r="M1527" s="41"/>
    </row>
    <row r="1528" spans="1:13">
      <c r="A1528" s="10">
        <v>532833</v>
      </c>
      <c r="B1528" s="1" t="s">
        <v>1073</v>
      </c>
      <c r="C1528" s="3">
        <v>200000</v>
      </c>
      <c r="D1528" s="41"/>
      <c r="J1528" s="39">
        <v>384508</v>
      </c>
      <c r="K1528" s="41">
        <v>0</v>
      </c>
      <c r="L1528" s="41">
        <v>2800000</v>
      </c>
      <c r="M1528" s="41"/>
    </row>
    <row r="1529" spans="1:13">
      <c r="A1529" s="10">
        <v>12321065</v>
      </c>
      <c r="B1529" s="1" t="s">
        <v>1073</v>
      </c>
      <c r="C1529" s="1" t="s">
        <v>1073</v>
      </c>
      <c r="D1529" s="41"/>
      <c r="J1529" s="39">
        <v>388</v>
      </c>
      <c r="K1529" s="41">
        <v>0</v>
      </c>
      <c r="L1529" s="41">
        <v>250000</v>
      </c>
      <c r="M1529" s="41"/>
    </row>
    <row r="1530" spans="1:13">
      <c r="A1530" s="10">
        <v>12321243</v>
      </c>
      <c r="B1530" s="1">
        <v>300</v>
      </c>
      <c r="C1530" s="2">
        <v>16000000</v>
      </c>
      <c r="D1530" s="41"/>
      <c r="J1530" s="39">
        <v>404185</v>
      </c>
      <c r="K1530" s="41">
        <v>0</v>
      </c>
      <c r="L1530" s="41">
        <v>1000000</v>
      </c>
      <c r="M1530" s="41"/>
    </row>
    <row r="1531" spans="1:13">
      <c r="A1531" s="10">
        <v>264920</v>
      </c>
      <c r="B1531" s="1" t="s">
        <v>1073</v>
      </c>
      <c r="C1531" s="1" t="s">
        <v>1073</v>
      </c>
      <c r="D1531" s="41"/>
      <c r="J1531" s="39">
        <v>409940</v>
      </c>
      <c r="K1531" s="41">
        <v>1</v>
      </c>
      <c r="L1531" s="41">
        <v>5985000</v>
      </c>
      <c r="M1531" s="41"/>
    </row>
    <row r="1532" spans="1:13">
      <c r="A1532" s="10">
        <v>12304609</v>
      </c>
      <c r="B1532" s="1">
        <v>2</v>
      </c>
      <c r="C1532" s="2">
        <v>408000</v>
      </c>
      <c r="D1532" s="41"/>
      <c r="J1532" s="39">
        <v>458943</v>
      </c>
      <c r="K1532" s="41">
        <v>0</v>
      </c>
      <c r="L1532" s="41">
        <v>1300000</v>
      </c>
      <c r="M1532" s="41"/>
    </row>
    <row r="1533" spans="1:13">
      <c r="A1533" s="10">
        <v>7483</v>
      </c>
      <c r="B1533" s="1" t="s">
        <v>1073</v>
      </c>
      <c r="C1533" s="1" t="s">
        <v>1073</v>
      </c>
      <c r="D1533" s="41"/>
      <c r="J1533" s="39">
        <v>458950</v>
      </c>
      <c r="K1533" s="41">
        <v>0</v>
      </c>
      <c r="L1533" s="41">
        <v>750000</v>
      </c>
      <c r="M1533" s="41"/>
    </row>
    <row r="1534" spans="1:13">
      <c r="A1534" s="10">
        <v>12322791</v>
      </c>
      <c r="B1534" s="1" t="s">
        <v>1073</v>
      </c>
      <c r="C1534" s="2">
        <v>1000000</v>
      </c>
      <c r="D1534" s="41"/>
      <c r="J1534" s="39">
        <v>473615</v>
      </c>
      <c r="K1534" s="41">
        <v>1</v>
      </c>
      <c r="L1534" s="41">
        <v>3950000</v>
      </c>
      <c r="M1534" s="41"/>
    </row>
    <row r="1535" spans="1:13">
      <c r="A1535" s="10">
        <v>67030</v>
      </c>
      <c r="B1535" s="1">
        <v>8</v>
      </c>
      <c r="C1535" s="3">
        <v>116000</v>
      </c>
      <c r="D1535" s="41"/>
      <c r="J1535" s="39">
        <v>479396</v>
      </c>
      <c r="K1535" s="41">
        <v>0</v>
      </c>
      <c r="L1535" s="41">
        <v>8000000</v>
      </c>
      <c r="M1535" s="41"/>
    </row>
    <row r="1536" spans="1:13">
      <c r="A1536" s="10">
        <v>543826</v>
      </c>
      <c r="B1536" s="1">
        <v>4</v>
      </c>
      <c r="C1536" s="2">
        <v>16000000</v>
      </c>
      <c r="D1536" s="41"/>
      <c r="J1536" s="39">
        <v>489150</v>
      </c>
      <c r="K1536" s="41">
        <v>1</v>
      </c>
      <c r="L1536" s="41">
        <v>400000</v>
      </c>
      <c r="M1536" s="41"/>
    </row>
    <row r="1537" spans="1:13">
      <c r="A1537" s="10">
        <v>312343</v>
      </c>
      <c r="B1537" s="1" t="s">
        <v>1073</v>
      </c>
      <c r="C1537" s="3">
        <v>100000</v>
      </c>
      <c r="D1537" s="41"/>
      <c r="J1537" s="39">
        <v>494950</v>
      </c>
      <c r="K1537" s="41">
        <v>1</v>
      </c>
      <c r="L1537" s="41">
        <v>1000000</v>
      </c>
      <c r="M1537" s="41"/>
    </row>
    <row r="1538" spans="1:13">
      <c r="A1538" s="10">
        <v>286503</v>
      </c>
      <c r="B1538" s="1">
        <v>3</v>
      </c>
      <c r="C1538" s="2">
        <v>1805000</v>
      </c>
      <c r="D1538" s="41"/>
      <c r="J1538" s="39">
        <v>496643</v>
      </c>
      <c r="K1538" s="41">
        <v>0</v>
      </c>
      <c r="L1538" s="41">
        <v>0</v>
      </c>
      <c r="M1538" s="41"/>
    </row>
    <row r="1539" spans="1:13">
      <c r="A1539" s="10">
        <v>211751</v>
      </c>
      <c r="B1539" s="1" t="s">
        <v>1073</v>
      </c>
      <c r="C1539" s="1" t="s">
        <v>1073</v>
      </c>
      <c r="D1539" s="41"/>
      <c r="J1539" s="39">
        <v>509438</v>
      </c>
      <c r="K1539" s="41">
        <v>0</v>
      </c>
      <c r="L1539" s="41">
        <v>200000</v>
      </c>
      <c r="M1539" s="41"/>
    </row>
    <row r="1540" spans="1:13">
      <c r="A1540" s="10">
        <v>188500</v>
      </c>
      <c r="B1540" s="1" t="s">
        <v>1073</v>
      </c>
      <c r="C1540" s="1" t="s">
        <v>1073</v>
      </c>
      <c r="D1540" s="41"/>
      <c r="J1540" s="39">
        <v>522705</v>
      </c>
      <c r="K1540" s="41">
        <v>0</v>
      </c>
      <c r="L1540" s="41">
        <v>0</v>
      </c>
      <c r="M1540" s="41"/>
    </row>
    <row r="1541" spans="1:13">
      <c r="A1541" s="10">
        <v>260562</v>
      </c>
      <c r="B1541" s="1">
        <v>3</v>
      </c>
      <c r="C1541" s="2">
        <v>500000</v>
      </c>
      <c r="D1541" s="41"/>
      <c r="J1541" s="39">
        <v>540125</v>
      </c>
      <c r="K1541" s="41">
        <v>1</v>
      </c>
      <c r="L1541" s="41">
        <v>1150000</v>
      </c>
      <c r="M1541" s="41"/>
    </row>
    <row r="1542" spans="1:13">
      <c r="A1542" s="10">
        <v>532883</v>
      </c>
      <c r="B1542" s="1" t="s">
        <v>1073</v>
      </c>
      <c r="C1542" s="2">
        <v>450000</v>
      </c>
      <c r="D1542" s="41"/>
      <c r="J1542" s="39">
        <v>541003</v>
      </c>
      <c r="K1542" s="41">
        <v>0</v>
      </c>
      <c r="L1542" s="41">
        <v>2900000</v>
      </c>
      <c r="M1542" s="41"/>
    </row>
    <row r="1543" spans="1:13">
      <c r="A1543" s="10">
        <v>61881</v>
      </c>
      <c r="B1543" s="1" t="s">
        <v>1073</v>
      </c>
      <c r="C1543" s="2">
        <v>5176501</v>
      </c>
      <c r="D1543" s="41"/>
      <c r="J1543" s="39">
        <v>573314</v>
      </c>
      <c r="K1543" s="41">
        <v>0</v>
      </c>
      <c r="L1543" s="41">
        <v>0</v>
      </c>
      <c r="M1543" s="41"/>
    </row>
    <row r="1544" spans="1:13">
      <c r="A1544" s="10">
        <v>126737</v>
      </c>
      <c r="B1544" s="1" t="s">
        <v>1073</v>
      </c>
      <c r="C1544" s="2">
        <v>2000000</v>
      </c>
      <c r="D1544" s="41"/>
      <c r="J1544" s="39">
        <v>61576</v>
      </c>
      <c r="K1544" s="41">
        <v>0</v>
      </c>
      <c r="L1544" s="41">
        <v>1000000</v>
      </c>
      <c r="M1544" s="41"/>
    </row>
    <row r="1545" spans="1:13">
      <c r="A1545" s="10">
        <v>61690</v>
      </c>
      <c r="B1545" s="1">
        <v>3</v>
      </c>
      <c r="C1545" s="2">
        <v>9000000</v>
      </c>
      <c r="D1545" s="41"/>
      <c r="J1545" s="39">
        <v>61593</v>
      </c>
      <c r="K1545" s="41">
        <v>0</v>
      </c>
      <c r="L1545" s="41">
        <v>1529000</v>
      </c>
      <c r="M1545" s="41"/>
    </row>
    <row r="1546" spans="1:13">
      <c r="A1546" s="10">
        <v>219074</v>
      </c>
      <c r="B1546" s="1" t="s">
        <v>1073</v>
      </c>
      <c r="C1546" s="2">
        <v>1850000</v>
      </c>
      <c r="D1546" s="41"/>
      <c r="J1546" s="39">
        <v>61861</v>
      </c>
      <c r="K1546" s="41">
        <v>0</v>
      </c>
      <c r="L1546" s="41">
        <v>0</v>
      </c>
      <c r="M1546" s="41"/>
    </row>
    <row r="1547" spans="1:13">
      <c r="A1547" s="10">
        <v>13554</v>
      </c>
      <c r="B1547" s="1" t="s">
        <v>1073</v>
      </c>
      <c r="C1547" s="2">
        <v>300000</v>
      </c>
      <c r="D1547" s="41"/>
      <c r="J1547" s="39">
        <v>62200</v>
      </c>
      <c r="K1547" s="41">
        <v>0</v>
      </c>
      <c r="L1547" s="41">
        <v>0</v>
      </c>
      <c r="M1547" s="41"/>
    </row>
    <row r="1548" spans="1:13">
      <c r="A1548" s="10">
        <v>12304744</v>
      </c>
      <c r="B1548" s="1" t="s">
        <v>1073</v>
      </c>
      <c r="C1548" s="2">
        <v>300000</v>
      </c>
      <c r="D1548" s="41"/>
      <c r="J1548" s="39">
        <v>62223</v>
      </c>
      <c r="K1548" s="41">
        <v>1</v>
      </c>
      <c r="L1548" s="41">
        <v>900000</v>
      </c>
      <c r="M1548" s="41"/>
    </row>
    <row r="1549" spans="1:13">
      <c r="A1549" s="10">
        <v>12295980</v>
      </c>
      <c r="B1549" s="1">
        <v>5</v>
      </c>
      <c r="C1549" s="1" t="s">
        <v>1073</v>
      </c>
      <c r="D1549" s="41"/>
      <c r="J1549" s="39">
        <v>62229</v>
      </c>
      <c r="K1549" s="41">
        <v>1</v>
      </c>
      <c r="L1549" s="41">
        <v>1300000</v>
      </c>
      <c r="M1549" s="41"/>
    </row>
    <row r="1550" spans="1:13">
      <c r="A1550" s="10">
        <v>458989</v>
      </c>
      <c r="B1550" s="1" t="s">
        <v>1073</v>
      </c>
      <c r="C1550" s="2">
        <v>19000000</v>
      </c>
      <c r="D1550" s="41"/>
      <c r="J1550" s="39">
        <v>62378</v>
      </c>
      <c r="K1550" s="41">
        <v>0</v>
      </c>
      <c r="L1550" s="41">
        <v>11200000</v>
      </c>
      <c r="M1550" s="41"/>
    </row>
    <row r="1551" spans="1:13">
      <c r="A1551" s="10">
        <v>12303501</v>
      </c>
      <c r="B1551" s="1" t="s">
        <v>1073</v>
      </c>
      <c r="C1551" s="2">
        <v>35000000</v>
      </c>
      <c r="D1551" s="41"/>
      <c r="J1551" s="39">
        <v>63849</v>
      </c>
      <c r="K1551" s="41">
        <v>0</v>
      </c>
      <c r="L1551" s="41">
        <v>4600000</v>
      </c>
      <c r="M1551" s="41"/>
    </row>
    <row r="1552" spans="1:13">
      <c r="A1552" s="10">
        <v>12320273</v>
      </c>
      <c r="B1552" s="1">
        <v>3</v>
      </c>
      <c r="C1552" s="1" t="s">
        <v>1073</v>
      </c>
      <c r="D1552" s="41"/>
      <c r="J1552" s="39">
        <v>63850</v>
      </c>
      <c r="K1552" s="41">
        <v>1</v>
      </c>
      <c r="L1552" s="41">
        <v>21670000</v>
      </c>
      <c r="M1552" s="41"/>
    </row>
    <row r="1553" spans="1:13">
      <c r="A1553" s="10">
        <v>406040</v>
      </c>
      <c r="B1553" s="1" t="s">
        <v>1073</v>
      </c>
      <c r="C1553" s="2">
        <v>900000</v>
      </c>
      <c r="D1553" s="41"/>
      <c r="J1553" s="39" t="s">
        <v>1007</v>
      </c>
      <c r="K1553" s="41">
        <v>0</v>
      </c>
      <c r="L1553" s="41">
        <v>0</v>
      </c>
      <c r="M1553" s="41"/>
    </row>
    <row r="1554" spans="1:13">
      <c r="A1554" s="10">
        <v>211648</v>
      </c>
      <c r="B1554" s="1" t="s">
        <v>1073</v>
      </c>
      <c r="C1554" s="2">
        <v>2200000</v>
      </c>
      <c r="D1554" s="41"/>
      <c r="J1554" s="39" t="s">
        <v>1008</v>
      </c>
      <c r="K1554" s="41">
        <v>0</v>
      </c>
      <c r="L1554" s="41">
        <v>200000</v>
      </c>
      <c r="M1554" s="41"/>
    </row>
    <row r="1555" spans="1:13">
      <c r="A1555" s="10">
        <v>533184</v>
      </c>
      <c r="B1555" s="1" t="s">
        <v>1073</v>
      </c>
      <c r="C1555" s="2">
        <v>600000</v>
      </c>
      <c r="D1555" s="41"/>
      <c r="J1555" s="39" t="s">
        <v>1010</v>
      </c>
      <c r="K1555" s="41">
        <v>0</v>
      </c>
      <c r="L1555" s="41">
        <v>0</v>
      </c>
      <c r="M1555" s="41"/>
    </row>
    <row r="1556" spans="1:13">
      <c r="A1556" s="10">
        <v>12321917</v>
      </c>
      <c r="B1556" s="1" t="s">
        <v>1073</v>
      </c>
      <c r="C1556" s="3">
        <v>50000</v>
      </c>
      <c r="D1556" s="41"/>
      <c r="J1556" s="39" t="s">
        <v>1012</v>
      </c>
      <c r="K1556" s="41">
        <v>0</v>
      </c>
      <c r="L1556" s="41">
        <v>600000</v>
      </c>
      <c r="M1556" s="41"/>
    </row>
    <row r="1557" spans="1:13">
      <c r="A1557" s="10">
        <v>422569</v>
      </c>
      <c r="B1557" s="1" t="s">
        <v>1073</v>
      </c>
      <c r="C1557" s="1" t="s">
        <v>1073</v>
      </c>
      <c r="D1557" s="41"/>
      <c r="J1557" s="39" t="s">
        <v>1014</v>
      </c>
      <c r="K1557" s="41">
        <v>0</v>
      </c>
      <c r="L1557" s="41">
        <v>579000</v>
      </c>
      <c r="M1557" s="41"/>
    </row>
    <row r="1558" spans="1:13">
      <c r="A1558" s="10">
        <v>196416</v>
      </c>
      <c r="B1558" s="1" t="s">
        <v>1073</v>
      </c>
      <c r="C1558" s="2">
        <v>400000</v>
      </c>
      <c r="D1558" s="41"/>
      <c r="J1558" s="39" t="s">
        <v>1016</v>
      </c>
      <c r="K1558" s="41">
        <v>0</v>
      </c>
      <c r="L1558" s="41">
        <v>0</v>
      </c>
      <c r="M1558" s="41"/>
    </row>
    <row r="1559" spans="1:13">
      <c r="A1559" s="10">
        <v>213944</v>
      </c>
      <c r="B1559" s="1">
        <v>4</v>
      </c>
      <c r="C1559" s="2">
        <v>2425000</v>
      </c>
      <c r="D1559" s="41"/>
      <c r="J1559" s="39" t="s">
        <v>1017</v>
      </c>
      <c r="K1559" s="41">
        <v>0</v>
      </c>
      <c r="L1559" s="41">
        <v>50000</v>
      </c>
      <c r="M1559" s="41"/>
    </row>
    <row r="1560" spans="1:13">
      <c r="A1560" s="10" t="s">
        <v>964</v>
      </c>
      <c r="B1560" s="1">
        <v>10</v>
      </c>
      <c r="C1560" s="3">
        <v>50000</v>
      </c>
      <c r="D1560" s="41"/>
      <c r="J1560" s="39" t="s">
        <v>1019</v>
      </c>
      <c r="K1560" s="41">
        <v>1</v>
      </c>
      <c r="L1560" s="41">
        <v>400000</v>
      </c>
      <c r="M1560" s="41"/>
    </row>
    <row r="1561" spans="1:13">
      <c r="A1561" s="10" t="s">
        <v>72</v>
      </c>
      <c r="B1561" s="1" t="s">
        <v>1073</v>
      </c>
      <c r="C1561" s="1" t="s">
        <v>1073</v>
      </c>
      <c r="D1561" s="41"/>
      <c r="J1561" s="39">
        <v>12303922</v>
      </c>
      <c r="K1561" s="41">
        <v>83</v>
      </c>
      <c r="L1561" s="41">
        <v>595500</v>
      </c>
      <c r="M1561" s="41"/>
    </row>
    <row r="1562" spans="1:13">
      <c r="A1562" s="10" t="s">
        <v>71</v>
      </c>
      <c r="B1562" s="1" t="s">
        <v>1073</v>
      </c>
      <c r="C1562" s="2">
        <v>6885000</v>
      </c>
      <c r="D1562" s="41"/>
      <c r="J1562" s="39">
        <v>12304208</v>
      </c>
      <c r="K1562" s="41">
        <v>3</v>
      </c>
      <c r="L1562" s="41">
        <v>1600000</v>
      </c>
      <c r="M1562" s="41"/>
    </row>
    <row r="1563" spans="1:13">
      <c r="A1563" s="10" t="s">
        <v>681</v>
      </c>
      <c r="B1563" s="1" t="s">
        <v>1073</v>
      </c>
      <c r="C1563" s="2">
        <v>3500000</v>
      </c>
      <c r="D1563" s="41"/>
      <c r="J1563" s="39">
        <v>12314920</v>
      </c>
      <c r="K1563" s="41">
        <v>2</v>
      </c>
      <c r="L1563" s="41">
        <v>1950000</v>
      </c>
      <c r="M1563" s="41"/>
    </row>
    <row r="1564" spans="1:13">
      <c r="A1564" s="10" t="s">
        <v>1069</v>
      </c>
      <c r="B1564" s="1" t="s">
        <v>1073</v>
      </c>
      <c r="C1564" s="2">
        <v>500000</v>
      </c>
      <c r="D1564" s="41"/>
      <c r="J1564" s="39">
        <v>12322351</v>
      </c>
      <c r="K1564" s="41">
        <v>120</v>
      </c>
      <c r="L1564" s="41">
        <v>15200470</v>
      </c>
      <c r="M1564" s="41"/>
    </row>
    <row r="1565" spans="1:13">
      <c r="A1565" s="10" t="s">
        <v>1008</v>
      </c>
      <c r="B1565" s="1">
        <v>3</v>
      </c>
      <c r="C1565" s="3">
        <v>87000</v>
      </c>
      <c r="D1565" s="41"/>
      <c r="J1565" s="39">
        <v>12322833</v>
      </c>
      <c r="K1565" s="41">
        <v>0</v>
      </c>
      <c r="L1565" s="41">
        <v>250000</v>
      </c>
      <c r="M1565" s="41"/>
    </row>
    <row r="1566" spans="1:13">
      <c r="A1566" s="10" t="s">
        <v>113</v>
      </c>
      <c r="B1566" s="1" t="s">
        <v>1073</v>
      </c>
      <c r="C1566" s="1" t="s">
        <v>1073</v>
      </c>
      <c r="D1566" s="41"/>
      <c r="J1566" s="39">
        <v>12323037</v>
      </c>
      <c r="K1566" s="41">
        <v>5</v>
      </c>
      <c r="L1566" s="41">
        <v>1579000</v>
      </c>
      <c r="M1566" s="41"/>
    </row>
    <row r="1567" spans="1:13">
      <c r="A1567" s="10" t="s">
        <v>69</v>
      </c>
      <c r="B1567" s="1" t="s">
        <v>1073</v>
      </c>
      <c r="C1567" s="2">
        <v>1000000</v>
      </c>
      <c r="D1567" s="41"/>
      <c r="J1567" s="39">
        <v>12327331</v>
      </c>
      <c r="K1567" s="41">
        <v>0</v>
      </c>
      <c r="L1567" s="41">
        <v>2599474</v>
      </c>
      <c r="M1567" s="41"/>
    </row>
    <row r="1568" spans="1:13">
      <c r="A1568" s="10" t="s">
        <v>846</v>
      </c>
      <c r="B1568" s="1">
        <v>1</v>
      </c>
      <c r="C1568" s="3">
        <v>250000</v>
      </c>
      <c r="D1568" s="41"/>
      <c r="J1568" s="39">
        <v>12332861</v>
      </c>
      <c r="K1568" s="41">
        <v>3</v>
      </c>
      <c r="L1568" s="41">
        <v>679000</v>
      </c>
      <c r="M1568" s="41"/>
    </row>
    <row r="1569" spans="1:13">
      <c r="A1569" s="10" t="s">
        <v>1007</v>
      </c>
      <c r="B1569" s="1" t="s">
        <v>1073</v>
      </c>
      <c r="C1569" s="1" t="s">
        <v>1073</v>
      </c>
      <c r="D1569" s="41"/>
      <c r="J1569" s="39">
        <v>127542</v>
      </c>
      <c r="K1569" s="41">
        <v>3</v>
      </c>
      <c r="L1569" s="41">
        <v>2200000</v>
      </c>
      <c r="M1569" s="41"/>
    </row>
    <row r="1570" spans="1:13">
      <c r="A1570" s="10" t="s">
        <v>483</v>
      </c>
      <c r="B1570" s="1" t="s">
        <v>1073</v>
      </c>
      <c r="C1570" s="1" t="s">
        <v>1073</v>
      </c>
      <c r="D1570" s="41"/>
      <c r="J1570" s="39">
        <v>156336</v>
      </c>
      <c r="K1570" s="41">
        <v>30</v>
      </c>
      <c r="L1570" s="41">
        <v>82966221</v>
      </c>
      <c r="M1570" s="41"/>
    </row>
    <row r="1571" spans="1:13">
      <c r="A1571" s="10">
        <v>12334635</v>
      </c>
      <c r="B1571" s="1">
        <v>4</v>
      </c>
      <c r="C1571" s="2">
        <v>23000000</v>
      </c>
      <c r="D1571" s="41"/>
      <c r="J1571" s="39">
        <v>221676</v>
      </c>
      <c r="K1571" s="41">
        <v>5</v>
      </c>
      <c r="L1571" s="41">
        <v>550000</v>
      </c>
      <c r="M1571" s="41"/>
    </row>
    <row r="1572" spans="1:13">
      <c r="A1572" s="10">
        <v>12334637</v>
      </c>
      <c r="B1572" s="1">
        <v>25</v>
      </c>
      <c r="C1572" s="2">
        <v>10365030</v>
      </c>
      <c r="D1572" s="41"/>
      <c r="J1572" s="39">
        <v>237391</v>
      </c>
      <c r="K1572" s="41">
        <v>21</v>
      </c>
      <c r="L1572" s="41">
        <v>11620210</v>
      </c>
      <c r="M1572" s="41"/>
    </row>
    <row r="1573" spans="1:13">
      <c r="A1573" s="10">
        <v>12333967</v>
      </c>
      <c r="B1573" s="1" t="s">
        <v>1073</v>
      </c>
      <c r="C1573" s="1" t="s">
        <v>1073</v>
      </c>
      <c r="D1573" s="41"/>
      <c r="J1573" s="39">
        <v>240416</v>
      </c>
      <c r="K1573" s="41">
        <v>3</v>
      </c>
      <c r="L1573" s="41">
        <v>658000</v>
      </c>
      <c r="M1573" s="41"/>
    </row>
    <row r="1574" spans="1:13">
      <c r="A1574" s="10">
        <v>12333670</v>
      </c>
      <c r="B1574" s="1" t="s">
        <v>1073</v>
      </c>
      <c r="C1574" s="2">
        <v>1260000</v>
      </c>
      <c r="D1574" s="41"/>
      <c r="J1574" s="39">
        <v>243830</v>
      </c>
      <c r="K1574" s="41">
        <v>1</v>
      </c>
      <c r="L1574" s="41">
        <v>550000</v>
      </c>
      <c r="M1574" s="41"/>
    </row>
    <row r="1575" spans="1:13">
      <c r="A1575" s="10">
        <v>12334713</v>
      </c>
      <c r="B1575" s="1" t="s">
        <v>1073</v>
      </c>
      <c r="C1575" s="2">
        <v>350000</v>
      </c>
      <c r="D1575" s="41"/>
      <c r="J1575" s="39">
        <v>250263</v>
      </c>
      <c r="K1575" s="41">
        <v>3</v>
      </c>
      <c r="L1575" s="41">
        <v>179000</v>
      </c>
      <c r="M1575" s="41"/>
    </row>
    <row r="1576" spans="1:13">
      <c r="A1576" s="10">
        <v>12334597</v>
      </c>
      <c r="B1576" s="1" t="s">
        <v>1073</v>
      </c>
      <c r="C1576" s="1" t="s">
        <v>1073</v>
      </c>
      <c r="D1576" s="41"/>
      <c r="J1576" s="39">
        <v>252647</v>
      </c>
      <c r="K1576" s="41">
        <v>6</v>
      </c>
      <c r="L1576" s="41">
        <v>1300000</v>
      </c>
      <c r="M1576" s="41"/>
    </row>
    <row r="1577" spans="1:13">
      <c r="A1577" s="10">
        <v>12334377</v>
      </c>
      <c r="B1577" s="1" t="s">
        <v>1073</v>
      </c>
      <c r="C1577" s="2">
        <v>500000</v>
      </c>
      <c r="D1577" s="41"/>
      <c r="J1577" s="39">
        <v>260342</v>
      </c>
      <c r="K1577" s="41">
        <v>6</v>
      </c>
      <c r="L1577" s="41">
        <v>2700000</v>
      </c>
      <c r="M1577" s="41"/>
    </row>
    <row r="1578" spans="1:13">
      <c r="A1578" s="10" t="s">
        <v>74</v>
      </c>
      <c r="B1578" s="1" t="s">
        <v>1073</v>
      </c>
      <c r="C1578" s="2">
        <v>1300000</v>
      </c>
      <c r="D1578" s="41"/>
      <c r="J1578" s="39">
        <v>267498</v>
      </c>
      <c r="K1578" s="41">
        <v>0</v>
      </c>
      <c r="L1578" s="41">
        <v>1300000</v>
      </c>
      <c r="M1578" s="41"/>
    </row>
    <row r="1579" spans="1:13">
      <c r="A1579" s="10" t="s">
        <v>624</v>
      </c>
      <c r="B1579" s="1">
        <v>1</v>
      </c>
      <c r="C1579" s="2">
        <v>5458000</v>
      </c>
      <c r="D1579" s="41"/>
      <c r="J1579" s="39">
        <v>275621</v>
      </c>
      <c r="K1579" s="41">
        <v>0</v>
      </c>
      <c r="L1579" s="41">
        <v>200000</v>
      </c>
      <c r="M1579" s="41"/>
    </row>
    <row r="1580" spans="1:13">
      <c r="A1580" s="10" t="s">
        <v>758</v>
      </c>
      <c r="B1580" s="1" t="s">
        <v>1073</v>
      </c>
      <c r="C1580" s="1" t="s">
        <v>1073</v>
      </c>
      <c r="D1580" s="41"/>
      <c r="J1580" s="39">
        <v>281440</v>
      </c>
      <c r="K1580" s="41">
        <v>4</v>
      </c>
      <c r="L1580" s="41">
        <v>0</v>
      </c>
      <c r="M1580" s="41"/>
    </row>
    <row r="1581" spans="1:13">
      <c r="A1581" s="10" t="s">
        <v>684</v>
      </c>
      <c r="B1581" s="1" t="s">
        <v>1073</v>
      </c>
      <c r="C1581" s="3">
        <v>100000</v>
      </c>
      <c r="D1581" s="41"/>
      <c r="J1581" s="39">
        <v>282970</v>
      </c>
      <c r="K1581" s="41">
        <v>4</v>
      </c>
      <c r="L1581" s="41">
        <v>1000000</v>
      </c>
      <c r="M1581" s="41"/>
    </row>
    <row r="1582" spans="1:13">
      <c r="A1582" s="10" t="s">
        <v>702</v>
      </c>
      <c r="B1582" s="1" t="s">
        <v>1073</v>
      </c>
      <c r="C1582" s="2">
        <v>750000</v>
      </c>
      <c r="D1582" s="41"/>
      <c r="J1582" s="39">
        <v>284945</v>
      </c>
      <c r="K1582" s="41">
        <v>3</v>
      </c>
      <c r="L1582" s="41">
        <v>1000000</v>
      </c>
      <c r="M1582" s="41"/>
    </row>
    <row r="1583" spans="1:13">
      <c r="A1583" s="10" t="s">
        <v>683</v>
      </c>
      <c r="B1583" s="1" t="s">
        <v>1073</v>
      </c>
      <c r="C1583" s="2">
        <v>1000000</v>
      </c>
      <c r="D1583" s="41"/>
      <c r="J1583" s="39">
        <v>2872</v>
      </c>
      <c r="K1583" s="41">
        <v>4</v>
      </c>
      <c r="L1583" s="41">
        <v>400000</v>
      </c>
      <c r="M1583" s="41"/>
    </row>
    <row r="1584" spans="1:13">
      <c r="A1584" s="10" t="s">
        <v>760</v>
      </c>
      <c r="B1584" s="1" t="s">
        <v>1073</v>
      </c>
      <c r="C1584" s="1" t="s">
        <v>1073</v>
      </c>
      <c r="D1584" s="41"/>
      <c r="J1584" s="39">
        <v>293971</v>
      </c>
      <c r="K1584" s="41">
        <v>1</v>
      </c>
      <c r="L1584" s="41">
        <v>100000</v>
      </c>
      <c r="M1584" s="41"/>
    </row>
    <row r="1585" spans="1:13">
      <c r="A1585" s="10" t="s">
        <v>966</v>
      </c>
      <c r="B1585" s="1" t="s">
        <v>1073</v>
      </c>
      <c r="C1585" s="1" t="s">
        <v>1073</v>
      </c>
      <c r="D1585" s="41"/>
      <c r="J1585" s="39">
        <v>298944</v>
      </c>
      <c r="K1585" s="41">
        <v>1</v>
      </c>
      <c r="L1585" s="41">
        <v>379000</v>
      </c>
      <c r="M1585" s="41"/>
    </row>
    <row r="1586" spans="1:13">
      <c r="A1586" s="10" t="s">
        <v>884</v>
      </c>
      <c r="B1586" s="1">
        <v>5</v>
      </c>
      <c r="C1586" s="2">
        <v>1925000</v>
      </c>
      <c r="D1586" s="41"/>
      <c r="J1586" s="39">
        <v>324658</v>
      </c>
      <c r="K1586" s="41">
        <v>0</v>
      </c>
      <c r="L1586" s="41">
        <v>129000</v>
      </c>
      <c r="M1586" s="41"/>
    </row>
    <row r="1587" spans="1:13">
      <c r="A1587" s="10" t="s">
        <v>806</v>
      </c>
      <c r="B1587" s="1">
        <v>2</v>
      </c>
      <c r="C1587" s="2">
        <v>358000</v>
      </c>
      <c r="D1587" s="41"/>
      <c r="J1587" s="39">
        <v>328661</v>
      </c>
      <c r="K1587" s="41">
        <v>0</v>
      </c>
      <c r="L1587" s="41">
        <v>50000</v>
      </c>
      <c r="M1587" s="41"/>
    </row>
    <row r="1588" spans="1:13">
      <c r="A1588" s="10" t="s">
        <v>704</v>
      </c>
      <c r="B1588" s="1" t="s">
        <v>1073</v>
      </c>
      <c r="C1588" s="2">
        <v>500000</v>
      </c>
      <c r="D1588" s="41"/>
      <c r="J1588" s="39">
        <v>328665</v>
      </c>
      <c r="K1588" s="41">
        <v>4</v>
      </c>
      <c r="L1588" s="41">
        <v>0</v>
      </c>
      <c r="M1588" s="41"/>
    </row>
    <row r="1589" spans="1:13">
      <c r="A1589" s="10" t="s">
        <v>548</v>
      </c>
      <c r="B1589" s="1" t="s">
        <v>1073</v>
      </c>
      <c r="C1589" s="1" t="s">
        <v>1073</v>
      </c>
      <c r="D1589" s="41"/>
      <c r="J1589" s="39">
        <v>3369</v>
      </c>
      <c r="K1589" s="41">
        <v>33</v>
      </c>
      <c r="L1589" s="41">
        <v>52483927</v>
      </c>
      <c r="M1589" s="41"/>
    </row>
    <row r="1590" spans="1:13">
      <c r="A1590" s="10" t="s">
        <v>804</v>
      </c>
      <c r="B1590" s="1">
        <v>2</v>
      </c>
      <c r="C1590" s="3">
        <v>58000</v>
      </c>
      <c r="D1590" s="41"/>
      <c r="J1590" s="39">
        <v>342498</v>
      </c>
      <c r="K1590" s="41">
        <v>0</v>
      </c>
      <c r="L1590" s="41">
        <v>0</v>
      </c>
      <c r="M1590" s="41"/>
    </row>
    <row r="1591" spans="1:13">
      <c r="A1591" s="10" t="s">
        <v>416</v>
      </c>
      <c r="B1591" s="1" t="s">
        <v>1073</v>
      </c>
      <c r="C1591" s="1" t="s">
        <v>1073</v>
      </c>
      <c r="D1591" s="41"/>
      <c r="J1591" s="39">
        <v>346894</v>
      </c>
      <c r="K1591" s="41">
        <v>0</v>
      </c>
      <c r="L1591" s="41">
        <v>50000</v>
      </c>
      <c r="M1591" s="41"/>
    </row>
    <row r="1592" spans="1:13">
      <c r="A1592" s="10" t="s">
        <v>453</v>
      </c>
      <c r="B1592" s="1" t="s">
        <v>1073</v>
      </c>
      <c r="C1592" s="1" t="s">
        <v>1073</v>
      </c>
      <c r="D1592" s="41"/>
      <c r="J1592" s="39">
        <v>350476</v>
      </c>
      <c r="K1592" s="41">
        <v>0</v>
      </c>
      <c r="L1592" s="41">
        <v>400000</v>
      </c>
      <c r="M1592" s="41"/>
    </row>
    <row r="1593" spans="1:13">
      <c r="A1593" s="10" t="s">
        <v>454</v>
      </c>
      <c r="B1593" s="1" t="s">
        <v>1073</v>
      </c>
      <c r="C1593" s="1" t="s">
        <v>1073</v>
      </c>
      <c r="D1593" s="41"/>
      <c r="J1593" s="39">
        <v>362462</v>
      </c>
      <c r="K1593" s="41">
        <v>17</v>
      </c>
      <c r="L1593" s="41">
        <v>1300000</v>
      </c>
      <c r="M1593" s="41"/>
    </row>
    <row r="1594" spans="1:13">
      <c r="A1594" s="10" t="s">
        <v>415</v>
      </c>
      <c r="B1594" s="1" t="s">
        <v>1073</v>
      </c>
      <c r="C1594" s="1" t="s">
        <v>1073</v>
      </c>
      <c r="D1594" s="41"/>
      <c r="J1594" s="39">
        <v>366549</v>
      </c>
      <c r="K1594" s="41">
        <v>76</v>
      </c>
      <c r="L1594" s="41">
        <v>13241000</v>
      </c>
      <c r="M1594" s="41"/>
    </row>
    <row r="1595" spans="1:13">
      <c r="A1595" s="10" t="s">
        <v>1019</v>
      </c>
      <c r="B1595" s="1">
        <v>3</v>
      </c>
      <c r="C1595" s="2">
        <v>337000</v>
      </c>
      <c r="D1595" s="41"/>
      <c r="J1595" s="39">
        <v>366677</v>
      </c>
      <c r="K1595" s="41">
        <v>10</v>
      </c>
      <c r="L1595" s="41">
        <v>4232000</v>
      </c>
      <c r="M1595" s="41"/>
    </row>
    <row r="1596" spans="1:13">
      <c r="A1596" s="10" t="s">
        <v>1017</v>
      </c>
      <c r="B1596" s="1" t="s">
        <v>1073</v>
      </c>
      <c r="C1596" s="1" t="s">
        <v>1073</v>
      </c>
      <c r="D1596" s="41"/>
      <c r="J1596" s="39">
        <v>390</v>
      </c>
      <c r="K1596" s="41">
        <v>61</v>
      </c>
      <c r="L1596" s="41">
        <v>44000</v>
      </c>
      <c r="M1596" s="41"/>
    </row>
    <row r="1597" spans="1:13">
      <c r="A1597" s="10" t="s">
        <v>413</v>
      </c>
      <c r="B1597" s="1" t="s">
        <v>1073</v>
      </c>
      <c r="C1597" s="1" t="s">
        <v>1073</v>
      </c>
      <c r="D1597" s="41"/>
      <c r="J1597" s="39">
        <v>440906</v>
      </c>
      <c r="K1597" s="41">
        <v>4</v>
      </c>
      <c r="L1597" s="41">
        <v>679000</v>
      </c>
      <c r="M1597" s="41"/>
    </row>
    <row r="1598" spans="1:13">
      <c r="A1598" s="10" t="s">
        <v>886</v>
      </c>
      <c r="B1598" s="1" t="s">
        <v>1073</v>
      </c>
      <c r="C1598" s="1" t="s">
        <v>1073</v>
      </c>
      <c r="D1598" s="41"/>
      <c r="J1598" s="39">
        <v>453016</v>
      </c>
      <c r="K1598" s="41">
        <v>0</v>
      </c>
      <c r="L1598" s="41">
        <v>500000</v>
      </c>
      <c r="M1598" s="41"/>
    </row>
    <row r="1599" spans="1:13">
      <c r="A1599" s="10" t="s">
        <v>1016</v>
      </c>
      <c r="B1599" s="1" t="s">
        <v>1073</v>
      </c>
      <c r="C1599" s="1" t="s">
        <v>1073</v>
      </c>
      <c r="D1599" s="41"/>
      <c r="J1599" s="39">
        <v>470054</v>
      </c>
      <c r="K1599" s="41">
        <v>0</v>
      </c>
      <c r="L1599" s="41">
        <v>0</v>
      </c>
      <c r="M1599" s="41"/>
    </row>
    <row r="1600" spans="1:13">
      <c r="A1600" s="10" t="s">
        <v>1014</v>
      </c>
      <c r="B1600" s="1">
        <v>3</v>
      </c>
      <c r="C1600" s="2">
        <v>350000</v>
      </c>
      <c r="D1600" s="41"/>
      <c r="J1600" s="39">
        <v>494952</v>
      </c>
      <c r="K1600" s="41">
        <v>12</v>
      </c>
      <c r="L1600" s="41">
        <v>2658000</v>
      </c>
      <c r="M1600" s="41"/>
    </row>
    <row r="1601" spans="1:13">
      <c r="A1601" s="10" t="s">
        <v>1010</v>
      </c>
      <c r="B1601" s="1" t="s">
        <v>1073</v>
      </c>
      <c r="C1601" s="1" t="s">
        <v>1073</v>
      </c>
      <c r="D1601" s="41"/>
      <c r="J1601" s="39">
        <v>494962</v>
      </c>
      <c r="K1601" s="41">
        <v>54</v>
      </c>
      <c r="L1601" s="41">
        <v>11116000</v>
      </c>
      <c r="M1601" s="41"/>
    </row>
    <row r="1602" spans="1:13">
      <c r="A1602" s="10" t="s">
        <v>1012</v>
      </c>
      <c r="B1602" s="1" t="s">
        <v>1073</v>
      </c>
      <c r="C1602" s="2">
        <v>300000</v>
      </c>
      <c r="D1602" s="41"/>
      <c r="J1602" s="39">
        <v>511396</v>
      </c>
      <c r="K1602" s="41">
        <v>4</v>
      </c>
      <c r="L1602" s="41">
        <v>2929000</v>
      </c>
      <c r="M1602" s="41"/>
    </row>
    <row r="1603" spans="1:13">
      <c r="A1603" s="10" t="s">
        <v>967</v>
      </c>
      <c r="B1603" s="1" t="s">
        <v>1073</v>
      </c>
      <c r="C1603" s="1" t="s">
        <v>1073</v>
      </c>
      <c r="D1603" s="41"/>
      <c r="J1603" s="39">
        <v>525586</v>
      </c>
      <c r="K1603" s="41">
        <v>1</v>
      </c>
      <c r="L1603" s="41">
        <v>2850000</v>
      </c>
      <c r="M1603" s="41"/>
    </row>
    <row r="1604" spans="1:13">
      <c r="A1604" s="10" t="s">
        <v>761</v>
      </c>
      <c r="B1604" s="1" t="s">
        <v>1073</v>
      </c>
      <c r="C1604" s="2">
        <v>350000</v>
      </c>
      <c r="D1604" s="41"/>
      <c r="J1604" s="39">
        <v>529246</v>
      </c>
      <c r="K1604" s="41">
        <v>0</v>
      </c>
      <c r="L1604" s="41">
        <v>400000</v>
      </c>
      <c r="M1604" s="41"/>
    </row>
    <row r="1605" spans="1:13">
      <c r="A1605" s="10" t="s">
        <v>1657</v>
      </c>
      <c r="B1605" s="1">
        <v>11</v>
      </c>
      <c r="C1605" s="3">
        <v>174000</v>
      </c>
      <c r="D1605" s="41"/>
      <c r="J1605" s="39">
        <v>531570</v>
      </c>
      <c r="K1605" s="41">
        <v>0</v>
      </c>
      <c r="L1605" s="41">
        <v>0</v>
      </c>
      <c r="M1605" s="41"/>
    </row>
    <row r="1606" spans="1:13">
      <c r="A1606" s="10" t="s">
        <v>1659</v>
      </c>
      <c r="B1606" s="1" t="s">
        <v>1073</v>
      </c>
      <c r="C1606" s="1" t="s">
        <v>1073</v>
      </c>
      <c r="D1606" s="41"/>
      <c r="J1606" s="39">
        <v>531869</v>
      </c>
      <c r="K1606" s="41">
        <v>0</v>
      </c>
      <c r="L1606" s="41">
        <v>0</v>
      </c>
      <c r="M1606" s="41"/>
    </row>
    <row r="1607" spans="1:13">
      <c r="A1607" s="10" t="s">
        <v>1660</v>
      </c>
      <c r="B1607" s="1">
        <v>1</v>
      </c>
      <c r="C1607" s="1" t="s">
        <v>1073</v>
      </c>
      <c r="D1607" s="41"/>
      <c r="J1607" s="39">
        <v>531889</v>
      </c>
      <c r="K1607" s="41">
        <v>5</v>
      </c>
      <c r="L1607" s="41">
        <v>9120250</v>
      </c>
      <c r="M1607" s="41"/>
    </row>
    <row r="1608" spans="1:13">
      <c r="A1608" s="10" t="s">
        <v>1662</v>
      </c>
      <c r="B1608" s="1">
        <v>3</v>
      </c>
      <c r="C1608" s="2">
        <v>700000</v>
      </c>
      <c r="D1608" s="41"/>
      <c r="J1608" s="39">
        <v>532883</v>
      </c>
      <c r="K1608" s="41">
        <v>13</v>
      </c>
      <c r="L1608" s="41">
        <v>1429000</v>
      </c>
      <c r="M1608" s="41"/>
    </row>
    <row r="1609" spans="1:13">
      <c r="A1609" s="10" t="s">
        <v>1664</v>
      </c>
      <c r="B1609" s="1" t="s">
        <v>1073</v>
      </c>
      <c r="C1609" s="2">
        <v>300000</v>
      </c>
      <c r="D1609" s="41"/>
      <c r="J1609" s="39">
        <v>538088</v>
      </c>
      <c r="K1609" s="41">
        <v>0</v>
      </c>
      <c r="L1609" s="41">
        <v>700000</v>
      </c>
      <c r="M1609" s="41"/>
    </row>
    <row r="1610" spans="1:13">
      <c r="A1610" s="10" t="s">
        <v>1666</v>
      </c>
      <c r="B1610" s="1" t="s">
        <v>1073</v>
      </c>
      <c r="C1610" s="1" t="s">
        <v>1073</v>
      </c>
      <c r="D1610" s="41"/>
      <c r="J1610" s="39">
        <v>548291</v>
      </c>
      <c r="K1610" s="41">
        <v>5</v>
      </c>
      <c r="L1610" s="41">
        <v>500000</v>
      </c>
      <c r="M1610" s="41"/>
    </row>
    <row r="1611" spans="1:13">
      <c r="A1611" s="10" t="s">
        <v>1668</v>
      </c>
      <c r="B1611" s="1" t="s">
        <v>1073</v>
      </c>
      <c r="C1611" s="1" t="s">
        <v>1073</v>
      </c>
      <c r="D1611" s="41"/>
      <c r="J1611" s="39">
        <v>551521</v>
      </c>
      <c r="K1611" s="41">
        <v>1</v>
      </c>
      <c r="L1611" s="41">
        <v>400000</v>
      </c>
      <c r="M1611" s="41"/>
    </row>
    <row r="1612" spans="1:13">
      <c r="A1612" s="39"/>
      <c r="B1612" s="41"/>
      <c r="C1612" s="41"/>
      <c r="D1612" s="41"/>
      <c r="J1612" s="39">
        <v>572180</v>
      </c>
      <c r="K1612" s="41">
        <v>1</v>
      </c>
      <c r="L1612" s="41">
        <v>1929000</v>
      </c>
      <c r="M1612" s="41"/>
    </row>
    <row r="1613" spans="1:13">
      <c r="A1613" s="39"/>
      <c r="B1613" s="41"/>
      <c r="C1613" s="41"/>
      <c r="D1613" s="41"/>
      <c r="J1613" s="39">
        <v>579763</v>
      </c>
      <c r="K1613" s="41">
        <v>4</v>
      </c>
      <c r="L1613" s="41">
        <v>5158000</v>
      </c>
      <c r="M1613" s="41"/>
    </row>
    <row r="1614" spans="1:13">
      <c r="A1614" s="39"/>
      <c r="B1614" s="41"/>
      <c r="C1614" s="41"/>
      <c r="D1614" s="41"/>
      <c r="J1614" s="39">
        <v>61498</v>
      </c>
      <c r="K1614" s="41">
        <v>0</v>
      </c>
      <c r="L1614" s="41">
        <v>0</v>
      </c>
      <c r="M1614" s="41"/>
    </row>
    <row r="1615" spans="1:13">
      <c r="A1615" s="39"/>
      <c r="B1615" s="41"/>
      <c r="C1615" s="41"/>
      <c r="D1615" s="41"/>
      <c r="J1615" s="39">
        <v>61561</v>
      </c>
      <c r="K1615" s="41">
        <v>0</v>
      </c>
      <c r="L1615" s="41">
        <v>15609095</v>
      </c>
      <c r="M1615" s="41"/>
    </row>
    <row r="1616" spans="1:13">
      <c r="A1616" s="39"/>
      <c r="B1616" s="41"/>
      <c r="C1616" s="41"/>
      <c r="D1616" s="41"/>
      <c r="J1616" s="39">
        <v>61661</v>
      </c>
      <c r="K1616" s="41">
        <v>3</v>
      </c>
      <c r="L1616" s="41">
        <v>200000</v>
      </c>
      <c r="M1616" s="41"/>
    </row>
    <row r="1617" spans="1:13">
      <c r="A1617" s="39"/>
      <c r="B1617" s="41"/>
      <c r="C1617" s="41"/>
      <c r="D1617" s="41"/>
      <c r="J1617" s="39">
        <v>61720</v>
      </c>
      <c r="K1617" s="41">
        <v>4</v>
      </c>
      <c r="L1617" s="41">
        <v>1000000</v>
      </c>
      <c r="M1617" s="41"/>
    </row>
    <row r="1618" spans="1:13">
      <c r="A1618" s="39"/>
      <c r="B1618" s="41"/>
      <c r="C1618" s="41"/>
      <c r="D1618" s="41"/>
      <c r="J1618" s="39">
        <v>61892</v>
      </c>
      <c r="K1618" s="41">
        <v>5</v>
      </c>
      <c r="L1618" s="41">
        <v>2687000</v>
      </c>
      <c r="M1618" s="41"/>
    </row>
    <row r="1619" spans="1:13">
      <c r="A1619" s="39"/>
      <c r="B1619" s="41"/>
      <c r="C1619" s="41"/>
      <c r="D1619" s="41"/>
      <c r="J1619" s="39">
        <v>61900</v>
      </c>
      <c r="K1619" s="41">
        <v>4</v>
      </c>
      <c r="L1619" s="41">
        <v>19561498</v>
      </c>
      <c r="M1619" s="41"/>
    </row>
    <row r="1620" spans="1:13">
      <c r="A1620" s="39"/>
      <c r="B1620" s="41"/>
      <c r="C1620" s="41"/>
      <c r="D1620" s="41"/>
      <c r="J1620" s="39">
        <v>61927</v>
      </c>
      <c r="K1620" s="41">
        <v>0</v>
      </c>
      <c r="L1620" s="41">
        <v>29000</v>
      </c>
      <c r="M1620" s="41"/>
    </row>
    <row r="1621" spans="1:13">
      <c r="A1621" s="39"/>
      <c r="B1621" s="41"/>
      <c r="C1621" s="41"/>
      <c r="D1621" s="41"/>
      <c r="J1621" s="39">
        <v>62002</v>
      </c>
      <c r="K1621" s="41">
        <v>3</v>
      </c>
      <c r="L1621" s="41">
        <v>11058000</v>
      </c>
      <c r="M1621" s="41"/>
    </row>
    <row r="1622" spans="1:13">
      <c r="A1622" s="39"/>
      <c r="B1622" s="41"/>
      <c r="C1622" s="41"/>
      <c r="D1622" s="41"/>
      <c r="J1622" s="39">
        <v>62003</v>
      </c>
      <c r="K1622" s="41">
        <v>1</v>
      </c>
      <c r="L1622" s="41">
        <v>100000</v>
      </c>
      <c r="M1622" s="41"/>
    </row>
    <row r="1623" spans="1:13">
      <c r="A1623" s="39"/>
      <c r="B1623" s="41"/>
      <c r="C1623" s="41"/>
      <c r="D1623" s="41"/>
      <c r="J1623" s="39">
        <v>62004</v>
      </c>
      <c r="K1623" s="41">
        <v>3</v>
      </c>
      <c r="L1623" s="41">
        <v>14567450</v>
      </c>
      <c r="M1623" s="41"/>
    </row>
    <row r="1624" spans="1:13">
      <c r="A1624" s="39"/>
      <c r="B1624" s="41"/>
      <c r="C1624" s="41"/>
      <c r="D1624" s="41"/>
      <c r="J1624" s="39">
        <v>62075</v>
      </c>
      <c r="K1624" s="41">
        <v>4</v>
      </c>
      <c r="L1624" s="41">
        <v>4358000</v>
      </c>
      <c r="M1624" s="41"/>
    </row>
    <row r="1625" spans="1:13">
      <c r="A1625" s="39"/>
      <c r="B1625" s="41"/>
      <c r="C1625" s="41"/>
      <c r="D1625" s="41"/>
      <c r="J1625" s="39">
        <v>62204</v>
      </c>
      <c r="K1625" s="41">
        <v>0</v>
      </c>
      <c r="L1625" s="41">
        <v>1850000</v>
      </c>
      <c r="M1625" s="41"/>
    </row>
    <row r="1626" spans="1:13">
      <c r="A1626" s="39"/>
      <c r="B1626" s="41"/>
      <c r="C1626" s="41"/>
      <c r="D1626" s="41"/>
      <c r="J1626" s="39">
        <v>62205</v>
      </c>
      <c r="K1626" s="41">
        <v>5</v>
      </c>
      <c r="L1626" s="41">
        <v>10758000</v>
      </c>
      <c r="M1626" s="41"/>
    </row>
    <row r="1627" spans="1:13">
      <c r="A1627" s="39"/>
      <c r="B1627" s="41"/>
      <c r="C1627" s="41"/>
      <c r="D1627" s="41"/>
      <c r="J1627" s="39">
        <v>63855</v>
      </c>
      <c r="K1627" s="41">
        <v>0</v>
      </c>
      <c r="L1627" s="41">
        <v>1979000</v>
      </c>
      <c r="M1627" s="41"/>
    </row>
    <row r="1628" spans="1:13">
      <c r="A1628" s="39"/>
      <c r="B1628" s="41"/>
      <c r="C1628" s="41"/>
      <c r="D1628" s="41"/>
      <c r="J1628" s="39">
        <v>67028</v>
      </c>
      <c r="K1628" s="41">
        <v>14</v>
      </c>
      <c r="L1628" s="41">
        <v>129000</v>
      </c>
      <c r="M1628" s="41"/>
    </row>
    <row r="1629" spans="1:13">
      <c r="A1629" s="39"/>
      <c r="B1629" s="41"/>
      <c r="C1629" s="41"/>
      <c r="D1629" s="41"/>
      <c r="J1629" s="39">
        <v>67030</v>
      </c>
      <c r="K1629" s="41">
        <v>50</v>
      </c>
      <c r="L1629" s="41">
        <v>558000</v>
      </c>
      <c r="M1629" s="41"/>
    </row>
    <row r="1630" spans="1:13">
      <c r="A1630" s="39"/>
      <c r="B1630" s="41"/>
      <c r="C1630" s="41"/>
      <c r="D1630" s="41"/>
      <c r="J1630" s="39">
        <v>67032</v>
      </c>
      <c r="K1630" s="41">
        <v>105</v>
      </c>
      <c r="L1630" s="41">
        <v>325000</v>
      </c>
      <c r="M1630" s="41"/>
    </row>
    <row r="1631" spans="1:13">
      <c r="A1631" s="39"/>
      <c r="B1631" s="41"/>
      <c r="C1631" s="41"/>
      <c r="D1631" s="41"/>
      <c r="J1631" s="39" t="s">
        <v>1069</v>
      </c>
      <c r="K1631" s="41">
        <v>5</v>
      </c>
      <c r="L1631" s="41">
        <v>5000000</v>
      </c>
      <c r="M1631" s="41"/>
    </row>
    <row r="1632" spans="1:13">
      <c r="J1632" s="10">
        <v>12332376</v>
      </c>
      <c r="K1632" s="1" t="s">
        <v>1073</v>
      </c>
      <c r="L1632" s="1" t="s">
        <v>1073</v>
      </c>
    </row>
    <row r="1633" spans="10:12">
      <c r="J1633" s="10">
        <v>12332670</v>
      </c>
      <c r="K1633" s="1" t="s">
        <v>1073</v>
      </c>
      <c r="L1633" s="2">
        <v>1915000</v>
      </c>
    </row>
    <row r="1634" spans="10:12">
      <c r="J1634" s="10">
        <v>12332861</v>
      </c>
      <c r="K1634" s="1">
        <v>75</v>
      </c>
      <c r="L1634" s="2">
        <v>450000</v>
      </c>
    </row>
    <row r="1635" spans="10:12">
      <c r="J1635" s="10">
        <v>12332349</v>
      </c>
      <c r="K1635" s="1">
        <v>26</v>
      </c>
      <c r="L1635" s="2">
        <v>2008000</v>
      </c>
    </row>
    <row r="1636" spans="10:12">
      <c r="J1636" s="10">
        <v>12332347</v>
      </c>
      <c r="K1636" s="1">
        <v>53</v>
      </c>
      <c r="L1636" s="2">
        <v>5530000</v>
      </c>
    </row>
    <row r="1637" spans="10:12">
      <c r="J1637" s="10">
        <v>12333031</v>
      </c>
      <c r="K1637" s="1">
        <v>120</v>
      </c>
      <c r="L1637" s="2">
        <v>56893000</v>
      </c>
    </row>
    <row r="1638" spans="10:12">
      <c r="J1638" s="10">
        <v>12332971</v>
      </c>
      <c r="K1638" s="1" t="s">
        <v>1073</v>
      </c>
      <c r="L1638" s="1" t="s">
        <v>1073</v>
      </c>
    </row>
    <row r="1639" spans="10:12">
      <c r="J1639" s="10">
        <v>12333237</v>
      </c>
      <c r="K1639" s="1">
        <v>5</v>
      </c>
      <c r="L1639" s="3">
        <v>100000</v>
      </c>
    </row>
    <row r="1640" spans="10:12">
      <c r="J1640" s="10">
        <v>546109</v>
      </c>
      <c r="K1640" s="1" t="s">
        <v>1073</v>
      </c>
      <c r="L1640" s="2">
        <v>776500</v>
      </c>
    </row>
    <row r="1641" spans="10:12">
      <c r="J1641" s="10">
        <v>480222</v>
      </c>
      <c r="K1641" s="1">
        <v>7</v>
      </c>
      <c r="L1641" s="2">
        <v>2558000</v>
      </c>
    </row>
    <row r="1642" spans="10:12">
      <c r="J1642" s="10">
        <v>580677</v>
      </c>
      <c r="K1642" s="1">
        <v>5</v>
      </c>
      <c r="L1642" s="2">
        <v>916000</v>
      </c>
    </row>
    <row r="1643" spans="10:12">
      <c r="J1643" s="10">
        <v>61721</v>
      </c>
      <c r="K1643" s="1">
        <v>3</v>
      </c>
      <c r="L1643" s="2">
        <v>1000000</v>
      </c>
    </row>
    <row r="1644" spans="10:12">
      <c r="J1644" s="10">
        <v>274707</v>
      </c>
      <c r="K1644" s="1">
        <v>2</v>
      </c>
      <c r="L1644" s="3">
        <v>250000</v>
      </c>
    </row>
    <row r="1645" spans="10:12">
      <c r="J1645" s="10">
        <v>478811</v>
      </c>
      <c r="K1645" s="1">
        <v>3</v>
      </c>
      <c r="L1645" s="2">
        <v>19800000</v>
      </c>
    </row>
    <row r="1646" spans="10:12">
      <c r="J1646" s="10">
        <v>542219</v>
      </c>
      <c r="K1646" s="1">
        <v>1</v>
      </c>
      <c r="L1646" s="2">
        <v>11479000</v>
      </c>
    </row>
    <row r="1647" spans="10:12">
      <c r="J1647" s="10">
        <v>12331261</v>
      </c>
      <c r="K1647" s="1">
        <v>152</v>
      </c>
      <c r="L1647" s="2">
        <v>8107000</v>
      </c>
    </row>
    <row r="1648" spans="10:12">
      <c r="J1648" s="10">
        <v>12331450</v>
      </c>
      <c r="K1648" s="1" t="s">
        <v>1073</v>
      </c>
      <c r="L1648" s="3">
        <v>200000</v>
      </c>
    </row>
    <row r="1649" spans="10:12">
      <c r="J1649" s="10">
        <v>12331070</v>
      </c>
      <c r="K1649" s="1">
        <v>7</v>
      </c>
      <c r="L1649" s="2">
        <v>445000</v>
      </c>
    </row>
    <row r="1650" spans="10:12">
      <c r="J1650" s="10">
        <v>126737</v>
      </c>
      <c r="K1650" s="1">
        <v>8</v>
      </c>
      <c r="L1650" s="2">
        <v>5022000</v>
      </c>
    </row>
    <row r="1651" spans="10:12">
      <c r="J1651" s="10">
        <v>61690</v>
      </c>
      <c r="K1651" s="1">
        <v>3</v>
      </c>
      <c r="L1651" s="2">
        <v>18058000</v>
      </c>
    </row>
    <row r="1652" spans="10:12">
      <c r="J1652" s="10">
        <v>219074</v>
      </c>
      <c r="K1652" s="1">
        <v>1</v>
      </c>
      <c r="L1652" s="2">
        <v>6250000</v>
      </c>
    </row>
    <row r="1653" spans="10:12">
      <c r="J1653" s="10">
        <v>13554</v>
      </c>
      <c r="K1653" s="1" t="s">
        <v>1073</v>
      </c>
      <c r="L1653" s="2">
        <v>700000</v>
      </c>
    </row>
    <row r="1654" spans="10:12">
      <c r="J1654" s="10">
        <v>12304744</v>
      </c>
      <c r="K1654" s="1">
        <v>3</v>
      </c>
      <c r="L1654" s="2">
        <v>700000</v>
      </c>
    </row>
    <row r="1655" spans="10:12">
      <c r="J1655" s="10">
        <v>12295980</v>
      </c>
      <c r="K1655" s="1" t="s">
        <v>1073</v>
      </c>
      <c r="L1655" s="1" t="s">
        <v>1073</v>
      </c>
    </row>
    <row r="1656" spans="10:12">
      <c r="J1656" s="10">
        <v>533184</v>
      </c>
      <c r="K1656" s="1" t="s">
        <v>1073</v>
      </c>
      <c r="L1656" s="2">
        <v>800000</v>
      </c>
    </row>
    <row r="1657" spans="10:12">
      <c r="J1657" s="10">
        <v>12321917</v>
      </c>
      <c r="K1657" s="1">
        <v>4</v>
      </c>
      <c r="L1657" s="1" t="s">
        <v>1073</v>
      </c>
    </row>
    <row r="1658" spans="10:12">
      <c r="J1658" s="10">
        <v>422569</v>
      </c>
      <c r="K1658" s="1" t="s">
        <v>1073</v>
      </c>
      <c r="L1658" s="1" t="s">
        <v>1073</v>
      </c>
    </row>
    <row r="1659" spans="10:12">
      <c r="J1659" s="10">
        <v>196416</v>
      </c>
      <c r="K1659" s="1">
        <v>1</v>
      </c>
      <c r="L1659" s="2">
        <v>1187000</v>
      </c>
    </row>
    <row r="1660" spans="10:12">
      <c r="J1660" s="10">
        <v>213944</v>
      </c>
      <c r="K1660" s="1">
        <v>3</v>
      </c>
      <c r="L1660" s="2">
        <v>4529000</v>
      </c>
    </row>
    <row r="1661" spans="10:12">
      <c r="J1661" s="10">
        <v>12333967</v>
      </c>
      <c r="K1661" s="1">
        <v>3</v>
      </c>
      <c r="L1661" s="1" t="s">
        <v>1073</v>
      </c>
    </row>
    <row r="1662" spans="10:12">
      <c r="J1662" s="10">
        <v>12333670</v>
      </c>
      <c r="K1662" s="1">
        <v>4</v>
      </c>
      <c r="L1662" s="2">
        <v>1900000</v>
      </c>
    </row>
    <row r="1663" spans="10:12">
      <c r="J1663" s="10" t="s">
        <v>964</v>
      </c>
      <c r="K1663" s="1">
        <v>16</v>
      </c>
      <c r="L1663" s="3">
        <v>150000</v>
      </c>
    </row>
    <row r="1664" spans="10:12">
      <c r="J1664" s="10" t="s">
        <v>72</v>
      </c>
      <c r="K1664" s="1" t="s">
        <v>1073</v>
      </c>
      <c r="L1664" s="2">
        <v>300000</v>
      </c>
    </row>
    <row r="1665" spans="10:12">
      <c r="J1665" s="10" t="s">
        <v>624</v>
      </c>
      <c r="K1665" s="1">
        <v>29</v>
      </c>
      <c r="L1665" s="2">
        <v>9029000</v>
      </c>
    </row>
    <row r="1666" spans="10:12">
      <c r="J1666" s="10" t="s">
        <v>71</v>
      </c>
      <c r="K1666" s="1">
        <v>4</v>
      </c>
      <c r="L1666" s="2">
        <v>3000000</v>
      </c>
    </row>
    <row r="1667" spans="10:12">
      <c r="J1667" s="10" t="s">
        <v>681</v>
      </c>
      <c r="K1667" s="1">
        <v>2</v>
      </c>
      <c r="L1667" s="2">
        <v>13500000</v>
      </c>
    </row>
    <row r="1668" spans="10:12">
      <c r="J1668" s="10" t="s">
        <v>1069</v>
      </c>
      <c r="K1668" s="1">
        <v>1</v>
      </c>
      <c r="L1668" s="2">
        <v>1400000</v>
      </c>
    </row>
    <row r="1669" spans="10:12">
      <c r="J1669" s="10" t="s">
        <v>1008</v>
      </c>
      <c r="K1669" s="1">
        <v>1</v>
      </c>
      <c r="L1669" s="2">
        <v>300000</v>
      </c>
    </row>
    <row r="1670" spans="10:12">
      <c r="J1670" s="10" t="s">
        <v>138</v>
      </c>
      <c r="K1670" s="1" t="s">
        <v>1073</v>
      </c>
      <c r="L1670" s="1" t="s">
        <v>1073</v>
      </c>
    </row>
    <row r="1671" spans="10:12">
      <c r="J1671" s="10" t="s">
        <v>113</v>
      </c>
      <c r="K1671" s="1" t="s">
        <v>1073</v>
      </c>
      <c r="L1671" s="2">
        <v>2600000</v>
      </c>
    </row>
    <row r="1672" spans="10:12">
      <c r="J1672" s="10" t="s">
        <v>69</v>
      </c>
      <c r="K1672" s="1">
        <v>55</v>
      </c>
      <c r="L1672" s="2">
        <v>11815000</v>
      </c>
    </row>
    <row r="1673" spans="10:12">
      <c r="J1673" s="10" t="s">
        <v>1072</v>
      </c>
      <c r="K1673" s="1" t="s">
        <v>1073</v>
      </c>
      <c r="L1673" s="1" t="s">
        <v>1073</v>
      </c>
    </row>
    <row r="1674" spans="10:12">
      <c r="J1674" s="10" t="s">
        <v>846</v>
      </c>
      <c r="K1674" s="1">
        <v>80</v>
      </c>
      <c r="L1674" s="2">
        <v>580000</v>
      </c>
    </row>
    <row r="1675" spans="10:12">
      <c r="J1675" s="10">
        <v>12334749</v>
      </c>
      <c r="K1675" s="1" t="s">
        <v>1073</v>
      </c>
      <c r="L1675" s="1" t="s">
        <v>1073</v>
      </c>
    </row>
    <row r="1676" spans="10:12">
      <c r="J1676" s="10" t="s">
        <v>1007</v>
      </c>
      <c r="K1676" s="1">
        <v>3</v>
      </c>
      <c r="L1676" s="3">
        <v>50000</v>
      </c>
    </row>
    <row r="1677" spans="10:12">
      <c r="J1677" s="10" t="s">
        <v>483</v>
      </c>
      <c r="K1677" s="1">
        <v>2</v>
      </c>
      <c r="L1677" s="2">
        <v>300000</v>
      </c>
    </row>
    <row r="1678" spans="10:12">
      <c r="J1678" s="10">
        <v>12334635</v>
      </c>
      <c r="K1678" s="1">
        <v>4</v>
      </c>
      <c r="L1678" s="2">
        <v>58616000</v>
      </c>
    </row>
    <row r="1679" spans="10:12">
      <c r="J1679" s="10">
        <v>12334637</v>
      </c>
      <c r="K1679" s="1">
        <v>4</v>
      </c>
      <c r="L1679" s="2">
        <v>46616000</v>
      </c>
    </row>
    <row r="1680" spans="10:12">
      <c r="J1680" s="10">
        <v>12334713</v>
      </c>
      <c r="K1680" s="1">
        <v>12</v>
      </c>
      <c r="L1680" s="2">
        <v>800000</v>
      </c>
    </row>
    <row r="1681" spans="10:12">
      <c r="J1681" s="10">
        <v>12334667</v>
      </c>
      <c r="K1681" s="1">
        <v>18</v>
      </c>
      <c r="L1681" s="2">
        <v>1419000</v>
      </c>
    </row>
    <row r="1682" spans="10:12">
      <c r="J1682" s="10">
        <v>12334597</v>
      </c>
      <c r="K1682" s="1">
        <v>5</v>
      </c>
      <c r="L1682" s="1" t="s">
        <v>1073</v>
      </c>
    </row>
    <row r="1683" spans="10:12">
      <c r="J1683" s="10">
        <v>12334377</v>
      </c>
      <c r="K1683" s="1">
        <v>3</v>
      </c>
      <c r="L1683" s="1" t="s">
        <v>1073</v>
      </c>
    </row>
    <row r="1684" spans="10:12">
      <c r="J1684" s="10" t="s">
        <v>74</v>
      </c>
      <c r="K1684" s="1">
        <v>3</v>
      </c>
      <c r="L1684" s="2">
        <v>300000</v>
      </c>
    </row>
  </sheetData>
  <conditionalFormatting sqref="C1612:D1631 D2:D1611">
    <cfRule type="cellIs" dxfId="8" priority="2" operator="greaterThan">
      <formula>299999</formula>
    </cfRule>
  </conditionalFormatting>
  <conditionalFormatting sqref="L2:M1631">
    <cfRule type="cellIs" dxfId="7" priority="1" operator="greaterThan">
      <formula>299999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2FEA-7579-4105-BB5C-707DD11104C2}">
  <sheetPr codeName="Sheet6"/>
  <dimension ref="A1:T1631"/>
  <sheetViews>
    <sheetView workbookViewId="0">
      <pane ySplit="1" topLeftCell="A2" activePane="bottomLeft" state="frozen"/>
      <selection pane="bottomLeft" activeCell="A13" sqref="A13"/>
    </sheetView>
  </sheetViews>
  <sheetFormatPr defaultRowHeight="15"/>
  <cols>
    <col min="1" max="1" width="15.28515625" bestFit="1" customWidth="1"/>
    <col min="2" max="2" width="9.7109375" bestFit="1" customWidth="1"/>
    <col min="3" max="3" width="27.28515625" bestFit="1" customWidth="1"/>
    <col min="4" max="4" width="12.42578125" customWidth="1"/>
    <col min="5" max="6" width="8.85546875" bestFit="1" customWidth="1"/>
    <col min="7" max="7" width="4.7109375" bestFit="1" customWidth="1"/>
    <col min="8" max="8" width="8.42578125" bestFit="1" customWidth="1"/>
    <col min="10" max="10" width="10.85546875" bestFit="1" customWidth="1"/>
    <col min="11" max="11" width="18.5703125" style="20" customWidth="1"/>
    <col min="12" max="12" width="12.5703125" style="20" customWidth="1"/>
    <col min="13" max="13" width="11.5703125" style="7" bestFit="1" customWidth="1"/>
  </cols>
  <sheetData>
    <row r="1" spans="1:20" ht="63.75">
      <c r="A1" s="13" t="s">
        <v>122</v>
      </c>
      <c r="B1" s="13" t="s">
        <v>116</v>
      </c>
      <c r="C1" s="14" t="s">
        <v>117</v>
      </c>
      <c r="D1" s="15" t="s">
        <v>118</v>
      </c>
      <c r="E1" s="16" t="s">
        <v>119</v>
      </c>
      <c r="F1" s="16" t="s">
        <v>120</v>
      </c>
      <c r="G1" s="16" t="s">
        <v>1129</v>
      </c>
      <c r="H1" s="16" t="s">
        <v>121</v>
      </c>
      <c r="I1" s="18" t="s">
        <v>133</v>
      </c>
      <c r="J1" s="25" t="s">
        <v>135</v>
      </c>
      <c r="K1" s="19" t="s">
        <v>134</v>
      </c>
      <c r="L1" s="19"/>
      <c r="T1" s="24"/>
    </row>
    <row r="2" spans="1:20">
      <c r="A2" s="44">
        <v>2613052584</v>
      </c>
      <c r="B2" s="44">
        <v>12327959</v>
      </c>
      <c r="C2" s="44" t="s">
        <v>579</v>
      </c>
      <c r="D2" s="11">
        <v>1</v>
      </c>
      <c r="E2" s="12">
        <v>0</v>
      </c>
      <c r="F2" s="12">
        <v>3</v>
      </c>
      <c r="G2" s="17">
        <v>3</v>
      </c>
      <c r="H2" s="12">
        <v>0</v>
      </c>
      <c r="I2">
        <f>IF(G2&gt;=3,1,0)</f>
        <v>1</v>
      </c>
      <c r="K2" s="19">
        <f>G2-J2</f>
        <v>3</v>
      </c>
      <c r="L2" s="19"/>
      <c r="M2"/>
      <c r="R2" s="11"/>
      <c r="S2" s="17"/>
      <c r="T2" s="17"/>
    </row>
    <row r="3" spans="1:20">
      <c r="A3" s="44" t="s">
        <v>145</v>
      </c>
      <c r="B3" s="44">
        <v>12320370</v>
      </c>
      <c r="C3" s="44" t="s">
        <v>1130</v>
      </c>
      <c r="D3" s="11">
        <v>0</v>
      </c>
      <c r="E3" s="12">
        <v>0</v>
      </c>
      <c r="F3" s="12">
        <v>3</v>
      </c>
      <c r="G3" s="17">
        <v>0</v>
      </c>
      <c r="H3" s="12">
        <v>0</v>
      </c>
      <c r="I3">
        <f t="shared" ref="I3:I66" si="0">IF(G3&gt;=3,1,0)</f>
        <v>0</v>
      </c>
      <c r="J3">
        <f t="shared" ref="J3:J66" si="1">_xlfn.IFNA(INDEX(M:N,MATCH(B3,M:M,0),2),0)</f>
        <v>0</v>
      </c>
      <c r="K3" s="19">
        <f t="shared" ref="K3:K66" si="2">G3-J3</f>
        <v>0</v>
      </c>
      <c r="L3" s="19"/>
      <c r="M3"/>
      <c r="R3" s="11"/>
      <c r="S3" s="17"/>
      <c r="T3" s="17"/>
    </row>
    <row r="4" spans="1:20">
      <c r="A4" s="44">
        <v>2613050886</v>
      </c>
      <c r="B4" s="44">
        <v>12322404</v>
      </c>
      <c r="C4" s="44" t="s">
        <v>1131</v>
      </c>
      <c r="D4" s="11">
        <v>1</v>
      </c>
      <c r="E4" s="12">
        <v>0</v>
      </c>
      <c r="F4" s="12">
        <v>15</v>
      </c>
      <c r="G4" s="17">
        <v>2</v>
      </c>
      <c r="H4" s="12">
        <v>0</v>
      </c>
      <c r="I4">
        <f t="shared" si="0"/>
        <v>0</v>
      </c>
      <c r="J4">
        <f t="shared" si="1"/>
        <v>0</v>
      </c>
      <c r="K4" s="19">
        <f t="shared" si="2"/>
        <v>2</v>
      </c>
      <c r="L4" s="19"/>
      <c r="M4"/>
      <c r="R4" s="11"/>
      <c r="S4" s="17"/>
      <c r="T4" s="17"/>
    </row>
    <row r="5" spans="1:20">
      <c r="A5" s="44" t="s">
        <v>142</v>
      </c>
      <c r="B5" s="44">
        <v>188148</v>
      </c>
      <c r="C5" s="44" t="s">
        <v>345</v>
      </c>
      <c r="D5" s="11">
        <v>1</v>
      </c>
      <c r="E5" s="12">
        <v>0</v>
      </c>
      <c r="F5" s="12">
        <v>5</v>
      </c>
      <c r="G5" s="17">
        <v>3</v>
      </c>
      <c r="H5" s="12">
        <v>0</v>
      </c>
      <c r="I5">
        <f t="shared" si="0"/>
        <v>1</v>
      </c>
      <c r="J5">
        <f>_xlfn.IFNA(INDEX(M:N,MATCH(B5,M:M,0),2),0)</f>
        <v>0</v>
      </c>
      <c r="K5" s="19">
        <f>G5-J5</f>
        <v>3</v>
      </c>
      <c r="L5" s="19"/>
      <c r="M5"/>
      <c r="R5" s="11"/>
      <c r="S5" s="17"/>
      <c r="T5" s="17"/>
    </row>
    <row r="6" spans="1:20">
      <c r="A6" s="44" t="s">
        <v>157</v>
      </c>
      <c r="B6" s="44">
        <v>531889</v>
      </c>
      <c r="C6" s="44" t="s">
        <v>1053</v>
      </c>
      <c r="D6" s="11">
        <v>1</v>
      </c>
      <c r="E6" s="12">
        <v>0</v>
      </c>
      <c r="F6" s="12">
        <v>3</v>
      </c>
      <c r="G6" s="17">
        <v>5</v>
      </c>
      <c r="H6" s="12">
        <v>2</v>
      </c>
      <c r="I6">
        <f t="shared" si="0"/>
        <v>1</v>
      </c>
      <c r="J6">
        <f t="shared" si="1"/>
        <v>0</v>
      </c>
      <c r="K6" s="19">
        <f>G6-J6</f>
        <v>5</v>
      </c>
      <c r="L6" s="19"/>
      <c r="M6"/>
      <c r="R6" s="11"/>
      <c r="S6" s="17"/>
      <c r="T6" s="17"/>
    </row>
    <row r="7" spans="1:20">
      <c r="A7" s="44" t="s">
        <v>144</v>
      </c>
      <c r="B7" s="44">
        <v>61982</v>
      </c>
      <c r="C7" s="44" t="s">
        <v>1132</v>
      </c>
      <c r="D7" s="11">
        <v>0</v>
      </c>
      <c r="E7" s="12">
        <v>0</v>
      </c>
      <c r="F7" s="12">
        <v>1</v>
      </c>
      <c r="G7" s="17">
        <v>0</v>
      </c>
      <c r="H7" s="12">
        <v>0</v>
      </c>
      <c r="I7">
        <f t="shared" si="0"/>
        <v>0</v>
      </c>
      <c r="J7">
        <f t="shared" si="1"/>
        <v>0</v>
      </c>
      <c r="K7" s="19">
        <f t="shared" si="2"/>
        <v>0</v>
      </c>
      <c r="L7" s="19"/>
      <c r="M7"/>
      <c r="R7" s="11"/>
      <c r="S7" s="17"/>
      <c r="T7" s="17"/>
    </row>
    <row r="8" spans="1:20">
      <c r="A8" s="44" t="s">
        <v>4</v>
      </c>
      <c r="B8" s="44">
        <v>116871</v>
      </c>
      <c r="C8" s="44" t="s">
        <v>40</v>
      </c>
      <c r="D8" s="11">
        <v>1</v>
      </c>
      <c r="E8" s="12">
        <v>1</v>
      </c>
      <c r="F8" s="12">
        <v>12</v>
      </c>
      <c r="G8" s="17">
        <v>20</v>
      </c>
      <c r="H8" s="12">
        <v>8</v>
      </c>
      <c r="I8">
        <f t="shared" si="0"/>
        <v>1</v>
      </c>
      <c r="J8">
        <f t="shared" si="1"/>
        <v>0</v>
      </c>
      <c r="K8" s="19">
        <f t="shared" si="2"/>
        <v>20</v>
      </c>
      <c r="L8" s="19"/>
      <c r="M8"/>
      <c r="R8" s="11"/>
      <c r="S8" s="17"/>
      <c r="T8" s="17"/>
    </row>
    <row r="9" spans="1:20">
      <c r="A9" s="44">
        <v>2613051475</v>
      </c>
      <c r="B9" s="44">
        <v>402240</v>
      </c>
      <c r="C9" s="44" t="s">
        <v>902</v>
      </c>
      <c r="D9" s="11">
        <v>1</v>
      </c>
      <c r="E9" s="12">
        <v>0</v>
      </c>
      <c r="F9" s="12">
        <v>7</v>
      </c>
      <c r="G9" s="17">
        <v>1</v>
      </c>
      <c r="H9" s="12">
        <v>0</v>
      </c>
      <c r="I9">
        <f t="shared" si="0"/>
        <v>0</v>
      </c>
      <c r="J9">
        <f t="shared" si="1"/>
        <v>0</v>
      </c>
      <c r="K9" s="19">
        <f t="shared" si="2"/>
        <v>1</v>
      </c>
      <c r="L9" s="19"/>
      <c r="M9"/>
      <c r="R9" s="11"/>
      <c r="S9" s="17"/>
      <c r="T9" s="17"/>
    </row>
    <row r="10" spans="1:20">
      <c r="A10" s="44">
        <v>2613050886</v>
      </c>
      <c r="B10" s="44">
        <v>127206</v>
      </c>
      <c r="C10" s="44" t="s">
        <v>1133</v>
      </c>
      <c r="D10" s="11">
        <v>1</v>
      </c>
      <c r="E10" s="12">
        <v>0</v>
      </c>
      <c r="F10" s="12">
        <v>3</v>
      </c>
      <c r="G10" s="17">
        <v>1</v>
      </c>
      <c r="H10" s="12">
        <v>0</v>
      </c>
      <c r="I10">
        <f t="shared" si="0"/>
        <v>0</v>
      </c>
      <c r="J10">
        <f t="shared" si="1"/>
        <v>0</v>
      </c>
      <c r="K10" s="19">
        <f t="shared" si="2"/>
        <v>1</v>
      </c>
      <c r="L10" s="19"/>
      <c r="M10"/>
      <c r="R10" s="11"/>
      <c r="S10" s="17"/>
      <c r="T10" s="17"/>
    </row>
    <row r="11" spans="1:20">
      <c r="A11" s="44" t="s">
        <v>140</v>
      </c>
      <c r="B11" s="44">
        <v>12320892</v>
      </c>
      <c r="C11" s="44" t="s">
        <v>1134</v>
      </c>
      <c r="D11" s="11">
        <v>1</v>
      </c>
      <c r="E11" s="12">
        <v>0</v>
      </c>
      <c r="F11" s="12">
        <v>3</v>
      </c>
      <c r="G11" s="17">
        <v>1</v>
      </c>
      <c r="H11" s="12">
        <v>0</v>
      </c>
      <c r="I11">
        <f t="shared" si="0"/>
        <v>0</v>
      </c>
      <c r="J11">
        <f t="shared" si="1"/>
        <v>0</v>
      </c>
      <c r="K11" s="19">
        <f t="shared" si="2"/>
        <v>1</v>
      </c>
      <c r="L11" s="19"/>
      <c r="M11"/>
      <c r="R11" s="11"/>
      <c r="S11" s="17"/>
      <c r="T11" s="17"/>
    </row>
    <row r="12" spans="1:20">
      <c r="A12" s="44">
        <v>2613051412</v>
      </c>
      <c r="B12" s="44">
        <v>545720</v>
      </c>
      <c r="C12" s="44" t="s">
        <v>1135</v>
      </c>
      <c r="D12" s="11">
        <v>0</v>
      </c>
      <c r="E12" s="12">
        <v>0</v>
      </c>
      <c r="F12" s="12">
        <v>1</v>
      </c>
      <c r="G12" s="17">
        <v>0</v>
      </c>
      <c r="H12" s="12">
        <v>0</v>
      </c>
      <c r="I12">
        <f t="shared" si="0"/>
        <v>0</v>
      </c>
      <c r="J12">
        <f t="shared" si="1"/>
        <v>0</v>
      </c>
      <c r="K12" s="19">
        <f t="shared" si="2"/>
        <v>0</v>
      </c>
      <c r="L12" s="19"/>
      <c r="M12"/>
      <c r="R12" s="11"/>
      <c r="S12" s="17"/>
      <c r="T12" s="17"/>
    </row>
    <row r="13" spans="1:20">
      <c r="A13" s="44" t="s">
        <v>156</v>
      </c>
      <c r="B13" s="44">
        <v>479396</v>
      </c>
      <c r="C13" s="44" t="s">
        <v>995</v>
      </c>
      <c r="D13" s="11">
        <v>0</v>
      </c>
      <c r="E13" s="12">
        <v>0</v>
      </c>
      <c r="F13" s="12">
        <v>0</v>
      </c>
      <c r="G13" s="17">
        <v>0</v>
      </c>
      <c r="H13" s="12">
        <v>0</v>
      </c>
      <c r="I13">
        <f t="shared" si="0"/>
        <v>0</v>
      </c>
      <c r="J13">
        <f t="shared" si="1"/>
        <v>0</v>
      </c>
      <c r="K13" s="19">
        <f t="shared" si="2"/>
        <v>0</v>
      </c>
      <c r="L13" s="19"/>
      <c r="M13"/>
      <c r="R13" s="11"/>
      <c r="S13" s="17"/>
      <c r="T13" s="17"/>
    </row>
    <row r="14" spans="1:20">
      <c r="A14" s="44" t="s">
        <v>1136</v>
      </c>
      <c r="B14" s="44">
        <v>329512</v>
      </c>
      <c r="C14" s="44" t="s">
        <v>1137</v>
      </c>
      <c r="D14" s="11">
        <v>0</v>
      </c>
      <c r="E14" s="12">
        <v>0</v>
      </c>
      <c r="F14" s="12">
        <v>0</v>
      </c>
      <c r="G14" s="17">
        <v>0</v>
      </c>
      <c r="H14" s="12">
        <v>0</v>
      </c>
      <c r="I14">
        <f t="shared" si="0"/>
        <v>0</v>
      </c>
      <c r="J14">
        <f t="shared" si="1"/>
        <v>0</v>
      </c>
      <c r="K14" s="19">
        <f t="shared" si="2"/>
        <v>0</v>
      </c>
      <c r="L14" s="19"/>
      <c r="M14"/>
      <c r="R14" s="11"/>
      <c r="S14" s="17"/>
      <c r="T14" s="17"/>
    </row>
    <row r="15" spans="1:20">
      <c r="A15" s="44" t="s">
        <v>149</v>
      </c>
      <c r="B15" s="44">
        <v>12300128</v>
      </c>
      <c r="C15" s="44" t="s">
        <v>765</v>
      </c>
      <c r="D15" s="11">
        <v>0</v>
      </c>
      <c r="E15" s="12">
        <v>0</v>
      </c>
      <c r="F15" s="12">
        <v>0</v>
      </c>
      <c r="G15" s="17">
        <v>0</v>
      </c>
      <c r="H15" s="12">
        <v>0</v>
      </c>
      <c r="I15">
        <f t="shared" si="0"/>
        <v>0</v>
      </c>
      <c r="J15">
        <f t="shared" si="1"/>
        <v>0</v>
      </c>
      <c r="K15" s="19">
        <f t="shared" si="2"/>
        <v>0</v>
      </c>
      <c r="L15" s="19"/>
      <c r="M15"/>
      <c r="R15" s="11"/>
      <c r="S15" s="17"/>
      <c r="T15" s="17"/>
    </row>
    <row r="16" spans="1:20">
      <c r="A16" s="44">
        <v>2613051475</v>
      </c>
      <c r="B16" s="44">
        <v>114982</v>
      </c>
      <c r="C16" s="44" t="s">
        <v>887</v>
      </c>
      <c r="D16" s="11">
        <v>0</v>
      </c>
      <c r="E16" s="12">
        <v>0</v>
      </c>
      <c r="F16" s="12">
        <v>4</v>
      </c>
      <c r="G16" s="17">
        <v>0</v>
      </c>
      <c r="H16" s="12">
        <v>0</v>
      </c>
      <c r="I16">
        <f t="shared" si="0"/>
        <v>0</v>
      </c>
      <c r="J16">
        <f t="shared" si="1"/>
        <v>0</v>
      </c>
      <c r="K16" s="19">
        <f t="shared" si="2"/>
        <v>0</v>
      </c>
      <c r="L16" s="19"/>
      <c r="M16"/>
      <c r="R16" s="11"/>
      <c r="S16" s="17"/>
      <c r="T16" s="17"/>
    </row>
    <row r="17" spans="1:20">
      <c r="A17" s="44" t="s">
        <v>158</v>
      </c>
      <c r="B17" s="44">
        <v>199056</v>
      </c>
      <c r="C17" s="44" t="s">
        <v>1138</v>
      </c>
      <c r="D17" s="11">
        <v>1</v>
      </c>
      <c r="E17" s="12">
        <v>0</v>
      </c>
      <c r="F17" s="12">
        <v>13</v>
      </c>
      <c r="G17" s="17">
        <v>7</v>
      </c>
      <c r="H17" s="12">
        <v>0</v>
      </c>
      <c r="I17">
        <f t="shared" si="0"/>
        <v>1</v>
      </c>
      <c r="J17">
        <f t="shared" si="1"/>
        <v>0</v>
      </c>
      <c r="K17" s="19">
        <f t="shared" si="2"/>
        <v>7</v>
      </c>
      <c r="L17" s="19"/>
      <c r="M17"/>
      <c r="R17" s="11"/>
      <c r="S17" s="17"/>
      <c r="T17" s="17"/>
    </row>
    <row r="18" spans="1:20">
      <c r="A18" s="44" t="s">
        <v>140</v>
      </c>
      <c r="B18" s="44">
        <v>440364</v>
      </c>
      <c r="C18" s="44" t="s">
        <v>1139</v>
      </c>
      <c r="D18" s="11">
        <v>0</v>
      </c>
      <c r="E18" s="12">
        <v>0</v>
      </c>
      <c r="F18" s="12">
        <v>4</v>
      </c>
      <c r="G18" s="17">
        <v>0</v>
      </c>
      <c r="H18" s="12">
        <v>0</v>
      </c>
      <c r="I18">
        <f t="shared" si="0"/>
        <v>0</v>
      </c>
      <c r="J18">
        <f t="shared" si="1"/>
        <v>0</v>
      </c>
      <c r="K18" s="19">
        <f t="shared" si="2"/>
        <v>0</v>
      </c>
      <c r="L18" s="19"/>
      <c r="M18"/>
      <c r="R18" s="11"/>
      <c r="S18" s="17"/>
      <c r="T18" s="17"/>
    </row>
    <row r="19" spans="1:20">
      <c r="A19" s="44" t="s">
        <v>4</v>
      </c>
      <c r="B19" s="44">
        <v>228872</v>
      </c>
      <c r="C19" s="44" t="s">
        <v>53</v>
      </c>
      <c r="D19" s="11">
        <v>0</v>
      </c>
      <c r="E19" s="12">
        <v>1</v>
      </c>
      <c r="F19" s="12">
        <v>1</v>
      </c>
      <c r="G19" s="17">
        <v>0</v>
      </c>
      <c r="H19" s="12">
        <v>0</v>
      </c>
      <c r="I19">
        <f t="shared" si="0"/>
        <v>0</v>
      </c>
      <c r="J19">
        <f t="shared" si="1"/>
        <v>0</v>
      </c>
      <c r="K19" s="19">
        <f t="shared" si="2"/>
        <v>0</v>
      </c>
      <c r="L19" s="19"/>
      <c r="M19"/>
      <c r="R19" s="11"/>
      <c r="S19" s="17"/>
      <c r="T19" s="17"/>
    </row>
    <row r="20" spans="1:20">
      <c r="A20" s="44" t="s">
        <v>5</v>
      </c>
      <c r="B20" s="44">
        <v>12320853</v>
      </c>
      <c r="C20" s="44" t="s">
        <v>1075</v>
      </c>
      <c r="D20" s="11">
        <v>0</v>
      </c>
      <c r="E20" s="12">
        <v>0</v>
      </c>
      <c r="F20" s="12">
        <v>3</v>
      </c>
      <c r="G20" s="17">
        <v>0</v>
      </c>
      <c r="H20" s="12">
        <v>0</v>
      </c>
      <c r="I20">
        <f t="shared" si="0"/>
        <v>0</v>
      </c>
      <c r="J20">
        <f t="shared" si="1"/>
        <v>0</v>
      </c>
      <c r="K20" s="19">
        <f t="shared" si="2"/>
        <v>0</v>
      </c>
      <c r="L20" s="19"/>
      <c r="M20"/>
      <c r="R20" s="11"/>
      <c r="S20" s="17"/>
      <c r="T20" s="17"/>
    </row>
    <row r="21" spans="1:20">
      <c r="A21" s="44" t="s">
        <v>150</v>
      </c>
      <c r="B21" s="44">
        <v>61673</v>
      </c>
      <c r="C21" s="44" t="s">
        <v>706</v>
      </c>
      <c r="D21" s="11">
        <v>0</v>
      </c>
      <c r="E21" s="12">
        <v>0</v>
      </c>
      <c r="F21" s="12">
        <v>3</v>
      </c>
      <c r="G21" s="17">
        <v>0</v>
      </c>
      <c r="H21" s="12">
        <v>0</v>
      </c>
      <c r="I21">
        <f t="shared" si="0"/>
        <v>0</v>
      </c>
      <c r="J21">
        <f t="shared" si="1"/>
        <v>0</v>
      </c>
      <c r="K21" s="19">
        <f t="shared" si="2"/>
        <v>0</v>
      </c>
      <c r="L21" s="19"/>
      <c r="M21"/>
      <c r="R21" s="11"/>
      <c r="S21" s="17"/>
      <c r="T21" s="17"/>
    </row>
    <row r="22" spans="1:20">
      <c r="A22" s="44" t="s">
        <v>146</v>
      </c>
      <c r="B22" s="44">
        <v>439681</v>
      </c>
      <c r="C22" s="44" t="s">
        <v>167</v>
      </c>
      <c r="D22" s="11">
        <v>1</v>
      </c>
      <c r="E22" s="12">
        <v>0</v>
      </c>
      <c r="F22" s="12">
        <v>8</v>
      </c>
      <c r="G22" s="17">
        <v>88</v>
      </c>
      <c r="H22" s="12">
        <v>80</v>
      </c>
      <c r="I22">
        <f t="shared" si="0"/>
        <v>1</v>
      </c>
      <c r="J22">
        <f t="shared" si="1"/>
        <v>0</v>
      </c>
      <c r="K22" s="19">
        <f t="shared" si="2"/>
        <v>88</v>
      </c>
      <c r="L22" s="19"/>
      <c r="M22"/>
      <c r="R22" s="11"/>
      <c r="S22" s="17"/>
      <c r="T22" s="17"/>
    </row>
    <row r="23" spans="1:20">
      <c r="A23" s="44" t="s">
        <v>1140</v>
      </c>
      <c r="B23" s="44">
        <v>405102</v>
      </c>
      <c r="C23" s="44" t="s">
        <v>1141</v>
      </c>
      <c r="D23" s="11">
        <v>1</v>
      </c>
      <c r="E23" s="12">
        <v>0</v>
      </c>
      <c r="F23" s="12">
        <v>0</v>
      </c>
      <c r="G23" s="17">
        <v>1</v>
      </c>
      <c r="H23" s="12">
        <v>1</v>
      </c>
      <c r="I23">
        <f t="shared" si="0"/>
        <v>0</v>
      </c>
      <c r="J23">
        <f t="shared" si="1"/>
        <v>0</v>
      </c>
      <c r="K23" s="19">
        <f t="shared" si="2"/>
        <v>1</v>
      </c>
      <c r="L23" s="19"/>
      <c r="M23"/>
      <c r="R23" s="11"/>
      <c r="S23" s="17"/>
      <c r="T23" s="17"/>
    </row>
    <row r="24" spans="1:20">
      <c r="A24" s="44" t="s">
        <v>3</v>
      </c>
      <c r="B24" s="44">
        <v>12326118</v>
      </c>
      <c r="C24" s="44" t="s">
        <v>19</v>
      </c>
      <c r="D24" s="11">
        <v>1</v>
      </c>
      <c r="E24" s="12">
        <v>0</v>
      </c>
      <c r="F24" s="12">
        <v>12</v>
      </c>
      <c r="G24" s="17">
        <v>4</v>
      </c>
      <c r="H24" s="12">
        <v>0</v>
      </c>
      <c r="I24">
        <f t="shared" si="0"/>
        <v>1</v>
      </c>
      <c r="J24">
        <f t="shared" si="1"/>
        <v>0</v>
      </c>
      <c r="K24" s="19">
        <f t="shared" si="2"/>
        <v>4</v>
      </c>
      <c r="L24" s="19"/>
      <c r="M24"/>
      <c r="R24" s="11"/>
      <c r="S24" s="17"/>
      <c r="T24" s="17"/>
    </row>
    <row r="25" spans="1:20">
      <c r="A25" s="44" t="s">
        <v>156</v>
      </c>
      <c r="B25" s="44">
        <v>522705</v>
      </c>
      <c r="C25" s="44" t="s">
        <v>999</v>
      </c>
      <c r="D25" s="11">
        <v>0</v>
      </c>
      <c r="E25" s="12">
        <v>0</v>
      </c>
      <c r="F25" s="12">
        <v>0</v>
      </c>
      <c r="G25" s="17">
        <v>0</v>
      </c>
      <c r="H25" s="12">
        <v>0</v>
      </c>
      <c r="I25">
        <f t="shared" si="0"/>
        <v>0</v>
      </c>
      <c r="J25">
        <f t="shared" si="1"/>
        <v>0</v>
      </c>
      <c r="K25" s="19">
        <f t="shared" si="2"/>
        <v>0</v>
      </c>
      <c r="L25" s="19"/>
      <c r="M25"/>
      <c r="R25" s="11"/>
      <c r="S25" s="17"/>
      <c r="T25" s="17"/>
    </row>
    <row r="26" spans="1:20">
      <c r="A26" s="44" t="s">
        <v>158</v>
      </c>
      <c r="B26" s="44">
        <v>534103</v>
      </c>
      <c r="C26" s="44" t="s">
        <v>171</v>
      </c>
      <c r="D26" s="11">
        <v>1</v>
      </c>
      <c r="E26" s="12">
        <v>0</v>
      </c>
      <c r="F26" s="12">
        <v>4</v>
      </c>
      <c r="G26" s="17">
        <v>2</v>
      </c>
      <c r="H26" s="12">
        <v>0</v>
      </c>
      <c r="I26">
        <f t="shared" si="0"/>
        <v>0</v>
      </c>
      <c r="J26">
        <f t="shared" si="1"/>
        <v>0</v>
      </c>
      <c r="K26" s="19">
        <f t="shared" si="2"/>
        <v>2</v>
      </c>
      <c r="L26" s="19"/>
      <c r="M26"/>
      <c r="R26" s="11"/>
      <c r="S26" s="17"/>
      <c r="T26" s="17"/>
    </row>
    <row r="27" spans="1:20">
      <c r="A27" s="44" t="s">
        <v>145</v>
      </c>
      <c r="B27" s="44">
        <v>458924</v>
      </c>
      <c r="C27" s="44" t="s">
        <v>511</v>
      </c>
      <c r="D27" s="11">
        <v>0</v>
      </c>
      <c r="E27" s="12">
        <v>0</v>
      </c>
      <c r="F27" s="12">
        <v>1</v>
      </c>
      <c r="G27" s="17">
        <v>0</v>
      </c>
      <c r="H27" s="12">
        <v>0</v>
      </c>
      <c r="I27">
        <f t="shared" si="0"/>
        <v>0</v>
      </c>
      <c r="J27">
        <f t="shared" si="1"/>
        <v>0</v>
      </c>
      <c r="K27" s="19">
        <f t="shared" si="2"/>
        <v>0</v>
      </c>
      <c r="L27" s="19"/>
      <c r="M27"/>
      <c r="R27" s="11"/>
      <c r="S27" s="17"/>
      <c r="T27" s="17"/>
    </row>
    <row r="28" spans="1:20">
      <c r="A28" s="44" t="s">
        <v>152</v>
      </c>
      <c r="B28" s="44">
        <v>406831</v>
      </c>
      <c r="C28" s="44" t="s">
        <v>672</v>
      </c>
      <c r="D28" s="11">
        <v>0</v>
      </c>
      <c r="E28" s="12">
        <v>0</v>
      </c>
      <c r="F28" s="12">
        <v>2</v>
      </c>
      <c r="G28" s="17">
        <v>0</v>
      </c>
      <c r="H28" s="12">
        <v>0</v>
      </c>
      <c r="I28">
        <f t="shared" si="0"/>
        <v>0</v>
      </c>
      <c r="J28">
        <f t="shared" si="1"/>
        <v>0</v>
      </c>
      <c r="K28" s="19">
        <f t="shared" si="2"/>
        <v>0</v>
      </c>
      <c r="L28" s="19"/>
      <c r="M28"/>
      <c r="R28" s="11"/>
      <c r="S28" s="17"/>
      <c r="T28" s="17"/>
    </row>
    <row r="29" spans="1:20">
      <c r="A29" s="44">
        <v>2613050885</v>
      </c>
      <c r="B29" s="44">
        <v>400528</v>
      </c>
      <c r="C29" s="44" t="s">
        <v>289</v>
      </c>
      <c r="D29" s="11">
        <v>1</v>
      </c>
      <c r="E29" s="12">
        <v>0</v>
      </c>
      <c r="F29" s="12">
        <v>1</v>
      </c>
      <c r="G29" s="17">
        <v>4</v>
      </c>
      <c r="H29" s="12">
        <v>3</v>
      </c>
      <c r="I29">
        <f t="shared" si="0"/>
        <v>1</v>
      </c>
      <c r="J29">
        <f t="shared" si="1"/>
        <v>0</v>
      </c>
      <c r="K29" s="19">
        <f t="shared" si="2"/>
        <v>4</v>
      </c>
      <c r="L29" s="19"/>
      <c r="M29"/>
      <c r="R29" s="11"/>
      <c r="S29" s="17"/>
      <c r="T29" s="17"/>
    </row>
    <row r="30" spans="1:20">
      <c r="A30" s="44" t="s">
        <v>3</v>
      </c>
      <c r="B30" s="44">
        <v>12295826</v>
      </c>
      <c r="C30" s="44" t="s">
        <v>17</v>
      </c>
      <c r="D30" s="11">
        <v>0</v>
      </c>
      <c r="E30" s="12">
        <v>0</v>
      </c>
      <c r="F30" s="12">
        <v>3</v>
      </c>
      <c r="G30" s="17">
        <v>0</v>
      </c>
      <c r="H30" s="12">
        <v>0</v>
      </c>
      <c r="I30">
        <f t="shared" si="0"/>
        <v>0</v>
      </c>
      <c r="J30">
        <f t="shared" si="1"/>
        <v>0</v>
      </c>
      <c r="K30" s="19">
        <f t="shared" si="2"/>
        <v>0</v>
      </c>
      <c r="L30" s="19"/>
      <c r="M30"/>
      <c r="R30" s="11"/>
      <c r="S30" s="17"/>
      <c r="T30" s="17"/>
    </row>
    <row r="31" spans="1:20">
      <c r="A31" s="44" t="s">
        <v>153</v>
      </c>
      <c r="B31" s="44">
        <v>12326939</v>
      </c>
      <c r="C31" s="44" t="s">
        <v>1142</v>
      </c>
      <c r="D31" s="11">
        <v>1</v>
      </c>
      <c r="E31" s="12">
        <v>0</v>
      </c>
      <c r="F31" s="12">
        <v>5</v>
      </c>
      <c r="G31" s="17">
        <v>11</v>
      </c>
      <c r="H31" s="12">
        <v>6</v>
      </c>
      <c r="I31">
        <f t="shared" si="0"/>
        <v>1</v>
      </c>
      <c r="J31">
        <f t="shared" si="1"/>
        <v>0</v>
      </c>
      <c r="K31" s="19">
        <f t="shared" si="2"/>
        <v>11</v>
      </c>
      <c r="L31" s="19"/>
      <c r="M31"/>
      <c r="R31" s="11"/>
      <c r="S31" s="17"/>
      <c r="T31" s="17"/>
    </row>
    <row r="32" spans="1:20">
      <c r="A32" s="44" t="s">
        <v>137</v>
      </c>
      <c r="B32" s="44">
        <v>12295805</v>
      </c>
      <c r="C32" s="44" t="s">
        <v>421</v>
      </c>
      <c r="D32" s="11">
        <v>0</v>
      </c>
      <c r="E32" s="12">
        <v>0</v>
      </c>
      <c r="F32" s="12">
        <v>1</v>
      </c>
      <c r="G32" s="17">
        <v>0</v>
      </c>
      <c r="H32" s="12">
        <v>0</v>
      </c>
      <c r="I32">
        <f t="shared" si="0"/>
        <v>0</v>
      </c>
      <c r="J32">
        <f t="shared" si="1"/>
        <v>0</v>
      </c>
      <c r="K32" s="19">
        <f t="shared" si="2"/>
        <v>0</v>
      </c>
      <c r="L32" s="19"/>
      <c r="M32"/>
      <c r="R32" s="11"/>
      <c r="S32" s="17"/>
      <c r="T32" s="17"/>
    </row>
    <row r="33" spans="1:20">
      <c r="A33" s="44" t="s">
        <v>1136</v>
      </c>
      <c r="B33" s="44">
        <v>366731</v>
      </c>
      <c r="C33" s="44" t="s">
        <v>1143</v>
      </c>
      <c r="D33" s="11">
        <v>1</v>
      </c>
      <c r="E33" s="12">
        <v>0</v>
      </c>
      <c r="F33" s="12">
        <v>11</v>
      </c>
      <c r="G33" s="17">
        <v>8</v>
      </c>
      <c r="H33" s="12">
        <v>0</v>
      </c>
      <c r="I33">
        <f t="shared" si="0"/>
        <v>1</v>
      </c>
      <c r="J33">
        <f t="shared" si="1"/>
        <v>0</v>
      </c>
      <c r="K33" s="19">
        <f t="shared" si="2"/>
        <v>8</v>
      </c>
      <c r="L33" s="19"/>
      <c r="M33"/>
      <c r="R33" s="11"/>
      <c r="S33" s="17"/>
      <c r="T33" s="17"/>
    </row>
    <row r="34" spans="1:20">
      <c r="A34" s="44" t="s">
        <v>156</v>
      </c>
      <c r="B34" s="44">
        <v>375678</v>
      </c>
      <c r="C34" s="44" t="s">
        <v>988</v>
      </c>
      <c r="D34" s="11">
        <v>1</v>
      </c>
      <c r="E34" s="12">
        <v>1</v>
      </c>
      <c r="F34" s="12">
        <v>7</v>
      </c>
      <c r="G34" s="17">
        <v>9</v>
      </c>
      <c r="H34" s="12">
        <v>2</v>
      </c>
      <c r="I34">
        <f t="shared" si="0"/>
        <v>1</v>
      </c>
      <c r="J34">
        <f t="shared" si="1"/>
        <v>0</v>
      </c>
      <c r="K34" s="19">
        <f t="shared" si="2"/>
        <v>9</v>
      </c>
      <c r="L34" s="19"/>
      <c r="M34"/>
      <c r="R34" s="11"/>
      <c r="S34" s="17"/>
      <c r="T34" s="17"/>
    </row>
    <row r="35" spans="1:20">
      <c r="A35" s="44" t="s">
        <v>147</v>
      </c>
      <c r="B35" s="44">
        <v>572317</v>
      </c>
      <c r="C35" s="44" t="s">
        <v>617</v>
      </c>
      <c r="D35" s="11">
        <v>1</v>
      </c>
      <c r="E35" s="12">
        <v>0</v>
      </c>
      <c r="F35" s="12">
        <v>188</v>
      </c>
      <c r="G35" s="17">
        <v>84</v>
      </c>
      <c r="H35" s="12">
        <v>0</v>
      </c>
      <c r="I35">
        <f t="shared" si="0"/>
        <v>1</v>
      </c>
      <c r="J35">
        <f t="shared" si="1"/>
        <v>0</v>
      </c>
      <c r="K35" s="19">
        <f t="shared" si="2"/>
        <v>84</v>
      </c>
      <c r="L35" s="19"/>
      <c r="M35"/>
      <c r="R35" s="11"/>
      <c r="S35" s="17"/>
      <c r="T35" s="17"/>
    </row>
    <row r="36" spans="1:20">
      <c r="A36" s="44">
        <v>2613050886</v>
      </c>
      <c r="B36" s="44">
        <v>537259</v>
      </c>
      <c r="C36" s="44" t="s">
        <v>334</v>
      </c>
      <c r="D36" s="11">
        <v>1</v>
      </c>
      <c r="E36" s="12">
        <v>0</v>
      </c>
      <c r="F36" s="12">
        <v>19</v>
      </c>
      <c r="G36" s="17">
        <v>7</v>
      </c>
      <c r="H36" s="12">
        <v>0</v>
      </c>
      <c r="I36">
        <f t="shared" si="0"/>
        <v>1</v>
      </c>
      <c r="J36">
        <f t="shared" si="1"/>
        <v>0</v>
      </c>
      <c r="K36" s="19">
        <f t="shared" si="2"/>
        <v>7</v>
      </c>
      <c r="L36" s="19"/>
      <c r="M36"/>
      <c r="R36" s="11"/>
      <c r="S36" s="17"/>
      <c r="T36" s="17"/>
    </row>
    <row r="37" spans="1:20">
      <c r="A37" s="44">
        <v>2613051043</v>
      </c>
      <c r="B37" s="44">
        <v>12297198</v>
      </c>
      <c r="C37" s="44" t="s">
        <v>1144</v>
      </c>
      <c r="D37" s="11">
        <v>0</v>
      </c>
      <c r="E37" s="12">
        <v>0</v>
      </c>
      <c r="F37" s="12">
        <v>0</v>
      </c>
      <c r="G37" s="17">
        <v>0</v>
      </c>
      <c r="H37" s="12">
        <v>0</v>
      </c>
      <c r="I37">
        <f t="shared" si="0"/>
        <v>0</v>
      </c>
      <c r="J37">
        <f t="shared" si="1"/>
        <v>0</v>
      </c>
      <c r="K37" s="19">
        <f t="shared" si="2"/>
        <v>0</v>
      </c>
      <c r="L37" s="19"/>
      <c r="M37"/>
      <c r="R37" s="11"/>
      <c r="S37" s="17"/>
      <c r="T37" s="17"/>
    </row>
    <row r="38" spans="1:20">
      <c r="A38" s="44" t="s">
        <v>3</v>
      </c>
      <c r="B38" s="44">
        <v>12295752</v>
      </c>
      <c r="C38" s="44" t="s">
        <v>14</v>
      </c>
      <c r="D38" s="11">
        <v>1</v>
      </c>
      <c r="E38" s="12">
        <v>0</v>
      </c>
      <c r="F38" s="12">
        <v>5</v>
      </c>
      <c r="G38" s="17">
        <v>2</v>
      </c>
      <c r="H38" s="12">
        <v>0</v>
      </c>
      <c r="I38">
        <f t="shared" si="0"/>
        <v>0</v>
      </c>
      <c r="J38">
        <f t="shared" si="1"/>
        <v>0</v>
      </c>
      <c r="K38" s="19">
        <f t="shared" si="2"/>
        <v>2</v>
      </c>
      <c r="L38" s="19"/>
      <c r="M38"/>
      <c r="R38" s="11"/>
      <c r="S38" s="17"/>
      <c r="T38" s="17"/>
    </row>
    <row r="39" spans="1:20">
      <c r="A39" s="44" t="s">
        <v>136</v>
      </c>
      <c r="B39" s="44">
        <v>337270</v>
      </c>
      <c r="C39" s="44" t="s">
        <v>403</v>
      </c>
      <c r="D39" s="11">
        <v>0</v>
      </c>
      <c r="E39" s="12">
        <v>0</v>
      </c>
      <c r="F39" s="12">
        <v>1</v>
      </c>
      <c r="G39" s="17">
        <v>0</v>
      </c>
      <c r="H39" s="12">
        <v>0</v>
      </c>
      <c r="I39">
        <f t="shared" si="0"/>
        <v>0</v>
      </c>
      <c r="J39">
        <f t="shared" si="1"/>
        <v>0</v>
      </c>
      <c r="K39" s="19">
        <f t="shared" si="2"/>
        <v>0</v>
      </c>
      <c r="L39" s="19"/>
      <c r="M39"/>
      <c r="R39" s="11"/>
      <c r="S39" s="17"/>
      <c r="T39" s="17"/>
    </row>
    <row r="40" spans="1:20">
      <c r="A40" s="44" t="s">
        <v>155</v>
      </c>
      <c r="B40" s="44">
        <v>61487</v>
      </c>
      <c r="C40" s="44" t="s">
        <v>1145</v>
      </c>
      <c r="D40" s="11">
        <v>1</v>
      </c>
      <c r="E40" s="12">
        <v>0</v>
      </c>
      <c r="F40" s="12">
        <v>2</v>
      </c>
      <c r="G40" s="17">
        <v>3</v>
      </c>
      <c r="H40" s="12">
        <v>1</v>
      </c>
      <c r="I40">
        <f t="shared" si="0"/>
        <v>1</v>
      </c>
      <c r="J40">
        <f t="shared" si="1"/>
        <v>0</v>
      </c>
      <c r="K40" s="19">
        <f t="shared" si="2"/>
        <v>3</v>
      </c>
      <c r="L40" s="19"/>
      <c r="M40"/>
      <c r="R40" s="11"/>
      <c r="S40" s="17"/>
      <c r="T40" s="17"/>
    </row>
    <row r="41" spans="1:20">
      <c r="A41" s="44">
        <v>2613050885</v>
      </c>
      <c r="B41" s="44">
        <v>532286</v>
      </c>
      <c r="C41" s="44" t="s">
        <v>1146</v>
      </c>
      <c r="D41" s="11">
        <v>0</v>
      </c>
      <c r="E41" s="12">
        <v>0</v>
      </c>
      <c r="F41" s="12">
        <v>0</v>
      </c>
      <c r="G41" s="17">
        <v>0</v>
      </c>
      <c r="H41" s="12">
        <v>0</v>
      </c>
      <c r="I41">
        <f t="shared" si="0"/>
        <v>0</v>
      </c>
      <c r="J41">
        <f t="shared" si="1"/>
        <v>0</v>
      </c>
      <c r="K41" s="19">
        <f t="shared" si="2"/>
        <v>0</v>
      </c>
      <c r="L41" s="19"/>
      <c r="M41"/>
      <c r="R41" s="11"/>
      <c r="S41" s="17"/>
      <c r="T41" s="17"/>
    </row>
    <row r="42" spans="1:20">
      <c r="A42" s="44" t="s">
        <v>149</v>
      </c>
      <c r="B42" s="44">
        <v>328760</v>
      </c>
      <c r="C42" s="44" t="s">
        <v>782</v>
      </c>
      <c r="D42" s="11">
        <v>0</v>
      </c>
      <c r="E42" s="12">
        <v>0</v>
      </c>
      <c r="F42" s="12">
        <v>3</v>
      </c>
      <c r="G42" s="17">
        <v>0</v>
      </c>
      <c r="H42" s="12">
        <v>0</v>
      </c>
      <c r="I42">
        <f t="shared" si="0"/>
        <v>0</v>
      </c>
      <c r="J42">
        <f t="shared" si="1"/>
        <v>0</v>
      </c>
      <c r="K42" s="19">
        <f t="shared" si="2"/>
        <v>0</v>
      </c>
      <c r="L42" s="19"/>
      <c r="M42"/>
      <c r="R42" s="11"/>
      <c r="S42" s="17"/>
      <c r="T42" s="17"/>
    </row>
    <row r="43" spans="1:20">
      <c r="A43" s="44" t="s">
        <v>147</v>
      </c>
      <c r="B43" s="44">
        <v>261639</v>
      </c>
      <c r="C43" s="44" t="s">
        <v>606</v>
      </c>
      <c r="D43" s="11">
        <v>0</v>
      </c>
      <c r="E43" s="12">
        <v>0</v>
      </c>
      <c r="F43" s="12">
        <v>2</v>
      </c>
      <c r="G43" s="17">
        <v>0</v>
      </c>
      <c r="H43" s="12">
        <v>0</v>
      </c>
      <c r="I43">
        <f t="shared" si="0"/>
        <v>0</v>
      </c>
      <c r="J43">
        <f t="shared" si="1"/>
        <v>0</v>
      </c>
      <c r="K43" s="19">
        <f t="shared" si="2"/>
        <v>0</v>
      </c>
      <c r="L43" s="19"/>
      <c r="M43"/>
      <c r="R43" s="11"/>
      <c r="S43" s="17"/>
      <c r="T43" s="17"/>
    </row>
    <row r="44" spans="1:20">
      <c r="A44" s="44" t="s">
        <v>136</v>
      </c>
      <c r="B44" s="44">
        <v>489716</v>
      </c>
      <c r="C44" s="44" t="s">
        <v>407</v>
      </c>
      <c r="D44" s="11">
        <v>0</v>
      </c>
      <c r="E44" s="12">
        <v>0</v>
      </c>
      <c r="F44" s="12">
        <v>4</v>
      </c>
      <c r="G44" s="17">
        <v>0</v>
      </c>
      <c r="H44" s="12">
        <v>0</v>
      </c>
      <c r="I44">
        <f t="shared" si="0"/>
        <v>0</v>
      </c>
      <c r="J44">
        <f t="shared" si="1"/>
        <v>0</v>
      </c>
      <c r="K44" s="19">
        <f t="shared" si="2"/>
        <v>0</v>
      </c>
      <c r="L44" s="19"/>
      <c r="M44"/>
      <c r="R44" s="11"/>
      <c r="S44" s="17"/>
      <c r="T44" s="17"/>
    </row>
    <row r="45" spans="1:20">
      <c r="A45" s="44">
        <v>2613051475</v>
      </c>
      <c r="B45" s="44">
        <v>563913</v>
      </c>
      <c r="C45" s="44" t="s">
        <v>1147</v>
      </c>
      <c r="D45" s="11">
        <v>1</v>
      </c>
      <c r="E45" s="12">
        <v>0</v>
      </c>
      <c r="F45" s="12">
        <v>29</v>
      </c>
      <c r="G45" s="17">
        <v>3</v>
      </c>
      <c r="H45" s="12">
        <v>0</v>
      </c>
      <c r="I45">
        <f t="shared" si="0"/>
        <v>1</v>
      </c>
      <c r="J45">
        <f t="shared" si="1"/>
        <v>0</v>
      </c>
      <c r="K45" s="19">
        <f t="shared" si="2"/>
        <v>3</v>
      </c>
      <c r="L45" s="19"/>
      <c r="M45"/>
      <c r="R45" s="11"/>
      <c r="S45" s="17"/>
      <c r="T45" s="17"/>
    </row>
    <row r="46" spans="1:20">
      <c r="A46" s="44" t="s">
        <v>1136</v>
      </c>
      <c r="B46" s="44">
        <v>11164</v>
      </c>
      <c r="C46" s="44" t="s">
        <v>1148</v>
      </c>
      <c r="D46" s="11">
        <v>1</v>
      </c>
      <c r="E46" s="12">
        <v>0</v>
      </c>
      <c r="F46" s="12">
        <v>0</v>
      </c>
      <c r="G46" s="17">
        <v>3</v>
      </c>
      <c r="H46" s="12">
        <v>3</v>
      </c>
      <c r="I46">
        <f t="shared" si="0"/>
        <v>1</v>
      </c>
      <c r="J46">
        <f t="shared" si="1"/>
        <v>0</v>
      </c>
      <c r="K46" s="19">
        <f t="shared" si="2"/>
        <v>3</v>
      </c>
      <c r="L46" s="19"/>
      <c r="M46"/>
      <c r="R46" s="11"/>
      <c r="S46" s="17"/>
      <c r="T46" s="17"/>
    </row>
    <row r="47" spans="1:20">
      <c r="A47" s="44">
        <v>2613050886</v>
      </c>
      <c r="B47" s="44">
        <v>385886</v>
      </c>
      <c r="C47" s="44" t="s">
        <v>324</v>
      </c>
      <c r="D47" s="11">
        <v>1</v>
      </c>
      <c r="E47" s="12">
        <v>0</v>
      </c>
      <c r="F47" s="12">
        <v>12</v>
      </c>
      <c r="G47" s="17">
        <v>30</v>
      </c>
      <c r="H47" s="12">
        <v>18</v>
      </c>
      <c r="I47">
        <f t="shared" si="0"/>
        <v>1</v>
      </c>
      <c r="J47">
        <f t="shared" si="1"/>
        <v>0</v>
      </c>
      <c r="K47" s="19">
        <f t="shared" si="2"/>
        <v>30</v>
      </c>
      <c r="L47" s="19"/>
      <c r="M47"/>
      <c r="R47" s="11"/>
      <c r="S47" s="17"/>
      <c r="T47" s="17"/>
    </row>
    <row r="48" spans="1:20">
      <c r="A48" s="44" t="s">
        <v>142</v>
      </c>
      <c r="B48" s="44">
        <v>211671</v>
      </c>
      <c r="C48" s="44" t="s">
        <v>348</v>
      </c>
      <c r="D48" s="11">
        <v>1</v>
      </c>
      <c r="E48" s="12">
        <v>3</v>
      </c>
      <c r="F48" s="12">
        <v>38</v>
      </c>
      <c r="G48" s="17">
        <v>18</v>
      </c>
      <c r="H48" s="12">
        <v>0</v>
      </c>
      <c r="I48">
        <f t="shared" si="0"/>
        <v>1</v>
      </c>
      <c r="J48">
        <f t="shared" si="1"/>
        <v>0</v>
      </c>
      <c r="K48" s="19">
        <f t="shared" si="2"/>
        <v>18</v>
      </c>
      <c r="L48" s="19"/>
      <c r="M48"/>
      <c r="R48" s="11"/>
      <c r="S48" s="17"/>
      <c r="T48" s="17"/>
    </row>
    <row r="49" spans="1:20">
      <c r="A49" s="44">
        <v>2613052584</v>
      </c>
      <c r="B49" s="44">
        <v>286665</v>
      </c>
      <c r="C49" s="44" t="s">
        <v>1075</v>
      </c>
      <c r="D49" s="11">
        <v>1</v>
      </c>
      <c r="E49" s="12">
        <v>0</v>
      </c>
      <c r="F49" s="12">
        <v>7</v>
      </c>
      <c r="G49" s="17">
        <v>6</v>
      </c>
      <c r="H49" s="12">
        <v>0</v>
      </c>
      <c r="I49">
        <f t="shared" si="0"/>
        <v>1</v>
      </c>
      <c r="J49">
        <f t="shared" si="1"/>
        <v>0</v>
      </c>
      <c r="K49" s="19">
        <f t="shared" si="2"/>
        <v>6</v>
      </c>
      <c r="L49" s="19"/>
      <c r="M49"/>
      <c r="R49" s="11"/>
      <c r="S49" s="17"/>
      <c r="T49" s="17"/>
    </row>
    <row r="50" spans="1:20">
      <c r="A50" s="44" t="s">
        <v>144</v>
      </c>
      <c r="B50" s="44">
        <v>501630</v>
      </c>
      <c r="C50" s="44" t="s">
        <v>231</v>
      </c>
      <c r="D50" s="11">
        <v>0</v>
      </c>
      <c r="E50" s="12">
        <v>0</v>
      </c>
      <c r="F50" s="12">
        <v>5</v>
      </c>
      <c r="G50" s="17">
        <v>0</v>
      </c>
      <c r="H50" s="12">
        <v>0</v>
      </c>
      <c r="I50">
        <f t="shared" si="0"/>
        <v>0</v>
      </c>
      <c r="J50">
        <f t="shared" si="1"/>
        <v>0</v>
      </c>
      <c r="K50" s="19">
        <f t="shared" si="2"/>
        <v>0</v>
      </c>
      <c r="L50" s="19"/>
      <c r="M50"/>
      <c r="R50" s="11"/>
      <c r="S50" s="17"/>
      <c r="T50" s="17"/>
    </row>
    <row r="51" spans="1:20">
      <c r="A51" s="44" t="s">
        <v>1140</v>
      </c>
      <c r="B51" s="44">
        <v>396064</v>
      </c>
      <c r="C51" s="44" t="s">
        <v>1149</v>
      </c>
      <c r="D51" s="11">
        <v>1</v>
      </c>
      <c r="E51" s="12">
        <v>0</v>
      </c>
      <c r="F51" s="12">
        <v>4</v>
      </c>
      <c r="G51" s="17">
        <v>1</v>
      </c>
      <c r="H51" s="12">
        <v>0</v>
      </c>
      <c r="I51">
        <f t="shared" si="0"/>
        <v>0</v>
      </c>
      <c r="J51">
        <f t="shared" si="1"/>
        <v>0</v>
      </c>
      <c r="K51" s="19">
        <f t="shared" si="2"/>
        <v>1</v>
      </c>
      <c r="L51" s="19"/>
      <c r="M51"/>
      <c r="R51" s="11"/>
      <c r="S51" s="17"/>
      <c r="T51" s="17"/>
    </row>
    <row r="52" spans="1:20">
      <c r="A52" s="44" t="s">
        <v>156</v>
      </c>
      <c r="B52" s="44">
        <v>12323425</v>
      </c>
      <c r="C52" s="44" t="s">
        <v>974</v>
      </c>
      <c r="D52" s="11">
        <v>0</v>
      </c>
      <c r="E52" s="12">
        <v>1</v>
      </c>
      <c r="F52" s="12">
        <v>3</v>
      </c>
      <c r="G52" s="17">
        <v>0</v>
      </c>
      <c r="H52" s="12">
        <v>0</v>
      </c>
      <c r="I52">
        <f t="shared" si="0"/>
        <v>0</v>
      </c>
      <c r="J52">
        <f t="shared" si="1"/>
        <v>0</v>
      </c>
      <c r="K52" s="19">
        <f t="shared" si="2"/>
        <v>0</v>
      </c>
      <c r="L52" s="19"/>
      <c r="M52"/>
      <c r="R52" s="11"/>
      <c r="S52" s="17"/>
      <c r="T52" s="17"/>
    </row>
    <row r="53" spans="1:20">
      <c r="A53" s="44" t="s">
        <v>158</v>
      </c>
      <c r="B53" s="44">
        <v>201488</v>
      </c>
      <c r="C53" s="44" t="s">
        <v>1150</v>
      </c>
      <c r="D53" s="11">
        <v>0</v>
      </c>
      <c r="E53" s="12">
        <v>0</v>
      </c>
      <c r="F53" s="12">
        <v>3</v>
      </c>
      <c r="G53" s="17">
        <v>0</v>
      </c>
      <c r="H53" s="12">
        <v>0</v>
      </c>
      <c r="I53">
        <f t="shared" si="0"/>
        <v>0</v>
      </c>
      <c r="J53">
        <f t="shared" si="1"/>
        <v>0</v>
      </c>
      <c r="K53" s="19">
        <f t="shared" si="2"/>
        <v>0</v>
      </c>
      <c r="L53" s="19"/>
      <c r="M53"/>
      <c r="R53" s="11"/>
      <c r="S53" s="17"/>
      <c r="T53" s="17"/>
    </row>
    <row r="54" spans="1:20">
      <c r="A54" s="44">
        <v>2613052222</v>
      </c>
      <c r="B54" s="44">
        <v>363660</v>
      </c>
      <c r="C54" s="44" t="s">
        <v>696</v>
      </c>
      <c r="D54" s="11">
        <v>1</v>
      </c>
      <c r="E54" s="12">
        <v>0</v>
      </c>
      <c r="F54" s="12">
        <v>3</v>
      </c>
      <c r="G54" s="17">
        <v>1</v>
      </c>
      <c r="H54" s="12">
        <v>0</v>
      </c>
      <c r="I54">
        <f t="shared" si="0"/>
        <v>0</v>
      </c>
      <c r="J54">
        <f t="shared" si="1"/>
        <v>0</v>
      </c>
      <c r="K54" s="19">
        <f t="shared" si="2"/>
        <v>1</v>
      </c>
      <c r="L54" s="19"/>
      <c r="M54"/>
      <c r="R54" s="11"/>
      <c r="S54" s="17"/>
      <c r="T54" s="17"/>
    </row>
    <row r="55" spans="1:20">
      <c r="A55" s="44" t="s">
        <v>143</v>
      </c>
      <c r="B55" s="44">
        <v>457300</v>
      </c>
      <c r="C55" s="44" t="s">
        <v>264</v>
      </c>
      <c r="D55" s="11">
        <v>1</v>
      </c>
      <c r="E55" s="12">
        <v>0</v>
      </c>
      <c r="F55" s="12">
        <v>2</v>
      </c>
      <c r="G55" s="17">
        <v>1</v>
      </c>
      <c r="H55" s="12">
        <v>0</v>
      </c>
      <c r="I55">
        <f t="shared" si="0"/>
        <v>0</v>
      </c>
      <c r="J55">
        <f t="shared" si="1"/>
        <v>0</v>
      </c>
      <c r="K55" s="19">
        <f t="shared" si="2"/>
        <v>1</v>
      </c>
      <c r="L55" s="19"/>
      <c r="M55"/>
      <c r="R55" s="11"/>
      <c r="S55" s="17"/>
      <c r="T55" s="17"/>
    </row>
    <row r="56" spans="1:20">
      <c r="A56" s="44" t="s">
        <v>150</v>
      </c>
      <c r="B56" s="44">
        <v>12322582</v>
      </c>
      <c r="C56" s="44" t="s">
        <v>807</v>
      </c>
      <c r="D56" s="11">
        <v>0</v>
      </c>
      <c r="E56" s="12">
        <v>0</v>
      </c>
      <c r="F56" s="12">
        <v>0</v>
      </c>
      <c r="G56" s="17">
        <v>0</v>
      </c>
      <c r="H56" s="12">
        <v>0</v>
      </c>
      <c r="I56">
        <f t="shared" si="0"/>
        <v>0</v>
      </c>
      <c r="J56">
        <f t="shared" si="1"/>
        <v>0</v>
      </c>
      <c r="K56" s="19">
        <f t="shared" si="2"/>
        <v>0</v>
      </c>
      <c r="L56" s="19"/>
      <c r="M56"/>
      <c r="R56" s="11"/>
      <c r="S56" s="17"/>
      <c r="T56" s="17"/>
    </row>
    <row r="57" spans="1:20">
      <c r="A57" s="44">
        <v>2613051412</v>
      </c>
      <c r="B57" s="44">
        <v>12326196</v>
      </c>
      <c r="C57" s="44" t="s">
        <v>551</v>
      </c>
      <c r="D57" s="11">
        <v>1</v>
      </c>
      <c r="E57" s="12">
        <v>0</v>
      </c>
      <c r="F57" s="12">
        <v>2</v>
      </c>
      <c r="G57" s="17">
        <v>13</v>
      </c>
      <c r="H57" s="12">
        <v>11</v>
      </c>
      <c r="I57">
        <f t="shared" si="0"/>
        <v>1</v>
      </c>
      <c r="J57">
        <f t="shared" si="1"/>
        <v>0</v>
      </c>
      <c r="K57" s="19">
        <f t="shared" si="2"/>
        <v>13</v>
      </c>
      <c r="L57" s="19"/>
      <c r="M57"/>
      <c r="R57" s="11"/>
      <c r="S57" s="17"/>
      <c r="T57" s="17"/>
    </row>
    <row r="58" spans="1:20">
      <c r="A58" s="44" t="s">
        <v>157</v>
      </c>
      <c r="B58" s="44">
        <v>12327331</v>
      </c>
      <c r="C58" s="44" t="s">
        <v>271</v>
      </c>
      <c r="D58" s="11">
        <v>1</v>
      </c>
      <c r="E58" s="12">
        <v>0</v>
      </c>
      <c r="F58" s="12">
        <v>0</v>
      </c>
      <c r="G58" s="17">
        <v>1</v>
      </c>
      <c r="H58" s="12">
        <v>1</v>
      </c>
      <c r="I58">
        <f t="shared" si="0"/>
        <v>0</v>
      </c>
      <c r="J58">
        <f t="shared" si="1"/>
        <v>0</v>
      </c>
      <c r="K58" s="19">
        <f t="shared" si="2"/>
        <v>1</v>
      </c>
      <c r="L58" s="19"/>
      <c r="M58"/>
      <c r="R58" s="11"/>
      <c r="S58" s="17"/>
      <c r="T58" s="17"/>
    </row>
    <row r="59" spans="1:20">
      <c r="A59" s="44" t="s">
        <v>149</v>
      </c>
      <c r="B59" s="44">
        <v>12318984</v>
      </c>
      <c r="C59" s="44" t="s">
        <v>769</v>
      </c>
      <c r="D59" s="11">
        <v>0</v>
      </c>
      <c r="E59" s="12">
        <v>0</v>
      </c>
      <c r="F59" s="12">
        <v>0</v>
      </c>
      <c r="G59" s="17">
        <v>0</v>
      </c>
      <c r="H59" s="12">
        <v>0</v>
      </c>
      <c r="I59">
        <f t="shared" si="0"/>
        <v>0</v>
      </c>
      <c r="J59">
        <f t="shared" si="1"/>
        <v>0</v>
      </c>
      <c r="K59" s="19">
        <f t="shared" si="2"/>
        <v>0</v>
      </c>
      <c r="L59" s="19"/>
      <c r="M59"/>
      <c r="R59" s="11"/>
      <c r="S59" s="17"/>
      <c r="T59" s="17"/>
    </row>
    <row r="60" spans="1:20">
      <c r="A60" s="44" t="s">
        <v>145</v>
      </c>
      <c r="B60" s="44">
        <v>240551</v>
      </c>
      <c r="C60" s="44" t="s">
        <v>500</v>
      </c>
      <c r="D60" s="11">
        <v>0</v>
      </c>
      <c r="E60" s="12">
        <v>0</v>
      </c>
      <c r="F60" s="12">
        <v>0</v>
      </c>
      <c r="G60" s="17">
        <v>0</v>
      </c>
      <c r="H60" s="12">
        <v>0</v>
      </c>
      <c r="I60">
        <f t="shared" si="0"/>
        <v>0</v>
      </c>
      <c r="J60">
        <f t="shared" si="1"/>
        <v>0</v>
      </c>
      <c r="K60" s="19">
        <f t="shared" si="2"/>
        <v>0</v>
      </c>
      <c r="L60" s="19"/>
      <c r="M60"/>
      <c r="R60" s="11"/>
      <c r="S60" s="17"/>
      <c r="T60" s="17"/>
    </row>
    <row r="61" spans="1:20">
      <c r="A61" s="44" t="s">
        <v>150</v>
      </c>
      <c r="B61" s="44">
        <v>224061</v>
      </c>
      <c r="C61" s="44" t="s">
        <v>811</v>
      </c>
      <c r="D61" s="11">
        <v>1</v>
      </c>
      <c r="E61" s="12">
        <v>0</v>
      </c>
      <c r="F61" s="12">
        <v>3</v>
      </c>
      <c r="G61" s="17">
        <v>1</v>
      </c>
      <c r="H61" s="12">
        <v>0</v>
      </c>
      <c r="I61">
        <f t="shared" si="0"/>
        <v>0</v>
      </c>
      <c r="J61">
        <f t="shared" si="1"/>
        <v>0</v>
      </c>
      <c r="K61" s="19">
        <f t="shared" si="2"/>
        <v>1</v>
      </c>
      <c r="L61" s="19"/>
      <c r="M61"/>
      <c r="R61" s="11"/>
      <c r="S61" s="17"/>
      <c r="T61" s="17"/>
    </row>
    <row r="62" spans="1:20">
      <c r="A62" s="44" t="s">
        <v>1136</v>
      </c>
      <c r="B62" s="44">
        <v>553329</v>
      </c>
      <c r="C62" s="44" t="s">
        <v>1151</v>
      </c>
      <c r="D62" s="11">
        <v>1</v>
      </c>
      <c r="E62" s="12">
        <v>0</v>
      </c>
      <c r="F62" s="12">
        <v>1</v>
      </c>
      <c r="G62" s="17">
        <v>3</v>
      </c>
      <c r="H62" s="12">
        <v>2</v>
      </c>
      <c r="I62">
        <f t="shared" si="0"/>
        <v>1</v>
      </c>
      <c r="J62">
        <f t="shared" si="1"/>
        <v>0</v>
      </c>
      <c r="K62" s="19">
        <f t="shared" si="2"/>
        <v>3</v>
      </c>
      <c r="L62" s="19"/>
      <c r="M62"/>
      <c r="R62" s="11"/>
      <c r="S62" s="17"/>
      <c r="T62" s="17"/>
    </row>
    <row r="63" spans="1:20">
      <c r="A63" s="44" t="s">
        <v>141</v>
      </c>
      <c r="B63" s="44">
        <v>12295897</v>
      </c>
      <c r="C63" s="44" t="s">
        <v>182</v>
      </c>
      <c r="D63" s="11">
        <v>0</v>
      </c>
      <c r="E63" s="12">
        <v>0</v>
      </c>
      <c r="F63" s="12">
        <v>1</v>
      </c>
      <c r="G63" s="17">
        <v>0</v>
      </c>
      <c r="H63" s="12">
        <v>0</v>
      </c>
      <c r="I63">
        <f t="shared" si="0"/>
        <v>0</v>
      </c>
      <c r="J63">
        <f t="shared" si="1"/>
        <v>0</v>
      </c>
      <c r="K63" s="19">
        <f t="shared" si="2"/>
        <v>0</v>
      </c>
      <c r="L63" s="19"/>
      <c r="M63"/>
      <c r="R63" s="11"/>
      <c r="S63" s="17"/>
      <c r="T63" s="17"/>
    </row>
    <row r="64" spans="1:20">
      <c r="A64" s="44" t="s">
        <v>1136</v>
      </c>
      <c r="B64" s="44">
        <v>531527</v>
      </c>
      <c r="C64" s="44" t="s">
        <v>80</v>
      </c>
      <c r="D64" s="11">
        <v>0</v>
      </c>
      <c r="E64" s="12">
        <v>0</v>
      </c>
      <c r="F64" s="12">
        <v>3</v>
      </c>
      <c r="G64" s="17">
        <v>0</v>
      </c>
      <c r="H64" s="12">
        <v>0</v>
      </c>
      <c r="I64">
        <f t="shared" si="0"/>
        <v>0</v>
      </c>
      <c r="J64">
        <f t="shared" si="1"/>
        <v>0</v>
      </c>
      <c r="K64" s="19">
        <f t="shared" si="2"/>
        <v>0</v>
      </c>
      <c r="L64" s="19"/>
      <c r="M64"/>
      <c r="R64" s="11"/>
      <c r="S64" s="17"/>
      <c r="T64" s="17"/>
    </row>
    <row r="65" spans="1:20">
      <c r="A65" s="44" t="s">
        <v>140</v>
      </c>
      <c r="B65" s="44">
        <v>240352</v>
      </c>
      <c r="C65" s="44" t="s">
        <v>467</v>
      </c>
      <c r="D65" s="11">
        <v>1</v>
      </c>
      <c r="E65" s="12">
        <v>2</v>
      </c>
      <c r="F65" s="12">
        <v>3</v>
      </c>
      <c r="G65" s="17">
        <v>2</v>
      </c>
      <c r="H65" s="12">
        <v>0</v>
      </c>
      <c r="I65">
        <f t="shared" si="0"/>
        <v>0</v>
      </c>
      <c r="J65">
        <f t="shared" si="1"/>
        <v>0</v>
      </c>
      <c r="K65" s="19">
        <f t="shared" si="2"/>
        <v>2</v>
      </c>
      <c r="L65" s="19"/>
      <c r="M65"/>
      <c r="R65" s="11"/>
      <c r="S65" s="17"/>
      <c r="T65" s="17"/>
    </row>
    <row r="66" spans="1:20">
      <c r="A66" s="44" t="s">
        <v>145</v>
      </c>
      <c r="B66" s="44">
        <v>579541</v>
      </c>
      <c r="C66" s="44" t="s">
        <v>1152</v>
      </c>
      <c r="D66" s="11">
        <v>0</v>
      </c>
      <c r="E66" s="12">
        <v>0</v>
      </c>
      <c r="F66" s="12">
        <v>1</v>
      </c>
      <c r="G66" s="17">
        <v>0</v>
      </c>
      <c r="H66" s="12">
        <v>0</v>
      </c>
      <c r="I66">
        <f t="shared" si="0"/>
        <v>0</v>
      </c>
      <c r="J66">
        <f t="shared" si="1"/>
        <v>0</v>
      </c>
      <c r="K66" s="19">
        <f t="shared" si="2"/>
        <v>0</v>
      </c>
      <c r="L66" s="19"/>
      <c r="M66"/>
      <c r="R66" s="11"/>
      <c r="S66" s="17"/>
      <c r="T66" s="17"/>
    </row>
    <row r="67" spans="1:20">
      <c r="A67" s="44" t="s">
        <v>3</v>
      </c>
      <c r="B67" s="44">
        <v>12326920</v>
      </c>
      <c r="C67" s="44" t="s">
        <v>1076</v>
      </c>
      <c r="D67" s="11">
        <v>1</v>
      </c>
      <c r="E67" s="12">
        <v>0</v>
      </c>
      <c r="F67" s="12">
        <v>3</v>
      </c>
      <c r="G67" s="17">
        <v>11</v>
      </c>
      <c r="H67" s="12">
        <v>8</v>
      </c>
      <c r="I67">
        <f t="shared" ref="I67:I130" si="3">IF(G67&gt;=3,1,0)</f>
        <v>1</v>
      </c>
      <c r="J67">
        <f t="shared" ref="J67:J130" si="4">_xlfn.IFNA(INDEX(M:N,MATCH(B67,M:M,0),2),0)</f>
        <v>0</v>
      </c>
      <c r="K67" s="19">
        <f t="shared" ref="K67:K130" si="5">G67-J67</f>
        <v>11</v>
      </c>
      <c r="L67" s="19"/>
      <c r="M67"/>
      <c r="R67" s="11"/>
      <c r="S67" s="17"/>
      <c r="T67" s="17"/>
    </row>
    <row r="68" spans="1:20">
      <c r="A68" s="44">
        <v>2613051451</v>
      </c>
      <c r="B68" s="44">
        <v>12324280</v>
      </c>
      <c r="C68" s="44" t="s">
        <v>382</v>
      </c>
      <c r="D68" s="11">
        <v>0</v>
      </c>
      <c r="E68" s="12">
        <v>0</v>
      </c>
      <c r="F68" s="12">
        <v>3</v>
      </c>
      <c r="G68" s="17">
        <v>0</v>
      </c>
      <c r="H68" s="12">
        <v>0</v>
      </c>
      <c r="I68">
        <f t="shared" si="3"/>
        <v>0</v>
      </c>
      <c r="J68">
        <f t="shared" si="4"/>
        <v>0</v>
      </c>
      <c r="K68" s="19">
        <f t="shared" si="5"/>
        <v>0</v>
      </c>
      <c r="L68" s="19"/>
      <c r="M68"/>
      <c r="R68" s="11"/>
      <c r="S68" s="17"/>
      <c r="T68" s="17"/>
    </row>
    <row r="69" spans="1:20">
      <c r="A69" s="44" t="s">
        <v>149</v>
      </c>
      <c r="B69" s="44">
        <v>3109</v>
      </c>
      <c r="C69" s="44" t="s">
        <v>1153</v>
      </c>
      <c r="D69" s="11">
        <v>0</v>
      </c>
      <c r="E69" s="12">
        <v>0</v>
      </c>
      <c r="F69" s="12">
        <v>1</v>
      </c>
      <c r="G69" s="17">
        <v>0</v>
      </c>
      <c r="H69" s="12">
        <v>0</v>
      </c>
      <c r="I69">
        <f t="shared" si="3"/>
        <v>0</v>
      </c>
      <c r="J69">
        <f t="shared" si="4"/>
        <v>0</v>
      </c>
      <c r="K69" s="19">
        <f t="shared" si="5"/>
        <v>0</v>
      </c>
      <c r="L69" s="19"/>
      <c r="M69"/>
      <c r="R69" s="11"/>
      <c r="S69" s="17"/>
      <c r="T69" s="17"/>
    </row>
    <row r="70" spans="1:20">
      <c r="A70" s="44" t="s">
        <v>4</v>
      </c>
      <c r="B70" s="44">
        <v>292836</v>
      </c>
      <c r="C70" s="44" t="s">
        <v>1077</v>
      </c>
      <c r="D70" s="11">
        <v>0</v>
      </c>
      <c r="E70" s="12">
        <v>0</v>
      </c>
      <c r="F70" s="12">
        <v>0</v>
      </c>
      <c r="G70" s="17">
        <v>0</v>
      </c>
      <c r="H70" s="12">
        <v>0</v>
      </c>
      <c r="I70">
        <f t="shared" si="3"/>
        <v>0</v>
      </c>
      <c r="J70">
        <f t="shared" si="4"/>
        <v>0</v>
      </c>
      <c r="K70" s="19">
        <f t="shared" si="5"/>
        <v>0</v>
      </c>
      <c r="L70" s="19"/>
      <c r="M70"/>
      <c r="R70" s="11"/>
      <c r="S70" s="17"/>
      <c r="T70" s="17"/>
    </row>
    <row r="71" spans="1:20">
      <c r="A71" s="44" t="s">
        <v>153</v>
      </c>
      <c r="B71" s="44">
        <v>127223</v>
      </c>
      <c r="C71" s="44" t="s">
        <v>709</v>
      </c>
      <c r="D71" s="11">
        <v>0</v>
      </c>
      <c r="E71" s="12">
        <v>0</v>
      </c>
      <c r="F71" s="12">
        <v>1</v>
      </c>
      <c r="G71" s="17">
        <v>0</v>
      </c>
      <c r="H71" s="12">
        <v>0</v>
      </c>
      <c r="I71">
        <f t="shared" si="3"/>
        <v>0</v>
      </c>
      <c r="J71">
        <f t="shared" si="4"/>
        <v>0</v>
      </c>
      <c r="K71" s="19">
        <f t="shared" si="5"/>
        <v>0</v>
      </c>
      <c r="L71" s="19"/>
      <c r="M71"/>
      <c r="R71" s="11"/>
      <c r="S71" s="17"/>
      <c r="T71" s="17"/>
    </row>
    <row r="72" spans="1:20">
      <c r="A72" s="44">
        <v>2613051475</v>
      </c>
      <c r="B72" s="44">
        <v>521902</v>
      </c>
      <c r="C72" s="44" t="s">
        <v>909</v>
      </c>
      <c r="D72" s="11">
        <v>0</v>
      </c>
      <c r="E72" s="12">
        <v>0</v>
      </c>
      <c r="F72" s="12">
        <v>1</v>
      </c>
      <c r="G72" s="17">
        <v>0</v>
      </c>
      <c r="H72" s="12">
        <v>0</v>
      </c>
      <c r="I72">
        <f t="shared" si="3"/>
        <v>0</v>
      </c>
      <c r="J72">
        <f t="shared" si="4"/>
        <v>0</v>
      </c>
      <c r="K72" s="19">
        <f t="shared" si="5"/>
        <v>0</v>
      </c>
      <c r="L72" s="19"/>
      <c r="M72"/>
      <c r="R72" s="11"/>
      <c r="S72" s="17"/>
      <c r="T72" s="17"/>
    </row>
    <row r="73" spans="1:20">
      <c r="A73" s="44" t="s">
        <v>155</v>
      </c>
      <c r="B73" s="44">
        <v>2587</v>
      </c>
      <c r="C73" s="44" t="s">
        <v>933</v>
      </c>
      <c r="D73" s="11">
        <v>1</v>
      </c>
      <c r="E73" s="12">
        <v>0</v>
      </c>
      <c r="F73" s="12">
        <v>5</v>
      </c>
      <c r="G73" s="17">
        <v>5</v>
      </c>
      <c r="H73" s="12">
        <v>0</v>
      </c>
      <c r="I73">
        <f t="shared" si="3"/>
        <v>1</v>
      </c>
      <c r="J73">
        <f t="shared" si="4"/>
        <v>0</v>
      </c>
      <c r="K73" s="19">
        <f t="shared" si="5"/>
        <v>5</v>
      </c>
      <c r="L73" s="19"/>
      <c r="M73"/>
      <c r="R73" s="11"/>
      <c r="S73" s="17"/>
      <c r="T73" s="17"/>
    </row>
    <row r="74" spans="1:20">
      <c r="A74" s="44">
        <v>2613051043</v>
      </c>
      <c r="B74" s="44">
        <v>12297183</v>
      </c>
      <c r="C74" s="44" t="s">
        <v>1154</v>
      </c>
      <c r="D74" s="11">
        <v>0</v>
      </c>
      <c r="E74" s="12">
        <v>0</v>
      </c>
      <c r="F74" s="12">
        <v>8</v>
      </c>
      <c r="G74" s="17">
        <v>0</v>
      </c>
      <c r="H74" s="12">
        <v>0</v>
      </c>
      <c r="I74">
        <f t="shared" si="3"/>
        <v>0</v>
      </c>
      <c r="J74">
        <f t="shared" si="4"/>
        <v>0</v>
      </c>
      <c r="K74" s="19">
        <f t="shared" si="5"/>
        <v>0</v>
      </c>
      <c r="L74" s="19"/>
      <c r="M74"/>
      <c r="R74" s="11"/>
      <c r="S74" s="17"/>
      <c r="T74" s="17"/>
    </row>
    <row r="75" spans="1:20">
      <c r="A75" s="44" t="s">
        <v>151</v>
      </c>
      <c r="B75" s="44">
        <v>492248</v>
      </c>
      <c r="C75" s="44" t="s">
        <v>1155</v>
      </c>
      <c r="D75" s="11">
        <v>1</v>
      </c>
      <c r="E75" s="12">
        <v>0</v>
      </c>
      <c r="F75" s="12">
        <v>4</v>
      </c>
      <c r="G75" s="17">
        <v>1</v>
      </c>
      <c r="H75" s="12">
        <v>0</v>
      </c>
      <c r="I75">
        <f t="shared" si="3"/>
        <v>0</v>
      </c>
      <c r="J75">
        <f t="shared" si="4"/>
        <v>0</v>
      </c>
      <c r="K75" s="19">
        <f t="shared" si="5"/>
        <v>1</v>
      </c>
      <c r="L75" s="19"/>
      <c r="M75"/>
      <c r="R75" s="11"/>
      <c r="S75" s="17"/>
      <c r="T75" s="17"/>
    </row>
    <row r="76" spans="1:20">
      <c r="A76" s="44" t="s">
        <v>156</v>
      </c>
      <c r="B76" s="44">
        <v>509438</v>
      </c>
      <c r="C76" s="44" t="s">
        <v>998</v>
      </c>
      <c r="D76" s="11">
        <v>0</v>
      </c>
      <c r="E76" s="12">
        <v>0</v>
      </c>
      <c r="F76" s="12">
        <v>1</v>
      </c>
      <c r="G76" s="17">
        <v>0</v>
      </c>
      <c r="H76" s="12">
        <v>0</v>
      </c>
      <c r="I76">
        <f t="shared" si="3"/>
        <v>0</v>
      </c>
      <c r="J76">
        <f t="shared" si="4"/>
        <v>0</v>
      </c>
      <c r="K76" s="19">
        <f t="shared" si="5"/>
        <v>0</v>
      </c>
      <c r="L76" s="19"/>
      <c r="M76"/>
      <c r="R76" s="11"/>
      <c r="S76" s="17"/>
      <c r="T76" s="17"/>
    </row>
    <row r="77" spans="1:20">
      <c r="A77" s="44">
        <v>2613052584</v>
      </c>
      <c r="B77" s="44">
        <v>12295735</v>
      </c>
      <c r="C77" s="44" t="s">
        <v>570</v>
      </c>
      <c r="D77" s="11">
        <v>1</v>
      </c>
      <c r="E77" s="12">
        <v>0</v>
      </c>
      <c r="F77" s="12">
        <v>17</v>
      </c>
      <c r="G77" s="17">
        <v>47</v>
      </c>
      <c r="H77" s="12">
        <v>30</v>
      </c>
      <c r="I77">
        <f t="shared" si="3"/>
        <v>1</v>
      </c>
      <c r="J77">
        <f t="shared" si="4"/>
        <v>0</v>
      </c>
      <c r="K77" s="19">
        <f t="shared" si="5"/>
        <v>47</v>
      </c>
      <c r="L77" s="19"/>
      <c r="M77"/>
      <c r="R77" s="11"/>
      <c r="S77" s="17"/>
      <c r="T77" s="17"/>
    </row>
    <row r="78" spans="1:20">
      <c r="A78" s="44" t="s">
        <v>146</v>
      </c>
      <c r="B78" s="44">
        <v>579635</v>
      </c>
      <c r="C78" s="44" t="s">
        <v>546</v>
      </c>
      <c r="D78" s="11">
        <v>0</v>
      </c>
      <c r="E78" s="12">
        <v>0</v>
      </c>
      <c r="F78" s="12">
        <v>3</v>
      </c>
      <c r="G78" s="17">
        <v>0</v>
      </c>
      <c r="H78" s="12">
        <v>0</v>
      </c>
      <c r="I78">
        <f t="shared" si="3"/>
        <v>0</v>
      </c>
      <c r="J78">
        <f t="shared" si="4"/>
        <v>0</v>
      </c>
      <c r="K78" s="19">
        <f t="shared" si="5"/>
        <v>0</v>
      </c>
      <c r="L78" s="19"/>
      <c r="M78"/>
      <c r="R78" s="11"/>
      <c r="S78" s="17"/>
      <c r="T78" s="17"/>
    </row>
    <row r="79" spans="1:20">
      <c r="A79" s="44" t="s">
        <v>144</v>
      </c>
      <c r="B79" s="44">
        <v>12303846</v>
      </c>
      <c r="C79" s="44" t="s">
        <v>213</v>
      </c>
      <c r="D79" s="11">
        <v>0</v>
      </c>
      <c r="E79" s="12">
        <v>0</v>
      </c>
      <c r="F79" s="12">
        <v>1</v>
      </c>
      <c r="G79" s="17">
        <v>0</v>
      </c>
      <c r="H79" s="12">
        <v>0</v>
      </c>
      <c r="I79">
        <f t="shared" si="3"/>
        <v>0</v>
      </c>
      <c r="J79">
        <f t="shared" si="4"/>
        <v>0</v>
      </c>
      <c r="K79" s="19">
        <f t="shared" si="5"/>
        <v>0</v>
      </c>
      <c r="L79" s="19"/>
      <c r="M79"/>
      <c r="R79" s="11"/>
      <c r="S79" s="17"/>
      <c r="T79" s="17"/>
    </row>
    <row r="80" spans="1:20">
      <c r="A80" s="44" t="s">
        <v>1136</v>
      </c>
      <c r="B80" s="44">
        <v>61609</v>
      </c>
      <c r="C80" s="44" t="s">
        <v>1156</v>
      </c>
      <c r="D80" s="11">
        <v>1</v>
      </c>
      <c r="E80" s="12">
        <v>0</v>
      </c>
      <c r="F80" s="12">
        <v>4</v>
      </c>
      <c r="G80" s="17">
        <v>2</v>
      </c>
      <c r="H80" s="12">
        <v>0</v>
      </c>
      <c r="I80">
        <f t="shared" si="3"/>
        <v>0</v>
      </c>
      <c r="J80">
        <f t="shared" si="4"/>
        <v>0</v>
      </c>
      <c r="K80" s="19">
        <f t="shared" si="5"/>
        <v>2</v>
      </c>
      <c r="L80" s="19"/>
      <c r="M80"/>
      <c r="R80" s="11"/>
      <c r="S80" s="17"/>
      <c r="T80" s="17"/>
    </row>
    <row r="81" spans="1:20">
      <c r="A81" s="44" t="s">
        <v>142</v>
      </c>
      <c r="B81" s="44">
        <v>326560</v>
      </c>
      <c r="C81" s="44" t="s">
        <v>1157</v>
      </c>
      <c r="D81" s="11">
        <v>0</v>
      </c>
      <c r="E81" s="12">
        <v>0</v>
      </c>
      <c r="F81" s="12">
        <v>0</v>
      </c>
      <c r="G81" s="17">
        <v>0</v>
      </c>
      <c r="H81" s="12">
        <v>0</v>
      </c>
      <c r="I81">
        <f t="shared" si="3"/>
        <v>0</v>
      </c>
      <c r="J81">
        <f t="shared" si="4"/>
        <v>0</v>
      </c>
      <c r="K81" s="19">
        <f t="shared" si="5"/>
        <v>0</v>
      </c>
      <c r="L81" s="21"/>
      <c r="M81"/>
      <c r="R81" s="11"/>
      <c r="S81" s="17"/>
      <c r="T81" s="17"/>
    </row>
    <row r="82" spans="1:20">
      <c r="A82" s="44" t="s">
        <v>141</v>
      </c>
      <c r="B82" s="44">
        <v>454102</v>
      </c>
      <c r="C82" s="44" t="s">
        <v>1158</v>
      </c>
      <c r="D82" s="11">
        <v>0</v>
      </c>
      <c r="E82" s="12">
        <v>0</v>
      </c>
      <c r="F82" s="12">
        <v>1</v>
      </c>
      <c r="G82" s="17">
        <v>0</v>
      </c>
      <c r="H82" s="12">
        <v>0</v>
      </c>
      <c r="I82">
        <f t="shared" si="3"/>
        <v>0</v>
      </c>
      <c r="J82">
        <f t="shared" si="4"/>
        <v>0</v>
      </c>
      <c r="K82" s="19">
        <f t="shared" si="5"/>
        <v>0</v>
      </c>
      <c r="L82" s="22"/>
      <c r="M82"/>
      <c r="R82" s="11"/>
      <c r="S82" s="17"/>
      <c r="T82" s="17"/>
    </row>
    <row r="83" spans="1:20">
      <c r="A83" s="44" t="s">
        <v>142</v>
      </c>
      <c r="B83" s="44">
        <v>510915</v>
      </c>
      <c r="C83" s="44" t="s">
        <v>356</v>
      </c>
      <c r="D83" s="11">
        <v>0</v>
      </c>
      <c r="E83" s="12">
        <v>0</v>
      </c>
      <c r="F83" s="12">
        <v>1</v>
      </c>
      <c r="G83" s="17">
        <v>0</v>
      </c>
      <c r="H83" s="12">
        <v>0</v>
      </c>
      <c r="I83">
        <f t="shared" si="3"/>
        <v>0</v>
      </c>
      <c r="J83">
        <f t="shared" si="4"/>
        <v>0</v>
      </c>
      <c r="K83" s="19">
        <f t="shared" si="5"/>
        <v>0</v>
      </c>
      <c r="L83" s="22"/>
      <c r="M83"/>
      <c r="R83" s="11"/>
      <c r="S83" s="17"/>
      <c r="T83" s="17"/>
    </row>
    <row r="84" spans="1:20">
      <c r="A84" s="44" t="s">
        <v>157</v>
      </c>
      <c r="B84" s="44">
        <v>324658</v>
      </c>
      <c r="C84" s="44" t="s">
        <v>1037</v>
      </c>
      <c r="D84" s="11">
        <v>0</v>
      </c>
      <c r="E84" s="12">
        <v>0</v>
      </c>
      <c r="F84" s="12">
        <v>0</v>
      </c>
      <c r="G84" s="17">
        <v>0</v>
      </c>
      <c r="H84" s="12">
        <v>0</v>
      </c>
      <c r="I84">
        <f t="shared" si="3"/>
        <v>0</v>
      </c>
      <c r="J84">
        <f t="shared" si="4"/>
        <v>0</v>
      </c>
      <c r="K84" s="19">
        <f t="shared" si="5"/>
        <v>0</v>
      </c>
      <c r="L84" s="23"/>
      <c r="M84"/>
      <c r="R84" s="11"/>
      <c r="S84" s="17"/>
      <c r="T84" s="17"/>
    </row>
    <row r="85" spans="1:20">
      <c r="A85" s="44">
        <v>2613052222</v>
      </c>
      <c r="B85" s="44">
        <v>61542</v>
      </c>
      <c r="C85" s="44" t="s">
        <v>1159</v>
      </c>
      <c r="D85" s="11">
        <v>1</v>
      </c>
      <c r="E85" s="12">
        <v>1</v>
      </c>
      <c r="F85" s="12">
        <v>3</v>
      </c>
      <c r="G85" s="17">
        <v>2</v>
      </c>
      <c r="H85" s="12">
        <v>0</v>
      </c>
      <c r="I85">
        <f t="shared" si="3"/>
        <v>0</v>
      </c>
      <c r="J85">
        <f t="shared" si="4"/>
        <v>0</v>
      </c>
      <c r="K85" s="19">
        <f t="shared" si="5"/>
        <v>2</v>
      </c>
      <c r="L85" s="22"/>
      <c r="M85"/>
      <c r="R85" s="11"/>
      <c r="S85" s="17"/>
      <c r="T85" s="17"/>
    </row>
    <row r="86" spans="1:20">
      <c r="A86" s="44">
        <v>2613050886</v>
      </c>
      <c r="B86" s="44">
        <v>513303</v>
      </c>
      <c r="C86" s="44" t="s">
        <v>328</v>
      </c>
      <c r="D86" s="11">
        <v>0</v>
      </c>
      <c r="E86" s="12">
        <v>0</v>
      </c>
      <c r="F86" s="12">
        <v>0</v>
      </c>
      <c r="G86" s="17">
        <v>0</v>
      </c>
      <c r="H86" s="12">
        <v>0</v>
      </c>
      <c r="I86">
        <f t="shared" si="3"/>
        <v>0</v>
      </c>
      <c r="J86">
        <f t="shared" si="4"/>
        <v>0</v>
      </c>
      <c r="K86" s="19">
        <f t="shared" si="5"/>
        <v>0</v>
      </c>
      <c r="M86"/>
      <c r="R86" s="11"/>
      <c r="S86" s="17"/>
      <c r="T86" s="17"/>
    </row>
    <row r="87" spans="1:20">
      <c r="A87" s="44" t="s">
        <v>143</v>
      </c>
      <c r="B87" s="44">
        <v>483093</v>
      </c>
      <c r="C87" s="44" t="s">
        <v>1160</v>
      </c>
      <c r="D87" s="11">
        <v>1</v>
      </c>
      <c r="E87" s="12">
        <v>0</v>
      </c>
      <c r="F87" s="12">
        <v>4</v>
      </c>
      <c r="G87" s="17">
        <v>1</v>
      </c>
      <c r="H87" s="12">
        <v>0</v>
      </c>
      <c r="I87">
        <f t="shared" si="3"/>
        <v>0</v>
      </c>
      <c r="J87">
        <f t="shared" si="4"/>
        <v>0</v>
      </c>
      <c r="K87" s="19">
        <f t="shared" si="5"/>
        <v>1</v>
      </c>
      <c r="M87"/>
      <c r="R87" s="11"/>
      <c r="S87" s="17"/>
      <c r="T87" s="17"/>
    </row>
    <row r="88" spans="1:20">
      <c r="A88" s="44" t="s">
        <v>157</v>
      </c>
      <c r="B88" s="44">
        <v>494962</v>
      </c>
      <c r="C88" s="44" t="s">
        <v>1048</v>
      </c>
      <c r="D88" s="11">
        <v>1</v>
      </c>
      <c r="E88" s="12">
        <v>0</v>
      </c>
      <c r="F88" s="12">
        <v>12</v>
      </c>
      <c r="G88" s="17">
        <v>1</v>
      </c>
      <c r="H88" s="12">
        <v>0</v>
      </c>
      <c r="I88">
        <f t="shared" si="3"/>
        <v>0</v>
      </c>
      <c r="J88">
        <f t="shared" si="4"/>
        <v>0</v>
      </c>
      <c r="K88" s="19">
        <f t="shared" si="5"/>
        <v>1</v>
      </c>
      <c r="M88"/>
      <c r="R88" s="11"/>
      <c r="S88" s="17"/>
      <c r="T88" s="17"/>
    </row>
    <row r="89" spans="1:20">
      <c r="A89" s="44" t="s">
        <v>156</v>
      </c>
      <c r="B89" s="44">
        <v>388</v>
      </c>
      <c r="C89" s="44" t="s">
        <v>990</v>
      </c>
      <c r="D89" s="11">
        <v>0</v>
      </c>
      <c r="E89" s="12">
        <v>0</v>
      </c>
      <c r="F89" s="12">
        <v>0</v>
      </c>
      <c r="G89" s="17">
        <v>0</v>
      </c>
      <c r="H89" s="12">
        <v>0</v>
      </c>
      <c r="I89">
        <f t="shared" si="3"/>
        <v>0</v>
      </c>
      <c r="J89">
        <f t="shared" si="4"/>
        <v>0</v>
      </c>
      <c r="K89" s="19">
        <f t="shared" si="5"/>
        <v>0</v>
      </c>
      <c r="M89"/>
      <c r="R89" s="11"/>
      <c r="S89" s="17"/>
      <c r="T89" s="17"/>
    </row>
    <row r="90" spans="1:20">
      <c r="A90" s="44" t="s">
        <v>153</v>
      </c>
      <c r="B90" s="44">
        <v>521231</v>
      </c>
      <c r="C90" s="44" t="s">
        <v>1161</v>
      </c>
      <c r="D90" s="11">
        <v>1</v>
      </c>
      <c r="E90" s="12">
        <v>0</v>
      </c>
      <c r="F90" s="12">
        <v>1</v>
      </c>
      <c r="G90" s="17">
        <v>6</v>
      </c>
      <c r="H90" s="12">
        <v>5</v>
      </c>
      <c r="I90">
        <f t="shared" si="3"/>
        <v>1</v>
      </c>
      <c r="J90">
        <f t="shared" si="4"/>
        <v>0</v>
      </c>
      <c r="K90" s="19">
        <f t="shared" si="5"/>
        <v>6</v>
      </c>
      <c r="M90"/>
      <c r="R90" s="11"/>
      <c r="S90" s="17"/>
      <c r="T90" s="17"/>
    </row>
    <row r="91" spans="1:20">
      <c r="A91" s="44" t="s">
        <v>143</v>
      </c>
      <c r="B91" s="44">
        <v>482760</v>
      </c>
      <c r="C91" s="44" t="s">
        <v>1162</v>
      </c>
      <c r="D91" s="11">
        <v>1</v>
      </c>
      <c r="E91" s="12">
        <v>0</v>
      </c>
      <c r="F91" s="12">
        <v>4</v>
      </c>
      <c r="G91" s="17">
        <v>1</v>
      </c>
      <c r="H91" s="12">
        <v>0</v>
      </c>
      <c r="I91">
        <f t="shared" si="3"/>
        <v>0</v>
      </c>
      <c r="J91">
        <f t="shared" si="4"/>
        <v>0</v>
      </c>
      <c r="K91" s="19">
        <f t="shared" si="5"/>
        <v>1</v>
      </c>
      <c r="M91"/>
      <c r="R91" s="11"/>
      <c r="S91" s="17"/>
      <c r="T91" s="17"/>
    </row>
    <row r="92" spans="1:20">
      <c r="A92" s="44" t="s">
        <v>140</v>
      </c>
      <c r="B92" s="44">
        <v>63885</v>
      </c>
      <c r="C92" s="44" t="s">
        <v>481</v>
      </c>
      <c r="D92" s="11">
        <v>1</v>
      </c>
      <c r="E92" s="12">
        <v>0</v>
      </c>
      <c r="F92" s="12">
        <v>11</v>
      </c>
      <c r="G92" s="17">
        <v>26</v>
      </c>
      <c r="H92" s="12">
        <v>15</v>
      </c>
      <c r="I92">
        <f t="shared" si="3"/>
        <v>1</v>
      </c>
      <c r="J92">
        <f t="shared" si="4"/>
        <v>0</v>
      </c>
      <c r="K92" s="19">
        <f t="shared" si="5"/>
        <v>26</v>
      </c>
      <c r="M92"/>
      <c r="R92" s="11"/>
      <c r="S92" s="17"/>
      <c r="T92" s="17"/>
    </row>
    <row r="93" spans="1:20">
      <c r="A93" s="44" t="s">
        <v>150</v>
      </c>
      <c r="B93" s="44">
        <v>526575</v>
      </c>
      <c r="C93" s="44" t="s">
        <v>1163</v>
      </c>
      <c r="D93" s="11">
        <v>0</v>
      </c>
      <c r="E93" s="12">
        <v>0</v>
      </c>
      <c r="F93" s="12">
        <v>0</v>
      </c>
      <c r="G93" s="17">
        <v>0</v>
      </c>
      <c r="H93" s="12">
        <v>0</v>
      </c>
      <c r="I93">
        <f t="shared" si="3"/>
        <v>0</v>
      </c>
      <c r="J93">
        <f t="shared" si="4"/>
        <v>0</v>
      </c>
      <c r="K93" s="19">
        <f t="shared" si="5"/>
        <v>0</v>
      </c>
      <c r="M93"/>
      <c r="R93" s="11"/>
      <c r="S93" s="17"/>
      <c r="T93" s="17"/>
    </row>
    <row r="94" spans="1:20">
      <c r="A94" s="44" t="s">
        <v>150</v>
      </c>
      <c r="B94" s="44">
        <v>559133</v>
      </c>
      <c r="C94" s="44" t="s">
        <v>836</v>
      </c>
      <c r="D94" s="11">
        <v>0</v>
      </c>
      <c r="E94" s="12">
        <v>0</v>
      </c>
      <c r="F94" s="12">
        <v>0</v>
      </c>
      <c r="G94" s="17">
        <v>0</v>
      </c>
      <c r="H94" s="12">
        <v>0</v>
      </c>
      <c r="I94">
        <f t="shared" si="3"/>
        <v>0</v>
      </c>
      <c r="J94">
        <f t="shared" si="4"/>
        <v>0</v>
      </c>
      <c r="K94" s="19">
        <f t="shared" si="5"/>
        <v>0</v>
      </c>
      <c r="M94"/>
      <c r="R94" s="11"/>
      <c r="S94" s="17"/>
      <c r="T94" s="17"/>
    </row>
    <row r="95" spans="1:20">
      <c r="A95" s="44">
        <v>2613050885</v>
      </c>
      <c r="B95" s="44">
        <v>536010</v>
      </c>
      <c r="C95" s="44" t="s">
        <v>308</v>
      </c>
      <c r="D95" s="11">
        <v>0</v>
      </c>
      <c r="E95" s="12">
        <v>0</v>
      </c>
      <c r="F95" s="12">
        <v>0</v>
      </c>
      <c r="G95" s="17">
        <v>0</v>
      </c>
      <c r="H95" s="12">
        <v>0</v>
      </c>
      <c r="I95">
        <f t="shared" si="3"/>
        <v>0</v>
      </c>
      <c r="J95">
        <f t="shared" si="4"/>
        <v>0</v>
      </c>
      <c r="K95" s="19">
        <f t="shared" si="5"/>
        <v>0</v>
      </c>
      <c r="M95"/>
      <c r="R95" s="11"/>
      <c r="S95" s="17"/>
      <c r="T95" s="17"/>
    </row>
    <row r="96" spans="1:20">
      <c r="A96" s="44">
        <v>2613050886</v>
      </c>
      <c r="B96" s="44">
        <v>547539</v>
      </c>
      <c r="C96" s="44" t="s">
        <v>1164</v>
      </c>
      <c r="D96" s="11">
        <v>0</v>
      </c>
      <c r="E96" s="12">
        <v>1</v>
      </c>
      <c r="F96" s="12">
        <v>2</v>
      </c>
      <c r="G96" s="17">
        <v>0</v>
      </c>
      <c r="H96" s="12">
        <v>0</v>
      </c>
      <c r="I96">
        <f t="shared" si="3"/>
        <v>0</v>
      </c>
      <c r="J96">
        <f t="shared" si="4"/>
        <v>0</v>
      </c>
      <c r="K96" s="19">
        <f t="shared" si="5"/>
        <v>0</v>
      </c>
      <c r="M96"/>
      <c r="R96" s="11"/>
      <c r="S96" s="17"/>
      <c r="T96" s="17"/>
    </row>
    <row r="97" spans="1:20">
      <c r="A97" s="44" t="s">
        <v>157</v>
      </c>
      <c r="B97" s="44">
        <v>529246</v>
      </c>
      <c r="C97" s="44" t="s">
        <v>1051</v>
      </c>
      <c r="D97" s="11">
        <v>1</v>
      </c>
      <c r="E97" s="12">
        <v>0</v>
      </c>
      <c r="F97" s="12">
        <v>0</v>
      </c>
      <c r="G97" s="17">
        <v>1</v>
      </c>
      <c r="H97" s="12">
        <v>1</v>
      </c>
      <c r="I97">
        <f t="shared" si="3"/>
        <v>0</v>
      </c>
      <c r="J97">
        <f t="shared" si="4"/>
        <v>0</v>
      </c>
      <c r="K97" s="19">
        <f t="shared" si="5"/>
        <v>1</v>
      </c>
      <c r="M97"/>
      <c r="R97" s="11"/>
      <c r="S97" s="17"/>
      <c r="T97" s="17"/>
    </row>
    <row r="98" spans="1:20">
      <c r="A98" s="44" t="s">
        <v>145</v>
      </c>
      <c r="B98" s="44">
        <v>211600</v>
      </c>
      <c r="C98" s="44" t="s">
        <v>1165</v>
      </c>
      <c r="D98" s="11">
        <v>0</v>
      </c>
      <c r="E98" s="12">
        <v>0</v>
      </c>
      <c r="F98" s="12">
        <v>3</v>
      </c>
      <c r="G98" s="17">
        <v>0</v>
      </c>
      <c r="H98" s="12">
        <v>0</v>
      </c>
      <c r="I98">
        <f t="shared" si="3"/>
        <v>0</v>
      </c>
      <c r="J98">
        <f t="shared" si="4"/>
        <v>0</v>
      </c>
      <c r="K98" s="19">
        <f t="shared" si="5"/>
        <v>0</v>
      </c>
      <c r="M98"/>
      <c r="R98" s="11"/>
      <c r="S98" s="17"/>
      <c r="T98" s="17"/>
    </row>
    <row r="99" spans="1:20">
      <c r="A99" s="44" t="s">
        <v>152</v>
      </c>
      <c r="B99" s="44">
        <v>61653</v>
      </c>
      <c r="C99" s="44" t="s">
        <v>677</v>
      </c>
      <c r="D99" s="11">
        <v>1</v>
      </c>
      <c r="E99" s="12">
        <v>0</v>
      </c>
      <c r="F99" s="12">
        <v>1</v>
      </c>
      <c r="G99" s="17">
        <v>2</v>
      </c>
      <c r="H99" s="12">
        <v>1</v>
      </c>
      <c r="I99">
        <f t="shared" si="3"/>
        <v>0</v>
      </c>
      <c r="J99">
        <f t="shared" si="4"/>
        <v>0</v>
      </c>
      <c r="K99" s="19">
        <f t="shared" si="5"/>
        <v>2</v>
      </c>
      <c r="M99"/>
      <c r="R99" s="11"/>
      <c r="S99" s="17"/>
      <c r="T99" s="17"/>
    </row>
    <row r="100" spans="1:20">
      <c r="A100" s="44" t="s">
        <v>143</v>
      </c>
      <c r="B100" s="44">
        <v>532091</v>
      </c>
      <c r="C100" s="44" t="s">
        <v>1166</v>
      </c>
      <c r="D100" s="11">
        <v>0</v>
      </c>
      <c r="E100" s="12">
        <v>0</v>
      </c>
      <c r="F100" s="12">
        <v>4</v>
      </c>
      <c r="G100" s="17">
        <v>0</v>
      </c>
      <c r="H100" s="12">
        <v>0</v>
      </c>
      <c r="I100">
        <f t="shared" si="3"/>
        <v>0</v>
      </c>
      <c r="J100">
        <f t="shared" si="4"/>
        <v>0</v>
      </c>
      <c r="K100" s="19">
        <f t="shared" si="5"/>
        <v>0</v>
      </c>
      <c r="M100"/>
      <c r="R100" s="11"/>
      <c r="S100" s="17"/>
      <c r="T100" s="17"/>
    </row>
    <row r="101" spans="1:20">
      <c r="A101" s="44" t="s">
        <v>148</v>
      </c>
      <c r="B101" s="44">
        <v>211809</v>
      </c>
      <c r="C101" s="44" t="s">
        <v>634</v>
      </c>
      <c r="D101" s="11">
        <v>1</v>
      </c>
      <c r="E101" s="12">
        <v>0</v>
      </c>
      <c r="F101" s="12">
        <v>1</v>
      </c>
      <c r="G101" s="17">
        <v>1</v>
      </c>
      <c r="H101" s="12">
        <v>0</v>
      </c>
      <c r="I101">
        <f t="shared" si="3"/>
        <v>0</v>
      </c>
      <c r="J101">
        <f t="shared" si="4"/>
        <v>0</v>
      </c>
      <c r="K101" s="19">
        <f t="shared" si="5"/>
        <v>1</v>
      </c>
      <c r="M101"/>
      <c r="R101" s="11"/>
      <c r="S101" s="17"/>
      <c r="T101" s="17"/>
    </row>
    <row r="102" spans="1:20">
      <c r="A102" s="44" t="s">
        <v>151</v>
      </c>
      <c r="B102" s="44">
        <v>370040</v>
      </c>
      <c r="C102" s="44" t="s">
        <v>871</v>
      </c>
      <c r="D102" s="11">
        <v>0</v>
      </c>
      <c r="E102" s="12">
        <v>0</v>
      </c>
      <c r="F102" s="12">
        <v>3</v>
      </c>
      <c r="G102" s="17">
        <v>0</v>
      </c>
      <c r="H102" s="12">
        <v>0</v>
      </c>
      <c r="I102">
        <f t="shared" si="3"/>
        <v>0</v>
      </c>
      <c r="J102">
        <f t="shared" si="4"/>
        <v>0</v>
      </c>
      <c r="K102" s="19">
        <f t="shared" si="5"/>
        <v>0</v>
      </c>
      <c r="M102"/>
      <c r="R102" s="11"/>
      <c r="S102" s="17"/>
      <c r="T102" s="17"/>
    </row>
    <row r="103" spans="1:20">
      <c r="A103" s="44" t="s">
        <v>154</v>
      </c>
      <c r="B103" s="44">
        <v>62062</v>
      </c>
      <c r="C103" s="44" t="s">
        <v>756</v>
      </c>
      <c r="D103" s="11">
        <v>0</v>
      </c>
      <c r="E103" s="12">
        <v>0</v>
      </c>
      <c r="F103" s="12">
        <v>3</v>
      </c>
      <c r="G103" s="17">
        <v>0</v>
      </c>
      <c r="H103" s="12">
        <v>0</v>
      </c>
      <c r="I103">
        <f t="shared" si="3"/>
        <v>0</v>
      </c>
      <c r="J103">
        <f t="shared" si="4"/>
        <v>0</v>
      </c>
      <c r="K103" s="19">
        <f t="shared" si="5"/>
        <v>0</v>
      </c>
      <c r="M103"/>
      <c r="R103" s="11"/>
      <c r="S103" s="17"/>
      <c r="T103" s="17"/>
    </row>
    <row r="104" spans="1:20">
      <c r="A104" s="44" t="s">
        <v>142</v>
      </c>
      <c r="B104" s="44">
        <v>145245</v>
      </c>
      <c r="C104" s="44" t="s">
        <v>344</v>
      </c>
      <c r="D104" s="11">
        <v>1</v>
      </c>
      <c r="E104" s="12">
        <v>0</v>
      </c>
      <c r="F104" s="12">
        <v>0</v>
      </c>
      <c r="G104" s="17">
        <v>3</v>
      </c>
      <c r="H104" s="12">
        <v>3</v>
      </c>
      <c r="I104">
        <f t="shared" si="3"/>
        <v>1</v>
      </c>
      <c r="J104">
        <f t="shared" si="4"/>
        <v>0</v>
      </c>
      <c r="K104" s="19">
        <f t="shared" si="5"/>
        <v>3</v>
      </c>
      <c r="M104"/>
      <c r="R104" s="11"/>
      <c r="S104" s="17"/>
      <c r="T104" s="17"/>
    </row>
    <row r="105" spans="1:20">
      <c r="A105" s="44" t="s">
        <v>151</v>
      </c>
      <c r="B105" s="44">
        <v>219804</v>
      </c>
      <c r="C105" s="44" t="s">
        <v>860</v>
      </c>
      <c r="D105" s="11">
        <v>0</v>
      </c>
      <c r="E105" s="12">
        <v>0</v>
      </c>
      <c r="F105" s="12">
        <v>0</v>
      </c>
      <c r="G105" s="17">
        <v>0</v>
      </c>
      <c r="H105" s="12">
        <v>0</v>
      </c>
      <c r="I105">
        <f t="shared" si="3"/>
        <v>0</v>
      </c>
      <c r="J105">
        <f t="shared" si="4"/>
        <v>0</v>
      </c>
      <c r="K105" s="19">
        <f t="shared" si="5"/>
        <v>0</v>
      </c>
      <c r="M105"/>
      <c r="R105" s="11"/>
      <c r="S105" s="17"/>
      <c r="T105" s="17"/>
    </row>
    <row r="106" spans="1:20">
      <c r="A106" s="44" t="s">
        <v>3</v>
      </c>
      <c r="B106" s="44">
        <v>63887</v>
      </c>
      <c r="C106" s="44" t="s">
        <v>39</v>
      </c>
      <c r="D106" s="11">
        <v>0</v>
      </c>
      <c r="E106" s="12">
        <v>0</v>
      </c>
      <c r="F106" s="12">
        <v>1</v>
      </c>
      <c r="G106" s="17">
        <v>0</v>
      </c>
      <c r="H106" s="12">
        <v>0</v>
      </c>
      <c r="I106">
        <f t="shared" si="3"/>
        <v>0</v>
      </c>
      <c r="J106">
        <f t="shared" si="4"/>
        <v>0</v>
      </c>
      <c r="K106" s="19">
        <f t="shared" si="5"/>
        <v>0</v>
      </c>
      <c r="M106"/>
      <c r="R106" s="11"/>
      <c r="S106" s="17"/>
      <c r="T106" s="17"/>
    </row>
    <row r="107" spans="1:20">
      <c r="A107" s="44" t="s">
        <v>1140</v>
      </c>
      <c r="B107" s="44">
        <v>240562</v>
      </c>
      <c r="C107" s="44" t="s">
        <v>1167</v>
      </c>
      <c r="D107" s="11">
        <v>0</v>
      </c>
      <c r="E107" s="12">
        <v>0</v>
      </c>
      <c r="F107" s="12">
        <v>7</v>
      </c>
      <c r="G107" s="17">
        <v>0</v>
      </c>
      <c r="H107" s="12">
        <v>0</v>
      </c>
      <c r="I107">
        <f t="shared" si="3"/>
        <v>0</v>
      </c>
      <c r="J107">
        <f t="shared" si="4"/>
        <v>0</v>
      </c>
      <c r="K107" s="19">
        <f t="shared" si="5"/>
        <v>0</v>
      </c>
      <c r="M107"/>
      <c r="R107" s="11"/>
      <c r="S107" s="17"/>
      <c r="T107" s="17"/>
    </row>
    <row r="108" spans="1:20">
      <c r="A108" s="44" t="s">
        <v>156</v>
      </c>
      <c r="B108" s="44">
        <v>61593</v>
      </c>
      <c r="C108" s="44" t="s">
        <v>1002</v>
      </c>
      <c r="D108" s="11">
        <v>1</v>
      </c>
      <c r="E108" s="12">
        <v>0</v>
      </c>
      <c r="F108" s="12">
        <v>4</v>
      </c>
      <c r="G108" s="17">
        <v>3</v>
      </c>
      <c r="H108" s="12">
        <v>0</v>
      </c>
      <c r="I108">
        <f t="shared" si="3"/>
        <v>1</v>
      </c>
      <c r="J108">
        <f t="shared" si="4"/>
        <v>0</v>
      </c>
      <c r="K108" s="19">
        <f t="shared" si="5"/>
        <v>3</v>
      </c>
      <c r="M108"/>
      <c r="R108" s="11"/>
      <c r="S108" s="17"/>
      <c r="T108" s="17"/>
    </row>
    <row r="109" spans="1:20">
      <c r="A109" s="44" t="s">
        <v>146</v>
      </c>
      <c r="B109" s="44">
        <v>345127</v>
      </c>
      <c r="C109" s="44" t="s">
        <v>1168</v>
      </c>
      <c r="D109" s="11">
        <v>0</v>
      </c>
      <c r="E109" s="12">
        <v>0</v>
      </c>
      <c r="F109" s="12">
        <v>3</v>
      </c>
      <c r="G109" s="17">
        <v>0</v>
      </c>
      <c r="H109" s="12">
        <v>0</v>
      </c>
      <c r="I109">
        <f t="shared" si="3"/>
        <v>0</v>
      </c>
      <c r="J109">
        <f t="shared" si="4"/>
        <v>0</v>
      </c>
      <c r="K109" s="19">
        <f t="shared" si="5"/>
        <v>0</v>
      </c>
      <c r="M109"/>
      <c r="R109" s="11"/>
      <c r="S109" s="17"/>
      <c r="T109" s="17"/>
    </row>
    <row r="110" spans="1:20">
      <c r="A110" s="44" t="s">
        <v>4</v>
      </c>
      <c r="B110" s="44">
        <v>12312295</v>
      </c>
      <c r="C110" s="44" t="s">
        <v>44</v>
      </c>
      <c r="D110" s="11">
        <v>1</v>
      </c>
      <c r="E110" s="12">
        <v>0</v>
      </c>
      <c r="F110" s="12">
        <v>4</v>
      </c>
      <c r="G110" s="17">
        <v>4</v>
      </c>
      <c r="H110" s="12">
        <v>0</v>
      </c>
      <c r="I110">
        <f t="shared" si="3"/>
        <v>1</v>
      </c>
      <c r="J110">
        <f t="shared" si="4"/>
        <v>0</v>
      </c>
      <c r="K110" s="19">
        <f t="shared" si="5"/>
        <v>4</v>
      </c>
      <c r="M110"/>
      <c r="R110" s="11"/>
      <c r="S110" s="17"/>
      <c r="T110" s="17"/>
    </row>
    <row r="111" spans="1:20">
      <c r="A111" s="44" t="s">
        <v>149</v>
      </c>
      <c r="B111" s="44">
        <v>404051</v>
      </c>
      <c r="C111" s="44" t="s">
        <v>1169</v>
      </c>
      <c r="D111" s="11">
        <v>1</v>
      </c>
      <c r="E111" s="12">
        <v>0</v>
      </c>
      <c r="F111" s="12">
        <v>12</v>
      </c>
      <c r="G111" s="17">
        <v>18</v>
      </c>
      <c r="H111" s="12">
        <v>6</v>
      </c>
      <c r="I111">
        <f t="shared" si="3"/>
        <v>1</v>
      </c>
      <c r="J111">
        <f t="shared" si="4"/>
        <v>0</v>
      </c>
      <c r="K111" s="19">
        <f t="shared" si="5"/>
        <v>18</v>
      </c>
      <c r="M111"/>
      <c r="R111" s="11"/>
      <c r="S111" s="17"/>
      <c r="T111" s="17"/>
    </row>
    <row r="112" spans="1:20">
      <c r="A112" s="44" t="s">
        <v>151</v>
      </c>
      <c r="B112" s="44">
        <v>480251</v>
      </c>
      <c r="C112" s="44" t="s">
        <v>780</v>
      </c>
      <c r="D112" s="11">
        <v>1</v>
      </c>
      <c r="E112" s="12">
        <v>0</v>
      </c>
      <c r="F112" s="12">
        <v>2</v>
      </c>
      <c r="G112" s="17">
        <v>2</v>
      </c>
      <c r="H112" s="12">
        <v>0</v>
      </c>
      <c r="I112">
        <f t="shared" si="3"/>
        <v>0</v>
      </c>
      <c r="J112">
        <f t="shared" si="4"/>
        <v>0</v>
      </c>
      <c r="K112" s="19">
        <f t="shared" si="5"/>
        <v>2</v>
      </c>
      <c r="M112"/>
      <c r="R112" s="11"/>
      <c r="S112" s="17"/>
      <c r="T112" s="17"/>
    </row>
    <row r="113" spans="1:20">
      <c r="A113" s="44" t="s">
        <v>148</v>
      </c>
      <c r="B113" s="44">
        <v>426546</v>
      </c>
      <c r="C113" s="44" t="s">
        <v>646</v>
      </c>
      <c r="D113" s="11">
        <v>0</v>
      </c>
      <c r="E113" s="12">
        <v>0</v>
      </c>
      <c r="F113" s="12">
        <v>4</v>
      </c>
      <c r="G113" s="17">
        <v>0</v>
      </c>
      <c r="H113" s="12">
        <v>0</v>
      </c>
      <c r="I113">
        <f t="shared" si="3"/>
        <v>0</v>
      </c>
      <c r="J113">
        <f t="shared" si="4"/>
        <v>0</v>
      </c>
      <c r="K113" s="19">
        <f t="shared" si="5"/>
        <v>0</v>
      </c>
      <c r="M113"/>
      <c r="R113" s="11"/>
      <c r="S113" s="17"/>
      <c r="T113" s="17"/>
    </row>
    <row r="114" spans="1:20">
      <c r="A114" s="44" t="s">
        <v>1140</v>
      </c>
      <c r="B114" s="44">
        <v>286444</v>
      </c>
      <c r="C114" s="44" t="s">
        <v>1170</v>
      </c>
      <c r="D114" s="11">
        <v>1</v>
      </c>
      <c r="E114" s="12">
        <v>0</v>
      </c>
      <c r="F114" s="12">
        <v>14</v>
      </c>
      <c r="G114" s="17">
        <v>7</v>
      </c>
      <c r="H114" s="12">
        <v>0</v>
      </c>
      <c r="I114">
        <f t="shared" si="3"/>
        <v>1</v>
      </c>
      <c r="J114">
        <f t="shared" si="4"/>
        <v>0</v>
      </c>
      <c r="K114" s="19">
        <f t="shared" si="5"/>
        <v>7</v>
      </c>
      <c r="M114"/>
      <c r="R114" s="11"/>
      <c r="S114" s="17"/>
      <c r="T114" s="17"/>
    </row>
    <row r="115" spans="1:20">
      <c r="A115" s="44" t="s">
        <v>1136</v>
      </c>
      <c r="B115" s="44">
        <v>12303100</v>
      </c>
      <c r="C115" s="44" t="s">
        <v>1171</v>
      </c>
      <c r="D115" s="11">
        <v>0</v>
      </c>
      <c r="E115" s="12">
        <v>0</v>
      </c>
      <c r="F115" s="12">
        <v>1</v>
      </c>
      <c r="G115" s="17">
        <v>0</v>
      </c>
      <c r="H115" s="12">
        <v>0</v>
      </c>
      <c r="I115">
        <f t="shared" si="3"/>
        <v>0</v>
      </c>
      <c r="J115">
        <f t="shared" si="4"/>
        <v>0</v>
      </c>
      <c r="K115" s="19">
        <f t="shared" si="5"/>
        <v>0</v>
      </c>
      <c r="M115"/>
      <c r="R115" s="11"/>
      <c r="S115" s="17"/>
      <c r="T115" s="17"/>
    </row>
    <row r="116" spans="1:20">
      <c r="A116" s="44" t="s">
        <v>136</v>
      </c>
      <c r="B116" s="44">
        <v>199207</v>
      </c>
      <c r="C116" s="44" t="s">
        <v>400</v>
      </c>
      <c r="D116" s="11">
        <v>0</v>
      </c>
      <c r="E116" s="12">
        <v>0</v>
      </c>
      <c r="F116" s="12">
        <v>2</v>
      </c>
      <c r="G116" s="17">
        <v>0</v>
      </c>
      <c r="H116" s="12">
        <v>0</v>
      </c>
      <c r="I116">
        <f t="shared" si="3"/>
        <v>0</v>
      </c>
      <c r="J116">
        <f t="shared" si="4"/>
        <v>0</v>
      </c>
      <c r="K116" s="19">
        <f t="shared" si="5"/>
        <v>0</v>
      </c>
      <c r="M116"/>
      <c r="R116" s="11"/>
      <c r="S116" s="17"/>
      <c r="T116" s="17"/>
    </row>
    <row r="117" spans="1:20">
      <c r="A117" s="44">
        <v>2613052222</v>
      </c>
      <c r="B117" s="44">
        <v>127209</v>
      </c>
      <c r="C117" s="44" t="s">
        <v>686</v>
      </c>
      <c r="D117" s="11">
        <v>0</v>
      </c>
      <c r="E117" s="12">
        <v>0</v>
      </c>
      <c r="F117" s="12">
        <v>1</v>
      </c>
      <c r="G117" s="17">
        <v>0</v>
      </c>
      <c r="H117" s="12">
        <v>0</v>
      </c>
      <c r="I117">
        <f t="shared" si="3"/>
        <v>0</v>
      </c>
      <c r="J117">
        <f t="shared" si="4"/>
        <v>0</v>
      </c>
      <c r="K117" s="19">
        <f t="shared" si="5"/>
        <v>0</v>
      </c>
      <c r="M117"/>
      <c r="R117" s="11"/>
      <c r="S117" s="17"/>
      <c r="T117" s="17"/>
    </row>
    <row r="118" spans="1:20">
      <c r="A118" s="44">
        <v>2613050885</v>
      </c>
      <c r="B118" s="44">
        <v>544123</v>
      </c>
      <c r="C118" s="44" t="s">
        <v>1172</v>
      </c>
      <c r="D118" s="11">
        <v>1</v>
      </c>
      <c r="E118" s="12">
        <v>0</v>
      </c>
      <c r="F118" s="12">
        <v>1</v>
      </c>
      <c r="G118" s="17">
        <v>3</v>
      </c>
      <c r="H118" s="12">
        <v>2</v>
      </c>
      <c r="I118">
        <f t="shared" si="3"/>
        <v>1</v>
      </c>
      <c r="J118">
        <f t="shared" si="4"/>
        <v>0</v>
      </c>
      <c r="K118" s="19">
        <f t="shared" si="5"/>
        <v>3</v>
      </c>
      <c r="M118"/>
      <c r="R118" s="11"/>
      <c r="S118" s="17"/>
      <c r="T118" s="17"/>
    </row>
    <row r="119" spans="1:20">
      <c r="A119" s="44" t="s">
        <v>5</v>
      </c>
      <c r="B119" s="44">
        <v>523849</v>
      </c>
      <c r="C119" s="44" t="s">
        <v>103</v>
      </c>
      <c r="D119" s="11">
        <v>0</v>
      </c>
      <c r="E119" s="12">
        <v>0</v>
      </c>
      <c r="F119" s="12">
        <v>0</v>
      </c>
      <c r="G119" s="17">
        <v>0</v>
      </c>
      <c r="H119" s="12">
        <v>0</v>
      </c>
      <c r="I119">
        <f t="shared" si="3"/>
        <v>0</v>
      </c>
      <c r="J119">
        <f t="shared" si="4"/>
        <v>0</v>
      </c>
      <c r="K119" s="19">
        <f t="shared" si="5"/>
        <v>0</v>
      </c>
      <c r="M119"/>
      <c r="R119" s="11"/>
      <c r="S119" s="17"/>
      <c r="T119" s="17"/>
    </row>
    <row r="120" spans="1:20">
      <c r="A120" s="44" t="s">
        <v>146</v>
      </c>
      <c r="B120" s="44">
        <v>199135</v>
      </c>
      <c r="C120" s="44" t="s">
        <v>537</v>
      </c>
      <c r="D120" s="11">
        <v>0</v>
      </c>
      <c r="E120" s="12">
        <v>0</v>
      </c>
      <c r="F120" s="12">
        <v>4</v>
      </c>
      <c r="G120" s="17">
        <v>0</v>
      </c>
      <c r="H120" s="12">
        <v>0</v>
      </c>
      <c r="I120">
        <f t="shared" si="3"/>
        <v>0</v>
      </c>
      <c r="J120">
        <f t="shared" si="4"/>
        <v>0</v>
      </c>
      <c r="K120" s="19">
        <f t="shared" si="5"/>
        <v>0</v>
      </c>
      <c r="M120"/>
      <c r="R120" s="11"/>
      <c r="S120" s="17"/>
      <c r="T120" s="17"/>
    </row>
    <row r="121" spans="1:20">
      <c r="A121" s="44" t="s">
        <v>153</v>
      </c>
      <c r="B121" s="44">
        <v>478963</v>
      </c>
      <c r="C121" s="44" t="s">
        <v>730</v>
      </c>
      <c r="D121" s="11">
        <v>1</v>
      </c>
      <c r="E121" s="12">
        <v>0</v>
      </c>
      <c r="F121" s="12">
        <v>1</v>
      </c>
      <c r="G121" s="17">
        <v>1</v>
      </c>
      <c r="H121" s="12">
        <v>0</v>
      </c>
      <c r="I121">
        <f t="shared" si="3"/>
        <v>0</v>
      </c>
      <c r="J121">
        <f t="shared" si="4"/>
        <v>0</v>
      </c>
      <c r="K121" s="19">
        <f t="shared" si="5"/>
        <v>1</v>
      </c>
      <c r="M121"/>
      <c r="R121" s="11"/>
      <c r="S121" s="17"/>
      <c r="T121" s="17"/>
    </row>
    <row r="122" spans="1:20">
      <c r="A122" s="44" t="s">
        <v>137</v>
      </c>
      <c r="B122" s="44">
        <v>12295785</v>
      </c>
      <c r="C122" s="44" t="s">
        <v>418</v>
      </c>
      <c r="D122" s="11">
        <v>1</v>
      </c>
      <c r="E122" s="12">
        <v>0</v>
      </c>
      <c r="F122" s="12">
        <v>7</v>
      </c>
      <c r="G122" s="17">
        <v>1</v>
      </c>
      <c r="H122" s="12">
        <v>0</v>
      </c>
      <c r="I122">
        <f t="shared" si="3"/>
        <v>0</v>
      </c>
      <c r="J122">
        <f t="shared" si="4"/>
        <v>0</v>
      </c>
      <c r="K122" s="19">
        <f t="shared" si="5"/>
        <v>1</v>
      </c>
      <c r="M122"/>
      <c r="R122" s="11"/>
      <c r="S122" s="17"/>
      <c r="T122" s="17"/>
    </row>
    <row r="123" spans="1:20">
      <c r="A123" s="44">
        <v>2613051043</v>
      </c>
      <c r="B123" s="44">
        <v>12297170</v>
      </c>
      <c r="C123" s="44" t="s">
        <v>447</v>
      </c>
      <c r="D123" s="11">
        <v>1</v>
      </c>
      <c r="E123" s="12">
        <v>0</v>
      </c>
      <c r="F123" s="12">
        <v>5</v>
      </c>
      <c r="G123" s="17">
        <v>3</v>
      </c>
      <c r="H123" s="12">
        <v>0</v>
      </c>
      <c r="I123">
        <f t="shared" si="3"/>
        <v>1</v>
      </c>
      <c r="J123">
        <f t="shared" si="4"/>
        <v>0</v>
      </c>
      <c r="K123" s="19">
        <f t="shared" si="5"/>
        <v>3</v>
      </c>
      <c r="M123"/>
      <c r="R123" s="11"/>
      <c r="S123" s="17"/>
      <c r="T123" s="17"/>
    </row>
    <row r="124" spans="1:20">
      <c r="A124" s="44" t="s">
        <v>150</v>
      </c>
      <c r="B124" s="44">
        <v>267428</v>
      </c>
      <c r="C124" s="44" t="s">
        <v>716</v>
      </c>
      <c r="D124" s="11">
        <v>1</v>
      </c>
      <c r="E124" s="12">
        <v>0</v>
      </c>
      <c r="F124" s="12">
        <v>45</v>
      </c>
      <c r="G124" s="17">
        <v>12</v>
      </c>
      <c r="H124" s="12">
        <v>0</v>
      </c>
      <c r="I124">
        <f t="shared" si="3"/>
        <v>1</v>
      </c>
      <c r="J124">
        <f t="shared" si="4"/>
        <v>0</v>
      </c>
      <c r="K124" s="19">
        <f t="shared" si="5"/>
        <v>12</v>
      </c>
      <c r="M124"/>
      <c r="R124" s="11"/>
      <c r="S124" s="17"/>
      <c r="T124" s="17"/>
    </row>
    <row r="125" spans="1:20">
      <c r="A125" s="44" t="s">
        <v>5</v>
      </c>
      <c r="B125" s="44">
        <v>526916</v>
      </c>
      <c r="C125" s="44" t="s">
        <v>104</v>
      </c>
      <c r="D125" s="11">
        <v>0</v>
      </c>
      <c r="E125" s="12">
        <v>0</v>
      </c>
      <c r="F125" s="12">
        <v>3</v>
      </c>
      <c r="G125" s="17">
        <v>0</v>
      </c>
      <c r="H125" s="12">
        <v>0</v>
      </c>
      <c r="I125">
        <f t="shared" si="3"/>
        <v>0</v>
      </c>
      <c r="J125">
        <f t="shared" si="4"/>
        <v>0</v>
      </c>
      <c r="K125" s="19">
        <f t="shared" si="5"/>
        <v>0</v>
      </c>
      <c r="M125"/>
      <c r="R125" s="11"/>
      <c r="S125" s="17"/>
      <c r="T125" s="17"/>
    </row>
    <row r="126" spans="1:20">
      <c r="A126" s="44">
        <v>2613052584</v>
      </c>
      <c r="B126" s="44">
        <v>398006</v>
      </c>
      <c r="C126" s="44" t="s">
        <v>588</v>
      </c>
      <c r="D126" s="11">
        <v>1</v>
      </c>
      <c r="E126" s="12">
        <v>0</v>
      </c>
      <c r="F126" s="12">
        <v>0</v>
      </c>
      <c r="G126" s="17">
        <v>5</v>
      </c>
      <c r="H126" s="12">
        <v>5</v>
      </c>
      <c r="I126">
        <f t="shared" si="3"/>
        <v>1</v>
      </c>
      <c r="J126">
        <f t="shared" si="4"/>
        <v>0</v>
      </c>
      <c r="K126" s="19">
        <f t="shared" si="5"/>
        <v>5</v>
      </c>
      <c r="M126"/>
      <c r="R126" s="11"/>
      <c r="S126" s="17"/>
      <c r="T126" s="17"/>
    </row>
    <row r="127" spans="1:20">
      <c r="A127" s="44">
        <v>2613051412</v>
      </c>
      <c r="B127" s="44">
        <v>355412</v>
      </c>
      <c r="C127" s="44" t="s">
        <v>559</v>
      </c>
      <c r="D127" s="11">
        <v>0</v>
      </c>
      <c r="E127" s="12">
        <v>0</v>
      </c>
      <c r="F127" s="12">
        <v>1</v>
      </c>
      <c r="G127" s="17">
        <v>0</v>
      </c>
      <c r="H127" s="12">
        <v>0</v>
      </c>
      <c r="I127">
        <f t="shared" si="3"/>
        <v>0</v>
      </c>
      <c r="J127">
        <f t="shared" si="4"/>
        <v>0</v>
      </c>
      <c r="K127" s="19">
        <f t="shared" si="5"/>
        <v>0</v>
      </c>
      <c r="M127"/>
      <c r="R127" s="11"/>
      <c r="S127" s="17"/>
      <c r="T127" s="17"/>
    </row>
    <row r="128" spans="1:20">
      <c r="A128" s="44">
        <v>2613050885</v>
      </c>
      <c r="B128" s="44">
        <v>533137</v>
      </c>
      <c r="C128" s="44" t="s">
        <v>307</v>
      </c>
      <c r="D128" s="11">
        <v>0</v>
      </c>
      <c r="E128" s="12">
        <v>0</v>
      </c>
      <c r="F128" s="12">
        <v>0</v>
      </c>
      <c r="G128" s="17">
        <v>0</v>
      </c>
      <c r="H128" s="12">
        <v>0</v>
      </c>
      <c r="I128">
        <f t="shared" si="3"/>
        <v>0</v>
      </c>
      <c r="J128">
        <f t="shared" si="4"/>
        <v>0</v>
      </c>
      <c r="K128" s="19">
        <f t="shared" si="5"/>
        <v>0</v>
      </c>
      <c r="M128"/>
      <c r="R128" s="11"/>
      <c r="S128" s="17"/>
      <c r="T128" s="17"/>
    </row>
    <row r="129" spans="1:20">
      <c r="A129" s="44" t="s">
        <v>143</v>
      </c>
      <c r="B129" s="44">
        <v>408140</v>
      </c>
      <c r="C129" s="44" t="s">
        <v>1173</v>
      </c>
      <c r="D129" s="11">
        <v>0</v>
      </c>
      <c r="E129" s="12">
        <v>0</v>
      </c>
      <c r="F129" s="12">
        <v>3</v>
      </c>
      <c r="G129" s="17">
        <v>0</v>
      </c>
      <c r="H129" s="12">
        <v>0</v>
      </c>
      <c r="I129">
        <f t="shared" si="3"/>
        <v>0</v>
      </c>
      <c r="J129">
        <f t="shared" si="4"/>
        <v>0</v>
      </c>
      <c r="K129" s="19">
        <f t="shared" si="5"/>
        <v>0</v>
      </c>
      <c r="M129"/>
      <c r="R129" s="11"/>
      <c r="S129" s="17"/>
      <c r="T129" s="17"/>
    </row>
    <row r="130" spans="1:20">
      <c r="A130" s="44" t="s">
        <v>158</v>
      </c>
      <c r="B130" s="44">
        <v>199058</v>
      </c>
      <c r="C130" s="44" t="s">
        <v>1174</v>
      </c>
      <c r="D130" s="11">
        <v>1</v>
      </c>
      <c r="E130" s="12">
        <v>0</v>
      </c>
      <c r="F130" s="12">
        <v>8</v>
      </c>
      <c r="G130" s="17">
        <v>28</v>
      </c>
      <c r="H130" s="12">
        <v>20</v>
      </c>
      <c r="I130">
        <f t="shared" si="3"/>
        <v>1</v>
      </c>
      <c r="J130">
        <f t="shared" si="4"/>
        <v>0</v>
      </c>
      <c r="K130" s="19">
        <f t="shared" si="5"/>
        <v>28</v>
      </c>
      <c r="M130"/>
      <c r="R130" s="11"/>
      <c r="S130" s="17"/>
      <c r="T130" s="17"/>
    </row>
    <row r="131" spans="1:20">
      <c r="A131" s="44" t="s">
        <v>144</v>
      </c>
      <c r="B131" s="44">
        <v>516674</v>
      </c>
      <c r="C131" s="44" t="s">
        <v>239</v>
      </c>
      <c r="D131" s="11">
        <v>1</v>
      </c>
      <c r="E131" s="12">
        <v>0</v>
      </c>
      <c r="F131" s="12">
        <v>1</v>
      </c>
      <c r="G131" s="17">
        <v>4</v>
      </c>
      <c r="H131" s="12">
        <v>3</v>
      </c>
      <c r="I131">
        <f t="shared" ref="I131:I146" si="6">IF(G131&gt;=3,1,0)</f>
        <v>1</v>
      </c>
      <c r="J131">
        <f t="shared" ref="J131:J146" si="7">_xlfn.IFNA(INDEX(M:N,MATCH(B131,M:M,0),2),0)</f>
        <v>0</v>
      </c>
      <c r="K131" s="19">
        <f t="shared" ref="K131:K146" si="8">G131-J131</f>
        <v>4</v>
      </c>
      <c r="M131"/>
      <c r="R131" s="11"/>
      <c r="S131" s="17"/>
      <c r="T131" s="17"/>
    </row>
    <row r="132" spans="1:20">
      <c r="A132" s="44" t="s">
        <v>143</v>
      </c>
      <c r="B132" s="44">
        <v>560100</v>
      </c>
      <c r="C132" s="44" t="s">
        <v>1175</v>
      </c>
      <c r="D132" s="11">
        <v>0</v>
      </c>
      <c r="E132" s="12">
        <v>0</v>
      </c>
      <c r="F132" s="12">
        <v>0</v>
      </c>
      <c r="G132" s="17">
        <v>0</v>
      </c>
      <c r="H132" s="12">
        <v>0</v>
      </c>
      <c r="I132">
        <f t="shared" si="6"/>
        <v>0</v>
      </c>
      <c r="J132">
        <f t="shared" si="7"/>
        <v>0</v>
      </c>
      <c r="K132" s="19">
        <f t="shared" si="8"/>
        <v>0</v>
      </c>
      <c r="M132"/>
      <c r="R132" s="11"/>
      <c r="S132" s="17"/>
      <c r="T132" s="17"/>
    </row>
    <row r="133" spans="1:20">
      <c r="A133" s="44" t="s">
        <v>137</v>
      </c>
      <c r="B133" s="44">
        <v>12296256</v>
      </c>
      <c r="C133" s="44" t="s">
        <v>1176</v>
      </c>
      <c r="D133" s="11">
        <v>0</v>
      </c>
      <c r="E133" s="12">
        <v>0</v>
      </c>
      <c r="F133" s="12">
        <v>5</v>
      </c>
      <c r="G133" s="17">
        <v>0</v>
      </c>
      <c r="H133" s="12">
        <v>0</v>
      </c>
      <c r="I133">
        <f t="shared" si="6"/>
        <v>0</v>
      </c>
      <c r="J133">
        <f t="shared" si="7"/>
        <v>0</v>
      </c>
      <c r="K133" s="19">
        <f t="shared" si="8"/>
        <v>0</v>
      </c>
      <c r="M133"/>
      <c r="R133" s="11"/>
      <c r="S133" s="17"/>
      <c r="T133" s="17"/>
    </row>
    <row r="134" spans="1:20">
      <c r="A134" s="44" t="s">
        <v>155</v>
      </c>
      <c r="B134" s="44">
        <v>539617</v>
      </c>
      <c r="C134" s="44" t="s">
        <v>952</v>
      </c>
      <c r="D134" s="11">
        <v>0</v>
      </c>
      <c r="E134" s="12">
        <v>0</v>
      </c>
      <c r="F134" s="12">
        <v>0</v>
      </c>
      <c r="G134" s="17">
        <v>0</v>
      </c>
      <c r="H134" s="12">
        <v>0</v>
      </c>
      <c r="I134">
        <f t="shared" si="6"/>
        <v>0</v>
      </c>
      <c r="J134">
        <f t="shared" si="7"/>
        <v>0</v>
      </c>
      <c r="K134" s="19">
        <f t="shared" si="8"/>
        <v>0</v>
      </c>
      <c r="M134"/>
      <c r="R134" s="11"/>
      <c r="S134" s="17"/>
      <c r="T134" s="17"/>
    </row>
    <row r="135" spans="1:20">
      <c r="A135" s="44" t="s">
        <v>137</v>
      </c>
      <c r="B135" s="44">
        <v>12296278</v>
      </c>
      <c r="C135" s="44" t="s">
        <v>433</v>
      </c>
      <c r="D135" s="11">
        <v>0</v>
      </c>
      <c r="E135" s="12">
        <v>0</v>
      </c>
      <c r="F135" s="12">
        <v>0</v>
      </c>
      <c r="G135" s="17">
        <v>0</v>
      </c>
      <c r="H135" s="12">
        <v>0</v>
      </c>
      <c r="I135">
        <f t="shared" si="6"/>
        <v>0</v>
      </c>
      <c r="J135">
        <f t="shared" si="7"/>
        <v>0</v>
      </c>
      <c r="K135" s="19">
        <f t="shared" si="8"/>
        <v>0</v>
      </c>
      <c r="M135"/>
      <c r="R135" s="11"/>
      <c r="S135" s="17"/>
      <c r="T135" s="17"/>
    </row>
    <row r="136" spans="1:20">
      <c r="A136" s="44" t="s">
        <v>155</v>
      </c>
      <c r="B136" s="44">
        <v>12304939</v>
      </c>
      <c r="C136" s="44" t="s">
        <v>923</v>
      </c>
      <c r="D136" s="11">
        <v>1</v>
      </c>
      <c r="E136" s="12">
        <v>0</v>
      </c>
      <c r="F136" s="12">
        <v>1</v>
      </c>
      <c r="G136" s="17">
        <v>3</v>
      </c>
      <c r="H136" s="12">
        <v>2</v>
      </c>
      <c r="I136">
        <f t="shared" si="6"/>
        <v>1</v>
      </c>
      <c r="J136">
        <f t="shared" si="7"/>
        <v>0</v>
      </c>
      <c r="K136" s="19">
        <f t="shared" si="8"/>
        <v>3</v>
      </c>
      <c r="M136"/>
      <c r="R136" s="11"/>
      <c r="S136" s="17"/>
      <c r="T136" s="17"/>
    </row>
    <row r="137" spans="1:20">
      <c r="A137" s="44" t="s">
        <v>157</v>
      </c>
      <c r="B137" s="44">
        <v>2872</v>
      </c>
      <c r="C137" s="44" t="s">
        <v>1034</v>
      </c>
      <c r="D137" s="11">
        <v>0</v>
      </c>
      <c r="E137" s="12">
        <v>0</v>
      </c>
      <c r="F137" s="12">
        <v>4</v>
      </c>
      <c r="G137" s="17">
        <v>0</v>
      </c>
      <c r="H137" s="12">
        <v>0</v>
      </c>
      <c r="I137">
        <f t="shared" si="6"/>
        <v>0</v>
      </c>
      <c r="J137">
        <f t="shared" si="7"/>
        <v>0</v>
      </c>
      <c r="K137" s="19">
        <f t="shared" si="8"/>
        <v>0</v>
      </c>
      <c r="M137"/>
      <c r="R137" s="11"/>
      <c r="S137" s="17"/>
      <c r="T137" s="17"/>
    </row>
    <row r="138" spans="1:20">
      <c r="A138" s="44" t="s">
        <v>140</v>
      </c>
      <c r="B138" s="44">
        <v>12322440</v>
      </c>
      <c r="C138" s="44" t="s">
        <v>1177</v>
      </c>
      <c r="D138" s="11">
        <v>1</v>
      </c>
      <c r="E138" s="12">
        <v>0</v>
      </c>
      <c r="F138" s="12">
        <v>2</v>
      </c>
      <c r="G138" s="17">
        <v>1</v>
      </c>
      <c r="H138" s="12">
        <v>0</v>
      </c>
      <c r="I138">
        <f t="shared" si="6"/>
        <v>0</v>
      </c>
      <c r="J138">
        <f t="shared" si="7"/>
        <v>0</v>
      </c>
      <c r="K138" s="19">
        <f t="shared" si="8"/>
        <v>1</v>
      </c>
      <c r="M138"/>
      <c r="R138" s="11"/>
      <c r="S138" s="17"/>
      <c r="T138" s="17"/>
    </row>
    <row r="139" spans="1:20">
      <c r="A139" s="44" t="s">
        <v>1136</v>
      </c>
      <c r="B139" s="44">
        <v>9512</v>
      </c>
      <c r="C139" s="44" t="s">
        <v>1178</v>
      </c>
      <c r="D139" s="11">
        <v>0</v>
      </c>
      <c r="E139" s="12">
        <v>0</v>
      </c>
      <c r="F139" s="12">
        <v>0</v>
      </c>
      <c r="G139" s="17">
        <v>0</v>
      </c>
      <c r="H139" s="12">
        <v>0</v>
      </c>
      <c r="I139">
        <f t="shared" si="6"/>
        <v>0</v>
      </c>
      <c r="J139">
        <f t="shared" si="7"/>
        <v>0</v>
      </c>
      <c r="K139" s="19">
        <f t="shared" si="8"/>
        <v>0</v>
      </c>
      <c r="M139"/>
      <c r="R139" s="11"/>
      <c r="S139" s="17"/>
      <c r="T139" s="17"/>
    </row>
    <row r="140" spans="1:20">
      <c r="A140" s="44" t="s">
        <v>147</v>
      </c>
      <c r="B140" s="44">
        <v>237432</v>
      </c>
      <c r="C140" s="44" t="s">
        <v>602</v>
      </c>
      <c r="D140" s="11">
        <v>0</v>
      </c>
      <c r="E140" s="12">
        <v>0</v>
      </c>
      <c r="F140" s="12">
        <v>0</v>
      </c>
      <c r="G140" s="17">
        <v>0</v>
      </c>
      <c r="H140" s="12">
        <v>0</v>
      </c>
      <c r="I140">
        <f t="shared" si="6"/>
        <v>0</v>
      </c>
      <c r="J140">
        <f t="shared" si="7"/>
        <v>0</v>
      </c>
      <c r="K140" s="19">
        <f t="shared" si="8"/>
        <v>0</v>
      </c>
      <c r="M140"/>
      <c r="R140" s="11"/>
      <c r="S140" s="17"/>
      <c r="T140" s="17"/>
    </row>
    <row r="141" spans="1:20">
      <c r="A141" s="44" t="s">
        <v>157</v>
      </c>
      <c r="B141" s="44">
        <v>156336</v>
      </c>
      <c r="C141" s="44" t="s">
        <v>1179</v>
      </c>
      <c r="D141" s="11">
        <v>1</v>
      </c>
      <c r="E141" s="12">
        <v>0</v>
      </c>
      <c r="F141" s="12">
        <v>7</v>
      </c>
      <c r="G141" s="17">
        <v>9</v>
      </c>
      <c r="H141" s="12">
        <v>2</v>
      </c>
      <c r="I141">
        <f t="shared" si="6"/>
        <v>1</v>
      </c>
      <c r="J141">
        <f t="shared" si="7"/>
        <v>0</v>
      </c>
      <c r="K141" s="19">
        <f t="shared" si="8"/>
        <v>9</v>
      </c>
      <c r="M141"/>
      <c r="R141" s="11"/>
      <c r="S141" s="17"/>
      <c r="T141" s="17"/>
    </row>
    <row r="142" spans="1:20">
      <c r="A142" s="44">
        <v>2613051451</v>
      </c>
      <c r="B142" s="44">
        <v>357589</v>
      </c>
      <c r="C142" s="44" t="s">
        <v>1180</v>
      </c>
      <c r="D142" s="11">
        <v>0</v>
      </c>
      <c r="E142" s="12">
        <v>0</v>
      </c>
      <c r="F142" s="12">
        <v>0</v>
      </c>
      <c r="G142" s="17">
        <v>0</v>
      </c>
      <c r="H142" s="12">
        <v>0</v>
      </c>
      <c r="I142">
        <f t="shared" si="6"/>
        <v>0</v>
      </c>
      <c r="J142">
        <f t="shared" si="7"/>
        <v>0</v>
      </c>
      <c r="K142" s="19">
        <f t="shared" si="8"/>
        <v>0</v>
      </c>
      <c r="M142"/>
      <c r="R142" s="11"/>
      <c r="S142" s="17"/>
      <c r="T142" s="17"/>
    </row>
    <row r="143" spans="1:20">
      <c r="A143" s="44" t="s">
        <v>154</v>
      </c>
      <c r="B143" s="44">
        <v>560999</v>
      </c>
      <c r="C143" s="44" t="s">
        <v>1181</v>
      </c>
      <c r="D143" s="11">
        <v>1</v>
      </c>
      <c r="E143" s="12">
        <v>6</v>
      </c>
      <c r="F143" s="12">
        <v>34</v>
      </c>
      <c r="G143" s="17">
        <v>30</v>
      </c>
      <c r="H143" s="12">
        <v>0</v>
      </c>
      <c r="I143">
        <f t="shared" si="6"/>
        <v>1</v>
      </c>
      <c r="J143">
        <f t="shared" si="7"/>
        <v>0</v>
      </c>
      <c r="K143" s="19">
        <f t="shared" si="8"/>
        <v>30</v>
      </c>
      <c r="M143"/>
      <c r="R143" s="11"/>
      <c r="S143" s="17"/>
      <c r="T143" s="17"/>
    </row>
    <row r="144" spans="1:20">
      <c r="A144" s="44" t="s">
        <v>158</v>
      </c>
      <c r="B144" s="44">
        <v>199324</v>
      </c>
      <c r="C144" s="44" t="s">
        <v>1182</v>
      </c>
      <c r="D144" s="11">
        <v>1</v>
      </c>
      <c r="E144" s="12">
        <v>0</v>
      </c>
      <c r="F144" s="12">
        <v>4</v>
      </c>
      <c r="G144" s="17">
        <v>2</v>
      </c>
      <c r="H144" s="12">
        <v>0</v>
      </c>
      <c r="I144">
        <f t="shared" si="6"/>
        <v>0</v>
      </c>
      <c r="J144">
        <f t="shared" si="7"/>
        <v>0</v>
      </c>
      <c r="K144" s="19">
        <f t="shared" si="8"/>
        <v>2</v>
      </c>
      <c r="M144"/>
      <c r="R144" s="11"/>
      <c r="S144" s="17"/>
      <c r="T144" s="17"/>
    </row>
    <row r="145" spans="1:20">
      <c r="A145" s="44" t="s">
        <v>151</v>
      </c>
      <c r="B145" s="44">
        <v>533579</v>
      </c>
      <c r="C145" s="44" t="s">
        <v>1183</v>
      </c>
      <c r="D145" s="11">
        <v>1</v>
      </c>
      <c r="E145" s="12">
        <v>0</v>
      </c>
      <c r="F145" s="12">
        <v>4</v>
      </c>
      <c r="G145" s="17">
        <v>1</v>
      </c>
      <c r="H145" s="12">
        <v>0</v>
      </c>
      <c r="I145">
        <f t="shared" si="6"/>
        <v>0</v>
      </c>
      <c r="J145">
        <f t="shared" si="7"/>
        <v>0</v>
      </c>
      <c r="K145" s="19">
        <f t="shared" si="8"/>
        <v>1</v>
      </c>
      <c r="M145"/>
      <c r="R145" s="11"/>
      <c r="S145" s="17"/>
      <c r="T145" s="17"/>
    </row>
    <row r="146" spans="1:20">
      <c r="A146" s="44">
        <v>2613050885</v>
      </c>
      <c r="B146" s="44">
        <v>276648</v>
      </c>
      <c r="C146" s="44" t="s">
        <v>1165</v>
      </c>
      <c r="D146" s="11">
        <v>0</v>
      </c>
      <c r="E146" s="12">
        <v>0</v>
      </c>
      <c r="F146" s="12">
        <v>1</v>
      </c>
      <c r="G146" s="17">
        <v>0</v>
      </c>
      <c r="H146" s="12">
        <v>0</v>
      </c>
      <c r="I146">
        <f t="shared" si="6"/>
        <v>0</v>
      </c>
      <c r="J146">
        <f t="shared" si="7"/>
        <v>0</v>
      </c>
      <c r="K146" s="19">
        <f t="shared" si="8"/>
        <v>0</v>
      </c>
      <c r="M146"/>
      <c r="R146" s="11"/>
      <c r="S146" s="17"/>
      <c r="T146" s="17"/>
    </row>
    <row r="147" spans="1:20">
      <c r="A147" s="44" t="s">
        <v>145</v>
      </c>
      <c r="B147" s="44">
        <v>211854</v>
      </c>
      <c r="C147" s="44" t="s">
        <v>499</v>
      </c>
      <c r="D147" s="11">
        <v>1</v>
      </c>
      <c r="E147" s="12">
        <v>0</v>
      </c>
      <c r="F147" s="12">
        <v>3</v>
      </c>
      <c r="G147" s="17">
        <v>1</v>
      </c>
      <c r="H147" s="12">
        <v>0</v>
      </c>
      <c r="M147"/>
    </row>
    <row r="148" spans="1:20">
      <c r="A148" s="44" t="s">
        <v>156</v>
      </c>
      <c r="B148" s="44">
        <v>107298</v>
      </c>
      <c r="C148" s="44" t="s">
        <v>968</v>
      </c>
      <c r="D148" s="11">
        <v>0</v>
      </c>
      <c r="E148" s="12">
        <v>0</v>
      </c>
      <c r="F148" s="12">
        <v>2</v>
      </c>
      <c r="G148" s="17">
        <v>0</v>
      </c>
      <c r="H148" s="12">
        <v>0</v>
      </c>
      <c r="M148"/>
    </row>
    <row r="149" spans="1:20">
      <c r="A149" s="44" t="s">
        <v>150</v>
      </c>
      <c r="B149" s="44">
        <v>305323</v>
      </c>
      <c r="C149" s="44" t="s">
        <v>824</v>
      </c>
      <c r="D149" s="11">
        <v>0</v>
      </c>
      <c r="E149" s="12">
        <v>0</v>
      </c>
      <c r="F149" s="12">
        <v>1</v>
      </c>
      <c r="G149" s="17">
        <v>0</v>
      </c>
      <c r="H149" s="12">
        <v>0</v>
      </c>
      <c r="M149"/>
    </row>
    <row r="150" spans="1:20">
      <c r="A150" s="44" t="s">
        <v>154</v>
      </c>
      <c r="B150" s="44">
        <v>278868</v>
      </c>
      <c r="C150" s="44" t="s">
        <v>1184</v>
      </c>
      <c r="D150" s="11">
        <v>0</v>
      </c>
      <c r="E150" s="12">
        <v>0</v>
      </c>
      <c r="F150" s="12">
        <v>0</v>
      </c>
      <c r="G150" s="17">
        <v>0</v>
      </c>
      <c r="H150" s="12">
        <v>0</v>
      </c>
      <c r="M150"/>
    </row>
    <row r="151" spans="1:20">
      <c r="A151" s="44" t="s">
        <v>156</v>
      </c>
      <c r="B151" s="44">
        <v>357182</v>
      </c>
      <c r="C151" s="44" t="s">
        <v>1185</v>
      </c>
      <c r="D151" s="11">
        <v>0</v>
      </c>
      <c r="E151" s="12">
        <v>0</v>
      </c>
      <c r="F151" s="12">
        <v>1</v>
      </c>
      <c r="G151" s="17">
        <v>0</v>
      </c>
      <c r="H151" s="12">
        <v>0</v>
      </c>
      <c r="M151"/>
    </row>
    <row r="152" spans="1:20">
      <c r="A152" s="44">
        <v>2613051043</v>
      </c>
      <c r="B152" s="44">
        <v>12325965</v>
      </c>
      <c r="C152" s="44" t="s">
        <v>1186</v>
      </c>
      <c r="D152" s="11">
        <v>0</v>
      </c>
      <c r="E152" s="12">
        <v>0</v>
      </c>
      <c r="F152" s="12">
        <v>0</v>
      </c>
      <c r="G152" s="17">
        <v>0</v>
      </c>
      <c r="H152" s="12">
        <v>0</v>
      </c>
      <c r="M152"/>
    </row>
    <row r="153" spans="1:20">
      <c r="A153" s="44" t="s">
        <v>142</v>
      </c>
      <c r="B153" s="44">
        <v>12300218</v>
      </c>
      <c r="C153" s="44" t="s">
        <v>1187</v>
      </c>
      <c r="D153" s="11">
        <v>1</v>
      </c>
      <c r="E153" s="12">
        <v>0</v>
      </c>
      <c r="F153" s="12">
        <v>2</v>
      </c>
      <c r="G153" s="17">
        <v>5</v>
      </c>
      <c r="H153" s="12">
        <v>3</v>
      </c>
      <c r="M153"/>
    </row>
    <row r="154" spans="1:20">
      <c r="A154" s="44">
        <v>2613051043</v>
      </c>
      <c r="B154" s="44">
        <v>12296823</v>
      </c>
      <c r="C154" s="44" t="s">
        <v>443</v>
      </c>
      <c r="D154" s="11">
        <v>0</v>
      </c>
      <c r="E154" s="12">
        <v>0</v>
      </c>
      <c r="F154" s="12">
        <v>0</v>
      </c>
      <c r="G154" s="17">
        <v>0</v>
      </c>
      <c r="H154" s="12">
        <v>0</v>
      </c>
      <c r="M154"/>
    </row>
    <row r="155" spans="1:20">
      <c r="A155" s="44" t="s">
        <v>156</v>
      </c>
      <c r="B155" s="44">
        <v>63849</v>
      </c>
      <c r="C155" s="44" t="s">
        <v>1188</v>
      </c>
      <c r="D155" s="11">
        <v>0</v>
      </c>
      <c r="E155" s="12">
        <v>0</v>
      </c>
      <c r="F155" s="12">
        <v>3</v>
      </c>
      <c r="G155" s="17">
        <v>0</v>
      </c>
      <c r="H155" s="12">
        <v>0</v>
      </c>
      <c r="M155"/>
    </row>
    <row r="156" spans="1:20">
      <c r="A156" s="44" t="s">
        <v>143</v>
      </c>
      <c r="B156" s="44">
        <v>62420</v>
      </c>
      <c r="C156" s="44" t="s">
        <v>277</v>
      </c>
      <c r="D156" s="11">
        <v>1</v>
      </c>
      <c r="E156" s="12">
        <v>0</v>
      </c>
      <c r="F156" s="12">
        <v>3</v>
      </c>
      <c r="G156" s="17">
        <v>1</v>
      </c>
      <c r="H156" s="12">
        <v>0</v>
      </c>
      <c r="M156"/>
    </row>
    <row r="157" spans="1:20">
      <c r="A157" s="44">
        <v>2613050886</v>
      </c>
      <c r="B157" s="44">
        <v>533758</v>
      </c>
      <c r="C157" s="44" t="s">
        <v>1189</v>
      </c>
      <c r="D157" s="11">
        <v>0</v>
      </c>
      <c r="E157" s="12">
        <v>0</v>
      </c>
      <c r="F157" s="12">
        <v>1</v>
      </c>
      <c r="G157" s="17">
        <v>0</v>
      </c>
      <c r="H157" s="12">
        <v>0</v>
      </c>
      <c r="M157"/>
    </row>
    <row r="158" spans="1:20">
      <c r="A158" s="44" t="s">
        <v>145</v>
      </c>
      <c r="B158" s="44">
        <v>358156</v>
      </c>
      <c r="C158" s="44" t="s">
        <v>503</v>
      </c>
      <c r="D158" s="11">
        <v>1</v>
      </c>
      <c r="E158" s="12">
        <v>1</v>
      </c>
      <c r="F158" s="12">
        <v>47</v>
      </c>
      <c r="G158" s="17">
        <v>26</v>
      </c>
      <c r="H158" s="12">
        <v>0</v>
      </c>
      <c r="M158"/>
    </row>
    <row r="159" spans="1:20">
      <c r="A159" s="44" t="s">
        <v>148</v>
      </c>
      <c r="B159" s="44">
        <v>211825</v>
      </c>
      <c r="C159" s="44" t="s">
        <v>1190</v>
      </c>
      <c r="D159" s="11">
        <v>1</v>
      </c>
      <c r="E159" s="12">
        <v>0</v>
      </c>
      <c r="F159" s="12">
        <v>0</v>
      </c>
      <c r="G159" s="17">
        <v>1</v>
      </c>
      <c r="H159" s="12">
        <v>1</v>
      </c>
      <c r="M159"/>
    </row>
    <row r="160" spans="1:20">
      <c r="A160" s="44" t="s">
        <v>145</v>
      </c>
      <c r="B160" s="44">
        <v>61816</v>
      </c>
      <c r="C160" s="44" t="s">
        <v>1191</v>
      </c>
      <c r="D160" s="11">
        <v>1</v>
      </c>
      <c r="E160" s="12">
        <v>0</v>
      </c>
      <c r="F160" s="12">
        <v>5</v>
      </c>
      <c r="G160" s="17">
        <v>6</v>
      </c>
      <c r="H160" s="12">
        <v>1</v>
      </c>
      <c r="M160"/>
    </row>
    <row r="161" spans="1:13">
      <c r="A161" s="44" t="s">
        <v>141</v>
      </c>
      <c r="B161" s="44">
        <v>550632</v>
      </c>
      <c r="C161" s="44" t="s">
        <v>1192</v>
      </c>
      <c r="D161" s="11">
        <v>0</v>
      </c>
      <c r="E161" s="12">
        <v>0</v>
      </c>
      <c r="F161" s="12">
        <v>1</v>
      </c>
      <c r="G161" s="17">
        <v>0</v>
      </c>
      <c r="H161" s="12">
        <v>0</v>
      </c>
      <c r="M161"/>
    </row>
    <row r="162" spans="1:13">
      <c r="A162" s="44">
        <v>2613051475</v>
      </c>
      <c r="B162" s="44">
        <v>522468</v>
      </c>
      <c r="C162" s="44" t="s">
        <v>910</v>
      </c>
      <c r="D162" s="11">
        <v>0</v>
      </c>
      <c r="E162" s="12">
        <v>0</v>
      </c>
      <c r="F162" s="12">
        <v>3</v>
      </c>
      <c r="G162" s="17">
        <v>0</v>
      </c>
      <c r="H162" s="12">
        <v>0</v>
      </c>
      <c r="M162"/>
    </row>
    <row r="163" spans="1:13">
      <c r="A163" s="44">
        <v>2613052584</v>
      </c>
      <c r="B163" s="44">
        <v>300024</v>
      </c>
      <c r="C163" s="44" t="s">
        <v>1193</v>
      </c>
      <c r="D163" s="11">
        <v>0</v>
      </c>
      <c r="E163" s="12">
        <v>0</v>
      </c>
      <c r="F163" s="12">
        <v>0</v>
      </c>
      <c r="G163" s="17">
        <v>0</v>
      </c>
      <c r="H163" s="12">
        <v>0</v>
      </c>
      <c r="M163"/>
    </row>
    <row r="164" spans="1:13">
      <c r="A164" s="44" t="s">
        <v>150</v>
      </c>
      <c r="B164" s="44">
        <v>535762</v>
      </c>
      <c r="C164" s="44" t="s">
        <v>833</v>
      </c>
      <c r="D164" s="11">
        <v>0</v>
      </c>
      <c r="E164" s="12">
        <v>0</v>
      </c>
      <c r="F164" s="12">
        <v>0</v>
      </c>
      <c r="G164" s="17">
        <v>0</v>
      </c>
      <c r="H164" s="12">
        <v>0</v>
      </c>
      <c r="M164"/>
    </row>
    <row r="165" spans="1:13">
      <c r="A165" s="44" t="s">
        <v>1136</v>
      </c>
      <c r="B165" s="44">
        <v>238651</v>
      </c>
      <c r="C165" s="44" t="s">
        <v>1194</v>
      </c>
      <c r="D165" s="11">
        <v>1</v>
      </c>
      <c r="E165" s="12">
        <v>0</v>
      </c>
      <c r="F165" s="12">
        <v>1</v>
      </c>
      <c r="G165" s="17">
        <v>1</v>
      </c>
      <c r="H165" s="12">
        <v>0</v>
      </c>
      <c r="M165"/>
    </row>
    <row r="166" spans="1:13">
      <c r="A166" s="44" t="s">
        <v>140</v>
      </c>
      <c r="B166" s="44">
        <v>127079</v>
      </c>
      <c r="C166" s="44" t="s">
        <v>1108</v>
      </c>
      <c r="D166" s="11">
        <v>0</v>
      </c>
      <c r="E166" s="12">
        <v>0</v>
      </c>
      <c r="F166" s="12">
        <v>3</v>
      </c>
      <c r="G166" s="17">
        <v>0</v>
      </c>
      <c r="H166" s="12">
        <v>0</v>
      </c>
      <c r="M166"/>
    </row>
    <row r="167" spans="1:13">
      <c r="A167" s="44" t="s">
        <v>148</v>
      </c>
      <c r="B167" s="44">
        <v>12327278</v>
      </c>
      <c r="C167" s="44" t="s">
        <v>627</v>
      </c>
      <c r="D167" s="11">
        <v>1</v>
      </c>
      <c r="E167" s="12">
        <v>0</v>
      </c>
      <c r="F167" s="12">
        <v>14</v>
      </c>
      <c r="G167" s="17">
        <v>6</v>
      </c>
      <c r="H167" s="12">
        <v>0</v>
      </c>
      <c r="M167"/>
    </row>
    <row r="168" spans="1:13">
      <c r="A168" s="44">
        <v>2613050886</v>
      </c>
      <c r="B168" s="44">
        <v>528795</v>
      </c>
      <c r="C168" s="44" t="s">
        <v>331</v>
      </c>
      <c r="D168" s="11">
        <v>0</v>
      </c>
      <c r="E168" s="12">
        <v>0</v>
      </c>
      <c r="F168" s="12">
        <v>4</v>
      </c>
      <c r="G168" s="17">
        <v>0</v>
      </c>
      <c r="H168" s="12">
        <v>0</v>
      </c>
      <c r="M168"/>
    </row>
    <row r="169" spans="1:13">
      <c r="A169" s="44" t="s">
        <v>136</v>
      </c>
      <c r="B169" s="44">
        <v>12324316</v>
      </c>
      <c r="C169" s="44" t="s">
        <v>1195</v>
      </c>
      <c r="D169" s="11">
        <v>0</v>
      </c>
      <c r="E169" s="12">
        <v>0</v>
      </c>
      <c r="F169" s="12">
        <v>1</v>
      </c>
      <c r="G169" s="17">
        <v>0</v>
      </c>
      <c r="H169" s="12">
        <v>0</v>
      </c>
      <c r="M169"/>
    </row>
    <row r="170" spans="1:13">
      <c r="A170" s="44" t="s">
        <v>145</v>
      </c>
      <c r="B170" s="44">
        <v>12300160</v>
      </c>
      <c r="C170" s="44" t="s">
        <v>484</v>
      </c>
      <c r="D170" s="11">
        <v>1</v>
      </c>
      <c r="E170" s="12">
        <v>0</v>
      </c>
      <c r="F170" s="12">
        <v>41</v>
      </c>
      <c r="G170" s="17">
        <v>14</v>
      </c>
      <c r="H170" s="12">
        <v>0</v>
      </c>
      <c r="M170"/>
    </row>
    <row r="171" spans="1:13">
      <c r="A171" s="44" t="s">
        <v>151</v>
      </c>
      <c r="B171" s="44">
        <v>551710</v>
      </c>
      <c r="C171" s="44" t="s">
        <v>1196</v>
      </c>
      <c r="D171" s="11">
        <v>1</v>
      </c>
      <c r="E171" s="12">
        <v>0</v>
      </c>
      <c r="F171" s="12">
        <v>3</v>
      </c>
      <c r="G171" s="17">
        <v>1</v>
      </c>
      <c r="H171" s="12">
        <v>0</v>
      </c>
      <c r="M171"/>
    </row>
    <row r="172" spans="1:13">
      <c r="A172" s="44" t="s">
        <v>141</v>
      </c>
      <c r="B172" s="44">
        <v>2111</v>
      </c>
      <c r="C172" s="44" t="s">
        <v>195</v>
      </c>
      <c r="D172" s="11">
        <v>1</v>
      </c>
      <c r="E172" s="12">
        <v>0</v>
      </c>
      <c r="F172" s="12">
        <v>8</v>
      </c>
      <c r="G172" s="17">
        <v>7</v>
      </c>
      <c r="H172" s="12">
        <v>0</v>
      </c>
      <c r="M172"/>
    </row>
    <row r="173" spans="1:13">
      <c r="A173" s="44" t="s">
        <v>148</v>
      </c>
      <c r="B173" s="44">
        <v>244443</v>
      </c>
      <c r="C173" s="44" t="s">
        <v>1197</v>
      </c>
      <c r="D173" s="11">
        <v>1</v>
      </c>
      <c r="E173" s="12">
        <v>0</v>
      </c>
      <c r="F173" s="12">
        <v>10</v>
      </c>
      <c r="G173" s="17">
        <v>6</v>
      </c>
      <c r="H173" s="12">
        <v>0</v>
      </c>
      <c r="M173"/>
    </row>
    <row r="174" spans="1:13">
      <c r="A174" s="44">
        <v>2613052584</v>
      </c>
      <c r="B174" s="44">
        <v>12325929</v>
      </c>
      <c r="C174" s="44" t="s">
        <v>575</v>
      </c>
      <c r="D174" s="11">
        <v>1</v>
      </c>
      <c r="E174" s="12">
        <v>0</v>
      </c>
      <c r="F174" s="12">
        <v>3</v>
      </c>
      <c r="G174" s="17">
        <v>2</v>
      </c>
      <c r="H174" s="12">
        <v>0</v>
      </c>
      <c r="M174"/>
    </row>
    <row r="175" spans="1:13">
      <c r="A175" s="44" t="s">
        <v>141</v>
      </c>
      <c r="B175" s="44">
        <v>12319342</v>
      </c>
      <c r="C175" s="44" t="s">
        <v>190</v>
      </c>
      <c r="D175" s="11">
        <v>0</v>
      </c>
      <c r="E175" s="12">
        <v>0</v>
      </c>
      <c r="F175" s="12">
        <v>0</v>
      </c>
      <c r="G175" s="17">
        <v>0</v>
      </c>
      <c r="H175" s="12">
        <v>0</v>
      </c>
      <c r="M175"/>
    </row>
    <row r="176" spans="1:13">
      <c r="A176" s="44" t="s">
        <v>151</v>
      </c>
      <c r="B176" s="44">
        <v>12297387</v>
      </c>
      <c r="C176" s="44" t="s">
        <v>850</v>
      </c>
      <c r="D176" s="11">
        <v>1</v>
      </c>
      <c r="E176" s="12">
        <v>0</v>
      </c>
      <c r="F176" s="12">
        <v>1</v>
      </c>
      <c r="G176" s="17">
        <v>1</v>
      </c>
      <c r="H176" s="12">
        <v>0</v>
      </c>
      <c r="M176"/>
    </row>
    <row r="177" spans="1:13">
      <c r="A177" s="44" t="s">
        <v>151</v>
      </c>
      <c r="B177" s="44">
        <v>244518</v>
      </c>
      <c r="C177" s="44" t="s">
        <v>863</v>
      </c>
      <c r="D177" s="11">
        <v>1</v>
      </c>
      <c r="E177" s="12">
        <v>0</v>
      </c>
      <c r="F177" s="12">
        <v>3</v>
      </c>
      <c r="G177" s="17">
        <v>1</v>
      </c>
      <c r="H177" s="12">
        <v>0</v>
      </c>
      <c r="M177"/>
    </row>
    <row r="178" spans="1:13">
      <c r="A178" s="44" t="s">
        <v>141</v>
      </c>
      <c r="B178" s="44">
        <v>347681</v>
      </c>
      <c r="C178" s="44" t="s">
        <v>196</v>
      </c>
      <c r="D178" s="11">
        <v>0</v>
      </c>
      <c r="E178" s="12">
        <v>0</v>
      </c>
      <c r="F178" s="12">
        <v>3</v>
      </c>
      <c r="G178" s="17">
        <v>0</v>
      </c>
      <c r="H178" s="12">
        <v>0</v>
      </c>
      <c r="M178"/>
    </row>
    <row r="179" spans="1:13">
      <c r="A179" s="44" t="s">
        <v>157</v>
      </c>
      <c r="B179" s="44">
        <v>579763</v>
      </c>
      <c r="C179" s="44" t="s">
        <v>1057</v>
      </c>
      <c r="D179" s="11">
        <v>1</v>
      </c>
      <c r="E179" s="12">
        <v>0</v>
      </c>
      <c r="F179" s="12">
        <v>3</v>
      </c>
      <c r="G179" s="17">
        <v>3</v>
      </c>
      <c r="H179" s="12">
        <v>0</v>
      </c>
      <c r="M179"/>
    </row>
    <row r="180" spans="1:13">
      <c r="A180" s="44">
        <v>2613051475</v>
      </c>
      <c r="B180" s="44">
        <v>377602</v>
      </c>
      <c r="C180" s="44" t="s">
        <v>901</v>
      </c>
      <c r="D180" s="11">
        <v>0</v>
      </c>
      <c r="E180" s="12">
        <v>0</v>
      </c>
      <c r="F180" s="12">
        <v>2</v>
      </c>
      <c r="G180" s="17">
        <v>0</v>
      </c>
      <c r="H180" s="12">
        <v>0</v>
      </c>
      <c r="M180"/>
    </row>
    <row r="181" spans="1:13">
      <c r="A181" s="44" t="s">
        <v>157</v>
      </c>
      <c r="B181" s="44">
        <v>243830</v>
      </c>
      <c r="C181" s="44" t="s">
        <v>200</v>
      </c>
      <c r="D181" s="11">
        <v>1</v>
      </c>
      <c r="E181" s="12">
        <v>0</v>
      </c>
      <c r="F181" s="12">
        <v>0</v>
      </c>
      <c r="G181" s="17">
        <v>1</v>
      </c>
      <c r="H181" s="12">
        <v>1</v>
      </c>
      <c r="M181"/>
    </row>
    <row r="182" spans="1:13">
      <c r="A182" s="44" t="s">
        <v>153</v>
      </c>
      <c r="B182" s="44">
        <v>1222</v>
      </c>
      <c r="C182" s="44" t="s">
        <v>1198</v>
      </c>
      <c r="D182" s="11">
        <v>0</v>
      </c>
      <c r="E182" s="12">
        <v>1</v>
      </c>
      <c r="F182" s="12">
        <v>1</v>
      </c>
      <c r="G182" s="17">
        <v>0</v>
      </c>
      <c r="H182" s="12">
        <v>0</v>
      </c>
      <c r="M182"/>
    </row>
    <row r="183" spans="1:13">
      <c r="A183" s="44" t="s">
        <v>145</v>
      </c>
      <c r="B183" s="44">
        <v>211616</v>
      </c>
      <c r="C183" s="44" t="s">
        <v>497</v>
      </c>
      <c r="D183" s="11">
        <v>0</v>
      </c>
      <c r="E183" s="12">
        <v>0</v>
      </c>
      <c r="F183" s="12">
        <v>3</v>
      </c>
      <c r="G183" s="17">
        <v>0</v>
      </c>
      <c r="H183" s="12">
        <v>0</v>
      </c>
      <c r="M183"/>
    </row>
    <row r="184" spans="1:13">
      <c r="A184" s="44" t="s">
        <v>155</v>
      </c>
      <c r="B184" s="44">
        <v>225921</v>
      </c>
      <c r="C184" s="44" t="s">
        <v>931</v>
      </c>
      <c r="D184" s="11">
        <v>1</v>
      </c>
      <c r="E184" s="12">
        <v>0</v>
      </c>
      <c r="F184" s="12">
        <v>1</v>
      </c>
      <c r="G184" s="17">
        <v>3</v>
      </c>
      <c r="H184" s="12">
        <v>2</v>
      </c>
      <c r="M184"/>
    </row>
    <row r="185" spans="1:13">
      <c r="A185" s="44" t="s">
        <v>1136</v>
      </c>
      <c r="B185" s="44">
        <v>366732</v>
      </c>
      <c r="C185" s="44" t="s">
        <v>1128</v>
      </c>
      <c r="D185" s="11">
        <v>1</v>
      </c>
      <c r="E185" s="12">
        <v>0</v>
      </c>
      <c r="F185" s="12">
        <v>1</v>
      </c>
      <c r="G185" s="17">
        <v>2</v>
      </c>
      <c r="H185" s="12">
        <v>1</v>
      </c>
      <c r="M185"/>
    </row>
    <row r="186" spans="1:13">
      <c r="A186" s="44" t="s">
        <v>149</v>
      </c>
      <c r="B186" s="44">
        <v>422775</v>
      </c>
      <c r="C186" s="44" t="s">
        <v>791</v>
      </c>
      <c r="D186" s="11">
        <v>1</v>
      </c>
      <c r="E186" s="12">
        <v>2</v>
      </c>
      <c r="F186" s="12">
        <v>16</v>
      </c>
      <c r="G186" s="17">
        <v>10</v>
      </c>
      <c r="H186" s="12">
        <v>0</v>
      </c>
      <c r="M186"/>
    </row>
    <row r="187" spans="1:13">
      <c r="A187" s="44">
        <v>2613051475</v>
      </c>
      <c r="B187" s="44">
        <v>186842</v>
      </c>
      <c r="C187" s="44" t="s">
        <v>888</v>
      </c>
      <c r="D187" s="11">
        <v>1</v>
      </c>
      <c r="E187" s="12">
        <v>0</v>
      </c>
      <c r="F187" s="12">
        <v>2</v>
      </c>
      <c r="G187" s="17">
        <v>4</v>
      </c>
      <c r="H187" s="12">
        <v>2</v>
      </c>
      <c r="M187"/>
    </row>
    <row r="188" spans="1:13">
      <c r="A188" s="44" t="s">
        <v>1140</v>
      </c>
      <c r="B188" s="44">
        <v>362684</v>
      </c>
      <c r="C188" s="44" t="s">
        <v>1199</v>
      </c>
      <c r="D188" s="11">
        <v>1</v>
      </c>
      <c r="E188" s="12">
        <v>0</v>
      </c>
      <c r="F188" s="12">
        <v>2</v>
      </c>
      <c r="G188" s="17">
        <v>1</v>
      </c>
      <c r="H188" s="12">
        <v>0</v>
      </c>
      <c r="M188"/>
    </row>
    <row r="189" spans="1:13">
      <c r="A189" s="44" t="s">
        <v>151</v>
      </c>
      <c r="B189" s="44">
        <v>509739</v>
      </c>
      <c r="C189" s="44" t="s">
        <v>875</v>
      </c>
      <c r="D189" s="11">
        <v>0</v>
      </c>
      <c r="E189" s="12">
        <v>0</v>
      </c>
      <c r="F189" s="12">
        <v>1</v>
      </c>
      <c r="G189" s="17">
        <v>0</v>
      </c>
      <c r="H189" s="12">
        <v>0</v>
      </c>
      <c r="M189"/>
    </row>
    <row r="190" spans="1:13">
      <c r="A190" s="44" t="s">
        <v>152</v>
      </c>
      <c r="B190" s="44">
        <v>526700</v>
      </c>
      <c r="C190" s="44" t="s">
        <v>675</v>
      </c>
      <c r="D190" s="11">
        <v>1</v>
      </c>
      <c r="E190" s="12">
        <v>0</v>
      </c>
      <c r="F190" s="12">
        <v>4</v>
      </c>
      <c r="G190" s="17">
        <v>6</v>
      </c>
      <c r="H190" s="12">
        <v>2</v>
      </c>
      <c r="M190"/>
    </row>
    <row r="191" spans="1:13">
      <c r="A191" s="44" t="s">
        <v>152</v>
      </c>
      <c r="B191" s="44">
        <v>117823</v>
      </c>
      <c r="C191" s="44" t="s">
        <v>1200</v>
      </c>
      <c r="D191" s="11">
        <v>1</v>
      </c>
      <c r="E191" s="12">
        <v>0</v>
      </c>
      <c r="F191" s="12">
        <v>0</v>
      </c>
      <c r="G191" s="17">
        <v>2</v>
      </c>
      <c r="H191" s="12">
        <v>2</v>
      </c>
      <c r="M191"/>
    </row>
    <row r="192" spans="1:13">
      <c r="A192" s="44" t="s">
        <v>137</v>
      </c>
      <c r="B192" s="44">
        <v>12295992</v>
      </c>
      <c r="C192" s="44" t="s">
        <v>1201</v>
      </c>
      <c r="D192" s="11">
        <v>0</v>
      </c>
      <c r="E192" s="12">
        <v>0</v>
      </c>
      <c r="F192" s="12">
        <v>1</v>
      </c>
      <c r="G192" s="17">
        <v>0</v>
      </c>
      <c r="H192" s="12">
        <v>0</v>
      </c>
      <c r="M192"/>
    </row>
    <row r="193" spans="1:13">
      <c r="A193" s="44" t="s">
        <v>4</v>
      </c>
      <c r="B193" s="44">
        <v>366702</v>
      </c>
      <c r="C193" s="44" t="s">
        <v>56</v>
      </c>
      <c r="D193" s="11">
        <v>1</v>
      </c>
      <c r="E193" s="12">
        <v>0</v>
      </c>
      <c r="F193" s="12">
        <v>4</v>
      </c>
      <c r="G193" s="17">
        <v>4</v>
      </c>
      <c r="H193" s="12">
        <v>0</v>
      </c>
      <c r="M193"/>
    </row>
    <row r="194" spans="1:13">
      <c r="A194" s="44" t="s">
        <v>142</v>
      </c>
      <c r="B194" s="44">
        <v>497599</v>
      </c>
      <c r="C194" s="44" t="s">
        <v>355</v>
      </c>
      <c r="D194" s="11">
        <v>1</v>
      </c>
      <c r="E194" s="12">
        <v>0</v>
      </c>
      <c r="F194" s="12">
        <v>1</v>
      </c>
      <c r="G194" s="17">
        <v>1</v>
      </c>
      <c r="H194" s="12">
        <v>0</v>
      </c>
      <c r="M194"/>
    </row>
    <row r="195" spans="1:13">
      <c r="A195" s="44" t="s">
        <v>147</v>
      </c>
      <c r="B195" s="44">
        <v>62304</v>
      </c>
      <c r="C195" s="44" t="s">
        <v>620</v>
      </c>
      <c r="D195" s="11">
        <v>0</v>
      </c>
      <c r="E195" s="12">
        <v>0</v>
      </c>
      <c r="F195" s="12">
        <v>1</v>
      </c>
      <c r="G195" s="17">
        <v>0</v>
      </c>
      <c r="H195" s="12">
        <v>0</v>
      </c>
      <c r="M195"/>
    </row>
    <row r="196" spans="1:13">
      <c r="A196" s="44" t="s">
        <v>154</v>
      </c>
      <c r="B196" s="44">
        <v>317775</v>
      </c>
      <c r="C196" s="44" t="s">
        <v>1202</v>
      </c>
      <c r="D196" s="11">
        <v>0</v>
      </c>
      <c r="E196" s="12">
        <v>0</v>
      </c>
      <c r="F196" s="12">
        <v>1</v>
      </c>
      <c r="G196" s="17">
        <v>0</v>
      </c>
      <c r="H196" s="12">
        <v>0</v>
      </c>
      <c r="M196"/>
    </row>
    <row r="197" spans="1:13">
      <c r="A197" s="44" t="s">
        <v>152</v>
      </c>
      <c r="B197" s="44">
        <v>160260</v>
      </c>
      <c r="C197" s="44" t="s">
        <v>656</v>
      </c>
      <c r="D197" s="11">
        <v>1</v>
      </c>
      <c r="E197" s="12">
        <v>0</v>
      </c>
      <c r="F197" s="12">
        <v>2</v>
      </c>
      <c r="G197" s="17">
        <v>3</v>
      </c>
      <c r="H197" s="12">
        <v>1</v>
      </c>
      <c r="M197"/>
    </row>
    <row r="198" spans="1:13">
      <c r="A198" s="44" t="s">
        <v>158</v>
      </c>
      <c r="B198" s="44">
        <v>492959</v>
      </c>
      <c r="C198" s="44" t="s">
        <v>1203</v>
      </c>
      <c r="D198" s="11">
        <v>0</v>
      </c>
      <c r="E198" s="12">
        <v>0</v>
      </c>
      <c r="F198" s="12">
        <v>2</v>
      </c>
      <c r="G198" s="17">
        <v>0</v>
      </c>
      <c r="H198" s="12">
        <v>0</v>
      </c>
      <c r="M198"/>
    </row>
    <row r="199" spans="1:13">
      <c r="A199" s="44" t="s">
        <v>150</v>
      </c>
      <c r="B199" s="44">
        <v>298581</v>
      </c>
      <c r="C199" s="44" t="s">
        <v>1204</v>
      </c>
      <c r="D199" s="11">
        <v>1</v>
      </c>
      <c r="E199" s="12">
        <v>0</v>
      </c>
      <c r="F199" s="12">
        <v>4</v>
      </c>
      <c r="G199" s="17">
        <v>2</v>
      </c>
      <c r="H199" s="12">
        <v>0</v>
      </c>
      <c r="M199"/>
    </row>
    <row r="200" spans="1:13">
      <c r="A200" s="44">
        <v>2613050886</v>
      </c>
      <c r="B200" s="44">
        <v>159895</v>
      </c>
      <c r="C200" s="44" t="s">
        <v>1205</v>
      </c>
      <c r="D200" s="11">
        <v>1</v>
      </c>
      <c r="E200" s="12">
        <v>0</v>
      </c>
      <c r="F200" s="12">
        <v>13</v>
      </c>
      <c r="G200" s="17">
        <v>3</v>
      </c>
      <c r="H200" s="12">
        <v>0</v>
      </c>
      <c r="M200"/>
    </row>
    <row r="201" spans="1:13">
      <c r="A201" s="44" t="s">
        <v>155</v>
      </c>
      <c r="B201" s="44">
        <v>520800</v>
      </c>
      <c r="C201" s="44" t="s">
        <v>947</v>
      </c>
      <c r="D201" s="11">
        <v>1</v>
      </c>
      <c r="E201" s="12">
        <v>0</v>
      </c>
      <c r="F201" s="12">
        <v>3</v>
      </c>
      <c r="G201" s="17">
        <v>2</v>
      </c>
      <c r="H201" s="12">
        <v>0</v>
      </c>
      <c r="M201"/>
    </row>
    <row r="202" spans="1:13">
      <c r="A202" s="44" t="s">
        <v>141</v>
      </c>
      <c r="B202" s="44">
        <v>541331</v>
      </c>
      <c r="C202" s="44" t="s">
        <v>205</v>
      </c>
      <c r="D202" s="11">
        <v>0</v>
      </c>
      <c r="E202" s="12">
        <v>0</v>
      </c>
      <c r="F202" s="12">
        <v>11</v>
      </c>
      <c r="G202" s="17">
        <v>0</v>
      </c>
      <c r="H202" s="12">
        <v>0</v>
      </c>
      <c r="M202"/>
    </row>
    <row r="203" spans="1:13">
      <c r="A203" s="44" t="s">
        <v>152</v>
      </c>
      <c r="B203" s="44">
        <v>236236</v>
      </c>
      <c r="C203" s="44" t="s">
        <v>659</v>
      </c>
      <c r="D203" s="11">
        <v>1</v>
      </c>
      <c r="E203" s="12">
        <v>0</v>
      </c>
      <c r="F203" s="12">
        <v>2</v>
      </c>
      <c r="G203" s="17">
        <v>2</v>
      </c>
      <c r="H203" s="12">
        <v>0</v>
      </c>
      <c r="M203"/>
    </row>
    <row r="204" spans="1:13">
      <c r="A204" s="44" t="s">
        <v>5</v>
      </c>
      <c r="B204" s="44">
        <v>501141</v>
      </c>
      <c r="C204" s="44" t="s">
        <v>98</v>
      </c>
      <c r="D204" s="11">
        <v>0</v>
      </c>
      <c r="E204" s="12">
        <v>0</v>
      </c>
      <c r="F204" s="12">
        <v>0</v>
      </c>
      <c r="G204" s="17">
        <v>0</v>
      </c>
      <c r="H204" s="12">
        <v>0</v>
      </c>
      <c r="M204"/>
    </row>
    <row r="205" spans="1:13">
      <c r="A205" s="44" t="s">
        <v>157</v>
      </c>
      <c r="B205" s="44">
        <v>298944</v>
      </c>
      <c r="C205" s="44" t="s">
        <v>1036</v>
      </c>
      <c r="D205" s="11">
        <v>0</v>
      </c>
      <c r="E205" s="12">
        <v>0</v>
      </c>
      <c r="F205" s="12">
        <v>3</v>
      </c>
      <c r="G205" s="17">
        <v>0</v>
      </c>
      <c r="H205" s="12">
        <v>0</v>
      </c>
      <c r="M205"/>
    </row>
    <row r="206" spans="1:13">
      <c r="A206" s="44" t="s">
        <v>158</v>
      </c>
      <c r="B206" s="44">
        <v>214409</v>
      </c>
      <c r="C206" s="44" t="s">
        <v>1206</v>
      </c>
      <c r="D206" s="11">
        <v>0</v>
      </c>
      <c r="E206" s="12">
        <v>0</v>
      </c>
      <c r="F206" s="12">
        <v>0</v>
      </c>
      <c r="G206" s="17">
        <v>0</v>
      </c>
      <c r="H206" s="12">
        <v>0</v>
      </c>
      <c r="M206"/>
    </row>
    <row r="207" spans="1:13">
      <c r="A207" s="44" t="s">
        <v>147</v>
      </c>
      <c r="B207" s="44">
        <v>228736</v>
      </c>
      <c r="C207" s="44" t="s">
        <v>600</v>
      </c>
      <c r="D207" s="11">
        <v>0</v>
      </c>
      <c r="E207" s="12">
        <v>0</v>
      </c>
      <c r="F207" s="12">
        <v>1</v>
      </c>
      <c r="G207" s="17">
        <v>0</v>
      </c>
      <c r="H207" s="12">
        <v>0</v>
      </c>
      <c r="M207"/>
    </row>
    <row r="208" spans="1:13">
      <c r="A208" s="44" t="s">
        <v>141</v>
      </c>
      <c r="B208" s="44">
        <v>568255</v>
      </c>
      <c r="C208" s="44" t="s">
        <v>208</v>
      </c>
      <c r="D208" s="11">
        <v>1</v>
      </c>
      <c r="E208" s="12">
        <v>0</v>
      </c>
      <c r="F208" s="12">
        <v>1</v>
      </c>
      <c r="G208" s="17">
        <v>3</v>
      </c>
      <c r="H208" s="12">
        <v>2</v>
      </c>
      <c r="M208"/>
    </row>
    <row r="209" spans="1:13">
      <c r="A209" s="44" t="s">
        <v>152</v>
      </c>
      <c r="B209" s="44">
        <v>325845</v>
      </c>
      <c r="C209" s="44" t="s">
        <v>1207</v>
      </c>
      <c r="D209" s="11">
        <v>1</v>
      </c>
      <c r="E209" s="12">
        <v>0</v>
      </c>
      <c r="F209" s="12">
        <v>0</v>
      </c>
      <c r="G209" s="17">
        <v>28</v>
      </c>
      <c r="H209" s="12">
        <v>28</v>
      </c>
      <c r="M209"/>
    </row>
    <row r="210" spans="1:13">
      <c r="A210" s="44" t="s">
        <v>157</v>
      </c>
      <c r="B210" s="44">
        <v>511396</v>
      </c>
      <c r="C210" s="44" t="s">
        <v>1049</v>
      </c>
      <c r="D210" s="11">
        <v>0</v>
      </c>
      <c r="E210" s="12">
        <v>0</v>
      </c>
      <c r="F210" s="12">
        <v>3</v>
      </c>
      <c r="G210" s="17">
        <v>0</v>
      </c>
      <c r="H210" s="12">
        <v>0</v>
      </c>
      <c r="M210"/>
    </row>
    <row r="211" spans="1:13">
      <c r="A211" s="44" t="s">
        <v>145</v>
      </c>
      <c r="B211" s="44">
        <v>388487</v>
      </c>
      <c r="C211" s="44" t="s">
        <v>37</v>
      </c>
      <c r="D211" s="11">
        <v>0</v>
      </c>
      <c r="E211" s="12">
        <v>0</v>
      </c>
      <c r="F211" s="12">
        <v>3</v>
      </c>
      <c r="G211" s="17">
        <v>0</v>
      </c>
      <c r="H211" s="12">
        <v>0</v>
      </c>
      <c r="M211"/>
    </row>
    <row r="212" spans="1:13">
      <c r="A212" s="44" t="s">
        <v>157</v>
      </c>
      <c r="B212" s="44">
        <v>12323037</v>
      </c>
      <c r="C212" s="44" t="s">
        <v>1024</v>
      </c>
      <c r="D212" s="11">
        <v>1</v>
      </c>
      <c r="E212" s="12">
        <v>0</v>
      </c>
      <c r="F212" s="12">
        <v>1</v>
      </c>
      <c r="G212" s="17">
        <v>4</v>
      </c>
      <c r="H212" s="12">
        <v>3</v>
      </c>
      <c r="M212"/>
    </row>
    <row r="213" spans="1:13">
      <c r="A213" s="44" t="s">
        <v>156</v>
      </c>
      <c r="B213" s="44">
        <v>12319702</v>
      </c>
      <c r="C213" s="44" t="s">
        <v>973</v>
      </c>
      <c r="D213" s="11">
        <v>0</v>
      </c>
      <c r="E213" s="12">
        <v>0</v>
      </c>
      <c r="F213" s="12">
        <v>0</v>
      </c>
      <c r="G213" s="17">
        <v>0</v>
      </c>
      <c r="H213" s="12">
        <v>0</v>
      </c>
      <c r="M213"/>
    </row>
    <row r="214" spans="1:13">
      <c r="A214" s="44" t="s">
        <v>155</v>
      </c>
      <c r="B214" s="44">
        <v>13053</v>
      </c>
      <c r="C214" s="44" t="s">
        <v>1208</v>
      </c>
      <c r="D214" s="11">
        <v>0</v>
      </c>
      <c r="E214" s="12">
        <v>0</v>
      </c>
      <c r="F214" s="12">
        <v>0</v>
      </c>
      <c r="G214" s="17">
        <v>0</v>
      </c>
      <c r="H214" s="12">
        <v>0</v>
      </c>
      <c r="M214"/>
    </row>
    <row r="215" spans="1:13">
      <c r="A215" s="44" t="s">
        <v>136</v>
      </c>
      <c r="B215" s="44">
        <v>459969</v>
      </c>
      <c r="C215" s="44" t="s">
        <v>1209</v>
      </c>
      <c r="D215" s="11">
        <v>0</v>
      </c>
      <c r="E215" s="12">
        <v>0</v>
      </c>
      <c r="F215" s="12">
        <v>2</v>
      </c>
      <c r="G215" s="17">
        <v>0</v>
      </c>
      <c r="H215" s="12">
        <v>0</v>
      </c>
      <c r="M215"/>
    </row>
    <row r="216" spans="1:13">
      <c r="A216" s="44" t="s">
        <v>150</v>
      </c>
      <c r="B216" s="44">
        <v>548720</v>
      </c>
      <c r="C216" s="44" t="s">
        <v>834</v>
      </c>
      <c r="D216" s="11">
        <v>0</v>
      </c>
      <c r="E216" s="12">
        <v>0</v>
      </c>
      <c r="F216" s="12">
        <v>1</v>
      </c>
      <c r="G216" s="17">
        <v>0</v>
      </c>
      <c r="H216" s="12">
        <v>0</v>
      </c>
      <c r="M216"/>
    </row>
    <row r="217" spans="1:13">
      <c r="A217" s="44">
        <v>2613051475</v>
      </c>
      <c r="B217" s="44">
        <v>269588</v>
      </c>
      <c r="C217" s="44" t="s">
        <v>892</v>
      </c>
      <c r="D217" s="11">
        <v>0</v>
      </c>
      <c r="E217" s="12">
        <v>0</v>
      </c>
      <c r="F217" s="12">
        <v>0</v>
      </c>
      <c r="G217" s="17">
        <v>0</v>
      </c>
      <c r="H217" s="12">
        <v>0</v>
      </c>
      <c r="M217"/>
    </row>
    <row r="218" spans="1:13">
      <c r="A218" s="44" t="s">
        <v>148</v>
      </c>
      <c r="B218" s="44">
        <v>263476</v>
      </c>
      <c r="C218" s="44" t="s">
        <v>640</v>
      </c>
      <c r="D218" s="11">
        <v>1</v>
      </c>
      <c r="E218" s="12">
        <v>0</v>
      </c>
      <c r="F218" s="12">
        <v>3</v>
      </c>
      <c r="G218" s="17">
        <v>2</v>
      </c>
      <c r="H218" s="12">
        <v>0</v>
      </c>
      <c r="M218"/>
    </row>
    <row r="219" spans="1:13">
      <c r="A219" s="44">
        <v>2613051043</v>
      </c>
      <c r="B219" s="44">
        <v>12297190</v>
      </c>
      <c r="C219" s="44" t="s">
        <v>449</v>
      </c>
      <c r="D219" s="11">
        <v>0</v>
      </c>
      <c r="E219" s="12">
        <v>0</v>
      </c>
      <c r="F219" s="12">
        <v>0</v>
      </c>
      <c r="G219" s="17">
        <v>0</v>
      </c>
      <c r="H219" s="12">
        <v>0</v>
      </c>
      <c r="M219"/>
    </row>
    <row r="220" spans="1:13">
      <c r="A220" s="44" t="s">
        <v>156</v>
      </c>
      <c r="B220" s="44">
        <v>258245</v>
      </c>
      <c r="C220" s="44" t="s">
        <v>980</v>
      </c>
      <c r="D220" s="11">
        <v>0</v>
      </c>
      <c r="E220" s="12">
        <v>0</v>
      </c>
      <c r="F220" s="12">
        <v>1</v>
      </c>
      <c r="G220" s="17">
        <v>0</v>
      </c>
      <c r="H220" s="12">
        <v>0</v>
      </c>
      <c r="M220"/>
    </row>
    <row r="221" spans="1:13">
      <c r="A221" s="44">
        <v>2613051475</v>
      </c>
      <c r="B221" s="44">
        <v>260825</v>
      </c>
      <c r="C221" s="44" t="s">
        <v>891</v>
      </c>
      <c r="D221" s="11">
        <v>0</v>
      </c>
      <c r="E221" s="12">
        <v>0</v>
      </c>
      <c r="F221" s="12">
        <v>0</v>
      </c>
      <c r="G221" s="17">
        <v>0</v>
      </c>
      <c r="H221" s="12">
        <v>0</v>
      </c>
      <c r="M221"/>
    </row>
    <row r="222" spans="1:13">
      <c r="A222" s="44" t="s">
        <v>156</v>
      </c>
      <c r="B222" s="44">
        <v>344001</v>
      </c>
      <c r="C222" s="44" t="s">
        <v>985</v>
      </c>
      <c r="D222" s="11">
        <v>0</v>
      </c>
      <c r="E222" s="12">
        <v>0</v>
      </c>
      <c r="F222" s="12">
        <v>0</v>
      </c>
      <c r="G222" s="17">
        <v>0</v>
      </c>
      <c r="H222" s="12">
        <v>0</v>
      </c>
      <c r="M222"/>
    </row>
    <row r="223" spans="1:13">
      <c r="A223" s="44" t="s">
        <v>147</v>
      </c>
      <c r="B223" s="44">
        <v>62439</v>
      </c>
      <c r="C223" s="44" t="s">
        <v>623</v>
      </c>
      <c r="D223" s="11">
        <v>0</v>
      </c>
      <c r="E223" s="12">
        <v>0</v>
      </c>
      <c r="F223" s="12">
        <v>0</v>
      </c>
      <c r="G223" s="17">
        <v>0</v>
      </c>
      <c r="H223" s="12">
        <v>0</v>
      </c>
      <c r="M223"/>
    </row>
    <row r="224" spans="1:13">
      <c r="A224" s="44" t="s">
        <v>141</v>
      </c>
      <c r="B224" s="44">
        <v>572944</v>
      </c>
      <c r="C224" s="44" t="s">
        <v>209</v>
      </c>
      <c r="D224" s="11">
        <v>0</v>
      </c>
      <c r="E224" s="12">
        <v>0</v>
      </c>
      <c r="F224" s="12">
        <v>1</v>
      </c>
      <c r="G224" s="17">
        <v>0</v>
      </c>
      <c r="H224" s="12">
        <v>0</v>
      </c>
      <c r="M224"/>
    </row>
    <row r="225" spans="1:13">
      <c r="A225" s="44" t="s">
        <v>148</v>
      </c>
      <c r="B225" s="44">
        <v>358177</v>
      </c>
      <c r="C225" s="44" t="s">
        <v>643</v>
      </c>
      <c r="D225" s="11">
        <v>1</v>
      </c>
      <c r="E225" s="12">
        <v>0</v>
      </c>
      <c r="F225" s="12">
        <v>3</v>
      </c>
      <c r="G225" s="17">
        <v>1</v>
      </c>
      <c r="H225" s="12">
        <v>0</v>
      </c>
      <c r="M225"/>
    </row>
    <row r="226" spans="1:13">
      <c r="A226" s="44" t="s">
        <v>147</v>
      </c>
      <c r="B226" s="44">
        <v>527832</v>
      </c>
      <c r="C226" s="44" t="s">
        <v>1210</v>
      </c>
      <c r="D226" s="11">
        <v>0</v>
      </c>
      <c r="E226" s="12">
        <v>0</v>
      </c>
      <c r="F226" s="12">
        <v>1</v>
      </c>
      <c r="G226" s="17">
        <v>0</v>
      </c>
      <c r="H226" s="12">
        <v>0</v>
      </c>
      <c r="M226"/>
    </row>
    <row r="227" spans="1:13">
      <c r="A227" s="44" t="s">
        <v>137</v>
      </c>
      <c r="B227" s="44">
        <v>12296276</v>
      </c>
      <c r="C227" s="44" t="s">
        <v>1211</v>
      </c>
      <c r="D227" s="11">
        <v>0</v>
      </c>
      <c r="E227" s="12">
        <v>0</v>
      </c>
      <c r="F227" s="12">
        <v>0</v>
      </c>
      <c r="G227" s="17">
        <v>0</v>
      </c>
      <c r="H227" s="12">
        <v>0</v>
      </c>
      <c r="M227"/>
    </row>
    <row r="228" spans="1:13">
      <c r="A228" s="44" t="s">
        <v>150</v>
      </c>
      <c r="B228" s="44">
        <v>327725</v>
      </c>
      <c r="C228" s="44" t="s">
        <v>825</v>
      </c>
      <c r="D228" s="11">
        <v>0</v>
      </c>
      <c r="E228" s="12">
        <v>0</v>
      </c>
      <c r="F228" s="12">
        <v>0</v>
      </c>
      <c r="G228" s="17">
        <v>0</v>
      </c>
      <c r="H228" s="12">
        <v>0</v>
      </c>
      <c r="M228"/>
    </row>
    <row r="229" spans="1:13">
      <c r="A229" s="44">
        <v>2613052584</v>
      </c>
      <c r="B229" s="44">
        <v>336387</v>
      </c>
      <c r="C229" s="44" t="s">
        <v>586</v>
      </c>
      <c r="D229" s="11">
        <v>0</v>
      </c>
      <c r="E229" s="12">
        <v>0</v>
      </c>
      <c r="F229" s="12">
        <v>0</v>
      </c>
      <c r="G229" s="17">
        <v>0</v>
      </c>
      <c r="H229" s="12">
        <v>0</v>
      </c>
      <c r="M229"/>
    </row>
    <row r="230" spans="1:13">
      <c r="A230" s="44" t="s">
        <v>158</v>
      </c>
      <c r="B230" s="44">
        <v>529785</v>
      </c>
      <c r="C230" s="44" t="s">
        <v>1212</v>
      </c>
      <c r="D230" s="11">
        <v>0</v>
      </c>
      <c r="E230" s="12">
        <v>0</v>
      </c>
      <c r="F230" s="12">
        <v>2</v>
      </c>
      <c r="G230" s="17">
        <v>0</v>
      </c>
      <c r="H230" s="12">
        <v>0</v>
      </c>
      <c r="M230"/>
    </row>
    <row r="231" spans="1:13">
      <c r="A231" s="44">
        <v>2613051475</v>
      </c>
      <c r="B231" s="44">
        <v>366676</v>
      </c>
      <c r="C231" s="44" t="s">
        <v>900</v>
      </c>
      <c r="D231" s="11">
        <v>0</v>
      </c>
      <c r="E231" s="12">
        <v>0</v>
      </c>
      <c r="F231" s="12">
        <v>3</v>
      </c>
      <c r="G231" s="17">
        <v>0</v>
      </c>
      <c r="H231" s="12">
        <v>0</v>
      </c>
      <c r="M231"/>
    </row>
    <row r="232" spans="1:13">
      <c r="A232" s="44" t="s">
        <v>145</v>
      </c>
      <c r="B232" s="44">
        <v>211644</v>
      </c>
      <c r="C232" s="44" t="s">
        <v>1213</v>
      </c>
      <c r="D232" s="11">
        <v>1</v>
      </c>
      <c r="E232" s="12">
        <v>0</v>
      </c>
      <c r="F232" s="12">
        <v>4</v>
      </c>
      <c r="G232" s="17">
        <v>2</v>
      </c>
      <c r="H232" s="12">
        <v>0</v>
      </c>
      <c r="M232"/>
    </row>
    <row r="233" spans="1:13">
      <c r="A233" s="44">
        <v>2613052222</v>
      </c>
      <c r="B233" s="44">
        <v>221350</v>
      </c>
      <c r="C233" s="44" t="s">
        <v>1214</v>
      </c>
      <c r="D233" s="11">
        <v>1</v>
      </c>
      <c r="E233" s="12">
        <v>0</v>
      </c>
      <c r="F233" s="12">
        <v>4</v>
      </c>
      <c r="G233" s="17">
        <v>4</v>
      </c>
      <c r="H233" s="12">
        <v>0</v>
      </c>
      <c r="M233"/>
    </row>
    <row r="234" spans="1:13">
      <c r="A234" s="44" t="s">
        <v>145</v>
      </c>
      <c r="B234" s="44">
        <v>399091</v>
      </c>
      <c r="C234" s="44" t="s">
        <v>506</v>
      </c>
      <c r="D234" s="11">
        <v>1</v>
      </c>
      <c r="E234" s="12">
        <v>0</v>
      </c>
      <c r="F234" s="12">
        <v>0</v>
      </c>
      <c r="G234" s="17">
        <v>1</v>
      </c>
      <c r="H234" s="12">
        <v>1</v>
      </c>
      <c r="M234"/>
    </row>
    <row r="235" spans="1:13">
      <c r="A235" s="44" t="s">
        <v>153</v>
      </c>
      <c r="B235" s="44">
        <v>211752</v>
      </c>
      <c r="C235" s="44" t="s">
        <v>1215</v>
      </c>
      <c r="D235" s="11">
        <v>1</v>
      </c>
      <c r="E235" s="12">
        <v>0</v>
      </c>
      <c r="F235" s="12">
        <v>0</v>
      </c>
      <c r="G235" s="17">
        <v>37</v>
      </c>
      <c r="H235" s="12">
        <v>37</v>
      </c>
      <c r="M235"/>
    </row>
    <row r="236" spans="1:13">
      <c r="A236" s="44" t="s">
        <v>140</v>
      </c>
      <c r="B236" s="44">
        <v>12321896</v>
      </c>
      <c r="C236" s="44" t="s">
        <v>458</v>
      </c>
      <c r="D236" s="11">
        <v>0</v>
      </c>
      <c r="E236" s="12">
        <v>0</v>
      </c>
      <c r="F236" s="12">
        <v>4</v>
      </c>
      <c r="G236" s="17">
        <v>0</v>
      </c>
      <c r="H236" s="12">
        <v>0</v>
      </c>
      <c r="M236"/>
    </row>
    <row r="237" spans="1:13">
      <c r="A237" s="44" t="s">
        <v>150</v>
      </c>
      <c r="B237" s="44">
        <v>8334</v>
      </c>
      <c r="C237" s="44" t="s">
        <v>1216</v>
      </c>
      <c r="D237" s="11">
        <v>0</v>
      </c>
      <c r="E237" s="12">
        <v>0</v>
      </c>
      <c r="F237" s="12">
        <v>6</v>
      </c>
      <c r="G237" s="17">
        <v>0</v>
      </c>
      <c r="H237" s="12">
        <v>0</v>
      </c>
      <c r="M237"/>
    </row>
    <row r="238" spans="1:13">
      <c r="A238" s="44" t="s">
        <v>145</v>
      </c>
      <c r="B238" s="44">
        <v>63914</v>
      </c>
      <c r="C238" s="44" t="s">
        <v>522</v>
      </c>
      <c r="D238" s="11">
        <v>0</v>
      </c>
      <c r="E238" s="12">
        <v>0</v>
      </c>
      <c r="F238" s="12">
        <v>0</v>
      </c>
      <c r="G238" s="17">
        <v>0</v>
      </c>
      <c r="H238" s="12">
        <v>0</v>
      </c>
      <c r="M238"/>
    </row>
    <row r="239" spans="1:13">
      <c r="A239" s="44" t="s">
        <v>141</v>
      </c>
      <c r="B239" s="44">
        <v>416899</v>
      </c>
      <c r="C239" s="44" t="s">
        <v>199</v>
      </c>
      <c r="D239" s="11">
        <v>1</v>
      </c>
      <c r="E239" s="12">
        <v>0</v>
      </c>
      <c r="F239" s="12">
        <v>3</v>
      </c>
      <c r="G239" s="17">
        <v>3</v>
      </c>
      <c r="H239" s="12">
        <v>0</v>
      </c>
      <c r="M239"/>
    </row>
    <row r="240" spans="1:13">
      <c r="A240" s="44" t="s">
        <v>155</v>
      </c>
      <c r="B240" s="44">
        <v>2385</v>
      </c>
      <c r="C240" s="44" t="s">
        <v>1217</v>
      </c>
      <c r="D240" s="11">
        <v>1</v>
      </c>
      <c r="E240" s="12">
        <v>0</v>
      </c>
      <c r="F240" s="12">
        <v>2</v>
      </c>
      <c r="G240" s="17">
        <v>3</v>
      </c>
      <c r="H240" s="12">
        <v>1</v>
      </c>
      <c r="M240"/>
    </row>
    <row r="241" spans="1:13">
      <c r="A241" s="44" t="s">
        <v>143</v>
      </c>
      <c r="B241" s="44">
        <v>523878</v>
      </c>
      <c r="C241" s="44" t="s">
        <v>269</v>
      </c>
      <c r="D241" s="11">
        <v>1</v>
      </c>
      <c r="E241" s="12">
        <v>0</v>
      </c>
      <c r="F241" s="12">
        <v>4</v>
      </c>
      <c r="G241" s="17">
        <v>2</v>
      </c>
      <c r="H241" s="12">
        <v>0</v>
      </c>
      <c r="M241"/>
    </row>
    <row r="242" spans="1:13">
      <c r="A242" s="44">
        <v>2613050886</v>
      </c>
      <c r="B242" s="44">
        <v>240661</v>
      </c>
      <c r="C242" s="44" t="s">
        <v>320</v>
      </c>
      <c r="D242" s="11">
        <v>0</v>
      </c>
      <c r="E242" s="12">
        <v>0</v>
      </c>
      <c r="F242" s="12">
        <v>2</v>
      </c>
      <c r="G242" s="17">
        <v>0</v>
      </c>
      <c r="H242" s="12">
        <v>0</v>
      </c>
      <c r="M242"/>
    </row>
    <row r="243" spans="1:13">
      <c r="A243" s="44" t="s">
        <v>141</v>
      </c>
      <c r="B243" s="44">
        <v>440835</v>
      </c>
      <c r="C243" s="44" t="s">
        <v>201</v>
      </c>
      <c r="D243" s="11">
        <v>1</v>
      </c>
      <c r="E243" s="12">
        <v>0</v>
      </c>
      <c r="F243" s="12">
        <v>2</v>
      </c>
      <c r="G243" s="17">
        <v>1</v>
      </c>
      <c r="H243" s="12">
        <v>0</v>
      </c>
      <c r="M243"/>
    </row>
    <row r="244" spans="1:13">
      <c r="A244" s="44" t="s">
        <v>5</v>
      </c>
      <c r="B244" s="44">
        <v>12303072</v>
      </c>
      <c r="C244" s="44" t="s">
        <v>1078</v>
      </c>
      <c r="D244" s="11">
        <v>0</v>
      </c>
      <c r="E244" s="12">
        <v>0</v>
      </c>
      <c r="F244" s="12">
        <v>2</v>
      </c>
      <c r="G244" s="17">
        <v>0</v>
      </c>
      <c r="H244" s="12">
        <v>0</v>
      </c>
      <c r="M244"/>
    </row>
    <row r="245" spans="1:13">
      <c r="A245" s="44" t="s">
        <v>142</v>
      </c>
      <c r="B245" s="44">
        <v>526409</v>
      </c>
      <c r="C245" s="44" t="s">
        <v>362</v>
      </c>
      <c r="D245" s="11">
        <v>1</v>
      </c>
      <c r="E245" s="12">
        <v>0</v>
      </c>
      <c r="F245" s="12">
        <v>0</v>
      </c>
      <c r="G245" s="17">
        <v>1</v>
      </c>
      <c r="H245" s="12">
        <v>1</v>
      </c>
      <c r="M245"/>
    </row>
    <row r="246" spans="1:13">
      <c r="A246" s="44" t="s">
        <v>144</v>
      </c>
      <c r="B246" s="44">
        <v>513078</v>
      </c>
      <c r="C246" s="44" t="s">
        <v>1218</v>
      </c>
      <c r="D246" s="11">
        <v>0</v>
      </c>
      <c r="E246" s="12">
        <v>0</v>
      </c>
      <c r="F246" s="12">
        <v>1</v>
      </c>
      <c r="G246" s="17">
        <v>0</v>
      </c>
      <c r="H246" s="12">
        <v>0</v>
      </c>
      <c r="M246"/>
    </row>
    <row r="247" spans="1:13">
      <c r="A247" s="44" t="s">
        <v>150</v>
      </c>
      <c r="B247" s="44">
        <v>264668</v>
      </c>
      <c r="C247" s="44" t="s">
        <v>819</v>
      </c>
      <c r="D247" s="11">
        <v>1</v>
      </c>
      <c r="E247" s="12">
        <v>0</v>
      </c>
      <c r="F247" s="12">
        <v>2</v>
      </c>
      <c r="G247" s="17">
        <v>1</v>
      </c>
      <c r="H247" s="12">
        <v>0</v>
      </c>
      <c r="M247"/>
    </row>
    <row r="248" spans="1:13">
      <c r="A248" s="44" t="s">
        <v>1136</v>
      </c>
      <c r="B248" s="44">
        <v>61603</v>
      </c>
      <c r="C248" s="44" t="s">
        <v>1219</v>
      </c>
      <c r="D248" s="11">
        <v>0</v>
      </c>
      <c r="E248" s="12">
        <v>0</v>
      </c>
      <c r="F248" s="12">
        <v>3</v>
      </c>
      <c r="G248" s="17">
        <v>0</v>
      </c>
      <c r="H248" s="12">
        <v>0</v>
      </c>
      <c r="M248"/>
    </row>
    <row r="249" spans="1:13">
      <c r="A249" s="44" t="s">
        <v>155</v>
      </c>
      <c r="B249" s="44">
        <v>12327984</v>
      </c>
      <c r="C249" s="44" t="s">
        <v>926</v>
      </c>
      <c r="D249" s="11">
        <v>1</v>
      </c>
      <c r="E249" s="12">
        <v>0</v>
      </c>
      <c r="F249" s="12">
        <v>3</v>
      </c>
      <c r="G249" s="17">
        <v>3</v>
      </c>
      <c r="H249" s="12">
        <v>0</v>
      </c>
      <c r="M249"/>
    </row>
    <row r="250" spans="1:13">
      <c r="A250" s="44" t="s">
        <v>158</v>
      </c>
      <c r="B250" s="44">
        <v>12323735</v>
      </c>
      <c r="C250" s="44" t="s">
        <v>1220</v>
      </c>
      <c r="D250" s="11">
        <v>0</v>
      </c>
      <c r="E250" s="12">
        <v>0</v>
      </c>
      <c r="F250" s="12">
        <v>0</v>
      </c>
      <c r="G250" s="17">
        <v>0</v>
      </c>
      <c r="H250" s="12">
        <v>0</v>
      </c>
      <c r="M250"/>
    </row>
    <row r="251" spans="1:13">
      <c r="A251" s="44" t="s">
        <v>152</v>
      </c>
      <c r="B251" s="44">
        <v>339975</v>
      </c>
      <c r="C251" s="44" t="s">
        <v>1221</v>
      </c>
      <c r="D251" s="11">
        <v>0</v>
      </c>
      <c r="E251" s="12">
        <v>0</v>
      </c>
      <c r="F251" s="12">
        <v>2</v>
      </c>
      <c r="G251" s="17">
        <v>0</v>
      </c>
      <c r="H251" s="12">
        <v>0</v>
      </c>
      <c r="M251"/>
    </row>
    <row r="252" spans="1:13">
      <c r="A252" s="44">
        <v>2613051475</v>
      </c>
      <c r="B252" s="44">
        <v>531733</v>
      </c>
      <c r="C252" s="44" t="s">
        <v>912</v>
      </c>
      <c r="D252" s="11">
        <v>1</v>
      </c>
      <c r="E252" s="12">
        <v>0</v>
      </c>
      <c r="F252" s="12">
        <v>4</v>
      </c>
      <c r="G252" s="17">
        <v>1</v>
      </c>
      <c r="H252" s="12">
        <v>0</v>
      </c>
      <c r="M252"/>
    </row>
    <row r="253" spans="1:13">
      <c r="A253" s="44" t="s">
        <v>136</v>
      </c>
      <c r="B253" s="44">
        <v>546628</v>
      </c>
      <c r="C253" s="44" t="s">
        <v>409</v>
      </c>
      <c r="D253" s="11">
        <v>1</v>
      </c>
      <c r="E253" s="12">
        <v>0</v>
      </c>
      <c r="F253" s="12">
        <v>24</v>
      </c>
      <c r="G253" s="17">
        <v>12</v>
      </c>
      <c r="H253" s="12">
        <v>0</v>
      </c>
      <c r="M253"/>
    </row>
    <row r="254" spans="1:13">
      <c r="A254" s="44" t="s">
        <v>155</v>
      </c>
      <c r="B254" s="44">
        <v>13057</v>
      </c>
      <c r="C254" s="44" t="s">
        <v>929</v>
      </c>
      <c r="D254" s="11">
        <v>1</v>
      </c>
      <c r="E254" s="12">
        <v>0</v>
      </c>
      <c r="F254" s="12">
        <v>3</v>
      </c>
      <c r="G254" s="17">
        <v>6</v>
      </c>
      <c r="H254" s="12">
        <v>3</v>
      </c>
      <c r="M254"/>
    </row>
    <row r="255" spans="1:13">
      <c r="A255" s="44" t="s">
        <v>155</v>
      </c>
      <c r="B255" s="44">
        <v>61851</v>
      </c>
      <c r="C255" s="44" t="s">
        <v>955</v>
      </c>
      <c r="D255" s="11">
        <v>1</v>
      </c>
      <c r="E255" s="12">
        <v>0</v>
      </c>
      <c r="F255" s="12">
        <v>3</v>
      </c>
      <c r="G255" s="17">
        <v>1</v>
      </c>
      <c r="H255" s="12">
        <v>0</v>
      </c>
      <c r="M255"/>
    </row>
    <row r="256" spans="1:13">
      <c r="A256" s="44" t="s">
        <v>154</v>
      </c>
      <c r="B256" s="44">
        <v>62152</v>
      </c>
      <c r="C256" s="44" t="s">
        <v>757</v>
      </c>
      <c r="D256" s="11">
        <v>0</v>
      </c>
      <c r="E256" s="12">
        <v>0</v>
      </c>
      <c r="F256" s="12">
        <v>1</v>
      </c>
      <c r="G256" s="17">
        <v>0</v>
      </c>
      <c r="H256" s="12">
        <v>0</v>
      </c>
      <c r="M256"/>
    </row>
    <row r="257" spans="1:13">
      <c r="A257" s="44" t="s">
        <v>151</v>
      </c>
      <c r="B257" s="44">
        <v>107297</v>
      </c>
      <c r="C257" s="44" t="s">
        <v>849</v>
      </c>
      <c r="D257" s="11">
        <v>1</v>
      </c>
      <c r="E257" s="12">
        <v>0</v>
      </c>
      <c r="F257" s="12">
        <v>29</v>
      </c>
      <c r="G257" s="17">
        <v>18</v>
      </c>
      <c r="H257" s="12">
        <v>0</v>
      </c>
      <c r="M257"/>
    </row>
    <row r="258" spans="1:13">
      <c r="A258" s="44" t="s">
        <v>143</v>
      </c>
      <c r="B258" s="44">
        <v>512103</v>
      </c>
      <c r="C258" s="44" t="s">
        <v>1222</v>
      </c>
      <c r="D258" s="11">
        <v>1</v>
      </c>
      <c r="E258" s="12">
        <v>0</v>
      </c>
      <c r="F258" s="12">
        <v>5</v>
      </c>
      <c r="G258" s="17">
        <v>1</v>
      </c>
      <c r="H258" s="12">
        <v>0</v>
      </c>
      <c r="M258"/>
    </row>
    <row r="259" spans="1:13">
      <c r="A259" s="44" t="s">
        <v>144</v>
      </c>
      <c r="B259" s="44">
        <v>516003</v>
      </c>
      <c r="C259" s="44" t="s">
        <v>235</v>
      </c>
      <c r="D259" s="11">
        <v>1</v>
      </c>
      <c r="E259" s="12">
        <v>0</v>
      </c>
      <c r="F259" s="12">
        <v>5</v>
      </c>
      <c r="G259" s="17">
        <v>1</v>
      </c>
      <c r="H259" s="12">
        <v>0</v>
      </c>
      <c r="M259"/>
    </row>
    <row r="260" spans="1:13">
      <c r="A260" s="44" t="s">
        <v>153</v>
      </c>
      <c r="B260" s="44">
        <v>261367</v>
      </c>
      <c r="C260" s="44" t="s">
        <v>1223</v>
      </c>
      <c r="D260" s="11">
        <v>1</v>
      </c>
      <c r="E260" s="12">
        <v>0</v>
      </c>
      <c r="F260" s="12">
        <v>0</v>
      </c>
      <c r="G260" s="17">
        <v>3</v>
      </c>
      <c r="H260" s="12">
        <v>3</v>
      </c>
      <c r="M260"/>
    </row>
    <row r="261" spans="1:13">
      <c r="A261" s="44">
        <v>2613051451</v>
      </c>
      <c r="B261" s="44">
        <v>402411</v>
      </c>
      <c r="C261" s="44" t="s">
        <v>387</v>
      </c>
      <c r="D261" s="11">
        <v>0</v>
      </c>
      <c r="E261" s="12">
        <v>0</v>
      </c>
      <c r="F261" s="12">
        <v>4</v>
      </c>
      <c r="G261" s="17">
        <v>0</v>
      </c>
      <c r="H261" s="12">
        <v>0</v>
      </c>
      <c r="M261"/>
    </row>
    <row r="262" spans="1:13">
      <c r="A262" s="44" t="s">
        <v>157</v>
      </c>
      <c r="B262" s="44">
        <v>572180</v>
      </c>
      <c r="C262" s="44" t="s">
        <v>1224</v>
      </c>
      <c r="D262" s="11">
        <v>1</v>
      </c>
      <c r="E262" s="12">
        <v>0</v>
      </c>
      <c r="F262" s="12">
        <v>3</v>
      </c>
      <c r="G262" s="17">
        <v>1</v>
      </c>
      <c r="H262" s="12">
        <v>0</v>
      </c>
      <c r="M262"/>
    </row>
    <row r="263" spans="1:13">
      <c r="A263" s="44" t="s">
        <v>144</v>
      </c>
      <c r="B263" s="44">
        <v>62014</v>
      </c>
      <c r="C263" s="44" t="s">
        <v>245</v>
      </c>
      <c r="D263" s="11">
        <v>0</v>
      </c>
      <c r="E263" s="12">
        <v>0</v>
      </c>
      <c r="F263" s="12">
        <v>7</v>
      </c>
      <c r="G263" s="17">
        <v>0</v>
      </c>
      <c r="H263" s="12">
        <v>0</v>
      </c>
      <c r="M263"/>
    </row>
    <row r="264" spans="1:13">
      <c r="A264" s="44" t="s">
        <v>144</v>
      </c>
      <c r="B264" s="44">
        <v>513017</v>
      </c>
      <c r="C264" s="44" t="s">
        <v>1225</v>
      </c>
      <c r="D264" s="11">
        <v>1</v>
      </c>
      <c r="E264" s="12">
        <v>0</v>
      </c>
      <c r="F264" s="12">
        <v>2</v>
      </c>
      <c r="G264" s="17">
        <v>2</v>
      </c>
      <c r="H264" s="12">
        <v>0</v>
      </c>
      <c r="M264"/>
    </row>
    <row r="265" spans="1:13">
      <c r="A265" s="44" t="s">
        <v>148</v>
      </c>
      <c r="B265" s="44">
        <v>244663</v>
      </c>
      <c r="C265" s="44" t="s">
        <v>636</v>
      </c>
      <c r="D265" s="11">
        <v>0</v>
      </c>
      <c r="E265" s="12">
        <v>0</v>
      </c>
      <c r="F265" s="12">
        <v>5</v>
      </c>
      <c r="G265" s="17">
        <v>0</v>
      </c>
      <c r="H265" s="12">
        <v>0</v>
      </c>
      <c r="M265"/>
    </row>
    <row r="266" spans="1:13">
      <c r="A266" s="44" t="s">
        <v>153</v>
      </c>
      <c r="B266" s="44">
        <v>199313</v>
      </c>
      <c r="C266" s="44" t="s">
        <v>712</v>
      </c>
      <c r="D266" s="11">
        <v>0</v>
      </c>
      <c r="E266" s="12">
        <v>0</v>
      </c>
      <c r="F266" s="12">
        <v>1</v>
      </c>
      <c r="G266" s="17">
        <v>0</v>
      </c>
      <c r="H266" s="12">
        <v>0</v>
      </c>
      <c r="M266"/>
    </row>
    <row r="267" spans="1:13">
      <c r="A267" s="44" t="s">
        <v>145</v>
      </c>
      <c r="B267" s="44">
        <v>547256</v>
      </c>
      <c r="C267" s="44" t="s">
        <v>516</v>
      </c>
      <c r="D267" s="11">
        <v>1</v>
      </c>
      <c r="E267" s="12">
        <v>1</v>
      </c>
      <c r="F267" s="12">
        <v>5</v>
      </c>
      <c r="G267" s="17">
        <v>2</v>
      </c>
      <c r="H267" s="12">
        <v>0</v>
      </c>
      <c r="M267"/>
    </row>
    <row r="268" spans="1:13">
      <c r="A268" s="44" t="s">
        <v>1140</v>
      </c>
      <c r="B268" s="44">
        <v>517908</v>
      </c>
      <c r="C268" s="44" t="s">
        <v>1226</v>
      </c>
      <c r="D268" s="11">
        <v>0</v>
      </c>
      <c r="E268" s="12">
        <v>0</v>
      </c>
      <c r="F268" s="12">
        <v>1</v>
      </c>
      <c r="G268" s="17">
        <v>0</v>
      </c>
      <c r="H268" s="12">
        <v>0</v>
      </c>
      <c r="M268"/>
    </row>
    <row r="269" spans="1:13">
      <c r="A269" s="44">
        <v>2613051043</v>
      </c>
      <c r="B269" s="44">
        <v>12297195</v>
      </c>
      <c r="C269" s="44" t="s">
        <v>450</v>
      </c>
      <c r="D269" s="11">
        <v>0</v>
      </c>
      <c r="E269" s="12">
        <v>0</v>
      </c>
      <c r="F269" s="12">
        <v>0</v>
      </c>
      <c r="G269" s="17">
        <v>0</v>
      </c>
      <c r="H269" s="12">
        <v>0</v>
      </c>
      <c r="M269"/>
    </row>
    <row r="270" spans="1:13">
      <c r="A270" s="44" t="s">
        <v>140</v>
      </c>
      <c r="B270" s="44">
        <v>480116</v>
      </c>
      <c r="C270" s="44" t="s">
        <v>475</v>
      </c>
      <c r="D270" s="11">
        <v>0</v>
      </c>
      <c r="E270" s="12">
        <v>0</v>
      </c>
      <c r="F270" s="12">
        <v>3</v>
      </c>
      <c r="G270" s="17">
        <v>0</v>
      </c>
      <c r="H270" s="12">
        <v>0</v>
      </c>
      <c r="M270"/>
    </row>
    <row r="271" spans="1:13">
      <c r="A271" s="44" t="s">
        <v>1136</v>
      </c>
      <c r="B271" s="44">
        <v>127119</v>
      </c>
      <c r="C271" s="44" t="s">
        <v>1227</v>
      </c>
      <c r="D271" s="11">
        <v>0</v>
      </c>
      <c r="E271" s="12">
        <v>0</v>
      </c>
      <c r="F271" s="12">
        <v>2</v>
      </c>
      <c r="G271" s="17">
        <v>0</v>
      </c>
      <c r="H271" s="12">
        <v>0</v>
      </c>
      <c r="M271"/>
    </row>
    <row r="272" spans="1:13">
      <c r="A272" s="44">
        <v>2613052584</v>
      </c>
      <c r="B272" s="44">
        <v>12326492</v>
      </c>
      <c r="C272" s="44" t="s">
        <v>578</v>
      </c>
      <c r="D272" s="11">
        <v>1</v>
      </c>
      <c r="E272" s="12">
        <v>0</v>
      </c>
      <c r="F272" s="12">
        <v>0</v>
      </c>
      <c r="G272" s="17">
        <v>5</v>
      </c>
      <c r="H272" s="12">
        <v>5</v>
      </c>
      <c r="M272"/>
    </row>
    <row r="273" spans="1:13">
      <c r="A273" s="44" t="s">
        <v>153</v>
      </c>
      <c r="B273" s="44">
        <v>115396</v>
      </c>
      <c r="C273" s="44" t="s">
        <v>705</v>
      </c>
      <c r="D273" s="11">
        <v>0</v>
      </c>
      <c r="E273" s="12">
        <v>0</v>
      </c>
      <c r="F273" s="12">
        <v>1</v>
      </c>
      <c r="G273" s="17">
        <v>0</v>
      </c>
      <c r="H273" s="12">
        <v>0</v>
      </c>
      <c r="M273"/>
    </row>
    <row r="274" spans="1:13">
      <c r="A274" s="44" t="s">
        <v>158</v>
      </c>
      <c r="B274" s="44">
        <v>342882</v>
      </c>
      <c r="C274" s="44" t="s">
        <v>1228</v>
      </c>
      <c r="D274" s="11">
        <v>1</v>
      </c>
      <c r="E274" s="12">
        <v>0</v>
      </c>
      <c r="F274" s="12">
        <v>4</v>
      </c>
      <c r="G274" s="17">
        <v>1</v>
      </c>
      <c r="H274" s="12">
        <v>0</v>
      </c>
      <c r="M274"/>
    </row>
    <row r="275" spans="1:13">
      <c r="A275" s="44" t="s">
        <v>143</v>
      </c>
      <c r="B275" s="44">
        <v>489186</v>
      </c>
      <c r="C275" s="44" t="s">
        <v>1229</v>
      </c>
      <c r="D275" s="11">
        <v>1</v>
      </c>
      <c r="E275" s="12">
        <v>0</v>
      </c>
      <c r="F275" s="12">
        <v>4</v>
      </c>
      <c r="G275" s="17">
        <v>1</v>
      </c>
      <c r="H275" s="12">
        <v>0</v>
      </c>
      <c r="M275"/>
    </row>
    <row r="276" spans="1:13">
      <c r="A276" s="44" t="s">
        <v>145</v>
      </c>
      <c r="B276" s="44">
        <v>186913</v>
      </c>
      <c r="C276" s="44" t="s">
        <v>492</v>
      </c>
      <c r="D276" s="11">
        <v>1</v>
      </c>
      <c r="E276" s="12">
        <v>0</v>
      </c>
      <c r="F276" s="12">
        <v>11</v>
      </c>
      <c r="G276" s="17">
        <v>5</v>
      </c>
      <c r="H276" s="12">
        <v>0</v>
      </c>
      <c r="M276"/>
    </row>
    <row r="277" spans="1:13">
      <c r="A277" s="44" t="s">
        <v>145</v>
      </c>
      <c r="B277" s="44">
        <v>546124</v>
      </c>
      <c r="C277" s="44" t="s">
        <v>515</v>
      </c>
      <c r="D277" s="11">
        <v>1</v>
      </c>
      <c r="E277" s="12">
        <v>0</v>
      </c>
      <c r="F277" s="12">
        <v>25</v>
      </c>
      <c r="G277" s="17">
        <v>17</v>
      </c>
      <c r="H277" s="12">
        <v>0</v>
      </c>
      <c r="M277"/>
    </row>
    <row r="278" spans="1:13">
      <c r="A278" s="44" t="s">
        <v>150</v>
      </c>
      <c r="B278" s="44">
        <v>2628</v>
      </c>
      <c r="C278" s="44" t="s">
        <v>818</v>
      </c>
      <c r="D278" s="11">
        <v>1</v>
      </c>
      <c r="E278" s="12">
        <v>2</v>
      </c>
      <c r="F278" s="12">
        <v>5</v>
      </c>
      <c r="G278" s="17">
        <v>2</v>
      </c>
      <c r="H278" s="12">
        <v>0</v>
      </c>
      <c r="M278"/>
    </row>
    <row r="279" spans="1:13">
      <c r="A279" s="44" t="s">
        <v>144</v>
      </c>
      <c r="B279" s="44">
        <v>12306416</v>
      </c>
      <c r="C279" s="44" t="s">
        <v>216</v>
      </c>
      <c r="D279" s="11">
        <v>0</v>
      </c>
      <c r="E279" s="12">
        <v>0</v>
      </c>
      <c r="F279" s="12">
        <v>1</v>
      </c>
      <c r="G279" s="17">
        <v>0</v>
      </c>
      <c r="H279" s="12">
        <v>0</v>
      </c>
      <c r="M279"/>
    </row>
    <row r="280" spans="1:13">
      <c r="A280" s="44">
        <v>2613052584</v>
      </c>
      <c r="B280" s="44">
        <v>12325950</v>
      </c>
      <c r="C280" s="44" t="s">
        <v>576</v>
      </c>
      <c r="D280" s="11">
        <v>1</v>
      </c>
      <c r="E280" s="12">
        <v>0</v>
      </c>
      <c r="F280" s="12">
        <v>0</v>
      </c>
      <c r="G280" s="17">
        <v>5</v>
      </c>
      <c r="H280" s="12">
        <v>5</v>
      </c>
      <c r="M280"/>
    </row>
    <row r="281" spans="1:13">
      <c r="A281" s="44" t="s">
        <v>144</v>
      </c>
      <c r="B281" s="44">
        <v>127104</v>
      </c>
      <c r="C281" s="44" t="s">
        <v>1230</v>
      </c>
      <c r="D281" s="11">
        <v>0</v>
      </c>
      <c r="E281" s="12">
        <v>1</v>
      </c>
      <c r="F281" s="12">
        <v>47</v>
      </c>
      <c r="G281" s="17">
        <v>0</v>
      </c>
      <c r="H281" s="12">
        <v>0</v>
      </c>
      <c r="M281"/>
    </row>
    <row r="282" spans="1:13">
      <c r="A282" s="44" t="s">
        <v>154</v>
      </c>
      <c r="B282" s="44">
        <v>355431</v>
      </c>
      <c r="C282" s="44" t="s">
        <v>1231</v>
      </c>
      <c r="D282" s="11">
        <v>1</v>
      </c>
      <c r="E282" s="12">
        <v>0</v>
      </c>
      <c r="F282" s="12">
        <v>3</v>
      </c>
      <c r="G282" s="17">
        <v>2</v>
      </c>
      <c r="H282" s="12">
        <v>0</v>
      </c>
      <c r="M282"/>
    </row>
    <row r="283" spans="1:13">
      <c r="A283" s="44" t="s">
        <v>150</v>
      </c>
      <c r="B283" s="44">
        <v>559287</v>
      </c>
      <c r="C283" s="44" t="s">
        <v>837</v>
      </c>
      <c r="D283" s="11">
        <v>1</v>
      </c>
      <c r="E283" s="12">
        <v>0</v>
      </c>
      <c r="F283" s="12">
        <v>2</v>
      </c>
      <c r="G283" s="17">
        <v>3</v>
      </c>
      <c r="H283" s="12">
        <v>1</v>
      </c>
      <c r="M283"/>
    </row>
    <row r="284" spans="1:13">
      <c r="A284" s="44" t="s">
        <v>158</v>
      </c>
      <c r="B284" s="44">
        <v>234536</v>
      </c>
      <c r="C284" s="44" t="s">
        <v>1232</v>
      </c>
      <c r="D284" s="11">
        <v>1</v>
      </c>
      <c r="E284" s="12">
        <v>0</v>
      </c>
      <c r="F284" s="12">
        <v>1</v>
      </c>
      <c r="G284" s="17">
        <v>1</v>
      </c>
      <c r="H284" s="12">
        <v>0</v>
      </c>
      <c r="M284"/>
    </row>
    <row r="285" spans="1:13">
      <c r="A285" s="44" t="s">
        <v>156</v>
      </c>
      <c r="B285" s="44">
        <v>347320</v>
      </c>
      <c r="C285" s="44" t="s">
        <v>986</v>
      </c>
      <c r="D285" s="11">
        <v>1</v>
      </c>
      <c r="E285" s="12">
        <v>0</v>
      </c>
      <c r="F285" s="12">
        <v>9</v>
      </c>
      <c r="G285" s="17">
        <v>3</v>
      </c>
      <c r="H285" s="12">
        <v>0</v>
      </c>
      <c r="M285"/>
    </row>
    <row r="286" spans="1:13">
      <c r="A286" s="44" t="s">
        <v>157</v>
      </c>
      <c r="B286" s="44">
        <v>260342</v>
      </c>
      <c r="C286" s="44" t="s">
        <v>1030</v>
      </c>
      <c r="D286" s="11">
        <v>0</v>
      </c>
      <c r="E286" s="12">
        <v>0</v>
      </c>
      <c r="F286" s="12">
        <v>3</v>
      </c>
      <c r="G286" s="17">
        <v>0</v>
      </c>
      <c r="H286" s="12">
        <v>0</v>
      </c>
      <c r="M286"/>
    </row>
    <row r="287" spans="1:13">
      <c r="A287" s="44">
        <v>2613052222</v>
      </c>
      <c r="B287" s="44">
        <v>458953</v>
      </c>
      <c r="C287" s="44" t="s">
        <v>698</v>
      </c>
      <c r="D287" s="11">
        <v>0</v>
      </c>
      <c r="E287" s="12">
        <v>0</v>
      </c>
      <c r="F287" s="12">
        <v>2</v>
      </c>
      <c r="G287" s="17">
        <v>0</v>
      </c>
      <c r="H287" s="12">
        <v>0</v>
      </c>
      <c r="M287"/>
    </row>
    <row r="288" spans="1:13">
      <c r="A288" s="44">
        <v>2613050885</v>
      </c>
      <c r="B288" s="44">
        <v>383011</v>
      </c>
      <c r="C288" s="44" t="s">
        <v>288</v>
      </c>
      <c r="D288" s="11">
        <v>1</v>
      </c>
      <c r="E288" s="12">
        <v>0</v>
      </c>
      <c r="F288" s="12">
        <v>1</v>
      </c>
      <c r="G288" s="17">
        <v>3</v>
      </c>
      <c r="H288" s="12">
        <v>2</v>
      </c>
      <c r="M288"/>
    </row>
    <row r="289" spans="1:13">
      <c r="A289" s="44" t="s">
        <v>154</v>
      </c>
      <c r="B289" s="44">
        <v>229466</v>
      </c>
      <c r="C289" s="44" t="s">
        <v>740</v>
      </c>
      <c r="D289" s="11">
        <v>1</v>
      </c>
      <c r="E289" s="12">
        <v>0</v>
      </c>
      <c r="F289" s="12">
        <v>9</v>
      </c>
      <c r="G289" s="17">
        <v>1</v>
      </c>
      <c r="H289" s="12">
        <v>0</v>
      </c>
      <c r="M289"/>
    </row>
    <row r="290" spans="1:13">
      <c r="A290" s="44" t="s">
        <v>144</v>
      </c>
      <c r="B290" s="44">
        <v>12318668</v>
      </c>
      <c r="C290" s="44" t="s">
        <v>1233</v>
      </c>
      <c r="D290" s="11">
        <v>1</v>
      </c>
      <c r="E290" s="12">
        <v>0</v>
      </c>
      <c r="F290" s="12">
        <v>20</v>
      </c>
      <c r="G290" s="17">
        <v>4</v>
      </c>
      <c r="H290" s="12">
        <v>0</v>
      </c>
      <c r="M290"/>
    </row>
    <row r="291" spans="1:13">
      <c r="A291" s="44" t="s">
        <v>143</v>
      </c>
      <c r="B291" s="44">
        <v>418007</v>
      </c>
      <c r="C291" s="44" t="s">
        <v>263</v>
      </c>
      <c r="D291" s="11">
        <v>1</v>
      </c>
      <c r="E291" s="12">
        <v>0</v>
      </c>
      <c r="F291" s="12">
        <v>0</v>
      </c>
      <c r="G291" s="17">
        <v>1</v>
      </c>
      <c r="H291" s="12">
        <v>1</v>
      </c>
      <c r="M291"/>
    </row>
    <row r="292" spans="1:13">
      <c r="A292" s="44" t="s">
        <v>140</v>
      </c>
      <c r="B292" s="44">
        <v>506237</v>
      </c>
      <c r="C292" s="44" t="s">
        <v>1234</v>
      </c>
      <c r="D292" s="11">
        <v>1</v>
      </c>
      <c r="E292" s="12">
        <v>0</v>
      </c>
      <c r="F292" s="12">
        <v>3</v>
      </c>
      <c r="G292" s="17">
        <v>2</v>
      </c>
      <c r="H292" s="12">
        <v>0</v>
      </c>
      <c r="M292"/>
    </row>
    <row r="293" spans="1:13">
      <c r="A293" s="44" t="s">
        <v>142</v>
      </c>
      <c r="B293" s="44">
        <v>373755</v>
      </c>
      <c r="C293" s="44" t="s">
        <v>352</v>
      </c>
      <c r="D293" s="11">
        <v>1</v>
      </c>
      <c r="E293" s="12">
        <v>0</v>
      </c>
      <c r="F293" s="12">
        <v>3</v>
      </c>
      <c r="G293" s="17">
        <v>1</v>
      </c>
      <c r="H293" s="12">
        <v>0</v>
      </c>
      <c r="M293"/>
    </row>
    <row r="294" spans="1:13">
      <c r="A294" s="44">
        <v>2613050885</v>
      </c>
      <c r="B294" s="44">
        <v>240316</v>
      </c>
      <c r="C294" s="44" t="s">
        <v>284</v>
      </c>
      <c r="D294" s="11">
        <v>1</v>
      </c>
      <c r="E294" s="12">
        <v>0</v>
      </c>
      <c r="F294" s="12">
        <v>3</v>
      </c>
      <c r="G294" s="17">
        <v>3</v>
      </c>
      <c r="H294" s="12">
        <v>0</v>
      </c>
      <c r="M294"/>
    </row>
    <row r="295" spans="1:13">
      <c r="A295" s="44">
        <v>2613050885</v>
      </c>
      <c r="B295" s="44">
        <v>518940</v>
      </c>
      <c r="C295" s="44" t="s">
        <v>298</v>
      </c>
      <c r="D295" s="11">
        <v>1</v>
      </c>
      <c r="E295" s="12">
        <v>0</v>
      </c>
      <c r="F295" s="12">
        <v>0</v>
      </c>
      <c r="G295" s="17">
        <v>2</v>
      </c>
      <c r="H295" s="12">
        <v>2</v>
      </c>
      <c r="M295"/>
    </row>
    <row r="296" spans="1:13">
      <c r="A296" s="44">
        <v>2613051475</v>
      </c>
      <c r="B296" s="44">
        <v>551969</v>
      </c>
      <c r="C296" s="44" t="s">
        <v>916</v>
      </c>
      <c r="D296" s="11">
        <v>0</v>
      </c>
      <c r="E296" s="12">
        <v>0</v>
      </c>
      <c r="F296" s="12">
        <v>0</v>
      </c>
      <c r="G296" s="17">
        <v>0</v>
      </c>
      <c r="H296" s="12">
        <v>0</v>
      </c>
      <c r="M296"/>
    </row>
    <row r="297" spans="1:13">
      <c r="A297" s="44" t="s">
        <v>147</v>
      </c>
      <c r="B297" s="44">
        <v>526539</v>
      </c>
      <c r="C297" s="44" t="s">
        <v>614</v>
      </c>
      <c r="D297" s="11">
        <v>0</v>
      </c>
      <c r="E297" s="12">
        <v>0</v>
      </c>
      <c r="F297" s="12">
        <v>0</v>
      </c>
      <c r="G297" s="17">
        <v>0</v>
      </c>
      <c r="H297" s="12">
        <v>0</v>
      </c>
      <c r="M297"/>
    </row>
    <row r="298" spans="1:13">
      <c r="A298" s="44" t="s">
        <v>148</v>
      </c>
      <c r="B298" s="44">
        <v>500429</v>
      </c>
      <c r="C298" s="44" t="s">
        <v>648</v>
      </c>
      <c r="D298" s="11">
        <v>0</v>
      </c>
      <c r="E298" s="12">
        <v>0</v>
      </c>
      <c r="F298" s="12">
        <v>6</v>
      </c>
      <c r="G298" s="17">
        <v>0</v>
      </c>
      <c r="H298" s="12">
        <v>0</v>
      </c>
      <c r="M298"/>
    </row>
    <row r="299" spans="1:13">
      <c r="A299" s="44" t="s">
        <v>146</v>
      </c>
      <c r="B299" s="44">
        <v>211706</v>
      </c>
      <c r="C299" s="44" t="s">
        <v>539</v>
      </c>
      <c r="D299" s="11">
        <v>0</v>
      </c>
      <c r="E299" s="12">
        <v>0</v>
      </c>
      <c r="F299" s="12">
        <v>4</v>
      </c>
      <c r="G299" s="17">
        <v>0</v>
      </c>
      <c r="H299" s="12">
        <v>0</v>
      </c>
      <c r="M299"/>
    </row>
    <row r="300" spans="1:13">
      <c r="A300" s="44" t="s">
        <v>4</v>
      </c>
      <c r="B300" s="44">
        <v>480658</v>
      </c>
      <c r="C300" s="44" t="s">
        <v>57</v>
      </c>
      <c r="D300" s="11">
        <v>1</v>
      </c>
      <c r="E300" s="12">
        <v>0</v>
      </c>
      <c r="F300" s="12">
        <v>5</v>
      </c>
      <c r="G300" s="17">
        <v>4</v>
      </c>
      <c r="H300" s="12">
        <v>0</v>
      </c>
      <c r="M300"/>
    </row>
    <row r="301" spans="1:13">
      <c r="A301" s="44" t="s">
        <v>145</v>
      </c>
      <c r="B301" s="44">
        <v>13450</v>
      </c>
      <c r="C301" s="44" t="s">
        <v>1235</v>
      </c>
      <c r="D301" s="11">
        <v>0</v>
      </c>
      <c r="E301" s="12">
        <v>0</v>
      </c>
      <c r="F301" s="12">
        <v>3</v>
      </c>
      <c r="G301" s="17">
        <v>0</v>
      </c>
      <c r="H301" s="12">
        <v>0</v>
      </c>
      <c r="M301"/>
    </row>
    <row r="302" spans="1:13">
      <c r="A302" s="44" t="s">
        <v>145</v>
      </c>
      <c r="B302" s="44">
        <v>126982</v>
      </c>
      <c r="C302" s="44" t="s">
        <v>1236</v>
      </c>
      <c r="D302" s="11">
        <v>0</v>
      </c>
      <c r="E302" s="12">
        <v>0</v>
      </c>
      <c r="F302" s="12">
        <v>3</v>
      </c>
      <c r="G302" s="17">
        <v>0</v>
      </c>
      <c r="H302" s="12">
        <v>0</v>
      </c>
      <c r="M302"/>
    </row>
    <row r="303" spans="1:13">
      <c r="A303" s="44" t="s">
        <v>5</v>
      </c>
      <c r="B303" s="44">
        <v>501860</v>
      </c>
      <c r="C303" s="44" t="s">
        <v>1079</v>
      </c>
      <c r="D303" s="11">
        <v>1</v>
      </c>
      <c r="E303" s="12">
        <v>0</v>
      </c>
      <c r="F303" s="12">
        <v>2</v>
      </c>
      <c r="G303" s="17">
        <v>1</v>
      </c>
      <c r="H303" s="12">
        <v>0</v>
      </c>
      <c r="M303"/>
    </row>
    <row r="304" spans="1:13">
      <c r="A304" s="44">
        <v>2613051412</v>
      </c>
      <c r="B304" s="44">
        <v>12319785</v>
      </c>
      <c r="C304" s="44" t="s">
        <v>549</v>
      </c>
      <c r="D304" s="11">
        <v>1</v>
      </c>
      <c r="E304" s="12">
        <v>0</v>
      </c>
      <c r="F304" s="12">
        <v>4</v>
      </c>
      <c r="G304" s="17">
        <v>7</v>
      </c>
      <c r="H304" s="12">
        <v>3</v>
      </c>
      <c r="M304"/>
    </row>
    <row r="305" spans="1:13">
      <c r="A305" s="44">
        <v>2613051451</v>
      </c>
      <c r="B305" s="44">
        <v>211709</v>
      </c>
      <c r="C305" s="44" t="s">
        <v>1237</v>
      </c>
      <c r="D305" s="11">
        <v>1</v>
      </c>
      <c r="E305" s="12">
        <v>0</v>
      </c>
      <c r="F305" s="12">
        <v>1</v>
      </c>
      <c r="G305" s="17">
        <v>2</v>
      </c>
      <c r="H305" s="12">
        <v>1</v>
      </c>
      <c r="M305"/>
    </row>
    <row r="306" spans="1:13">
      <c r="A306" s="44" t="s">
        <v>140</v>
      </c>
      <c r="B306" s="44">
        <v>12304067</v>
      </c>
      <c r="C306" s="44" t="s">
        <v>1238</v>
      </c>
      <c r="D306" s="11">
        <v>1</v>
      </c>
      <c r="E306" s="12">
        <v>0</v>
      </c>
      <c r="F306" s="12">
        <v>4</v>
      </c>
      <c r="G306" s="17">
        <v>3</v>
      </c>
      <c r="H306" s="12">
        <v>0</v>
      </c>
      <c r="M306"/>
    </row>
    <row r="307" spans="1:13">
      <c r="A307" s="44">
        <v>2613050885</v>
      </c>
      <c r="B307" s="44">
        <v>529182</v>
      </c>
      <c r="C307" s="44" t="s">
        <v>304</v>
      </c>
      <c r="D307" s="11">
        <v>0</v>
      </c>
      <c r="E307" s="12">
        <v>0</v>
      </c>
      <c r="F307" s="12">
        <v>0</v>
      </c>
      <c r="G307" s="17">
        <v>0</v>
      </c>
      <c r="H307" s="12">
        <v>0</v>
      </c>
      <c r="M307"/>
    </row>
    <row r="308" spans="1:13">
      <c r="A308" s="44" t="s">
        <v>147</v>
      </c>
      <c r="B308" s="44">
        <v>62397</v>
      </c>
      <c r="C308" s="44" t="s">
        <v>622</v>
      </c>
      <c r="D308" s="11">
        <v>0</v>
      </c>
      <c r="E308" s="12">
        <v>0</v>
      </c>
      <c r="F308" s="12">
        <v>2</v>
      </c>
      <c r="G308" s="17">
        <v>0</v>
      </c>
      <c r="H308" s="12">
        <v>0</v>
      </c>
      <c r="M308"/>
    </row>
    <row r="309" spans="1:13">
      <c r="A309" s="44" t="s">
        <v>158</v>
      </c>
      <c r="B309" s="44">
        <v>524038</v>
      </c>
      <c r="C309" s="44" t="s">
        <v>1239</v>
      </c>
      <c r="D309" s="11">
        <v>0</v>
      </c>
      <c r="E309" s="12">
        <v>0</v>
      </c>
      <c r="F309" s="12">
        <v>0</v>
      </c>
      <c r="G309" s="17">
        <v>0</v>
      </c>
      <c r="H309" s="12">
        <v>0</v>
      </c>
      <c r="M309"/>
    </row>
    <row r="310" spans="1:13">
      <c r="A310" s="44">
        <v>2613050885</v>
      </c>
      <c r="B310" s="44">
        <v>199165</v>
      </c>
      <c r="C310" s="44" t="s">
        <v>283</v>
      </c>
      <c r="D310" s="11">
        <v>0</v>
      </c>
      <c r="E310" s="12">
        <v>0</v>
      </c>
      <c r="F310" s="12">
        <v>2</v>
      </c>
      <c r="G310" s="17">
        <v>0</v>
      </c>
      <c r="H310" s="12">
        <v>0</v>
      </c>
      <c r="M310"/>
    </row>
    <row r="311" spans="1:13">
      <c r="A311" s="44" t="s">
        <v>147</v>
      </c>
      <c r="B311" s="44">
        <v>234565</v>
      </c>
      <c r="C311" s="44" t="s">
        <v>601</v>
      </c>
      <c r="D311" s="11">
        <v>0</v>
      </c>
      <c r="E311" s="12">
        <v>0</v>
      </c>
      <c r="F311" s="12">
        <v>1</v>
      </c>
      <c r="G311" s="17">
        <v>0</v>
      </c>
      <c r="H311" s="12">
        <v>0</v>
      </c>
      <c r="M311"/>
    </row>
    <row r="312" spans="1:13">
      <c r="A312" s="44" t="s">
        <v>137</v>
      </c>
      <c r="B312" s="44">
        <v>12296312</v>
      </c>
      <c r="C312" s="44" t="s">
        <v>434</v>
      </c>
      <c r="D312" s="11">
        <v>0</v>
      </c>
      <c r="E312" s="12">
        <v>0</v>
      </c>
      <c r="F312" s="12">
        <v>4</v>
      </c>
      <c r="G312" s="17">
        <v>0</v>
      </c>
      <c r="H312" s="12">
        <v>0</v>
      </c>
      <c r="M312"/>
    </row>
    <row r="313" spans="1:13">
      <c r="A313" s="44">
        <v>2613050886</v>
      </c>
      <c r="B313" s="44">
        <v>537570</v>
      </c>
      <c r="C313" s="44" t="s">
        <v>336</v>
      </c>
      <c r="D313" s="11">
        <v>1</v>
      </c>
      <c r="E313" s="12">
        <v>0</v>
      </c>
      <c r="F313" s="12">
        <v>13</v>
      </c>
      <c r="G313" s="17">
        <v>10</v>
      </c>
      <c r="H313" s="12">
        <v>0</v>
      </c>
      <c r="M313"/>
    </row>
    <row r="314" spans="1:13">
      <c r="A314" s="44" t="s">
        <v>154</v>
      </c>
      <c r="B314" s="44">
        <v>238637</v>
      </c>
      <c r="C314" s="44" t="s">
        <v>1240</v>
      </c>
      <c r="D314" s="11">
        <v>0</v>
      </c>
      <c r="E314" s="12">
        <v>0</v>
      </c>
      <c r="F314" s="12">
        <v>3</v>
      </c>
      <c r="G314" s="17">
        <v>0</v>
      </c>
      <c r="H314" s="12">
        <v>0</v>
      </c>
      <c r="M314"/>
    </row>
    <row r="315" spans="1:13">
      <c r="A315" s="44" t="s">
        <v>151</v>
      </c>
      <c r="B315" s="44">
        <v>61600</v>
      </c>
      <c r="C315" s="44" t="s">
        <v>880</v>
      </c>
      <c r="D315" s="11">
        <v>0</v>
      </c>
      <c r="E315" s="12">
        <v>0</v>
      </c>
      <c r="F315" s="12">
        <v>0</v>
      </c>
      <c r="G315" s="17">
        <v>0</v>
      </c>
      <c r="H315" s="12">
        <v>0</v>
      </c>
      <c r="M315"/>
    </row>
    <row r="316" spans="1:13">
      <c r="A316" s="44" t="s">
        <v>149</v>
      </c>
      <c r="B316" s="44">
        <v>315088</v>
      </c>
      <c r="C316" s="44" t="s">
        <v>781</v>
      </c>
      <c r="D316" s="11">
        <v>0</v>
      </c>
      <c r="E316" s="12">
        <v>0</v>
      </c>
      <c r="F316" s="12">
        <v>0</v>
      </c>
      <c r="G316" s="17">
        <v>0</v>
      </c>
      <c r="H316" s="12">
        <v>0</v>
      </c>
      <c r="M316"/>
    </row>
    <row r="317" spans="1:13">
      <c r="A317" s="44" t="s">
        <v>137</v>
      </c>
      <c r="B317" s="44">
        <v>12296068</v>
      </c>
      <c r="C317" s="44" t="s">
        <v>427</v>
      </c>
      <c r="D317" s="11">
        <v>1</v>
      </c>
      <c r="E317" s="12">
        <v>0</v>
      </c>
      <c r="F317" s="12">
        <v>6</v>
      </c>
      <c r="G317" s="17">
        <v>1</v>
      </c>
      <c r="H317" s="12">
        <v>0</v>
      </c>
      <c r="M317"/>
    </row>
    <row r="318" spans="1:13">
      <c r="A318" s="44" t="s">
        <v>5</v>
      </c>
      <c r="B318" s="44">
        <v>543771</v>
      </c>
      <c r="C318" s="44" t="s">
        <v>106</v>
      </c>
      <c r="D318" s="11">
        <v>0</v>
      </c>
      <c r="E318" s="12">
        <v>0</v>
      </c>
      <c r="F318" s="12">
        <v>0</v>
      </c>
      <c r="G318" s="17">
        <v>0</v>
      </c>
      <c r="H318" s="12">
        <v>0</v>
      </c>
      <c r="M318"/>
    </row>
    <row r="319" spans="1:13">
      <c r="A319" s="44" t="s">
        <v>150</v>
      </c>
      <c r="B319" s="44">
        <v>519379</v>
      </c>
      <c r="C319" s="44" t="s">
        <v>831</v>
      </c>
      <c r="D319" s="11">
        <v>1</v>
      </c>
      <c r="E319" s="12">
        <v>0</v>
      </c>
      <c r="F319" s="12">
        <v>0</v>
      </c>
      <c r="G319" s="17">
        <v>1</v>
      </c>
      <c r="H319" s="12">
        <v>1</v>
      </c>
      <c r="M319"/>
    </row>
    <row r="320" spans="1:13">
      <c r="A320" s="44" t="s">
        <v>158</v>
      </c>
      <c r="B320" s="44">
        <v>551512</v>
      </c>
      <c r="C320" s="44" t="s">
        <v>1241</v>
      </c>
      <c r="D320" s="11">
        <v>1</v>
      </c>
      <c r="E320" s="12">
        <v>0</v>
      </c>
      <c r="F320" s="12">
        <v>3</v>
      </c>
      <c r="G320" s="17">
        <v>1</v>
      </c>
      <c r="H320" s="12">
        <v>0</v>
      </c>
      <c r="M320"/>
    </row>
    <row r="321" spans="1:13">
      <c r="A321" s="44">
        <v>2613051043</v>
      </c>
      <c r="B321" s="44">
        <v>12326539</v>
      </c>
      <c r="C321" s="44" t="s">
        <v>452</v>
      </c>
      <c r="D321" s="11">
        <v>0</v>
      </c>
      <c r="E321" s="12">
        <v>0</v>
      </c>
      <c r="F321" s="12">
        <v>0</v>
      </c>
      <c r="G321" s="17">
        <v>0</v>
      </c>
      <c r="H321" s="12">
        <v>0</v>
      </c>
      <c r="M321"/>
    </row>
    <row r="322" spans="1:13">
      <c r="A322" s="44" t="s">
        <v>147</v>
      </c>
      <c r="B322" s="44">
        <v>12315185</v>
      </c>
      <c r="C322" s="44" t="s">
        <v>592</v>
      </c>
      <c r="D322" s="11">
        <v>1</v>
      </c>
      <c r="E322" s="12">
        <v>0</v>
      </c>
      <c r="F322" s="12">
        <v>2</v>
      </c>
      <c r="G322" s="17">
        <v>2</v>
      </c>
      <c r="H322" s="12">
        <v>0</v>
      </c>
      <c r="M322"/>
    </row>
    <row r="323" spans="1:13">
      <c r="A323" s="44" t="s">
        <v>151</v>
      </c>
      <c r="B323" s="44">
        <v>107296</v>
      </c>
      <c r="C323" s="44" t="s">
        <v>848</v>
      </c>
      <c r="D323" s="11">
        <v>1</v>
      </c>
      <c r="E323" s="12">
        <v>0</v>
      </c>
      <c r="F323" s="12">
        <v>0</v>
      </c>
      <c r="G323" s="17">
        <v>1</v>
      </c>
      <c r="H323" s="12">
        <v>1</v>
      </c>
      <c r="M323"/>
    </row>
    <row r="324" spans="1:13">
      <c r="A324" s="44" t="s">
        <v>149</v>
      </c>
      <c r="B324" s="44">
        <v>61483</v>
      </c>
      <c r="C324" s="44" t="s">
        <v>1242</v>
      </c>
      <c r="D324" s="11">
        <v>0</v>
      </c>
      <c r="E324" s="12">
        <v>0</v>
      </c>
      <c r="F324" s="12">
        <v>1</v>
      </c>
      <c r="G324" s="17">
        <v>0</v>
      </c>
      <c r="H324" s="12">
        <v>0</v>
      </c>
      <c r="M324"/>
    </row>
    <row r="325" spans="1:13">
      <c r="A325" s="44" t="s">
        <v>153</v>
      </c>
      <c r="B325" s="44">
        <v>521465</v>
      </c>
      <c r="C325" s="44" t="s">
        <v>1243</v>
      </c>
      <c r="D325" s="11">
        <v>0</v>
      </c>
      <c r="E325" s="12">
        <v>0</v>
      </c>
      <c r="F325" s="12">
        <v>1</v>
      </c>
      <c r="G325" s="17">
        <v>0</v>
      </c>
      <c r="H325" s="12">
        <v>0</v>
      </c>
      <c r="M325"/>
    </row>
    <row r="326" spans="1:13">
      <c r="A326" s="44" t="s">
        <v>136</v>
      </c>
      <c r="B326" s="44">
        <v>369362</v>
      </c>
      <c r="C326" s="44" t="s">
        <v>1244</v>
      </c>
      <c r="D326" s="11">
        <v>1</v>
      </c>
      <c r="E326" s="12">
        <v>0</v>
      </c>
      <c r="F326" s="12">
        <v>5</v>
      </c>
      <c r="G326" s="17">
        <v>9</v>
      </c>
      <c r="H326" s="12">
        <v>4</v>
      </c>
      <c r="M326"/>
    </row>
    <row r="327" spans="1:13">
      <c r="A327" s="44" t="s">
        <v>154</v>
      </c>
      <c r="B327" s="44">
        <v>2109</v>
      </c>
      <c r="C327" s="44" t="s">
        <v>738</v>
      </c>
      <c r="D327" s="11">
        <v>0</v>
      </c>
      <c r="E327" s="12">
        <v>0</v>
      </c>
      <c r="F327" s="12">
        <v>2</v>
      </c>
      <c r="G327" s="17">
        <v>0</v>
      </c>
      <c r="H327" s="12">
        <v>0</v>
      </c>
      <c r="M327"/>
    </row>
    <row r="328" spans="1:13">
      <c r="A328" s="44" t="s">
        <v>141</v>
      </c>
      <c r="B328" s="44">
        <v>12296062</v>
      </c>
      <c r="C328" s="44" t="s">
        <v>1245</v>
      </c>
      <c r="D328" s="11">
        <v>0</v>
      </c>
      <c r="E328" s="12">
        <v>0</v>
      </c>
      <c r="F328" s="12">
        <v>3</v>
      </c>
      <c r="G328" s="17">
        <v>0</v>
      </c>
      <c r="H328" s="12">
        <v>0</v>
      </c>
      <c r="M328"/>
    </row>
    <row r="329" spans="1:13">
      <c r="A329" s="44">
        <v>2613050886</v>
      </c>
      <c r="B329" s="44">
        <v>571304</v>
      </c>
      <c r="C329" s="44" t="s">
        <v>340</v>
      </c>
      <c r="D329" s="11">
        <v>0</v>
      </c>
      <c r="E329" s="12">
        <v>0</v>
      </c>
      <c r="F329" s="12">
        <v>1</v>
      </c>
      <c r="G329" s="17">
        <v>0</v>
      </c>
      <c r="H329" s="12">
        <v>0</v>
      </c>
      <c r="M329"/>
    </row>
    <row r="330" spans="1:13">
      <c r="A330" s="44" t="s">
        <v>1136</v>
      </c>
      <c r="B330" s="44">
        <v>12312221</v>
      </c>
      <c r="C330" s="44" t="s">
        <v>1246</v>
      </c>
      <c r="D330" s="11">
        <v>0</v>
      </c>
      <c r="E330" s="12">
        <v>0</v>
      </c>
      <c r="F330" s="12">
        <v>1</v>
      </c>
      <c r="G330" s="17">
        <v>0</v>
      </c>
      <c r="H330" s="12">
        <v>0</v>
      </c>
      <c r="M330"/>
    </row>
    <row r="331" spans="1:13">
      <c r="A331" s="44" t="s">
        <v>4</v>
      </c>
      <c r="B331" s="44">
        <v>222816</v>
      </c>
      <c r="C331" s="44" t="s">
        <v>52</v>
      </c>
      <c r="D331" s="11">
        <v>1</v>
      </c>
      <c r="E331" s="12">
        <v>0</v>
      </c>
      <c r="F331" s="12">
        <v>3</v>
      </c>
      <c r="G331" s="17">
        <v>1</v>
      </c>
      <c r="H331" s="12">
        <v>0</v>
      </c>
      <c r="M331"/>
    </row>
    <row r="332" spans="1:13">
      <c r="A332" s="44" t="s">
        <v>144</v>
      </c>
      <c r="B332" s="44">
        <v>513639</v>
      </c>
      <c r="C332" s="44" t="s">
        <v>233</v>
      </c>
      <c r="D332" s="11">
        <v>0</v>
      </c>
      <c r="E332" s="12">
        <v>0</v>
      </c>
      <c r="F332" s="12">
        <v>0</v>
      </c>
      <c r="G332" s="17">
        <v>0</v>
      </c>
      <c r="H332" s="12">
        <v>0</v>
      </c>
      <c r="M332"/>
    </row>
    <row r="333" spans="1:13">
      <c r="A333" s="44" t="s">
        <v>136</v>
      </c>
      <c r="B333" s="44">
        <v>548043</v>
      </c>
      <c r="C333" s="44" t="s">
        <v>410</v>
      </c>
      <c r="D333" s="11">
        <v>1</v>
      </c>
      <c r="E333" s="12">
        <v>0</v>
      </c>
      <c r="F333" s="12">
        <v>15</v>
      </c>
      <c r="G333" s="17">
        <v>2</v>
      </c>
      <c r="H333" s="12">
        <v>0</v>
      </c>
      <c r="M333"/>
    </row>
    <row r="334" spans="1:13">
      <c r="A334" s="44" t="s">
        <v>141</v>
      </c>
      <c r="B334" s="44">
        <v>557984</v>
      </c>
      <c r="C334" s="44" t="s">
        <v>207</v>
      </c>
      <c r="D334" s="11">
        <v>1</v>
      </c>
      <c r="E334" s="12">
        <v>0</v>
      </c>
      <c r="F334" s="12">
        <v>1</v>
      </c>
      <c r="G334" s="17">
        <v>11</v>
      </c>
      <c r="H334" s="12">
        <v>10</v>
      </c>
      <c r="M334"/>
    </row>
    <row r="335" spans="1:13">
      <c r="A335" s="44" t="s">
        <v>148</v>
      </c>
      <c r="B335" s="44">
        <v>12316130</v>
      </c>
      <c r="C335" s="44" t="s">
        <v>626</v>
      </c>
      <c r="D335" s="11">
        <v>1</v>
      </c>
      <c r="E335" s="12">
        <v>0</v>
      </c>
      <c r="F335" s="12">
        <v>9</v>
      </c>
      <c r="G335" s="17">
        <v>6</v>
      </c>
      <c r="H335" s="12">
        <v>0</v>
      </c>
      <c r="M335"/>
    </row>
    <row r="336" spans="1:13">
      <c r="A336" s="44" t="s">
        <v>152</v>
      </c>
      <c r="B336" s="44">
        <v>439091</v>
      </c>
      <c r="C336" s="44" t="s">
        <v>673</v>
      </c>
      <c r="D336" s="11">
        <v>0</v>
      </c>
      <c r="E336" s="12">
        <v>0</v>
      </c>
      <c r="F336" s="12">
        <v>1</v>
      </c>
      <c r="G336" s="17">
        <v>0</v>
      </c>
      <c r="H336" s="12">
        <v>0</v>
      </c>
      <c r="M336"/>
    </row>
    <row r="337" spans="1:13">
      <c r="A337" s="44" t="s">
        <v>149</v>
      </c>
      <c r="B337" s="44">
        <v>12302519</v>
      </c>
      <c r="C337" s="44" t="s">
        <v>767</v>
      </c>
      <c r="D337" s="11">
        <v>0</v>
      </c>
      <c r="E337" s="12">
        <v>0</v>
      </c>
      <c r="F337" s="12">
        <v>1</v>
      </c>
      <c r="G337" s="17">
        <v>0</v>
      </c>
      <c r="H337" s="12">
        <v>0</v>
      </c>
      <c r="M337"/>
    </row>
    <row r="338" spans="1:13">
      <c r="A338" s="44" t="s">
        <v>151</v>
      </c>
      <c r="B338" s="44">
        <v>369875</v>
      </c>
      <c r="C338" s="44" t="s">
        <v>870</v>
      </c>
      <c r="D338" s="11">
        <v>0</v>
      </c>
      <c r="E338" s="12">
        <v>0</v>
      </c>
      <c r="F338" s="12">
        <v>2</v>
      </c>
      <c r="G338" s="17">
        <v>0</v>
      </c>
      <c r="H338" s="12">
        <v>0</v>
      </c>
      <c r="M338"/>
    </row>
    <row r="339" spans="1:13">
      <c r="A339" s="44" t="s">
        <v>145</v>
      </c>
      <c r="B339" s="44">
        <v>199245</v>
      </c>
      <c r="C339" s="44" t="s">
        <v>495</v>
      </c>
      <c r="D339" s="11">
        <v>0</v>
      </c>
      <c r="E339" s="12">
        <v>1</v>
      </c>
      <c r="F339" s="12">
        <v>4</v>
      </c>
      <c r="G339" s="17">
        <v>0</v>
      </c>
      <c r="H339" s="12">
        <v>0</v>
      </c>
      <c r="M339"/>
    </row>
    <row r="340" spans="1:13">
      <c r="A340" s="44" t="s">
        <v>149</v>
      </c>
      <c r="B340" s="44">
        <v>390838</v>
      </c>
      <c r="C340" s="44" t="s">
        <v>787</v>
      </c>
      <c r="D340" s="11">
        <v>1</v>
      </c>
      <c r="E340" s="12">
        <v>0</v>
      </c>
      <c r="F340" s="12">
        <v>4</v>
      </c>
      <c r="G340" s="17">
        <v>1</v>
      </c>
      <c r="H340" s="12">
        <v>0</v>
      </c>
      <c r="M340"/>
    </row>
    <row r="341" spans="1:13">
      <c r="A341" s="44" t="s">
        <v>3</v>
      </c>
      <c r="B341" s="44">
        <v>522623</v>
      </c>
      <c r="C341" s="44" t="s">
        <v>1080</v>
      </c>
      <c r="D341" s="11">
        <v>1</v>
      </c>
      <c r="E341" s="12">
        <v>0</v>
      </c>
      <c r="F341" s="12">
        <v>21</v>
      </c>
      <c r="G341" s="17">
        <v>4</v>
      </c>
      <c r="H341" s="12">
        <v>0</v>
      </c>
      <c r="M341"/>
    </row>
    <row r="342" spans="1:13">
      <c r="A342" s="44" t="s">
        <v>3</v>
      </c>
      <c r="B342" s="44">
        <v>12301356</v>
      </c>
      <c r="C342" s="44" t="s">
        <v>1081</v>
      </c>
      <c r="D342" s="11">
        <v>1</v>
      </c>
      <c r="E342" s="12">
        <v>0</v>
      </c>
      <c r="F342" s="12">
        <v>6</v>
      </c>
      <c r="G342" s="17">
        <v>1</v>
      </c>
      <c r="H342" s="12">
        <v>0</v>
      </c>
      <c r="M342"/>
    </row>
    <row r="343" spans="1:13">
      <c r="A343" s="44" t="s">
        <v>148</v>
      </c>
      <c r="B343" s="44">
        <v>541874</v>
      </c>
      <c r="C343" s="44" t="s">
        <v>1247</v>
      </c>
      <c r="D343" s="11">
        <v>0</v>
      </c>
      <c r="E343" s="12">
        <v>0</v>
      </c>
      <c r="F343" s="12">
        <v>3</v>
      </c>
      <c r="G343" s="17">
        <v>0</v>
      </c>
      <c r="H343" s="12">
        <v>0</v>
      </c>
      <c r="M343"/>
    </row>
    <row r="344" spans="1:13">
      <c r="A344" s="44" t="s">
        <v>141</v>
      </c>
      <c r="B344" s="44">
        <v>440819</v>
      </c>
      <c r="C344" s="44" t="s">
        <v>200</v>
      </c>
      <c r="D344" s="11">
        <v>0</v>
      </c>
      <c r="E344" s="12">
        <v>0</v>
      </c>
      <c r="F344" s="12">
        <v>3</v>
      </c>
      <c r="G344" s="17">
        <v>0</v>
      </c>
      <c r="H344" s="12">
        <v>0</v>
      </c>
      <c r="M344"/>
    </row>
    <row r="345" spans="1:13">
      <c r="A345" s="44" t="s">
        <v>140</v>
      </c>
      <c r="B345" s="44">
        <v>427198</v>
      </c>
      <c r="C345" s="44" t="s">
        <v>1248</v>
      </c>
      <c r="D345" s="11">
        <v>1</v>
      </c>
      <c r="E345" s="12">
        <v>0</v>
      </c>
      <c r="F345" s="12">
        <v>1</v>
      </c>
      <c r="G345" s="17">
        <v>4</v>
      </c>
      <c r="H345" s="12">
        <v>3</v>
      </c>
      <c r="M345"/>
    </row>
    <row r="346" spans="1:13">
      <c r="A346" s="44" t="s">
        <v>1140</v>
      </c>
      <c r="B346" s="44">
        <v>405122</v>
      </c>
      <c r="C346" s="44" t="s">
        <v>1249</v>
      </c>
      <c r="D346" s="11">
        <v>1</v>
      </c>
      <c r="E346" s="12">
        <v>0</v>
      </c>
      <c r="F346" s="12">
        <v>0</v>
      </c>
      <c r="G346" s="17">
        <v>1</v>
      </c>
      <c r="H346" s="12">
        <v>1</v>
      </c>
      <c r="M346"/>
    </row>
    <row r="347" spans="1:13">
      <c r="A347" s="44" t="s">
        <v>144</v>
      </c>
      <c r="B347" s="44">
        <v>211570</v>
      </c>
      <c r="C347" s="44" t="s">
        <v>219</v>
      </c>
      <c r="D347" s="11">
        <v>1</v>
      </c>
      <c r="E347" s="12">
        <v>1</v>
      </c>
      <c r="F347" s="12">
        <v>10</v>
      </c>
      <c r="G347" s="17">
        <v>1</v>
      </c>
      <c r="H347" s="12">
        <v>0</v>
      </c>
      <c r="M347"/>
    </row>
    <row r="348" spans="1:13">
      <c r="A348" s="44" t="s">
        <v>3</v>
      </c>
      <c r="B348" s="44">
        <v>12295724</v>
      </c>
      <c r="C348" s="44" t="s">
        <v>13</v>
      </c>
      <c r="D348" s="11">
        <v>1</v>
      </c>
      <c r="E348" s="12">
        <v>0</v>
      </c>
      <c r="F348" s="12">
        <v>3</v>
      </c>
      <c r="G348" s="17">
        <v>3</v>
      </c>
      <c r="H348" s="12">
        <v>0</v>
      </c>
      <c r="M348"/>
    </row>
    <row r="349" spans="1:13">
      <c r="A349" s="44" t="s">
        <v>158</v>
      </c>
      <c r="B349" s="44">
        <v>227846</v>
      </c>
      <c r="C349" s="44" t="s">
        <v>1250</v>
      </c>
      <c r="D349" s="11">
        <v>1</v>
      </c>
      <c r="E349" s="12">
        <v>0</v>
      </c>
      <c r="F349" s="12">
        <v>3</v>
      </c>
      <c r="G349" s="17">
        <v>2</v>
      </c>
      <c r="H349" s="12">
        <v>0</v>
      </c>
      <c r="M349"/>
    </row>
    <row r="350" spans="1:13">
      <c r="A350" s="44">
        <v>2613051475</v>
      </c>
      <c r="B350" s="44">
        <v>399936</v>
      </c>
      <c r="C350" s="44" t="s">
        <v>168</v>
      </c>
      <c r="D350" s="11">
        <v>0</v>
      </c>
      <c r="E350" s="12">
        <v>0</v>
      </c>
      <c r="F350" s="12">
        <v>2</v>
      </c>
      <c r="G350" s="17">
        <v>0</v>
      </c>
      <c r="H350" s="12">
        <v>0</v>
      </c>
      <c r="M350"/>
    </row>
    <row r="351" spans="1:13">
      <c r="A351" s="44" t="s">
        <v>151</v>
      </c>
      <c r="B351" s="44">
        <v>149756</v>
      </c>
      <c r="C351" s="44" t="s">
        <v>858</v>
      </c>
      <c r="D351" s="11">
        <v>0</v>
      </c>
      <c r="E351" s="12">
        <v>0</v>
      </c>
      <c r="F351" s="12">
        <v>2</v>
      </c>
      <c r="G351" s="17">
        <v>0</v>
      </c>
      <c r="H351" s="12">
        <v>0</v>
      </c>
      <c r="M351"/>
    </row>
    <row r="352" spans="1:13">
      <c r="A352" s="44" t="s">
        <v>150</v>
      </c>
      <c r="B352" s="44">
        <v>237416</v>
      </c>
      <c r="C352" s="44" t="s">
        <v>812</v>
      </c>
      <c r="D352" s="11">
        <v>0</v>
      </c>
      <c r="E352" s="12">
        <v>0</v>
      </c>
      <c r="F352" s="12">
        <v>1</v>
      </c>
      <c r="G352" s="17">
        <v>0</v>
      </c>
      <c r="H352" s="12">
        <v>0</v>
      </c>
      <c r="M352"/>
    </row>
    <row r="353" spans="1:13">
      <c r="A353" s="44" t="s">
        <v>158</v>
      </c>
      <c r="B353" s="44">
        <v>403930</v>
      </c>
      <c r="C353" s="44" t="s">
        <v>1251</v>
      </c>
      <c r="D353" s="11">
        <v>1</v>
      </c>
      <c r="E353" s="12">
        <v>0</v>
      </c>
      <c r="F353" s="12">
        <v>3</v>
      </c>
      <c r="G353" s="17">
        <v>2</v>
      </c>
      <c r="H353" s="12">
        <v>0</v>
      </c>
      <c r="M353"/>
    </row>
    <row r="354" spans="1:13">
      <c r="A354" s="44" t="s">
        <v>152</v>
      </c>
      <c r="B354" s="44">
        <v>240546</v>
      </c>
      <c r="C354" s="44" t="s">
        <v>661</v>
      </c>
      <c r="D354" s="11">
        <v>0</v>
      </c>
      <c r="E354" s="12">
        <v>0</v>
      </c>
      <c r="F354" s="12">
        <v>1</v>
      </c>
      <c r="G354" s="17">
        <v>0</v>
      </c>
      <c r="H354" s="12">
        <v>0</v>
      </c>
      <c r="M354"/>
    </row>
    <row r="355" spans="1:13">
      <c r="A355" s="44" t="s">
        <v>152</v>
      </c>
      <c r="B355" s="44">
        <v>407275</v>
      </c>
      <c r="C355" s="44" t="s">
        <v>1252</v>
      </c>
      <c r="D355" s="11">
        <v>1</v>
      </c>
      <c r="E355" s="12">
        <v>0</v>
      </c>
      <c r="F355" s="12">
        <v>11</v>
      </c>
      <c r="G355" s="17">
        <v>11</v>
      </c>
      <c r="H355" s="12">
        <v>0</v>
      </c>
      <c r="M355"/>
    </row>
    <row r="356" spans="1:13">
      <c r="A356" s="44" t="s">
        <v>1136</v>
      </c>
      <c r="B356" s="44">
        <v>211624</v>
      </c>
      <c r="C356" s="44" t="s">
        <v>1253</v>
      </c>
      <c r="D356" s="11">
        <v>1</v>
      </c>
      <c r="E356" s="12">
        <v>0</v>
      </c>
      <c r="F356" s="12">
        <v>2</v>
      </c>
      <c r="G356" s="17">
        <v>1</v>
      </c>
      <c r="H356" s="12">
        <v>0</v>
      </c>
      <c r="M356"/>
    </row>
    <row r="357" spans="1:13">
      <c r="A357" s="44" t="s">
        <v>149</v>
      </c>
      <c r="B357" s="44">
        <v>61718</v>
      </c>
      <c r="C357" s="44" t="s">
        <v>800</v>
      </c>
      <c r="D357" s="11">
        <v>0</v>
      </c>
      <c r="E357" s="12">
        <v>0</v>
      </c>
      <c r="F357" s="12">
        <v>1</v>
      </c>
      <c r="G357" s="17">
        <v>0</v>
      </c>
      <c r="H357" s="12">
        <v>0</v>
      </c>
      <c r="M357"/>
    </row>
    <row r="358" spans="1:13">
      <c r="A358" s="44" t="s">
        <v>155</v>
      </c>
      <c r="B358" s="44">
        <v>520960</v>
      </c>
      <c r="C358" s="44" t="s">
        <v>948</v>
      </c>
      <c r="D358" s="11">
        <v>1</v>
      </c>
      <c r="E358" s="12">
        <v>0</v>
      </c>
      <c r="F358" s="12">
        <v>1</v>
      </c>
      <c r="G358" s="17">
        <v>3</v>
      </c>
      <c r="H358" s="12">
        <v>2</v>
      </c>
      <c r="M358"/>
    </row>
    <row r="359" spans="1:13">
      <c r="A359" s="44" t="s">
        <v>151</v>
      </c>
      <c r="B359" s="44">
        <v>365502</v>
      </c>
      <c r="C359" s="44" t="s">
        <v>869</v>
      </c>
      <c r="D359" s="11">
        <v>1</v>
      </c>
      <c r="E359" s="12">
        <v>0</v>
      </c>
      <c r="F359" s="12">
        <v>2</v>
      </c>
      <c r="G359" s="17">
        <v>1</v>
      </c>
      <c r="H359" s="12">
        <v>0</v>
      </c>
      <c r="M359"/>
    </row>
    <row r="360" spans="1:13">
      <c r="A360" s="44" t="s">
        <v>149</v>
      </c>
      <c r="B360" s="44">
        <v>347564</v>
      </c>
      <c r="C360" s="44" t="s">
        <v>1254</v>
      </c>
      <c r="D360" s="11">
        <v>0</v>
      </c>
      <c r="E360" s="12">
        <v>0</v>
      </c>
      <c r="F360" s="12">
        <v>0</v>
      </c>
      <c r="G360" s="17">
        <v>0</v>
      </c>
      <c r="H360" s="12">
        <v>0</v>
      </c>
      <c r="M360"/>
    </row>
    <row r="361" spans="1:13">
      <c r="A361" s="44" t="s">
        <v>144</v>
      </c>
      <c r="B361" s="44">
        <v>517562</v>
      </c>
      <c r="C361" s="44" t="s">
        <v>240</v>
      </c>
      <c r="D361" s="11">
        <v>0</v>
      </c>
      <c r="E361" s="12">
        <v>0</v>
      </c>
      <c r="F361" s="12">
        <v>0</v>
      </c>
      <c r="G361" s="17">
        <v>0</v>
      </c>
      <c r="H361" s="12">
        <v>0</v>
      </c>
      <c r="M361"/>
    </row>
    <row r="362" spans="1:13">
      <c r="A362" s="44" t="s">
        <v>155</v>
      </c>
      <c r="B362" s="44">
        <v>479735</v>
      </c>
      <c r="C362" s="44" t="s">
        <v>944</v>
      </c>
      <c r="D362" s="11">
        <v>1</v>
      </c>
      <c r="E362" s="12">
        <v>0</v>
      </c>
      <c r="F362" s="12">
        <v>3</v>
      </c>
      <c r="G362" s="17">
        <v>3</v>
      </c>
      <c r="H362" s="12">
        <v>0</v>
      </c>
      <c r="M362"/>
    </row>
    <row r="363" spans="1:13">
      <c r="A363" s="44" t="s">
        <v>154</v>
      </c>
      <c r="B363" s="44">
        <v>512721</v>
      </c>
      <c r="C363" s="44" t="s">
        <v>750</v>
      </c>
      <c r="D363" s="11">
        <v>1</v>
      </c>
      <c r="E363" s="12">
        <v>0</v>
      </c>
      <c r="F363" s="12">
        <v>2</v>
      </c>
      <c r="G363" s="17">
        <v>1</v>
      </c>
      <c r="H363" s="12">
        <v>0</v>
      </c>
      <c r="M363"/>
    </row>
    <row r="364" spans="1:13">
      <c r="A364" s="44" t="s">
        <v>144</v>
      </c>
      <c r="B364" s="44">
        <v>516144</v>
      </c>
      <c r="C364" s="44" t="s">
        <v>1255</v>
      </c>
      <c r="D364" s="11">
        <v>0</v>
      </c>
      <c r="E364" s="12">
        <v>0</v>
      </c>
      <c r="F364" s="12">
        <v>3</v>
      </c>
      <c r="G364" s="17">
        <v>0</v>
      </c>
      <c r="H364" s="12">
        <v>0</v>
      </c>
      <c r="M364"/>
    </row>
    <row r="365" spans="1:13">
      <c r="A365" s="44" t="s">
        <v>151</v>
      </c>
      <c r="B365" s="44">
        <v>62315</v>
      </c>
      <c r="C365" s="44" t="s">
        <v>882</v>
      </c>
      <c r="D365" s="11">
        <v>0</v>
      </c>
      <c r="E365" s="12">
        <v>0</v>
      </c>
      <c r="F365" s="12">
        <v>0</v>
      </c>
      <c r="G365" s="17">
        <v>0</v>
      </c>
      <c r="H365" s="12">
        <v>0</v>
      </c>
      <c r="M365"/>
    </row>
    <row r="366" spans="1:13">
      <c r="A366" s="44" t="s">
        <v>142</v>
      </c>
      <c r="B366" s="44">
        <v>12300225</v>
      </c>
      <c r="C366" s="44" t="s">
        <v>274</v>
      </c>
      <c r="D366" s="11">
        <v>1</v>
      </c>
      <c r="E366" s="12">
        <v>0</v>
      </c>
      <c r="F366" s="12">
        <v>1</v>
      </c>
      <c r="G366" s="17">
        <v>1</v>
      </c>
      <c r="H366" s="12">
        <v>0</v>
      </c>
      <c r="M366"/>
    </row>
    <row r="367" spans="1:13">
      <c r="A367" s="44" t="s">
        <v>150</v>
      </c>
      <c r="B367" s="44">
        <v>67035</v>
      </c>
      <c r="C367" s="44" t="s">
        <v>844</v>
      </c>
      <c r="D367" s="11">
        <v>1</v>
      </c>
      <c r="E367" s="12">
        <v>0</v>
      </c>
      <c r="F367" s="12">
        <v>4</v>
      </c>
      <c r="G367" s="17">
        <v>2</v>
      </c>
      <c r="H367" s="12">
        <v>0</v>
      </c>
      <c r="M367"/>
    </row>
    <row r="368" spans="1:13">
      <c r="A368" s="44" t="s">
        <v>145</v>
      </c>
      <c r="B368" s="44">
        <v>268428</v>
      </c>
      <c r="C368" s="44" t="s">
        <v>501</v>
      </c>
      <c r="D368" s="11">
        <v>0</v>
      </c>
      <c r="E368" s="12">
        <v>0</v>
      </c>
      <c r="F368" s="12">
        <v>4</v>
      </c>
      <c r="G368" s="17">
        <v>0</v>
      </c>
      <c r="H368" s="12">
        <v>0</v>
      </c>
      <c r="M368"/>
    </row>
    <row r="369" spans="1:13">
      <c r="A369" s="44" t="s">
        <v>153</v>
      </c>
      <c r="B369" s="44">
        <v>236975</v>
      </c>
      <c r="C369" s="44" t="s">
        <v>717</v>
      </c>
      <c r="D369" s="11">
        <v>0</v>
      </c>
      <c r="E369" s="12">
        <v>0</v>
      </c>
      <c r="F369" s="12">
        <v>3</v>
      </c>
      <c r="G369" s="17">
        <v>0</v>
      </c>
      <c r="H369" s="12">
        <v>0</v>
      </c>
      <c r="M369"/>
    </row>
    <row r="370" spans="1:13">
      <c r="A370" s="44">
        <v>2613051043</v>
      </c>
      <c r="B370" s="44">
        <v>12297173</v>
      </c>
      <c r="C370" s="44" t="s">
        <v>1256</v>
      </c>
      <c r="D370" s="11">
        <v>0</v>
      </c>
      <c r="E370" s="12">
        <v>0</v>
      </c>
      <c r="F370" s="12">
        <v>0</v>
      </c>
      <c r="G370" s="17">
        <v>0</v>
      </c>
      <c r="H370" s="12">
        <v>0</v>
      </c>
      <c r="M370"/>
    </row>
    <row r="371" spans="1:13">
      <c r="A371" s="44" t="s">
        <v>4</v>
      </c>
      <c r="B371" s="44">
        <v>539088</v>
      </c>
      <c r="C371" s="44" t="s">
        <v>1082</v>
      </c>
      <c r="D371" s="11">
        <v>1</v>
      </c>
      <c r="E371" s="12">
        <v>0</v>
      </c>
      <c r="F371" s="12">
        <v>9</v>
      </c>
      <c r="G371" s="17">
        <v>1</v>
      </c>
      <c r="H371" s="12">
        <v>0</v>
      </c>
      <c r="M371"/>
    </row>
    <row r="372" spans="1:13">
      <c r="A372" s="44" t="s">
        <v>150</v>
      </c>
      <c r="B372" s="44">
        <v>557418</v>
      </c>
      <c r="C372" s="44" t="s">
        <v>835</v>
      </c>
      <c r="D372" s="11">
        <v>1</v>
      </c>
      <c r="E372" s="12">
        <v>0</v>
      </c>
      <c r="F372" s="12">
        <v>0</v>
      </c>
      <c r="G372" s="17">
        <v>2</v>
      </c>
      <c r="H372" s="12">
        <v>2</v>
      </c>
      <c r="M372"/>
    </row>
    <row r="373" spans="1:13">
      <c r="A373" s="44" t="s">
        <v>1140</v>
      </c>
      <c r="B373" s="44">
        <v>531522</v>
      </c>
      <c r="C373" s="44" t="s">
        <v>166</v>
      </c>
      <c r="D373" s="11">
        <v>1</v>
      </c>
      <c r="E373" s="12">
        <v>0</v>
      </c>
      <c r="F373" s="12">
        <v>1</v>
      </c>
      <c r="G373" s="17">
        <v>1</v>
      </c>
      <c r="H373" s="12">
        <v>0</v>
      </c>
      <c r="M373"/>
    </row>
    <row r="374" spans="1:13">
      <c r="A374" s="44" t="s">
        <v>158</v>
      </c>
      <c r="B374" s="44">
        <v>534186</v>
      </c>
      <c r="C374" s="44" t="s">
        <v>1257</v>
      </c>
      <c r="D374" s="11">
        <v>0</v>
      </c>
      <c r="E374" s="12">
        <v>0</v>
      </c>
      <c r="F374" s="12">
        <v>0</v>
      </c>
      <c r="G374" s="17">
        <v>0</v>
      </c>
      <c r="H374" s="12">
        <v>0</v>
      </c>
      <c r="M374"/>
    </row>
    <row r="375" spans="1:13">
      <c r="A375" s="44" t="s">
        <v>152</v>
      </c>
      <c r="B375" s="44">
        <v>199043</v>
      </c>
      <c r="C375" s="44" t="s">
        <v>1258</v>
      </c>
      <c r="D375" s="11">
        <v>0</v>
      </c>
      <c r="E375" s="12">
        <v>0</v>
      </c>
      <c r="F375" s="12">
        <v>0</v>
      </c>
      <c r="G375" s="17">
        <v>0</v>
      </c>
      <c r="H375" s="12">
        <v>0</v>
      </c>
      <c r="M375"/>
    </row>
    <row r="376" spans="1:13">
      <c r="A376" s="44">
        <v>2613051451</v>
      </c>
      <c r="B376" s="44">
        <v>357392</v>
      </c>
      <c r="C376" s="44" t="s">
        <v>1259</v>
      </c>
      <c r="D376" s="11">
        <v>0</v>
      </c>
      <c r="E376" s="12">
        <v>0</v>
      </c>
      <c r="F376" s="12">
        <v>0</v>
      </c>
      <c r="G376" s="17">
        <v>0</v>
      </c>
      <c r="H376" s="12">
        <v>0</v>
      </c>
      <c r="M376"/>
    </row>
    <row r="377" spans="1:13">
      <c r="A377" s="44" t="s">
        <v>144</v>
      </c>
      <c r="B377" s="44">
        <v>211840</v>
      </c>
      <c r="C377" s="44" t="s">
        <v>1260</v>
      </c>
      <c r="D377" s="11">
        <v>1</v>
      </c>
      <c r="E377" s="12">
        <v>0</v>
      </c>
      <c r="F377" s="12">
        <v>16</v>
      </c>
      <c r="G377" s="17">
        <v>2</v>
      </c>
      <c r="H377" s="12">
        <v>0</v>
      </c>
      <c r="M377"/>
    </row>
    <row r="378" spans="1:13">
      <c r="A378" s="44">
        <v>2613052222</v>
      </c>
      <c r="B378" s="44">
        <v>127145</v>
      </c>
      <c r="C378" s="44" t="s">
        <v>1261</v>
      </c>
      <c r="D378" s="11">
        <v>0</v>
      </c>
      <c r="E378" s="12">
        <v>0</v>
      </c>
      <c r="F378" s="12">
        <v>0</v>
      </c>
      <c r="G378" s="17">
        <v>0</v>
      </c>
      <c r="H378" s="12">
        <v>0</v>
      </c>
      <c r="M378"/>
    </row>
    <row r="379" spans="1:13">
      <c r="A379" s="44" t="s">
        <v>156</v>
      </c>
      <c r="B379" s="44">
        <v>458943</v>
      </c>
      <c r="C379" s="44" t="s">
        <v>992</v>
      </c>
      <c r="D379" s="11">
        <v>0</v>
      </c>
      <c r="E379" s="12">
        <v>0</v>
      </c>
      <c r="F379" s="12">
        <v>0</v>
      </c>
      <c r="G379" s="17">
        <v>0</v>
      </c>
      <c r="H379" s="12">
        <v>0</v>
      </c>
      <c r="M379"/>
    </row>
    <row r="380" spans="1:13">
      <c r="A380" s="44" t="s">
        <v>142</v>
      </c>
      <c r="B380" s="44">
        <v>211665</v>
      </c>
      <c r="C380" s="44" t="s">
        <v>346</v>
      </c>
      <c r="D380" s="11">
        <v>1</v>
      </c>
      <c r="E380" s="12">
        <v>0</v>
      </c>
      <c r="F380" s="12">
        <v>3</v>
      </c>
      <c r="G380" s="17">
        <v>4</v>
      </c>
      <c r="H380" s="12">
        <v>1</v>
      </c>
      <c r="M380"/>
    </row>
    <row r="381" spans="1:13">
      <c r="A381" s="44">
        <v>2613051043</v>
      </c>
      <c r="B381" s="44">
        <v>12325944</v>
      </c>
      <c r="C381" s="44" t="s">
        <v>1262</v>
      </c>
      <c r="D381" s="11">
        <v>0</v>
      </c>
      <c r="E381" s="12">
        <v>0</v>
      </c>
      <c r="F381" s="12">
        <v>0</v>
      </c>
      <c r="G381" s="17">
        <v>0</v>
      </c>
      <c r="H381" s="12">
        <v>0</v>
      </c>
      <c r="M381"/>
    </row>
    <row r="382" spans="1:13">
      <c r="A382" s="44" t="s">
        <v>140</v>
      </c>
      <c r="B382" s="44">
        <v>394067</v>
      </c>
      <c r="C382" s="44" t="s">
        <v>1263</v>
      </c>
      <c r="D382" s="11">
        <v>1</v>
      </c>
      <c r="E382" s="12">
        <v>0</v>
      </c>
      <c r="F382" s="12">
        <v>3</v>
      </c>
      <c r="G382" s="17">
        <v>1</v>
      </c>
      <c r="H382" s="12">
        <v>0</v>
      </c>
      <c r="M382"/>
    </row>
    <row r="383" spans="1:13">
      <c r="A383" s="44" t="s">
        <v>149</v>
      </c>
      <c r="B383" s="44">
        <v>458978</v>
      </c>
      <c r="C383" s="44" t="s">
        <v>793</v>
      </c>
      <c r="D383" s="11">
        <v>0</v>
      </c>
      <c r="E383" s="12">
        <v>0</v>
      </c>
      <c r="F383" s="12">
        <v>0</v>
      </c>
      <c r="G383" s="17">
        <v>0</v>
      </c>
      <c r="H383" s="12">
        <v>0</v>
      </c>
      <c r="M383"/>
    </row>
    <row r="384" spans="1:13">
      <c r="A384" s="44" t="s">
        <v>156</v>
      </c>
      <c r="B384" s="44">
        <v>61861</v>
      </c>
      <c r="C384" s="44" t="s">
        <v>1003</v>
      </c>
      <c r="D384" s="11">
        <v>0</v>
      </c>
      <c r="E384" s="12">
        <v>0</v>
      </c>
      <c r="F384" s="12">
        <v>0</v>
      </c>
      <c r="G384" s="17">
        <v>0</v>
      </c>
      <c r="H384" s="12">
        <v>0</v>
      </c>
      <c r="M384"/>
    </row>
    <row r="385" spans="1:13">
      <c r="A385" s="44" t="s">
        <v>146</v>
      </c>
      <c r="B385" s="44">
        <v>493188</v>
      </c>
      <c r="C385" s="44" t="s">
        <v>169</v>
      </c>
      <c r="D385" s="11">
        <v>0</v>
      </c>
      <c r="E385" s="12">
        <v>0</v>
      </c>
      <c r="F385" s="12">
        <v>4</v>
      </c>
      <c r="G385" s="17">
        <v>0</v>
      </c>
      <c r="H385" s="12">
        <v>0</v>
      </c>
      <c r="M385"/>
    </row>
    <row r="386" spans="1:13">
      <c r="A386" s="44" t="s">
        <v>5</v>
      </c>
      <c r="B386" s="44">
        <v>61688</v>
      </c>
      <c r="C386" s="44" t="s">
        <v>112</v>
      </c>
      <c r="D386" s="11">
        <v>0</v>
      </c>
      <c r="E386" s="12">
        <v>0</v>
      </c>
      <c r="F386" s="12">
        <v>5</v>
      </c>
      <c r="G386" s="17">
        <v>0</v>
      </c>
      <c r="H386" s="12">
        <v>0</v>
      </c>
      <c r="M386"/>
    </row>
    <row r="387" spans="1:13">
      <c r="A387" s="44">
        <v>2613051043</v>
      </c>
      <c r="B387" s="44">
        <v>12297044</v>
      </c>
      <c r="C387" s="44" t="s">
        <v>446</v>
      </c>
      <c r="D387" s="11">
        <v>0</v>
      </c>
      <c r="E387" s="12">
        <v>0</v>
      </c>
      <c r="F387" s="12">
        <v>0</v>
      </c>
      <c r="G387" s="17">
        <v>0</v>
      </c>
      <c r="H387" s="12">
        <v>0</v>
      </c>
      <c r="M387"/>
    </row>
    <row r="388" spans="1:13">
      <c r="A388" s="44">
        <v>2613050886</v>
      </c>
      <c r="B388" s="44">
        <v>517546</v>
      </c>
      <c r="C388" s="44" t="s">
        <v>329</v>
      </c>
      <c r="D388" s="11">
        <v>0</v>
      </c>
      <c r="E388" s="12">
        <v>0</v>
      </c>
      <c r="F388" s="12">
        <v>1</v>
      </c>
      <c r="G388" s="17">
        <v>0</v>
      </c>
      <c r="H388" s="12">
        <v>0</v>
      </c>
      <c r="M388"/>
    </row>
    <row r="389" spans="1:13">
      <c r="A389" s="44" t="s">
        <v>151</v>
      </c>
      <c r="B389" s="44">
        <v>12322963</v>
      </c>
      <c r="C389" s="44" t="s">
        <v>852</v>
      </c>
      <c r="D389" s="11">
        <v>0</v>
      </c>
      <c r="E389" s="12">
        <v>0</v>
      </c>
      <c r="F389" s="12">
        <v>20</v>
      </c>
      <c r="G389" s="17">
        <v>0</v>
      </c>
      <c r="H389" s="12">
        <v>0</v>
      </c>
      <c r="M389"/>
    </row>
    <row r="390" spans="1:13">
      <c r="A390" s="44" t="s">
        <v>145</v>
      </c>
      <c r="B390" s="44">
        <v>211692</v>
      </c>
      <c r="C390" s="44" t="s">
        <v>498</v>
      </c>
      <c r="D390" s="11">
        <v>1</v>
      </c>
      <c r="E390" s="12">
        <v>0</v>
      </c>
      <c r="F390" s="12">
        <v>3</v>
      </c>
      <c r="G390" s="17">
        <v>2</v>
      </c>
      <c r="H390" s="12">
        <v>0</v>
      </c>
      <c r="M390"/>
    </row>
    <row r="391" spans="1:13">
      <c r="A391" s="44" t="s">
        <v>146</v>
      </c>
      <c r="B391" s="44">
        <v>9171</v>
      </c>
      <c r="C391" s="44" t="s">
        <v>547</v>
      </c>
      <c r="D391" s="11">
        <v>0</v>
      </c>
      <c r="E391" s="12">
        <v>0</v>
      </c>
      <c r="F391" s="12">
        <v>4</v>
      </c>
      <c r="G391" s="17">
        <v>0</v>
      </c>
      <c r="H391" s="12">
        <v>0</v>
      </c>
      <c r="M391"/>
    </row>
    <row r="392" spans="1:13">
      <c r="A392" s="44" t="s">
        <v>147</v>
      </c>
      <c r="B392" s="44">
        <v>281776</v>
      </c>
      <c r="C392" s="44" t="s">
        <v>608</v>
      </c>
      <c r="D392" s="11">
        <v>0</v>
      </c>
      <c r="E392" s="12">
        <v>0</v>
      </c>
      <c r="F392" s="12">
        <v>1</v>
      </c>
      <c r="G392" s="17">
        <v>0</v>
      </c>
      <c r="H392" s="12">
        <v>0</v>
      </c>
      <c r="M392"/>
    </row>
    <row r="393" spans="1:13">
      <c r="A393" s="44" t="s">
        <v>142</v>
      </c>
      <c r="B393" s="44">
        <v>211672</v>
      </c>
      <c r="C393" s="44" t="s">
        <v>349</v>
      </c>
      <c r="D393" s="11">
        <v>1</v>
      </c>
      <c r="E393" s="12">
        <v>1</v>
      </c>
      <c r="F393" s="12">
        <v>3</v>
      </c>
      <c r="G393" s="17">
        <v>4</v>
      </c>
      <c r="H393" s="12">
        <v>1</v>
      </c>
      <c r="M393"/>
    </row>
    <row r="394" spans="1:13">
      <c r="A394" s="44" t="s">
        <v>1140</v>
      </c>
      <c r="B394" s="44">
        <v>62414</v>
      </c>
      <c r="C394" s="44" t="s">
        <v>1264</v>
      </c>
      <c r="D394" s="11">
        <v>1</v>
      </c>
      <c r="E394" s="12">
        <v>0</v>
      </c>
      <c r="F394" s="12">
        <v>13</v>
      </c>
      <c r="G394" s="17">
        <v>5</v>
      </c>
      <c r="H394" s="12">
        <v>0</v>
      </c>
      <c r="M394"/>
    </row>
    <row r="395" spans="1:13">
      <c r="A395" s="44">
        <v>2613050885</v>
      </c>
      <c r="B395" s="44">
        <v>403618</v>
      </c>
      <c r="C395" s="44" t="s">
        <v>1265</v>
      </c>
      <c r="D395" s="11">
        <v>1</v>
      </c>
      <c r="E395" s="12">
        <v>0</v>
      </c>
      <c r="F395" s="12">
        <v>7</v>
      </c>
      <c r="G395" s="17">
        <v>3</v>
      </c>
      <c r="H395" s="12">
        <v>0</v>
      </c>
      <c r="M395"/>
    </row>
    <row r="396" spans="1:13">
      <c r="A396" s="44">
        <v>2613051412</v>
      </c>
      <c r="B396" s="44">
        <v>12323991</v>
      </c>
      <c r="C396" s="44" t="s">
        <v>1266</v>
      </c>
      <c r="D396" s="11">
        <v>0</v>
      </c>
      <c r="E396" s="12">
        <v>0</v>
      </c>
      <c r="F396" s="12">
        <v>0</v>
      </c>
      <c r="G396" s="17">
        <v>0</v>
      </c>
      <c r="H396" s="12">
        <v>0</v>
      </c>
      <c r="M396"/>
    </row>
    <row r="397" spans="1:13">
      <c r="A397" s="44" t="s">
        <v>157</v>
      </c>
      <c r="B397" s="44">
        <v>62204</v>
      </c>
      <c r="C397" s="44" t="s">
        <v>90</v>
      </c>
      <c r="D397" s="11">
        <v>0</v>
      </c>
      <c r="E397" s="12">
        <v>0</v>
      </c>
      <c r="F397" s="12">
        <v>0</v>
      </c>
      <c r="G397" s="17">
        <v>0</v>
      </c>
      <c r="H397" s="12">
        <v>0</v>
      </c>
      <c r="M397"/>
    </row>
    <row r="398" spans="1:13">
      <c r="A398" s="44" t="s">
        <v>155</v>
      </c>
      <c r="B398" s="44">
        <v>12304943</v>
      </c>
      <c r="C398" s="44" t="s">
        <v>924</v>
      </c>
      <c r="D398" s="11">
        <v>0</v>
      </c>
      <c r="E398" s="12">
        <v>0</v>
      </c>
      <c r="F398" s="12">
        <v>3</v>
      </c>
      <c r="G398" s="17">
        <v>0</v>
      </c>
      <c r="H398" s="12">
        <v>0</v>
      </c>
      <c r="M398"/>
    </row>
    <row r="399" spans="1:13">
      <c r="A399" s="44" t="s">
        <v>152</v>
      </c>
      <c r="B399" s="44">
        <v>127194</v>
      </c>
      <c r="C399" s="44" t="s">
        <v>1267</v>
      </c>
      <c r="D399" s="11">
        <v>0</v>
      </c>
      <c r="E399" s="12">
        <v>0</v>
      </c>
      <c r="F399" s="12">
        <v>1</v>
      </c>
      <c r="G399" s="17">
        <v>0</v>
      </c>
      <c r="H399" s="12">
        <v>0</v>
      </c>
      <c r="M399"/>
    </row>
    <row r="400" spans="1:13">
      <c r="A400" s="44" t="s">
        <v>142</v>
      </c>
      <c r="B400" s="44">
        <v>533959</v>
      </c>
      <c r="C400" s="44" t="s">
        <v>365</v>
      </c>
      <c r="D400" s="11">
        <v>1</v>
      </c>
      <c r="E400" s="12">
        <v>0</v>
      </c>
      <c r="F400" s="12">
        <v>2</v>
      </c>
      <c r="G400" s="17">
        <v>3</v>
      </c>
      <c r="H400" s="12">
        <v>1</v>
      </c>
      <c r="M400"/>
    </row>
    <row r="401" spans="1:13">
      <c r="A401" s="44">
        <v>2613052584</v>
      </c>
      <c r="B401" s="44">
        <v>12326243</v>
      </c>
      <c r="C401" s="44" t="s">
        <v>577</v>
      </c>
      <c r="D401" s="11">
        <v>1</v>
      </c>
      <c r="E401" s="12">
        <v>0</v>
      </c>
      <c r="F401" s="12">
        <v>0</v>
      </c>
      <c r="G401" s="17">
        <v>5</v>
      </c>
      <c r="H401" s="12">
        <v>5</v>
      </c>
      <c r="M401"/>
    </row>
    <row r="402" spans="1:13">
      <c r="A402" s="44">
        <v>2613051412</v>
      </c>
      <c r="B402" s="44">
        <v>408828</v>
      </c>
      <c r="C402" s="44" t="s">
        <v>1268</v>
      </c>
      <c r="D402" s="11">
        <v>1</v>
      </c>
      <c r="E402" s="12">
        <v>0</v>
      </c>
      <c r="F402" s="12">
        <v>4</v>
      </c>
      <c r="G402" s="17">
        <v>2</v>
      </c>
      <c r="H402" s="12">
        <v>0</v>
      </c>
      <c r="M402"/>
    </row>
    <row r="403" spans="1:13">
      <c r="A403" s="44" t="s">
        <v>156</v>
      </c>
      <c r="B403" s="44">
        <v>573314</v>
      </c>
      <c r="C403" s="44" t="s">
        <v>713</v>
      </c>
      <c r="D403" s="11">
        <v>0</v>
      </c>
      <c r="E403" s="12">
        <v>0</v>
      </c>
      <c r="F403" s="12">
        <v>0</v>
      </c>
      <c r="G403" s="17">
        <v>0</v>
      </c>
      <c r="H403" s="12">
        <v>0</v>
      </c>
      <c r="M403"/>
    </row>
    <row r="404" spans="1:13">
      <c r="A404" s="44" t="s">
        <v>149</v>
      </c>
      <c r="B404" s="44">
        <v>580633</v>
      </c>
      <c r="C404" s="44" t="s">
        <v>290</v>
      </c>
      <c r="D404" s="11">
        <v>0</v>
      </c>
      <c r="E404" s="12">
        <v>0</v>
      </c>
      <c r="F404" s="12">
        <v>0</v>
      </c>
      <c r="G404" s="17">
        <v>0</v>
      </c>
      <c r="H404" s="12">
        <v>0</v>
      </c>
      <c r="M404"/>
    </row>
    <row r="405" spans="1:13">
      <c r="A405" s="44" t="s">
        <v>5</v>
      </c>
      <c r="B405" s="44">
        <v>304264</v>
      </c>
      <c r="C405" s="44" t="s">
        <v>1083</v>
      </c>
      <c r="D405" s="11">
        <v>0</v>
      </c>
      <c r="E405" s="12">
        <v>0</v>
      </c>
      <c r="F405" s="12">
        <v>1</v>
      </c>
      <c r="G405" s="17">
        <v>0</v>
      </c>
      <c r="H405" s="12">
        <v>0</v>
      </c>
      <c r="M405"/>
    </row>
    <row r="406" spans="1:13">
      <c r="A406" s="44">
        <v>2613051043</v>
      </c>
      <c r="B406" s="44">
        <v>12296816</v>
      </c>
      <c r="C406" s="44" t="s">
        <v>440</v>
      </c>
      <c r="D406" s="11">
        <v>0</v>
      </c>
      <c r="E406" s="12">
        <v>0</v>
      </c>
      <c r="F406" s="12">
        <v>0</v>
      </c>
      <c r="G406" s="17">
        <v>0</v>
      </c>
      <c r="H406" s="12">
        <v>0</v>
      </c>
      <c r="M406"/>
    </row>
    <row r="407" spans="1:13">
      <c r="A407" s="44" t="s">
        <v>4</v>
      </c>
      <c r="B407" s="44">
        <v>126951</v>
      </c>
      <c r="C407" s="44" t="s">
        <v>1084</v>
      </c>
      <c r="D407" s="11">
        <v>1</v>
      </c>
      <c r="E407" s="12">
        <v>0</v>
      </c>
      <c r="F407" s="12">
        <v>3</v>
      </c>
      <c r="G407" s="17">
        <v>2</v>
      </c>
      <c r="H407" s="12">
        <v>0</v>
      </c>
      <c r="M407"/>
    </row>
    <row r="408" spans="1:13">
      <c r="A408" s="44">
        <v>2613051475</v>
      </c>
      <c r="B408" s="44">
        <v>282957</v>
      </c>
      <c r="C408" s="44" t="s">
        <v>1269</v>
      </c>
      <c r="D408" s="11">
        <v>0</v>
      </c>
      <c r="E408" s="12">
        <v>0</v>
      </c>
      <c r="F408" s="12">
        <v>3</v>
      </c>
      <c r="G408" s="17">
        <v>0</v>
      </c>
      <c r="H408" s="12">
        <v>0</v>
      </c>
      <c r="M408"/>
    </row>
    <row r="409" spans="1:13">
      <c r="A409" s="44" t="s">
        <v>155</v>
      </c>
      <c r="B409" s="44">
        <v>458928</v>
      </c>
      <c r="C409" s="44" t="s">
        <v>943</v>
      </c>
      <c r="D409" s="11">
        <v>0</v>
      </c>
      <c r="E409" s="12">
        <v>0</v>
      </c>
      <c r="F409" s="12">
        <v>5</v>
      </c>
      <c r="G409" s="17">
        <v>0</v>
      </c>
      <c r="H409" s="12">
        <v>0</v>
      </c>
      <c r="M409"/>
    </row>
    <row r="410" spans="1:13">
      <c r="A410" s="44" t="s">
        <v>156</v>
      </c>
      <c r="B410" s="44">
        <v>328949</v>
      </c>
      <c r="C410" s="44" t="s">
        <v>984</v>
      </c>
      <c r="D410" s="11">
        <v>0</v>
      </c>
      <c r="E410" s="12">
        <v>0</v>
      </c>
      <c r="F410" s="12">
        <v>0</v>
      </c>
      <c r="G410" s="17">
        <v>0</v>
      </c>
      <c r="H410" s="12">
        <v>0</v>
      </c>
      <c r="M410"/>
    </row>
    <row r="411" spans="1:13">
      <c r="A411" s="44">
        <v>2613051412</v>
      </c>
      <c r="B411" s="44">
        <v>579546</v>
      </c>
      <c r="C411" s="44" t="s">
        <v>1270</v>
      </c>
      <c r="D411" s="11">
        <v>0</v>
      </c>
      <c r="E411" s="12">
        <v>0</v>
      </c>
      <c r="F411" s="12">
        <v>0</v>
      </c>
      <c r="G411" s="17">
        <v>0</v>
      </c>
      <c r="H411" s="12">
        <v>0</v>
      </c>
      <c r="M411"/>
    </row>
    <row r="412" spans="1:13">
      <c r="A412" s="44">
        <v>2613051475</v>
      </c>
      <c r="B412" s="44">
        <v>573761</v>
      </c>
      <c r="C412" s="44" t="s">
        <v>918</v>
      </c>
      <c r="D412" s="11">
        <v>0</v>
      </c>
      <c r="E412" s="12">
        <v>0</v>
      </c>
      <c r="F412" s="12">
        <v>0</v>
      </c>
      <c r="G412" s="17">
        <v>0</v>
      </c>
      <c r="H412" s="12">
        <v>0</v>
      </c>
      <c r="M412"/>
    </row>
    <row r="413" spans="1:13">
      <c r="A413" s="44" t="s">
        <v>155</v>
      </c>
      <c r="B413" s="44">
        <v>63866</v>
      </c>
      <c r="C413" s="44" t="s">
        <v>962</v>
      </c>
      <c r="D413" s="11">
        <v>0</v>
      </c>
      <c r="E413" s="12">
        <v>0</v>
      </c>
      <c r="F413" s="12">
        <v>1</v>
      </c>
      <c r="G413" s="17">
        <v>0</v>
      </c>
      <c r="H413" s="12">
        <v>0</v>
      </c>
      <c r="M413"/>
    </row>
    <row r="414" spans="1:13">
      <c r="A414" s="44" t="s">
        <v>140</v>
      </c>
      <c r="B414" s="44">
        <v>2513</v>
      </c>
      <c r="C414" s="44" t="s">
        <v>468</v>
      </c>
      <c r="D414" s="11">
        <v>1</v>
      </c>
      <c r="E414" s="12">
        <v>0</v>
      </c>
      <c r="F414" s="12">
        <v>7</v>
      </c>
      <c r="G414" s="17">
        <v>4</v>
      </c>
      <c r="H414" s="12">
        <v>0</v>
      </c>
      <c r="M414"/>
    </row>
    <row r="415" spans="1:13">
      <c r="A415" s="44">
        <v>2613052584</v>
      </c>
      <c r="B415" s="44">
        <v>12322841</v>
      </c>
      <c r="C415" s="44" t="s">
        <v>1271</v>
      </c>
      <c r="D415" s="11">
        <v>0</v>
      </c>
      <c r="E415" s="12">
        <v>0</v>
      </c>
      <c r="F415" s="12">
        <v>1</v>
      </c>
      <c r="G415" s="17">
        <v>0</v>
      </c>
      <c r="H415" s="12">
        <v>0</v>
      </c>
      <c r="M415"/>
    </row>
    <row r="416" spans="1:13">
      <c r="A416" s="44" t="s">
        <v>155</v>
      </c>
      <c r="B416" s="44">
        <v>62286</v>
      </c>
      <c r="C416" s="44" t="s">
        <v>961</v>
      </c>
      <c r="D416" s="11">
        <v>1</v>
      </c>
      <c r="E416" s="12">
        <v>0</v>
      </c>
      <c r="F416" s="12">
        <v>0</v>
      </c>
      <c r="G416" s="17">
        <v>3</v>
      </c>
      <c r="H416" s="12">
        <v>3</v>
      </c>
      <c r="M416"/>
    </row>
    <row r="417" spans="1:13">
      <c r="A417" s="44" t="s">
        <v>1140</v>
      </c>
      <c r="B417" s="44">
        <v>397893</v>
      </c>
      <c r="C417" s="44" t="s">
        <v>1272</v>
      </c>
      <c r="D417" s="11">
        <v>1</v>
      </c>
      <c r="E417" s="12">
        <v>0</v>
      </c>
      <c r="F417" s="12">
        <v>4</v>
      </c>
      <c r="G417" s="17">
        <v>3</v>
      </c>
      <c r="H417" s="12">
        <v>0</v>
      </c>
      <c r="M417"/>
    </row>
    <row r="418" spans="1:13">
      <c r="A418" s="44" t="s">
        <v>146</v>
      </c>
      <c r="B418" s="44">
        <v>63912</v>
      </c>
      <c r="C418" s="44" t="s">
        <v>1273</v>
      </c>
      <c r="D418" s="11">
        <v>0</v>
      </c>
      <c r="E418" s="12">
        <v>0</v>
      </c>
      <c r="F418" s="12">
        <v>1</v>
      </c>
      <c r="G418" s="17">
        <v>0</v>
      </c>
      <c r="H418" s="12">
        <v>0</v>
      </c>
      <c r="M418"/>
    </row>
    <row r="419" spans="1:13">
      <c r="A419" s="44" t="s">
        <v>156</v>
      </c>
      <c r="B419" s="44">
        <v>12954</v>
      </c>
      <c r="C419" s="44" t="s">
        <v>975</v>
      </c>
      <c r="D419" s="11">
        <v>0</v>
      </c>
      <c r="E419" s="12">
        <v>0</v>
      </c>
      <c r="F419" s="12">
        <v>1</v>
      </c>
      <c r="G419" s="17">
        <v>0</v>
      </c>
      <c r="H419" s="12">
        <v>0</v>
      </c>
      <c r="M419"/>
    </row>
    <row r="420" spans="1:13">
      <c r="A420" s="44" t="s">
        <v>141</v>
      </c>
      <c r="B420" s="44">
        <v>402344</v>
      </c>
      <c r="C420" s="44" t="s">
        <v>197</v>
      </c>
      <c r="D420" s="11">
        <v>1</v>
      </c>
      <c r="E420" s="12">
        <v>0</v>
      </c>
      <c r="F420" s="12">
        <v>0</v>
      </c>
      <c r="G420" s="17">
        <v>1</v>
      </c>
      <c r="H420" s="12">
        <v>1</v>
      </c>
      <c r="M420"/>
    </row>
    <row r="421" spans="1:13">
      <c r="A421" s="44" t="s">
        <v>145</v>
      </c>
      <c r="B421" s="44">
        <v>346185</v>
      </c>
      <c r="C421" s="44" t="s">
        <v>502</v>
      </c>
      <c r="D421" s="11">
        <v>1</v>
      </c>
      <c r="E421" s="12">
        <v>0</v>
      </c>
      <c r="F421" s="12">
        <v>3</v>
      </c>
      <c r="G421" s="17">
        <v>1</v>
      </c>
      <c r="H421" s="12">
        <v>0</v>
      </c>
      <c r="M421"/>
    </row>
    <row r="422" spans="1:13">
      <c r="A422" s="44" t="s">
        <v>155</v>
      </c>
      <c r="B422" s="44">
        <v>288206</v>
      </c>
      <c r="C422" s="44" t="s">
        <v>1274</v>
      </c>
      <c r="D422" s="11">
        <v>1</v>
      </c>
      <c r="E422" s="12">
        <v>0</v>
      </c>
      <c r="F422" s="12">
        <v>3</v>
      </c>
      <c r="G422" s="17">
        <v>3</v>
      </c>
      <c r="H422" s="12">
        <v>0</v>
      </c>
      <c r="M422"/>
    </row>
    <row r="423" spans="1:13">
      <c r="A423" s="44">
        <v>2613050885</v>
      </c>
      <c r="B423" s="44">
        <v>511386</v>
      </c>
      <c r="C423" s="44" t="s">
        <v>293</v>
      </c>
      <c r="D423" s="11">
        <v>1</v>
      </c>
      <c r="E423" s="12">
        <v>0</v>
      </c>
      <c r="F423" s="12">
        <v>2</v>
      </c>
      <c r="G423" s="17">
        <v>1</v>
      </c>
      <c r="H423" s="12">
        <v>0</v>
      </c>
      <c r="M423"/>
    </row>
    <row r="424" spans="1:13">
      <c r="A424" s="44">
        <v>2613050885</v>
      </c>
      <c r="B424" s="44">
        <v>523915</v>
      </c>
      <c r="C424" s="44" t="s">
        <v>301</v>
      </c>
      <c r="D424" s="11">
        <v>0</v>
      </c>
      <c r="E424" s="12">
        <v>0</v>
      </c>
      <c r="F424" s="12">
        <v>5</v>
      </c>
      <c r="G424" s="17">
        <v>0</v>
      </c>
      <c r="H424" s="12">
        <v>0</v>
      </c>
      <c r="M424"/>
    </row>
    <row r="425" spans="1:13">
      <c r="A425" s="44" t="s">
        <v>142</v>
      </c>
      <c r="B425" s="44">
        <v>511076</v>
      </c>
      <c r="C425" s="44" t="s">
        <v>1275</v>
      </c>
      <c r="D425" s="11">
        <v>0</v>
      </c>
      <c r="E425" s="12">
        <v>0</v>
      </c>
      <c r="F425" s="12">
        <v>1</v>
      </c>
      <c r="G425" s="17">
        <v>0</v>
      </c>
      <c r="H425" s="12">
        <v>0</v>
      </c>
      <c r="M425"/>
    </row>
    <row r="426" spans="1:13">
      <c r="A426" s="44" t="s">
        <v>144</v>
      </c>
      <c r="B426" s="44">
        <v>12305580</v>
      </c>
      <c r="C426" s="44" t="s">
        <v>214</v>
      </c>
      <c r="D426" s="11">
        <v>0</v>
      </c>
      <c r="E426" s="12">
        <v>0</v>
      </c>
      <c r="F426" s="12">
        <v>1</v>
      </c>
      <c r="G426" s="17">
        <v>0</v>
      </c>
      <c r="H426" s="12">
        <v>0</v>
      </c>
      <c r="M426"/>
    </row>
    <row r="427" spans="1:13">
      <c r="A427" s="44" t="s">
        <v>3</v>
      </c>
      <c r="B427" s="44">
        <v>301600</v>
      </c>
      <c r="C427" s="44" t="s">
        <v>1085</v>
      </c>
      <c r="D427" s="11">
        <v>1</v>
      </c>
      <c r="E427" s="12">
        <v>0</v>
      </c>
      <c r="F427" s="12">
        <v>1</v>
      </c>
      <c r="G427" s="17">
        <v>2</v>
      </c>
      <c r="H427" s="12">
        <v>1</v>
      </c>
      <c r="M427"/>
    </row>
    <row r="428" spans="1:13">
      <c r="A428" s="44" t="s">
        <v>145</v>
      </c>
      <c r="B428" s="44">
        <v>524408</v>
      </c>
      <c r="C428" s="44" t="s">
        <v>1276</v>
      </c>
      <c r="D428" s="11">
        <v>1</v>
      </c>
      <c r="E428" s="12">
        <v>1</v>
      </c>
      <c r="F428" s="12">
        <v>9</v>
      </c>
      <c r="G428" s="17">
        <v>12</v>
      </c>
      <c r="H428" s="12">
        <v>3</v>
      </c>
      <c r="M428"/>
    </row>
    <row r="429" spans="1:13">
      <c r="A429" s="44">
        <v>2613050885</v>
      </c>
      <c r="B429" s="44">
        <v>61612</v>
      </c>
      <c r="C429" s="44" t="s">
        <v>311</v>
      </c>
      <c r="D429" s="11">
        <v>0</v>
      </c>
      <c r="E429" s="12">
        <v>1</v>
      </c>
      <c r="F429" s="12">
        <v>0</v>
      </c>
      <c r="G429" s="17">
        <v>0</v>
      </c>
      <c r="H429" s="12">
        <v>0</v>
      </c>
      <c r="M429"/>
    </row>
    <row r="430" spans="1:13">
      <c r="A430" s="44" t="s">
        <v>1136</v>
      </c>
      <c r="B430" s="44">
        <v>459694</v>
      </c>
      <c r="C430" s="44" t="s">
        <v>1115</v>
      </c>
      <c r="D430" s="11">
        <v>1</v>
      </c>
      <c r="E430" s="12">
        <v>0</v>
      </c>
      <c r="F430" s="12">
        <v>1</v>
      </c>
      <c r="G430" s="17">
        <v>3</v>
      </c>
      <c r="H430" s="12">
        <v>2</v>
      </c>
      <c r="M430"/>
    </row>
    <row r="431" spans="1:13">
      <c r="A431" s="44" t="s">
        <v>140</v>
      </c>
      <c r="B431" s="44">
        <v>537134</v>
      </c>
      <c r="C431" s="44" t="s">
        <v>1277</v>
      </c>
      <c r="D431" s="11">
        <v>1</v>
      </c>
      <c r="E431" s="12">
        <v>0</v>
      </c>
      <c r="F431" s="12">
        <v>10</v>
      </c>
      <c r="G431" s="17">
        <v>5</v>
      </c>
      <c r="H431" s="12">
        <v>0</v>
      </c>
      <c r="M431"/>
    </row>
    <row r="432" spans="1:13">
      <c r="A432" s="44" t="s">
        <v>142</v>
      </c>
      <c r="B432" s="44">
        <v>61618</v>
      </c>
      <c r="C432" s="44" t="s">
        <v>376</v>
      </c>
      <c r="D432" s="11">
        <v>1</v>
      </c>
      <c r="E432" s="12">
        <v>0</v>
      </c>
      <c r="F432" s="12">
        <v>2</v>
      </c>
      <c r="G432" s="17">
        <v>1</v>
      </c>
      <c r="H432" s="12">
        <v>0</v>
      </c>
      <c r="M432"/>
    </row>
    <row r="433" spans="1:13">
      <c r="A433" s="44">
        <v>2613051451</v>
      </c>
      <c r="B433" s="44">
        <v>126981</v>
      </c>
      <c r="C433" s="44" t="s">
        <v>384</v>
      </c>
      <c r="D433" s="11">
        <v>0</v>
      </c>
      <c r="E433" s="12">
        <v>0</v>
      </c>
      <c r="F433" s="12">
        <v>0</v>
      </c>
      <c r="G433" s="17">
        <v>0</v>
      </c>
      <c r="H433" s="12">
        <v>0</v>
      </c>
      <c r="M433"/>
    </row>
    <row r="434" spans="1:13">
      <c r="A434" s="44">
        <v>2613050885</v>
      </c>
      <c r="B434" s="44">
        <v>12300897</v>
      </c>
      <c r="C434" s="44" t="s">
        <v>278</v>
      </c>
      <c r="D434" s="11">
        <v>0</v>
      </c>
      <c r="E434" s="12">
        <v>0</v>
      </c>
      <c r="F434" s="12">
        <v>1</v>
      </c>
      <c r="G434" s="17">
        <v>0</v>
      </c>
      <c r="H434" s="12">
        <v>0</v>
      </c>
      <c r="M434"/>
    </row>
    <row r="435" spans="1:13">
      <c r="A435" s="44" t="s">
        <v>154</v>
      </c>
      <c r="B435" s="44">
        <v>369696</v>
      </c>
      <c r="C435" s="44" t="s">
        <v>746</v>
      </c>
      <c r="D435" s="11">
        <v>1</v>
      </c>
      <c r="E435" s="12">
        <v>6</v>
      </c>
      <c r="F435" s="12">
        <v>32</v>
      </c>
      <c r="G435" s="17">
        <v>22</v>
      </c>
      <c r="H435" s="12">
        <v>0</v>
      </c>
      <c r="M435"/>
    </row>
    <row r="436" spans="1:13">
      <c r="A436" s="44">
        <v>2613051412</v>
      </c>
      <c r="B436" s="44">
        <v>211577</v>
      </c>
      <c r="C436" s="44" t="s">
        <v>555</v>
      </c>
      <c r="D436" s="11">
        <v>1</v>
      </c>
      <c r="E436" s="12">
        <v>0</v>
      </c>
      <c r="F436" s="12">
        <v>5</v>
      </c>
      <c r="G436" s="17">
        <v>1</v>
      </c>
      <c r="H436" s="12">
        <v>0</v>
      </c>
      <c r="M436"/>
    </row>
    <row r="437" spans="1:13">
      <c r="A437" s="44" t="s">
        <v>3</v>
      </c>
      <c r="B437" s="44">
        <v>523194</v>
      </c>
      <c r="C437" s="44" t="s">
        <v>30</v>
      </c>
      <c r="D437" s="11">
        <v>0</v>
      </c>
      <c r="E437" s="12">
        <v>0</v>
      </c>
      <c r="F437" s="12">
        <v>2</v>
      </c>
      <c r="G437" s="17">
        <v>0</v>
      </c>
      <c r="H437" s="12">
        <v>0</v>
      </c>
      <c r="M437"/>
    </row>
    <row r="438" spans="1:13">
      <c r="A438" s="44" t="s">
        <v>146</v>
      </c>
      <c r="B438" s="44">
        <v>509643</v>
      </c>
      <c r="C438" s="44" t="s">
        <v>1278</v>
      </c>
      <c r="D438" s="11">
        <v>1</v>
      </c>
      <c r="E438" s="12">
        <v>0</v>
      </c>
      <c r="F438" s="12">
        <v>4</v>
      </c>
      <c r="G438" s="17">
        <v>2</v>
      </c>
      <c r="H438" s="12">
        <v>0</v>
      </c>
      <c r="M438"/>
    </row>
    <row r="439" spans="1:13">
      <c r="A439" s="44" t="s">
        <v>156</v>
      </c>
      <c r="B439" s="44">
        <v>248829</v>
      </c>
      <c r="C439" s="44" t="s">
        <v>978</v>
      </c>
      <c r="D439" s="11">
        <v>1</v>
      </c>
      <c r="E439" s="12">
        <v>0</v>
      </c>
      <c r="F439" s="12">
        <v>3</v>
      </c>
      <c r="G439" s="17">
        <v>7</v>
      </c>
      <c r="H439" s="12">
        <v>4</v>
      </c>
      <c r="M439"/>
    </row>
    <row r="440" spans="1:13">
      <c r="A440" s="44" t="s">
        <v>151</v>
      </c>
      <c r="B440" s="44">
        <v>533799</v>
      </c>
      <c r="C440" s="44" t="s">
        <v>1279</v>
      </c>
      <c r="D440" s="11">
        <v>0</v>
      </c>
      <c r="E440" s="12">
        <v>0</v>
      </c>
      <c r="F440" s="12">
        <v>3</v>
      </c>
      <c r="G440" s="17">
        <v>0</v>
      </c>
      <c r="H440" s="12">
        <v>0</v>
      </c>
      <c r="M440"/>
    </row>
    <row r="441" spans="1:13">
      <c r="A441" s="44" t="s">
        <v>151</v>
      </c>
      <c r="B441" s="44">
        <v>2787</v>
      </c>
      <c r="C441" s="44" t="s">
        <v>867</v>
      </c>
      <c r="D441" s="11">
        <v>1</v>
      </c>
      <c r="E441" s="12">
        <v>2</v>
      </c>
      <c r="F441" s="12">
        <v>4</v>
      </c>
      <c r="G441" s="17">
        <v>4</v>
      </c>
      <c r="H441" s="12">
        <v>0</v>
      </c>
      <c r="M441"/>
    </row>
    <row r="442" spans="1:13">
      <c r="A442" s="44" t="s">
        <v>156</v>
      </c>
      <c r="B442" s="44">
        <v>409940</v>
      </c>
      <c r="C442" s="44" t="s">
        <v>991</v>
      </c>
      <c r="D442" s="11">
        <v>0</v>
      </c>
      <c r="E442" s="12">
        <v>0</v>
      </c>
      <c r="F442" s="12">
        <v>0</v>
      </c>
      <c r="G442" s="17">
        <v>0</v>
      </c>
      <c r="H442" s="12">
        <v>0</v>
      </c>
      <c r="M442"/>
    </row>
    <row r="443" spans="1:13">
      <c r="A443" s="44" t="s">
        <v>152</v>
      </c>
      <c r="B443" s="44">
        <v>126968</v>
      </c>
      <c r="C443" s="44" t="s">
        <v>654</v>
      </c>
      <c r="D443" s="11">
        <v>0</v>
      </c>
      <c r="E443" s="12">
        <v>0</v>
      </c>
      <c r="F443" s="12">
        <v>1</v>
      </c>
      <c r="G443" s="17">
        <v>0</v>
      </c>
      <c r="H443" s="12">
        <v>0</v>
      </c>
      <c r="M443"/>
    </row>
    <row r="444" spans="1:13">
      <c r="A444" s="44" t="s">
        <v>158</v>
      </c>
      <c r="B444" s="44">
        <v>211622</v>
      </c>
      <c r="C444" s="44" t="s">
        <v>1280</v>
      </c>
      <c r="D444" s="11">
        <v>1</v>
      </c>
      <c r="E444" s="12">
        <v>0</v>
      </c>
      <c r="F444" s="12">
        <v>6</v>
      </c>
      <c r="G444" s="17">
        <v>20</v>
      </c>
      <c r="H444" s="12">
        <v>14</v>
      </c>
      <c r="M444"/>
    </row>
    <row r="445" spans="1:13">
      <c r="A445" s="44" t="s">
        <v>1140</v>
      </c>
      <c r="B445" s="44">
        <v>5981</v>
      </c>
      <c r="C445" s="44" t="s">
        <v>1281</v>
      </c>
      <c r="D445" s="11">
        <v>1</v>
      </c>
      <c r="E445" s="12">
        <v>0</v>
      </c>
      <c r="F445" s="12">
        <v>3</v>
      </c>
      <c r="G445" s="17">
        <v>3</v>
      </c>
      <c r="H445" s="12">
        <v>0</v>
      </c>
      <c r="M445"/>
    </row>
    <row r="446" spans="1:13">
      <c r="A446" s="44" t="s">
        <v>158</v>
      </c>
      <c r="B446" s="44">
        <v>281419</v>
      </c>
      <c r="C446" s="44" t="s">
        <v>1282</v>
      </c>
      <c r="D446" s="11">
        <v>1</v>
      </c>
      <c r="E446" s="12">
        <v>0</v>
      </c>
      <c r="F446" s="12">
        <v>11</v>
      </c>
      <c r="G446" s="17">
        <v>8</v>
      </c>
      <c r="H446" s="12">
        <v>0</v>
      </c>
      <c r="M446"/>
    </row>
    <row r="447" spans="1:13">
      <c r="A447" s="44">
        <v>2613050886</v>
      </c>
      <c r="B447" s="44">
        <v>12322361</v>
      </c>
      <c r="C447" s="44" t="s">
        <v>315</v>
      </c>
      <c r="D447" s="11">
        <v>1</v>
      </c>
      <c r="E447" s="12">
        <v>0</v>
      </c>
      <c r="F447" s="12">
        <v>56</v>
      </c>
      <c r="G447" s="17">
        <v>5</v>
      </c>
      <c r="H447" s="12">
        <v>0</v>
      </c>
      <c r="M447"/>
    </row>
    <row r="448" spans="1:13">
      <c r="A448" s="44" t="s">
        <v>141</v>
      </c>
      <c r="B448" s="44">
        <v>62012</v>
      </c>
      <c r="C448" s="44" t="s">
        <v>210</v>
      </c>
      <c r="D448" s="11">
        <v>1</v>
      </c>
      <c r="E448" s="12">
        <v>0</v>
      </c>
      <c r="F448" s="12">
        <v>2</v>
      </c>
      <c r="G448" s="17">
        <v>2</v>
      </c>
      <c r="H448" s="12">
        <v>0</v>
      </c>
      <c r="M448"/>
    </row>
    <row r="449" spans="1:13">
      <c r="A449" s="44" t="s">
        <v>158</v>
      </c>
      <c r="B449" s="44">
        <v>401140</v>
      </c>
      <c r="C449" s="44" t="s">
        <v>1283</v>
      </c>
      <c r="D449" s="11">
        <v>1</v>
      </c>
      <c r="E449" s="12">
        <v>0</v>
      </c>
      <c r="F449" s="12">
        <v>3</v>
      </c>
      <c r="G449" s="17">
        <v>2</v>
      </c>
      <c r="H449" s="12">
        <v>0</v>
      </c>
      <c r="M449"/>
    </row>
    <row r="450" spans="1:13">
      <c r="A450" s="44">
        <v>2613052584</v>
      </c>
      <c r="B450" s="44">
        <v>12325652</v>
      </c>
      <c r="C450" s="44" t="s">
        <v>574</v>
      </c>
      <c r="D450" s="11">
        <v>0</v>
      </c>
      <c r="E450" s="12">
        <v>0</v>
      </c>
      <c r="F450" s="12">
        <v>4</v>
      </c>
      <c r="G450" s="17">
        <v>0</v>
      </c>
      <c r="H450" s="12">
        <v>0</v>
      </c>
      <c r="M450"/>
    </row>
    <row r="451" spans="1:13">
      <c r="A451" s="44" t="s">
        <v>142</v>
      </c>
      <c r="B451" s="44">
        <v>238956</v>
      </c>
      <c r="C451" s="44" t="s">
        <v>350</v>
      </c>
      <c r="D451" s="11">
        <v>1</v>
      </c>
      <c r="E451" s="12">
        <v>0</v>
      </c>
      <c r="F451" s="12">
        <v>1</v>
      </c>
      <c r="G451" s="17">
        <v>1</v>
      </c>
      <c r="H451" s="12">
        <v>0</v>
      </c>
      <c r="M451"/>
    </row>
    <row r="452" spans="1:13">
      <c r="A452" s="44" t="s">
        <v>4</v>
      </c>
      <c r="B452" s="44">
        <v>211794</v>
      </c>
      <c r="C452" s="44" t="s">
        <v>51</v>
      </c>
      <c r="D452" s="11">
        <v>1</v>
      </c>
      <c r="E452" s="12">
        <v>0</v>
      </c>
      <c r="F452" s="12">
        <v>3</v>
      </c>
      <c r="G452" s="17">
        <v>4</v>
      </c>
      <c r="H452" s="12">
        <v>1</v>
      </c>
      <c r="M452"/>
    </row>
    <row r="453" spans="1:13">
      <c r="A453" s="44" t="s">
        <v>5</v>
      </c>
      <c r="B453" s="44">
        <v>574633</v>
      </c>
      <c r="C453" s="44" t="s">
        <v>1086</v>
      </c>
      <c r="D453" s="11">
        <v>1</v>
      </c>
      <c r="E453" s="12">
        <v>0</v>
      </c>
      <c r="F453" s="12">
        <v>5</v>
      </c>
      <c r="G453" s="17">
        <v>5</v>
      </c>
      <c r="H453" s="12">
        <v>0</v>
      </c>
      <c r="M453"/>
    </row>
    <row r="454" spans="1:13">
      <c r="A454" s="44" t="s">
        <v>5</v>
      </c>
      <c r="B454" s="44">
        <v>558955</v>
      </c>
      <c r="C454" s="44" t="s">
        <v>109</v>
      </c>
      <c r="D454" s="11">
        <v>1</v>
      </c>
      <c r="E454" s="12">
        <v>0</v>
      </c>
      <c r="F454" s="12">
        <v>5</v>
      </c>
      <c r="G454" s="17">
        <v>4</v>
      </c>
      <c r="H454" s="12">
        <v>0</v>
      </c>
      <c r="M454"/>
    </row>
    <row r="455" spans="1:13">
      <c r="A455" s="44">
        <v>2613052584</v>
      </c>
      <c r="B455" s="44">
        <v>12322894</v>
      </c>
      <c r="C455" s="44" t="s">
        <v>1284</v>
      </c>
      <c r="D455" s="11">
        <v>0</v>
      </c>
      <c r="E455" s="12">
        <v>0</v>
      </c>
      <c r="F455" s="12">
        <v>0</v>
      </c>
      <c r="G455" s="17">
        <v>0</v>
      </c>
      <c r="H455" s="12">
        <v>0</v>
      </c>
      <c r="M455"/>
    </row>
    <row r="456" spans="1:13">
      <c r="A456" s="44" t="s">
        <v>3</v>
      </c>
      <c r="B456" s="44">
        <v>12295820</v>
      </c>
      <c r="C456" s="44" t="s">
        <v>16</v>
      </c>
      <c r="D456" s="11">
        <v>0</v>
      </c>
      <c r="E456" s="12">
        <v>0</v>
      </c>
      <c r="F456" s="12">
        <v>0</v>
      </c>
      <c r="G456" s="17">
        <v>0</v>
      </c>
      <c r="H456" s="12">
        <v>0</v>
      </c>
      <c r="M456"/>
    </row>
    <row r="457" spans="1:13">
      <c r="A457" s="44" t="s">
        <v>137</v>
      </c>
      <c r="B457" s="44">
        <v>12296255</v>
      </c>
      <c r="C457" s="44" t="s">
        <v>1285</v>
      </c>
      <c r="D457" s="11">
        <v>0</v>
      </c>
      <c r="E457" s="12">
        <v>0</v>
      </c>
      <c r="F457" s="12">
        <v>7</v>
      </c>
      <c r="G457" s="17">
        <v>0</v>
      </c>
      <c r="H457" s="12">
        <v>0</v>
      </c>
      <c r="M457"/>
    </row>
    <row r="458" spans="1:13">
      <c r="A458" s="44">
        <v>2613050885</v>
      </c>
      <c r="B458" s="44">
        <v>403481</v>
      </c>
      <c r="C458" s="44" t="s">
        <v>1286</v>
      </c>
      <c r="D458" s="11">
        <v>1</v>
      </c>
      <c r="E458" s="12">
        <v>0</v>
      </c>
      <c r="F458" s="12">
        <v>3</v>
      </c>
      <c r="G458" s="17">
        <v>1</v>
      </c>
      <c r="H458" s="12">
        <v>0</v>
      </c>
      <c r="M458"/>
    </row>
    <row r="459" spans="1:13">
      <c r="A459" s="44">
        <v>2613051412</v>
      </c>
      <c r="B459" s="44">
        <v>12299789</v>
      </c>
      <c r="C459" s="44" t="s">
        <v>1287</v>
      </c>
      <c r="D459" s="11">
        <v>0</v>
      </c>
      <c r="E459" s="12">
        <v>0</v>
      </c>
      <c r="F459" s="12">
        <v>4</v>
      </c>
      <c r="G459" s="17">
        <v>0</v>
      </c>
      <c r="H459" s="12">
        <v>0</v>
      </c>
      <c r="M459"/>
    </row>
    <row r="460" spans="1:13">
      <c r="A460" s="44" t="s">
        <v>137</v>
      </c>
      <c r="B460" s="44">
        <v>12296250</v>
      </c>
      <c r="C460" s="44" t="s">
        <v>429</v>
      </c>
      <c r="D460" s="11">
        <v>0</v>
      </c>
      <c r="E460" s="12">
        <v>0</v>
      </c>
      <c r="F460" s="12">
        <v>3</v>
      </c>
      <c r="G460" s="17">
        <v>0</v>
      </c>
      <c r="H460" s="12">
        <v>0</v>
      </c>
      <c r="M460"/>
    </row>
    <row r="461" spans="1:13">
      <c r="A461" s="44" t="s">
        <v>140</v>
      </c>
      <c r="B461" s="44">
        <v>62338</v>
      </c>
      <c r="C461" s="44" t="s">
        <v>479</v>
      </c>
      <c r="D461" s="11">
        <v>0</v>
      </c>
      <c r="E461" s="12">
        <v>0</v>
      </c>
      <c r="F461" s="12">
        <v>0</v>
      </c>
      <c r="G461" s="17">
        <v>0</v>
      </c>
      <c r="H461" s="12">
        <v>0</v>
      </c>
      <c r="M461"/>
    </row>
    <row r="462" spans="1:13">
      <c r="A462" s="44" t="s">
        <v>142</v>
      </c>
      <c r="B462" s="44">
        <v>555648</v>
      </c>
      <c r="C462" s="44" t="s">
        <v>373</v>
      </c>
      <c r="D462" s="11">
        <v>1</v>
      </c>
      <c r="E462" s="12">
        <v>0</v>
      </c>
      <c r="F462" s="12">
        <v>3</v>
      </c>
      <c r="G462" s="17">
        <v>2</v>
      </c>
      <c r="H462" s="12">
        <v>0</v>
      </c>
      <c r="M462"/>
    </row>
    <row r="463" spans="1:13">
      <c r="A463" s="44" t="s">
        <v>149</v>
      </c>
      <c r="B463" s="44">
        <v>240000</v>
      </c>
      <c r="C463" s="44" t="s">
        <v>773</v>
      </c>
      <c r="D463" s="11">
        <v>0</v>
      </c>
      <c r="E463" s="12">
        <v>0</v>
      </c>
      <c r="F463" s="12">
        <v>0</v>
      </c>
      <c r="G463" s="17">
        <v>0</v>
      </c>
      <c r="H463" s="12">
        <v>0</v>
      </c>
      <c r="M463"/>
    </row>
    <row r="464" spans="1:13">
      <c r="A464" s="44" t="s">
        <v>157</v>
      </c>
      <c r="B464" s="44">
        <v>62075</v>
      </c>
      <c r="C464" s="44" t="s">
        <v>1064</v>
      </c>
      <c r="D464" s="11">
        <v>1</v>
      </c>
      <c r="E464" s="12">
        <v>0</v>
      </c>
      <c r="F464" s="12">
        <v>2</v>
      </c>
      <c r="G464" s="17">
        <v>4</v>
      </c>
      <c r="H464" s="12">
        <v>2</v>
      </c>
      <c r="M464"/>
    </row>
    <row r="465" spans="1:13">
      <c r="A465" s="44" t="s">
        <v>156</v>
      </c>
      <c r="B465" s="44">
        <v>277793</v>
      </c>
      <c r="C465" s="44" t="s">
        <v>981</v>
      </c>
      <c r="D465" s="11">
        <v>1</v>
      </c>
      <c r="E465" s="12">
        <v>0</v>
      </c>
      <c r="F465" s="12">
        <v>10</v>
      </c>
      <c r="G465" s="17">
        <v>10</v>
      </c>
      <c r="H465" s="12">
        <v>0</v>
      </c>
      <c r="M465"/>
    </row>
    <row r="466" spans="1:13">
      <c r="A466" s="44" t="s">
        <v>148</v>
      </c>
      <c r="B466" s="44">
        <v>262895</v>
      </c>
      <c r="C466" s="44" t="s">
        <v>639</v>
      </c>
      <c r="D466" s="11">
        <v>0</v>
      </c>
      <c r="E466" s="12">
        <v>0</v>
      </c>
      <c r="F466" s="12">
        <v>1</v>
      </c>
      <c r="G466" s="17">
        <v>0</v>
      </c>
      <c r="H466" s="12">
        <v>0</v>
      </c>
      <c r="M466"/>
    </row>
    <row r="467" spans="1:13">
      <c r="A467" s="44" t="s">
        <v>1140</v>
      </c>
      <c r="B467" s="44">
        <v>334656</v>
      </c>
      <c r="C467" s="44" t="s">
        <v>1288</v>
      </c>
      <c r="D467" s="11">
        <v>0</v>
      </c>
      <c r="E467" s="12">
        <v>0</v>
      </c>
      <c r="F467" s="12">
        <v>2</v>
      </c>
      <c r="G467" s="17">
        <v>0</v>
      </c>
      <c r="H467" s="12">
        <v>0</v>
      </c>
      <c r="M467"/>
    </row>
    <row r="468" spans="1:13">
      <c r="A468" s="44" t="s">
        <v>155</v>
      </c>
      <c r="B468" s="44">
        <v>535182</v>
      </c>
      <c r="C468" s="44" t="s">
        <v>950</v>
      </c>
      <c r="D468" s="11">
        <v>1</v>
      </c>
      <c r="E468" s="12">
        <v>0</v>
      </c>
      <c r="F468" s="12">
        <v>11</v>
      </c>
      <c r="G468" s="17">
        <v>3</v>
      </c>
      <c r="H468" s="12">
        <v>0</v>
      </c>
      <c r="M468"/>
    </row>
    <row r="469" spans="1:13">
      <c r="A469" s="44" t="s">
        <v>141</v>
      </c>
      <c r="B469" s="44">
        <v>549294</v>
      </c>
      <c r="C469" s="44" t="s">
        <v>206</v>
      </c>
      <c r="D469" s="11">
        <v>0</v>
      </c>
      <c r="E469" s="12">
        <v>0</v>
      </c>
      <c r="F469" s="12">
        <v>1</v>
      </c>
      <c r="G469" s="17">
        <v>0</v>
      </c>
      <c r="H469" s="12">
        <v>0</v>
      </c>
      <c r="M469"/>
    </row>
    <row r="470" spans="1:13">
      <c r="A470" s="44" t="s">
        <v>136</v>
      </c>
      <c r="B470" s="44">
        <v>12301666</v>
      </c>
      <c r="C470" s="44" t="s">
        <v>391</v>
      </c>
      <c r="D470" s="11">
        <v>1</v>
      </c>
      <c r="E470" s="12">
        <v>0</v>
      </c>
      <c r="F470" s="12">
        <v>2</v>
      </c>
      <c r="G470" s="17">
        <v>1</v>
      </c>
      <c r="H470" s="12">
        <v>0</v>
      </c>
      <c r="M470"/>
    </row>
    <row r="471" spans="1:13">
      <c r="A471" s="44" t="s">
        <v>147</v>
      </c>
      <c r="B471" s="44">
        <v>127191</v>
      </c>
      <c r="C471" s="44" t="s">
        <v>597</v>
      </c>
      <c r="D471" s="11">
        <v>1</v>
      </c>
      <c r="E471" s="12">
        <v>0</v>
      </c>
      <c r="F471" s="12">
        <v>1</v>
      </c>
      <c r="G471" s="17">
        <v>1</v>
      </c>
      <c r="H471" s="12">
        <v>0</v>
      </c>
      <c r="M471"/>
    </row>
    <row r="472" spans="1:13">
      <c r="A472" s="44" t="s">
        <v>155</v>
      </c>
      <c r="B472" s="44">
        <v>393328</v>
      </c>
      <c r="C472" s="44" t="s">
        <v>942</v>
      </c>
      <c r="D472" s="11">
        <v>0</v>
      </c>
      <c r="E472" s="12">
        <v>0</v>
      </c>
      <c r="F472" s="12">
        <v>0</v>
      </c>
      <c r="G472" s="17">
        <v>0</v>
      </c>
      <c r="H472" s="12">
        <v>0</v>
      </c>
      <c r="M472"/>
    </row>
    <row r="473" spans="1:13">
      <c r="A473" s="44" t="s">
        <v>150</v>
      </c>
      <c r="B473" s="44">
        <v>61947</v>
      </c>
      <c r="C473" s="44" t="s">
        <v>176</v>
      </c>
      <c r="D473" s="11">
        <v>0</v>
      </c>
      <c r="E473" s="12">
        <v>0</v>
      </c>
      <c r="F473" s="12">
        <v>0</v>
      </c>
      <c r="G473" s="17">
        <v>0</v>
      </c>
      <c r="H473" s="12">
        <v>0</v>
      </c>
      <c r="M473"/>
    </row>
    <row r="474" spans="1:13">
      <c r="A474" s="44">
        <v>2613051043</v>
      </c>
      <c r="B474" s="44">
        <v>12296812</v>
      </c>
      <c r="C474" s="44" t="s">
        <v>437</v>
      </c>
      <c r="D474" s="11">
        <v>0</v>
      </c>
      <c r="E474" s="12">
        <v>0</v>
      </c>
      <c r="F474" s="12">
        <v>0</v>
      </c>
      <c r="G474" s="17">
        <v>0</v>
      </c>
      <c r="H474" s="12">
        <v>0</v>
      </c>
      <c r="M474"/>
    </row>
    <row r="475" spans="1:13">
      <c r="A475" s="44" t="s">
        <v>1140</v>
      </c>
      <c r="B475" s="44">
        <v>405461</v>
      </c>
      <c r="C475" s="44" t="s">
        <v>1289</v>
      </c>
      <c r="D475" s="11">
        <v>1</v>
      </c>
      <c r="E475" s="12">
        <v>0</v>
      </c>
      <c r="F475" s="12">
        <v>3</v>
      </c>
      <c r="G475" s="17">
        <v>2</v>
      </c>
      <c r="H475" s="12">
        <v>0</v>
      </c>
      <c r="M475"/>
    </row>
    <row r="476" spans="1:13">
      <c r="A476" s="44">
        <v>2613050885</v>
      </c>
      <c r="B476" s="44">
        <v>523871</v>
      </c>
      <c r="C476" s="44" t="s">
        <v>299</v>
      </c>
      <c r="D476" s="11">
        <v>0</v>
      </c>
      <c r="E476" s="12">
        <v>0</v>
      </c>
      <c r="F476" s="12">
        <v>0</v>
      </c>
      <c r="G476" s="17">
        <v>0</v>
      </c>
      <c r="H476" s="12">
        <v>0</v>
      </c>
      <c r="M476"/>
    </row>
    <row r="477" spans="1:13">
      <c r="A477" s="44">
        <v>2613052222</v>
      </c>
      <c r="B477" s="44">
        <v>211781</v>
      </c>
      <c r="C477" s="44" t="s">
        <v>689</v>
      </c>
      <c r="D477" s="11">
        <v>1</v>
      </c>
      <c r="E477" s="12">
        <v>0</v>
      </c>
      <c r="F477" s="12">
        <v>14</v>
      </c>
      <c r="G477" s="17">
        <v>3</v>
      </c>
      <c r="H477" s="12">
        <v>0</v>
      </c>
      <c r="M477"/>
    </row>
    <row r="478" spans="1:13">
      <c r="A478" s="44" t="s">
        <v>144</v>
      </c>
      <c r="B478" s="44">
        <v>397314</v>
      </c>
      <c r="C478" s="44" t="s">
        <v>227</v>
      </c>
      <c r="D478" s="11">
        <v>1</v>
      </c>
      <c r="E478" s="12">
        <v>0</v>
      </c>
      <c r="F478" s="12">
        <v>2</v>
      </c>
      <c r="G478" s="17">
        <v>6</v>
      </c>
      <c r="H478" s="12">
        <v>4</v>
      </c>
      <c r="M478"/>
    </row>
    <row r="479" spans="1:13">
      <c r="A479" s="44" t="s">
        <v>142</v>
      </c>
      <c r="B479" s="44">
        <v>538207</v>
      </c>
      <c r="C479" s="44" t="s">
        <v>366</v>
      </c>
      <c r="D479" s="11">
        <v>1</v>
      </c>
      <c r="E479" s="12">
        <v>0</v>
      </c>
      <c r="F479" s="12">
        <v>3</v>
      </c>
      <c r="G479" s="17">
        <v>2</v>
      </c>
      <c r="H479" s="12">
        <v>0</v>
      </c>
      <c r="M479"/>
    </row>
    <row r="480" spans="1:13">
      <c r="A480" s="44">
        <v>2613051043</v>
      </c>
      <c r="B480" s="44">
        <v>12327272</v>
      </c>
      <c r="C480" s="44" t="s">
        <v>1290</v>
      </c>
      <c r="D480" s="11">
        <v>0</v>
      </c>
      <c r="E480" s="12">
        <v>0</v>
      </c>
      <c r="F480" s="12">
        <v>0</v>
      </c>
      <c r="G480" s="17">
        <v>0</v>
      </c>
      <c r="H480" s="12">
        <v>0</v>
      </c>
      <c r="M480"/>
    </row>
    <row r="481" spans="1:13">
      <c r="A481" s="44" t="s">
        <v>140</v>
      </c>
      <c r="B481" s="44">
        <v>12322388</v>
      </c>
      <c r="C481" s="44" t="s">
        <v>459</v>
      </c>
      <c r="D481" s="11">
        <v>1</v>
      </c>
      <c r="E481" s="12">
        <v>0</v>
      </c>
      <c r="F481" s="12">
        <v>3</v>
      </c>
      <c r="G481" s="17">
        <v>1</v>
      </c>
      <c r="H481" s="12">
        <v>0</v>
      </c>
      <c r="M481"/>
    </row>
    <row r="482" spans="1:13">
      <c r="A482" s="44">
        <v>2613051412</v>
      </c>
      <c r="B482" s="44">
        <v>539087</v>
      </c>
      <c r="C482" s="44" t="s">
        <v>563</v>
      </c>
      <c r="D482" s="11">
        <v>0</v>
      </c>
      <c r="E482" s="12">
        <v>0</v>
      </c>
      <c r="F482" s="12">
        <v>0</v>
      </c>
      <c r="G482" s="17">
        <v>0</v>
      </c>
      <c r="H482" s="12">
        <v>0</v>
      </c>
      <c r="M482"/>
    </row>
    <row r="483" spans="1:13">
      <c r="A483" s="44" t="s">
        <v>1140</v>
      </c>
      <c r="B483" s="44">
        <v>534610</v>
      </c>
      <c r="C483" s="44" t="s">
        <v>1291</v>
      </c>
      <c r="D483" s="11">
        <v>1</v>
      </c>
      <c r="E483" s="12">
        <v>0</v>
      </c>
      <c r="F483" s="12">
        <v>1</v>
      </c>
      <c r="G483" s="17">
        <v>1</v>
      </c>
      <c r="H483" s="12">
        <v>0</v>
      </c>
      <c r="M483"/>
    </row>
    <row r="484" spans="1:13">
      <c r="A484" s="44" t="s">
        <v>146</v>
      </c>
      <c r="B484" s="44">
        <v>12300154</v>
      </c>
      <c r="C484" s="44" t="s">
        <v>524</v>
      </c>
      <c r="D484" s="11">
        <v>1</v>
      </c>
      <c r="E484" s="12">
        <v>0</v>
      </c>
      <c r="F484" s="12">
        <v>3</v>
      </c>
      <c r="G484" s="17">
        <v>3</v>
      </c>
      <c r="H484" s="12">
        <v>0</v>
      </c>
      <c r="M484"/>
    </row>
    <row r="485" spans="1:13">
      <c r="A485" s="44" t="s">
        <v>144</v>
      </c>
      <c r="B485" s="44">
        <v>12326166</v>
      </c>
      <c r="C485" s="44" t="s">
        <v>217</v>
      </c>
      <c r="D485" s="11">
        <v>1</v>
      </c>
      <c r="E485" s="12">
        <v>0</v>
      </c>
      <c r="F485" s="12">
        <v>6</v>
      </c>
      <c r="G485" s="17">
        <v>1</v>
      </c>
      <c r="H485" s="12">
        <v>0</v>
      </c>
      <c r="M485"/>
    </row>
    <row r="486" spans="1:13">
      <c r="A486" s="44" t="s">
        <v>152</v>
      </c>
      <c r="B486" s="44">
        <v>248865</v>
      </c>
      <c r="C486" s="44" t="s">
        <v>1292</v>
      </c>
      <c r="D486" s="11">
        <v>1</v>
      </c>
      <c r="E486" s="12">
        <v>0</v>
      </c>
      <c r="F486" s="12">
        <v>2</v>
      </c>
      <c r="G486" s="17">
        <v>1</v>
      </c>
      <c r="H486" s="12">
        <v>0</v>
      </c>
      <c r="M486"/>
    </row>
    <row r="487" spans="1:13">
      <c r="A487" s="44" t="s">
        <v>141</v>
      </c>
      <c r="B487" s="44">
        <v>12319246</v>
      </c>
      <c r="C487" s="44" t="s">
        <v>188</v>
      </c>
      <c r="D487" s="11">
        <v>0</v>
      </c>
      <c r="E487" s="12">
        <v>0</v>
      </c>
      <c r="F487" s="12">
        <v>2</v>
      </c>
      <c r="G487" s="17">
        <v>0</v>
      </c>
      <c r="H487" s="12">
        <v>0</v>
      </c>
      <c r="M487"/>
    </row>
    <row r="488" spans="1:13">
      <c r="A488" s="44">
        <v>2613052222</v>
      </c>
      <c r="B488" s="44">
        <v>478959</v>
      </c>
      <c r="C488" s="44" t="s">
        <v>1293</v>
      </c>
      <c r="D488" s="11">
        <v>0</v>
      </c>
      <c r="E488" s="12">
        <v>0</v>
      </c>
      <c r="F488" s="12">
        <v>3</v>
      </c>
      <c r="G488" s="17">
        <v>0</v>
      </c>
      <c r="H488" s="12">
        <v>0</v>
      </c>
      <c r="M488"/>
    </row>
    <row r="489" spans="1:13">
      <c r="A489" s="44" t="s">
        <v>3</v>
      </c>
      <c r="B489" s="44">
        <v>571174</v>
      </c>
      <c r="C489" s="44" t="s">
        <v>1087</v>
      </c>
      <c r="D489" s="11">
        <v>1</v>
      </c>
      <c r="E489" s="12">
        <v>0</v>
      </c>
      <c r="F489" s="12">
        <v>3</v>
      </c>
      <c r="G489" s="17">
        <v>1</v>
      </c>
      <c r="H489" s="12">
        <v>0</v>
      </c>
      <c r="M489"/>
    </row>
    <row r="490" spans="1:13">
      <c r="A490" s="44" t="s">
        <v>143</v>
      </c>
      <c r="B490" s="44">
        <v>254004</v>
      </c>
      <c r="C490" s="44" t="s">
        <v>1294</v>
      </c>
      <c r="D490" s="11">
        <v>1</v>
      </c>
      <c r="E490" s="12">
        <v>0</v>
      </c>
      <c r="F490" s="12">
        <v>4</v>
      </c>
      <c r="G490" s="17">
        <v>1</v>
      </c>
      <c r="H490" s="12">
        <v>0</v>
      </c>
      <c r="M490"/>
    </row>
    <row r="491" spans="1:13">
      <c r="A491" s="44" t="s">
        <v>140</v>
      </c>
      <c r="B491" s="44">
        <v>12296215</v>
      </c>
      <c r="C491" s="44" t="s">
        <v>456</v>
      </c>
      <c r="D491" s="11">
        <v>1</v>
      </c>
      <c r="E491" s="12">
        <v>0</v>
      </c>
      <c r="F491" s="12">
        <v>0</v>
      </c>
      <c r="G491" s="17">
        <v>1</v>
      </c>
      <c r="H491" s="12">
        <v>1</v>
      </c>
      <c r="M491"/>
    </row>
    <row r="492" spans="1:13">
      <c r="A492" s="44" t="s">
        <v>142</v>
      </c>
      <c r="B492" s="44">
        <v>401238</v>
      </c>
      <c r="C492" s="44" t="s">
        <v>49</v>
      </c>
      <c r="D492" s="11">
        <v>1</v>
      </c>
      <c r="E492" s="12">
        <v>0</v>
      </c>
      <c r="F492" s="12">
        <v>4</v>
      </c>
      <c r="G492" s="17">
        <v>4</v>
      </c>
      <c r="H492" s="12">
        <v>0</v>
      </c>
      <c r="M492"/>
    </row>
    <row r="493" spans="1:13">
      <c r="A493" s="44" t="s">
        <v>149</v>
      </c>
      <c r="B493" s="44">
        <v>282063</v>
      </c>
      <c r="C493" s="44" t="s">
        <v>745</v>
      </c>
      <c r="D493" s="11">
        <v>0</v>
      </c>
      <c r="E493" s="12">
        <v>0</v>
      </c>
      <c r="F493" s="12">
        <v>1</v>
      </c>
      <c r="G493" s="17">
        <v>0</v>
      </c>
      <c r="H493" s="12">
        <v>0</v>
      </c>
      <c r="M493"/>
    </row>
    <row r="494" spans="1:13">
      <c r="A494" s="44" t="s">
        <v>153</v>
      </c>
      <c r="B494" s="44">
        <v>366720</v>
      </c>
      <c r="C494" s="44" t="s">
        <v>727</v>
      </c>
      <c r="D494" s="11">
        <v>1</v>
      </c>
      <c r="E494" s="12">
        <v>0</v>
      </c>
      <c r="F494" s="12">
        <v>3</v>
      </c>
      <c r="G494" s="17">
        <v>5</v>
      </c>
      <c r="H494" s="12">
        <v>2</v>
      </c>
      <c r="M494"/>
    </row>
    <row r="495" spans="1:13">
      <c r="A495" s="44" t="s">
        <v>148</v>
      </c>
      <c r="B495" s="44">
        <v>264732</v>
      </c>
      <c r="C495" s="44" t="s">
        <v>1295</v>
      </c>
      <c r="D495" s="11">
        <v>1</v>
      </c>
      <c r="E495" s="12">
        <v>0</v>
      </c>
      <c r="F495" s="12">
        <v>1</v>
      </c>
      <c r="G495" s="17">
        <v>1</v>
      </c>
      <c r="H495" s="12">
        <v>0</v>
      </c>
      <c r="M495"/>
    </row>
    <row r="496" spans="1:13">
      <c r="A496" s="44" t="s">
        <v>149</v>
      </c>
      <c r="B496" s="44">
        <v>399513</v>
      </c>
      <c r="C496" s="44" t="s">
        <v>788</v>
      </c>
      <c r="D496" s="11">
        <v>0</v>
      </c>
      <c r="E496" s="12">
        <v>0</v>
      </c>
      <c r="F496" s="12">
        <v>1</v>
      </c>
      <c r="G496" s="17">
        <v>0</v>
      </c>
      <c r="H496" s="12">
        <v>0</v>
      </c>
      <c r="M496"/>
    </row>
    <row r="497" spans="1:13">
      <c r="A497" s="44" t="s">
        <v>156</v>
      </c>
      <c r="B497" s="44">
        <v>12303881</v>
      </c>
      <c r="C497" s="44" t="s">
        <v>970</v>
      </c>
      <c r="D497" s="11">
        <v>1</v>
      </c>
      <c r="E497" s="12">
        <v>0</v>
      </c>
      <c r="F497" s="12">
        <v>1</v>
      </c>
      <c r="G497" s="17">
        <v>1</v>
      </c>
      <c r="H497" s="12">
        <v>0</v>
      </c>
      <c r="M497"/>
    </row>
    <row r="498" spans="1:13">
      <c r="A498" s="44" t="s">
        <v>4</v>
      </c>
      <c r="B498" s="44">
        <v>199010</v>
      </c>
      <c r="C498" s="44" t="s">
        <v>1088</v>
      </c>
      <c r="D498" s="11">
        <v>0</v>
      </c>
      <c r="E498" s="12">
        <v>0</v>
      </c>
      <c r="F498" s="12">
        <v>0</v>
      </c>
      <c r="G498" s="17">
        <v>0</v>
      </c>
      <c r="H498" s="12">
        <v>0</v>
      </c>
      <c r="M498"/>
    </row>
    <row r="499" spans="1:13">
      <c r="A499" s="44" t="s">
        <v>151</v>
      </c>
      <c r="B499" s="44">
        <v>570740</v>
      </c>
      <c r="C499" s="44" t="s">
        <v>879</v>
      </c>
      <c r="D499" s="11">
        <v>0</v>
      </c>
      <c r="E499" s="12">
        <v>0</v>
      </c>
      <c r="F499" s="12">
        <v>0</v>
      </c>
      <c r="G499" s="17">
        <v>0</v>
      </c>
      <c r="H499" s="12">
        <v>0</v>
      </c>
      <c r="M499"/>
    </row>
    <row r="500" spans="1:13">
      <c r="A500" s="44" t="s">
        <v>137</v>
      </c>
      <c r="B500" s="44">
        <v>12323492</v>
      </c>
      <c r="C500" s="44" t="s">
        <v>436</v>
      </c>
      <c r="D500" s="11">
        <v>0</v>
      </c>
      <c r="E500" s="12">
        <v>0</v>
      </c>
      <c r="F500" s="12">
        <v>0</v>
      </c>
      <c r="G500" s="17">
        <v>0</v>
      </c>
      <c r="H500" s="12">
        <v>0</v>
      </c>
      <c r="M500"/>
    </row>
    <row r="501" spans="1:13">
      <c r="A501" s="44">
        <v>2613050886</v>
      </c>
      <c r="B501" s="44">
        <v>325994</v>
      </c>
      <c r="C501" s="44" t="s">
        <v>323</v>
      </c>
      <c r="D501" s="11">
        <v>1</v>
      </c>
      <c r="E501" s="12">
        <v>0</v>
      </c>
      <c r="F501" s="12">
        <v>1</v>
      </c>
      <c r="G501" s="17">
        <v>1</v>
      </c>
      <c r="H501" s="12">
        <v>0</v>
      </c>
      <c r="M501"/>
    </row>
    <row r="502" spans="1:13">
      <c r="A502" s="44" t="s">
        <v>146</v>
      </c>
      <c r="B502" s="44">
        <v>12321533</v>
      </c>
      <c r="C502" s="44" t="s">
        <v>531</v>
      </c>
      <c r="D502" s="11">
        <v>1</v>
      </c>
      <c r="E502" s="12">
        <v>0</v>
      </c>
      <c r="F502" s="12">
        <v>3</v>
      </c>
      <c r="G502" s="17">
        <v>2</v>
      </c>
      <c r="H502" s="12">
        <v>0</v>
      </c>
      <c r="M502"/>
    </row>
    <row r="503" spans="1:13">
      <c r="A503" s="44" t="s">
        <v>142</v>
      </c>
      <c r="B503" s="44">
        <v>62139</v>
      </c>
      <c r="C503" s="44" t="s">
        <v>1123</v>
      </c>
      <c r="D503" s="11">
        <v>1</v>
      </c>
      <c r="E503" s="12">
        <v>0</v>
      </c>
      <c r="F503" s="12">
        <v>1</v>
      </c>
      <c r="G503" s="17">
        <v>1</v>
      </c>
      <c r="H503" s="12">
        <v>0</v>
      </c>
      <c r="M503"/>
    </row>
    <row r="504" spans="1:13">
      <c r="A504" s="44" t="s">
        <v>145</v>
      </c>
      <c r="B504" s="44">
        <v>12321725</v>
      </c>
      <c r="C504" s="44" t="s">
        <v>488</v>
      </c>
      <c r="D504" s="11">
        <v>1</v>
      </c>
      <c r="E504" s="12">
        <v>0</v>
      </c>
      <c r="F504" s="12">
        <v>3</v>
      </c>
      <c r="G504" s="17">
        <v>5</v>
      </c>
      <c r="H504" s="12">
        <v>2</v>
      </c>
      <c r="M504"/>
    </row>
    <row r="505" spans="1:13">
      <c r="A505" s="44" t="s">
        <v>1136</v>
      </c>
      <c r="B505" s="44">
        <v>579115</v>
      </c>
      <c r="C505" s="44" t="s">
        <v>1296</v>
      </c>
      <c r="D505" s="11">
        <v>1</v>
      </c>
      <c r="E505" s="12">
        <v>0</v>
      </c>
      <c r="F505" s="12">
        <v>0</v>
      </c>
      <c r="G505" s="17">
        <v>7</v>
      </c>
      <c r="H505" s="12">
        <v>7</v>
      </c>
      <c r="M505"/>
    </row>
    <row r="506" spans="1:13">
      <c r="A506" s="44" t="s">
        <v>144</v>
      </c>
      <c r="B506" s="44">
        <v>12305135</v>
      </c>
      <c r="C506" s="44" t="s">
        <v>1297</v>
      </c>
      <c r="D506" s="11">
        <v>0</v>
      </c>
      <c r="E506" s="12">
        <v>0</v>
      </c>
      <c r="F506" s="12">
        <v>5</v>
      </c>
      <c r="G506" s="17">
        <v>0</v>
      </c>
      <c r="H506" s="12">
        <v>0</v>
      </c>
      <c r="M506"/>
    </row>
    <row r="507" spans="1:13">
      <c r="A507" s="44" t="s">
        <v>150</v>
      </c>
      <c r="B507" s="44">
        <v>369735</v>
      </c>
      <c r="C507" s="44" t="s">
        <v>828</v>
      </c>
      <c r="D507" s="11">
        <v>1</v>
      </c>
      <c r="E507" s="12">
        <v>0</v>
      </c>
      <c r="F507" s="12">
        <v>0</v>
      </c>
      <c r="G507" s="17">
        <v>2</v>
      </c>
      <c r="H507" s="12">
        <v>2</v>
      </c>
      <c r="M507"/>
    </row>
    <row r="508" spans="1:13">
      <c r="A508" s="44">
        <v>2613051451</v>
      </c>
      <c r="B508" s="44">
        <v>12324021</v>
      </c>
      <c r="C508" s="44" t="s">
        <v>380</v>
      </c>
      <c r="D508" s="11">
        <v>0</v>
      </c>
      <c r="E508" s="12">
        <v>0</v>
      </c>
      <c r="F508" s="12">
        <v>0</v>
      </c>
      <c r="G508" s="17">
        <v>0</v>
      </c>
      <c r="H508" s="12">
        <v>0</v>
      </c>
      <c r="M508"/>
    </row>
    <row r="509" spans="1:13">
      <c r="A509" s="44" t="s">
        <v>157</v>
      </c>
      <c r="B509" s="44">
        <v>12322351</v>
      </c>
      <c r="C509" s="44" t="s">
        <v>1022</v>
      </c>
      <c r="D509" s="11">
        <v>1</v>
      </c>
      <c r="E509" s="12">
        <v>0</v>
      </c>
      <c r="F509" s="12">
        <v>20</v>
      </c>
      <c r="G509" s="17">
        <v>4</v>
      </c>
      <c r="H509" s="12">
        <v>0</v>
      </c>
      <c r="M509"/>
    </row>
    <row r="510" spans="1:13">
      <c r="A510" s="44" t="s">
        <v>136</v>
      </c>
      <c r="B510" s="44">
        <v>12305470</v>
      </c>
      <c r="C510" s="44" t="s">
        <v>394</v>
      </c>
      <c r="D510" s="11">
        <v>0</v>
      </c>
      <c r="E510" s="12">
        <v>0</v>
      </c>
      <c r="F510" s="12">
        <v>0</v>
      </c>
      <c r="G510" s="17">
        <v>0</v>
      </c>
      <c r="H510" s="12">
        <v>0</v>
      </c>
      <c r="M510"/>
    </row>
    <row r="511" spans="1:13">
      <c r="A511" s="44" t="s">
        <v>142</v>
      </c>
      <c r="B511" s="44">
        <v>565559</v>
      </c>
      <c r="C511" s="44" t="s">
        <v>374</v>
      </c>
      <c r="D511" s="11">
        <v>0</v>
      </c>
      <c r="E511" s="12">
        <v>0</v>
      </c>
      <c r="F511" s="12">
        <v>0</v>
      </c>
      <c r="G511" s="17">
        <v>0</v>
      </c>
      <c r="H511" s="12">
        <v>0</v>
      </c>
      <c r="M511"/>
    </row>
    <row r="512" spans="1:13">
      <c r="A512" s="44">
        <v>2613051475</v>
      </c>
      <c r="B512" s="44">
        <v>407992</v>
      </c>
      <c r="C512" s="44" t="s">
        <v>903</v>
      </c>
      <c r="D512" s="11">
        <v>1</v>
      </c>
      <c r="E512" s="12">
        <v>0</v>
      </c>
      <c r="F512" s="12">
        <v>2</v>
      </c>
      <c r="G512" s="17">
        <v>3</v>
      </c>
      <c r="H512" s="12">
        <v>1</v>
      </c>
      <c r="M512"/>
    </row>
    <row r="513" spans="1:13">
      <c r="A513" s="44" t="s">
        <v>152</v>
      </c>
      <c r="B513" s="44">
        <v>327626</v>
      </c>
      <c r="C513" s="44" t="s">
        <v>667</v>
      </c>
      <c r="D513" s="11">
        <v>1</v>
      </c>
      <c r="E513" s="12">
        <v>0</v>
      </c>
      <c r="F513" s="12">
        <v>1</v>
      </c>
      <c r="G513" s="17">
        <v>1</v>
      </c>
      <c r="H513" s="12">
        <v>0</v>
      </c>
      <c r="M513"/>
    </row>
    <row r="514" spans="1:13">
      <c r="A514" s="44" t="s">
        <v>151</v>
      </c>
      <c r="B514" s="44">
        <v>509433</v>
      </c>
      <c r="C514" s="44" t="s">
        <v>874</v>
      </c>
      <c r="D514" s="11">
        <v>1</v>
      </c>
      <c r="E514" s="12">
        <v>0</v>
      </c>
      <c r="F514" s="12">
        <v>3</v>
      </c>
      <c r="G514" s="17">
        <v>3</v>
      </c>
      <c r="H514" s="12">
        <v>0</v>
      </c>
      <c r="M514"/>
    </row>
    <row r="515" spans="1:13">
      <c r="A515" s="44" t="s">
        <v>146</v>
      </c>
      <c r="B515" s="44">
        <v>12321213</v>
      </c>
      <c r="C515" s="44" t="s">
        <v>529</v>
      </c>
      <c r="D515" s="11">
        <v>1</v>
      </c>
      <c r="E515" s="12">
        <v>0</v>
      </c>
      <c r="F515" s="12">
        <v>3</v>
      </c>
      <c r="G515" s="17">
        <v>1</v>
      </c>
      <c r="H515" s="12">
        <v>0</v>
      </c>
      <c r="M515"/>
    </row>
    <row r="516" spans="1:13">
      <c r="A516" s="44" t="s">
        <v>1136</v>
      </c>
      <c r="B516" s="44">
        <v>335803</v>
      </c>
      <c r="C516" s="44" t="s">
        <v>1298</v>
      </c>
      <c r="D516" s="11">
        <v>0</v>
      </c>
      <c r="E516" s="12">
        <v>0</v>
      </c>
      <c r="F516" s="12">
        <v>0</v>
      </c>
      <c r="G516" s="17">
        <v>0</v>
      </c>
      <c r="H516" s="12">
        <v>0</v>
      </c>
      <c r="M516"/>
    </row>
    <row r="517" spans="1:13">
      <c r="A517" s="44" t="s">
        <v>3</v>
      </c>
      <c r="B517" s="44">
        <v>347538</v>
      </c>
      <c r="C517" s="44" t="s">
        <v>26</v>
      </c>
      <c r="D517" s="11">
        <v>0</v>
      </c>
      <c r="E517" s="12">
        <v>0</v>
      </c>
      <c r="F517" s="12">
        <v>1</v>
      </c>
      <c r="G517" s="17">
        <v>0</v>
      </c>
      <c r="H517" s="12">
        <v>0</v>
      </c>
      <c r="M517"/>
    </row>
    <row r="518" spans="1:13">
      <c r="A518" s="44" t="s">
        <v>3</v>
      </c>
      <c r="B518" s="44">
        <v>12326313</v>
      </c>
      <c r="C518" s="44" t="s">
        <v>20</v>
      </c>
      <c r="D518" s="11">
        <v>1</v>
      </c>
      <c r="E518" s="12">
        <v>0</v>
      </c>
      <c r="F518" s="12">
        <v>8</v>
      </c>
      <c r="G518" s="17">
        <v>5</v>
      </c>
      <c r="H518" s="12">
        <v>0</v>
      </c>
      <c r="M518"/>
    </row>
    <row r="519" spans="1:13">
      <c r="A519" s="44" t="s">
        <v>148</v>
      </c>
      <c r="B519" s="44">
        <v>12294847</v>
      </c>
      <c r="C519" s="44" t="s">
        <v>625</v>
      </c>
      <c r="D519" s="11">
        <v>1</v>
      </c>
      <c r="E519" s="12">
        <v>0</v>
      </c>
      <c r="F519" s="12">
        <v>8</v>
      </c>
      <c r="G519" s="17">
        <v>2</v>
      </c>
      <c r="H519" s="12">
        <v>0</v>
      </c>
      <c r="M519"/>
    </row>
    <row r="520" spans="1:13">
      <c r="A520" s="44" t="s">
        <v>141</v>
      </c>
      <c r="B520" s="44">
        <v>12330602</v>
      </c>
      <c r="C520" s="44" t="s">
        <v>1299</v>
      </c>
      <c r="D520" s="11">
        <v>0</v>
      </c>
      <c r="E520" s="12">
        <v>0</v>
      </c>
      <c r="F520" s="12">
        <v>3</v>
      </c>
      <c r="G520" s="17">
        <v>0</v>
      </c>
      <c r="H520" s="12">
        <v>0</v>
      </c>
      <c r="M520"/>
    </row>
    <row r="521" spans="1:13">
      <c r="A521" s="44" t="s">
        <v>150</v>
      </c>
      <c r="B521" s="44">
        <v>265773</v>
      </c>
      <c r="C521" s="44" t="s">
        <v>1300</v>
      </c>
      <c r="D521" s="11">
        <v>0</v>
      </c>
      <c r="E521" s="12">
        <v>0</v>
      </c>
      <c r="F521" s="12">
        <v>3</v>
      </c>
      <c r="G521" s="17">
        <v>0</v>
      </c>
      <c r="H521" s="12">
        <v>0</v>
      </c>
      <c r="M521"/>
    </row>
    <row r="522" spans="1:13">
      <c r="A522" s="44">
        <v>2613051475</v>
      </c>
      <c r="B522" s="44">
        <v>531707</v>
      </c>
      <c r="C522" s="44" t="s">
        <v>911</v>
      </c>
      <c r="D522" s="11">
        <v>0</v>
      </c>
      <c r="E522" s="12">
        <v>0</v>
      </c>
      <c r="F522" s="12">
        <v>1</v>
      </c>
      <c r="G522" s="17">
        <v>0</v>
      </c>
      <c r="H522" s="12">
        <v>0</v>
      </c>
      <c r="M522"/>
    </row>
    <row r="523" spans="1:13">
      <c r="A523" s="44" t="s">
        <v>149</v>
      </c>
      <c r="B523" s="44">
        <v>531749</v>
      </c>
      <c r="C523" s="44" t="s">
        <v>797</v>
      </c>
      <c r="D523" s="11">
        <v>1</v>
      </c>
      <c r="E523" s="12">
        <v>0</v>
      </c>
      <c r="F523" s="12">
        <v>3</v>
      </c>
      <c r="G523" s="17">
        <v>1</v>
      </c>
      <c r="H523" s="12">
        <v>0</v>
      </c>
      <c r="M523"/>
    </row>
    <row r="524" spans="1:13">
      <c r="A524" s="44">
        <v>2613051475</v>
      </c>
      <c r="B524" s="44">
        <v>265541</v>
      </c>
      <c r="C524" s="44" t="s">
        <v>171</v>
      </c>
      <c r="D524" s="11">
        <v>0</v>
      </c>
      <c r="E524" s="12">
        <v>0</v>
      </c>
      <c r="F524" s="12">
        <v>1</v>
      </c>
      <c r="G524" s="17">
        <v>0</v>
      </c>
      <c r="H524" s="12">
        <v>0</v>
      </c>
      <c r="M524"/>
    </row>
    <row r="525" spans="1:13">
      <c r="A525" s="44">
        <v>2613050886</v>
      </c>
      <c r="B525" s="44">
        <v>488681</v>
      </c>
      <c r="C525" s="44" t="s">
        <v>325</v>
      </c>
      <c r="D525" s="11">
        <v>1</v>
      </c>
      <c r="E525" s="12">
        <v>0</v>
      </c>
      <c r="F525" s="12">
        <v>2</v>
      </c>
      <c r="G525" s="17">
        <v>1</v>
      </c>
      <c r="H525" s="12">
        <v>0</v>
      </c>
      <c r="M525"/>
    </row>
    <row r="526" spans="1:13">
      <c r="A526" s="44" t="s">
        <v>1140</v>
      </c>
      <c r="B526" s="44">
        <v>513123</v>
      </c>
      <c r="C526" s="44" t="s">
        <v>1301</v>
      </c>
      <c r="D526" s="11">
        <v>1</v>
      </c>
      <c r="E526" s="12">
        <v>0</v>
      </c>
      <c r="F526" s="12">
        <v>1</v>
      </c>
      <c r="G526" s="17">
        <v>1</v>
      </c>
      <c r="H526" s="12">
        <v>0</v>
      </c>
      <c r="M526"/>
    </row>
    <row r="527" spans="1:13">
      <c r="A527" s="44" t="s">
        <v>151</v>
      </c>
      <c r="B527" s="44">
        <v>411581</v>
      </c>
      <c r="C527" s="44" t="s">
        <v>872</v>
      </c>
      <c r="D527" s="11">
        <v>0</v>
      </c>
      <c r="E527" s="12">
        <v>0</v>
      </c>
      <c r="F527" s="12">
        <v>1</v>
      </c>
      <c r="G527" s="17">
        <v>0</v>
      </c>
      <c r="H527" s="12">
        <v>0</v>
      </c>
      <c r="M527"/>
    </row>
    <row r="528" spans="1:13">
      <c r="A528" s="44" t="s">
        <v>158</v>
      </c>
      <c r="B528" s="44">
        <v>539830</v>
      </c>
      <c r="C528" s="44" t="s">
        <v>1302</v>
      </c>
      <c r="D528" s="11">
        <v>0</v>
      </c>
      <c r="E528" s="12">
        <v>0</v>
      </c>
      <c r="F528" s="12">
        <v>4</v>
      </c>
      <c r="G528" s="17">
        <v>0</v>
      </c>
      <c r="H528" s="12">
        <v>0</v>
      </c>
      <c r="M528"/>
    </row>
    <row r="529" spans="1:13">
      <c r="A529" s="44" t="s">
        <v>154</v>
      </c>
      <c r="B529" s="44">
        <v>12294838</v>
      </c>
      <c r="C529" s="44" t="s">
        <v>734</v>
      </c>
      <c r="D529" s="11">
        <v>1</v>
      </c>
      <c r="E529" s="12">
        <v>0</v>
      </c>
      <c r="F529" s="12">
        <v>102</v>
      </c>
      <c r="G529" s="17">
        <v>18</v>
      </c>
      <c r="H529" s="12">
        <v>0</v>
      </c>
      <c r="M529"/>
    </row>
    <row r="530" spans="1:13">
      <c r="A530" s="44" t="s">
        <v>157</v>
      </c>
      <c r="B530" s="44">
        <v>328665</v>
      </c>
      <c r="C530" s="44" t="s">
        <v>1039</v>
      </c>
      <c r="D530" s="11">
        <v>0</v>
      </c>
      <c r="E530" s="12">
        <v>0</v>
      </c>
      <c r="F530" s="12">
        <v>1</v>
      </c>
      <c r="G530" s="17">
        <v>0</v>
      </c>
      <c r="H530" s="12">
        <v>0</v>
      </c>
      <c r="M530"/>
    </row>
    <row r="531" spans="1:13">
      <c r="A531" s="44" t="s">
        <v>1136</v>
      </c>
      <c r="B531" s="44">
        <v>8220</v>
      </c>
      <c r="C531" s="44" t="s">
        <v>1303</v>
      </c>
      <c r="D531" s="11">
        <v>1</v>
      </c>
      <c r="E531" s="12">
        <v>0</v>
      </c>
      <c r="F531" s="12">
        <v>4</v>
      </c>
      <c r="G531" s="17">
        <v>2</v>
      </c>
      <c r="H531" s="12">
        <v>0</v>
      </c>
      <c r="M531"/>
    </row>
    <row r="532" spans="1:13">
      <c r="A532" s="44">
        <v>2613052222</v>
      </c>
      <c r="B532" s="44">
        <v>238632</v>
      </c>
      <c r="C532" s="44" t="s">
        <v>1304</v>
      </c>
      <c r="D532" s="11">
        <v>0</v>
      </c>
      <c r="E532" s="12">
        <v>0</v>
      </c>
      <c r="F532" s="12">
        <v>0</v>
      </c>
      <c r="G532" s="17">
        <v>0</v>
      </c>
      <c r="H532" s="12">
        <v>0</v>
      </c>
      <c r="M532"/>
    </row>
    <row r="533" spans="1:13">
      <c r="A533" s="44" t="s">
        <v>151</v>
      </c>
      <c r="B533" s="44">
        <v>63854</v>
      </c>
      <c r="C533" s="44" t="s">
        <v>1305</v>
      </c>
      <c r="D533" s="11">
        <v>0</v>
      </c>
      <c r="E533" s="12">
        <v>0</v>
      </c>
      <c r="F533" s="12">
        <v>0</v>
      </c>
      <c r="G533" s="17">
        <v>0</v>
      </c>
      <c r="H533" s="12">
        <v>0</v>
      </c>
      <c r="M533"/>
    </row>
    <row r="534" spans="1:13">
      <c r="A534" s="44" t="s">
        <v>1140</v>
      </c>
      <c r="B534" s="44">
        <v>424470</v>
      </c>
      <c r="C534" s="44" t="s">
        <v>1306</v>
      </c>
      <c r="D534" s="11">
        <v>1</v>
      </c>
      <c r="E534" s="12">
        <v>0</v>
      </c>
      <c r="F534" s="12">
        <v>6</v>
      </c>
      <c r="G534" s="17">
        <v>1</v>
      </c>
      <c r="H534" s="12">
        <v>0</v>
      </c>
      <c r="M534"/>
    </row>
    <row r="535" spans="1:13">
      <c r="A535" s="44" t="s">
        <v>157</v>
      </c>
      <c r="B535" s="44">
        <v>61498</v>
      </c>
      <c r="C535" s="44" t="s">
        <v>1307</v>
      </c>
      <c r="D535" s="11">
        <v>0</v>
      </c>
      <c r="E535" s="12">
        <v>0</v>
      </c>
      <c r="F535" s="12">
        <v>0</v>
      </c>
      <c r="G535" s="17">
        <v>0</v>
      </c>
      <c r="H535" s="12">
        <v>0</v>
      </c>
      <c r="M535"/>
    </row>
    <row r="536" spans="1:13">
      <c r="A536" s="44" t="s">
        <v>1136</v>
      </c>
      <c r="B536" s="44">
        <v>404684</v>
      </c>
      <c r="C536" s="44" t="s">
        <v>1308</v>
      </c>
      <c r="D536" s="11">
        <v>0</v>
      </c>
      <c r="E536" s="12">
        <v>0</v>
      </c>
      <c r="F536" s="12">
        <v>4</v>
      </c>
      <c r="G536" s="17">
        <v>0</v>
      </c>
      <c r="H536" s="12">
        <v>0</v>
      </c>
      <c r="M536"/>
    </row>
    <row r="537" spans="1:13">
      <c r="A537" s="44">
        <v>2613050885</v>
      </c>
      <c r="B537" s="44">
        <v>543616</v>
      </c>
      <c r="C537" s="44" t="s">
        <v>309</v>
      </c>
      <c r="D537" s="11">
        <v>0</v>
      </c>
      <c r="E537" s="12">
        <v>0</v>
      </c>
      <c r="F537" s="12">
        <v>0</v>
      </c>
      <c r="G537" s="17">
        <v>0</v>
      </c>
      <c r="H537" s="12">
        <v>0</v>
      </c>
      <c r="M537"/>
    </row>
    <row r="538" spans="1:13">
      <c r="A538" s="44" t="s">
        <v>143</v>
      </c>
      <c r="B538" s="44">
        <v>1978</v>
      </c>
      <c r="C538" s="44" t="s">
        <v>253</v>
      </c>
      <c r="D538" s="11">
        <v>1</v>
      </c>
      <c r="E538" s="12">
        <v>0</v>
      </c>
      <c r="F538" s="12">
        <v>3</v>
      </c>
      <c r="G538" s="17">
        <v>1</v>
      </c>
      <c r="H538" s="12">
        <v>0</v>
      </c>
      <c r="M538"/>
    </row>
    <row r="539" spans="1:13">
      <c r="A539" s="44">
        <v>2613052584</v>
      </c>
      <c r="B539" s="44">
        <v>12328831</v>
      </c>
      <c r="C539" s="44" t="s">
        <v>580</v>
      </c>
      <c r="D539" s="11">
        <v>0</v>
      </c>
      <c r="E539" s="12">
        <v>0</v>
      </c>
      <c r="F539" s="12">
        <v>2</v>
      </c>
      <c r="G539" s="17">
        <v>0</v>
      </c>
      <c r="H539" s="12">
        <v>0</v>
      </c>
      <c r="M539"/>
    </row>
    <row r="540" spans="1:13">
      <c r="A540" s="44">
        <v>2613050885</v>
      </c>
      <c r="B540" s="44">
        <v>323376</v>
      </c>
      <c r="C540" s="44" t="s">
        <v>1309</v>
      </c>
      <c r="D540" s="11">
        <v>1</v>
      </c>
      <c r="E540" s="12">
        <v>0</v>
      </c>
      <c r="F540" s="12">
        <v>3</v>
      </c>
      <c r="G540" s="17">
        <v>3</v>
      </c>
      <c r="H540" s="12">
        <v>0</v>
      </c>
      <c r="M540"/>
    </row>
    <row r="541" spans="1:13">
      <c r="A541" s="44" t="s">
        <v>147</v>
      </c>
      <c r="B541" s="44">
        <v>127148</v>
      </c>
      <c r="C541" s="44" t="s">
        <v>596</v>
      </c>
      <c r="D541" s="11">
        <v>0</v>
      </c>
      <c r="E541" s="12">
        <v>0</v>
      </c>
      <c r="F541" s="12">
        <v>1</v>
      </c>
      <c r="G541" s="17">
        <v>0</v>
      </c>
      <c r="H541" s="12">
        <v>0</v>
      </c>
      <c r="M541"/>
    </row>
    <row r="542" spans="1:13">
      <c r="A542" s="44">
        <v>2613050885</v>
      </c>
      <c r="B542" s="44">
        <v>62131</v>
      </c>
      <c r="C542" s="44" t="s">
        <v>1310</v>
      </c>
      <c r="D542" s="11">
        <v>0</v>
      </c>
      <c r="E542" s="12">
        <v>0</v>
      </c>
      <c r="F542" s="12">
        <v>1</v>
      </c>
      <c r="G542" s="17">
        <v>0</v>
      </c>
      <c r="H542" s="12">
        <v>0</v>
      </c>
      <c r="M542"/>
    </row>
    <row r="543" spans="1:13">
      <c r="A543" s="44" t="s">
        <v>148</v>
      </c>
      <c r="B543" s="44">
        <v>62039</v>
      </c>
      <c r="C543" s="44" t="s">
        <v>1311</v>
      </c>
      <c r="D543" s="11">
        <v>0</v>
      </c>
      <c r="E543" s="12">
        <v>0</v>
      </c>
      <c r="F543" s="12">
        <v>0</v>
      </c>
      <c r="G543" s="17">
        <v>0</v>
      </c>
      <c r="H543" s="12">
        <v>0</v>
      </c>
      <c r="M543"/>
    </row>
    <row r="544" spans="1:13">
      <c r="A544" s="44">
        <v>2613050885</v>
      </c>
      <c r="B544" s="44">
        <v>512777</v>
      </c>
      <c r="C544" s="44" t="s">
        <v>1312</v>
      </c>
      <c r="D544" s="11">
        <v>1</v>
      </c>
      <c r="E544" s="12">
        <v>0</v>
      </c>
      <c r="F544" s="12">
        <v>3</v>
      </c>
      <c r="G544" s="17">
        <v>3</v>
      </c>
      <c r="H544" s="12">
        <v>0</v>
      </c>
      <c r="M544"/>
    </row>
    <row r="545" spans="1:13">
      <c r="A545" s="44" t="s">
        <v>137</v>
      </c>
      <c r="B545" s="44">
        <v>12295756</v>
      </c>
      <c r="C545" s="44" t="s">
        <v>417</v>
      </c>
      <c r="D545" s="11">
        <v>1</v>
      </c>
      <c r="E545" s="12">
        <v>0</v>
      </c>
      <c r="F545" s="12">
        <v>12</v>
      </c>
      <c r="G545" s="17">
        <v>2</v>
      </c>
      <c r="H545" s="12">
        <v>0</v>
      </c>
      <c r="M545"/>
    </row>
    <row r="546" spans="1:13">
      <c r="A546" s="44">
        <v>2613051412</v>
      </c>
      <c r="B546" s="44">
        <v>470900</v>
      </c>
      <c r="C546" s="44" t="s">
        <v>561</v>
      </c>
      <c r="D546" s="11">
        <v>1</v>
      </c>
      <c r="E546" s="12">
        <v>0</v>
      </c>
      <c r="F546" s="12">
        <v>0</v>
      </c>
      <c r="G546" s="17">
        <v>3</v>
      </c>
      <c r="H546" s="12">
        <v>3</v>
      </c>
      <c r="M546"/>
    </row>
    <row r="547" spans="1:13">
      <c r="A547" s="44" t="s">
        <v>140</v>
      </c>
      <c r="B547" s="44">
        <v>12324541</v>
      </c>
      <c r="C547" s="44" t="s">
        <v>1313</v>
      </c>
      <c r="D547" s="11">
        <v>0</v>
      </c>
      <c r="E547" s="12">
        <v>0</v>
      </c>
      <c r="F547" s="12">
        <v>1</v>
      </c>
      <c r="G547" s="17">
        <v>0</v>
      </c>
      <c r="H547" s="12">
        <v>0</v>
      </c>
      <c r="M547"/>
    </row>
    <row r="548" spans="1:13">
      <c r="A548" s="44" t="s">
        <v>150</v>
      </c>
      <c r="B548" s="44">
        <v>61948</v>
      </c>
      <c r="C548" s="44" t="s">
        <v>841</v>
      </c>
      <c r="D548" s="11">
        <v>0</v>
      </c>
      <c r="E548" s="12">
        <v>0</v>
      </c>
      <c r="F548" s="12">
        <v>0</v>
      </c>
      <c r="G548" s="17">
        <v>0</v>
      </c>
      <c r="H548" s="12">
        <v>0</v>
      </c>
      <c r="M548"/>
    </row>
    <row r="549" spans="1:13">
      <c r="A549" s="44">
        <v>2613051475</v>
      </c>
      <c r="B549" s="44">
        <v>269947</v>
      </c>
      <c r="C549" s="44" t="s">
        <v>893</v>
      </c>
      <c r="D549" s="11">
        <v>1</v>
      </c>
      <c r="E549" s="12">
        <v>0</v>
      </c>
      <c r="F549" s="12">
        <v>4</v>
      </c>
      <c r="G549" s="17">
        <v>2</v>
      </c>
      <c r="H549" s="12">
        <v>0</v>
      </c>
      <c r="M549"/>
    </row>
    <row r="550" spans="1:13">
      <c r="A550" s="44" t="s">
        <v>157</v>
      </c>
      <c r="B550" s="44">
        <v>284945</v>
      </c>
      <c r="C550" s="44" t="s">
        <v>166</v>
      </c>
      <c r="D550" s="11">
        <v>0</v>
      </c>
      <c r="E550" s="12">
        <v>0</v>
      </c>
      <c r="F550" s="12">
        <v>0</v>
      </c>
      <c r="G550" s="17">
        <v>0</v>
      </c>
      <c r="H550" s="12">
        <v>0</v>
      </c>
      <c r="M550"/>
    </row>
    <row r="551" spans="1:13">
      <c r="A551" s="44" t="s">
        <v>3</v>
      </c>
      <c r="B551" s="44">
        <v>12295833</v>
      </c>
      <c r="C551" s="44" t="s">
        <v>1089</v>
      </c>
      <c r="D551" s="11">
        <v>0</v>
      </c>
      <c r="E551" s="12">
        <v>0</v>
      </c>
      <c r="F551" s="12">
        <v>3</v>
      </c>
      <c r="G551" s="17">
        <v>0</v>
      </c>
      <c r="H551" s="12">
        <v>0</v>
      </c>
      <c r="M551"/>
    </row>
    <row r="552" spans="1:13">
      <c r="A552" s="44" t="s">
        <v>157</v>
      </c>
      <c r="B552" s="44">
        <v>61927</v>
      </c>
      <c r="C552" s="44" t="s">
        <v>1062</v>
      </c>
      <c r="D552" s="11">
        <v>0</v>
      </c>
      <c r="E552" s="12">
        <v>0</v>
      </c>
      <c r="F552" s="12">
        <v>0</v>
      </c>
      <c r="G552" s="17">
        <v>0</v>
      </c>
      <c r="H552" s="12">
        <v>0</v>
      </c>
      <c r="M552"/>
    </row>
    <row r="553" spans="1:13">
      <c r="A553" s="44" t="s">
        <v>157</v>
      </c>
      <c r="B553" s="44">
        <v>12303922</v>
      </c>
      <c r="C553" s="44" t="s">
        <v>1020</v>
      </c>
      <c r="D553" s="11">
        <v>1</v>
      </c>
      <c r="E553" s="12">
        <v>0</v>
      </c>
      <c r="F553" s="12">
        <v>38</v>
      </c>
      <c r="G553" s="17">
        <v>30</v>
      </c>
      <c r="H553" s="12">
        <v>0</v>
      </c>
      <c r="M553"/>
    </row>
    <row r="554" spans="1:13">
      <c r="A554" s="44" t="s">
        <v>5</v>
      </c>
      <c r="B554" s="44">
        <v>352167</v>
      </c>
      <c r="C554" s="44" t="s">
        <v>1090</v>
      </c>
      <c r="D554" s="11">
        <v>0</v>
      </c>
      <c r="E554" s="12">
        <v>0</v>
      </c>
      <c r="F554" s="12">
        <v>1</v>
      </c>
      <c r="G554" s="17">
        <v>0</v>
      </c>
      <c r="H554" s="12">
        <v>0</v>
      </c>
      <c r="M554"/>
    </row>
    <row r="555" spans="1:13">
      <c r="A555" s="44">
        <v>2613051451</v>
      </c>
      <c r="B555" s="44">
        <v>12300882</v>
      </c>
      <c r="C555" s="44" t="s">
        <v>379</v>
      </c>
      <c r="D555" s="11">
        <v>0</v>
      </c>
      <c r="E555" s="12">
        <v>0</v>
      </c>
      <c r="F555" s="12">
        <v>0</v>
      </c>
      <c r="G555" s="17">
        <v>0</v>
      </c>
      <c r="H555" s="12">
        <v>0</v>
      </c>
      <c r="M555"/>
    </row>
    <row r="556" spans="1:13">
      <c r="A556" s="44">
        <v>2613051475</v>
      </c>
      <c r="B556" s="44">
        <v>540113</v>
      </c>
      <c r="C556" s="44" t="s">
        <v>915</v>
      </c>
      <c r="D556" s="11">
        <v>0</v>
      </c>
      <c r="E556" s="12">
        <v>0</v>
      </c>
      <c r="F556" s="12">
        <v>1</v>
      </c>
      <c r="G556" s="17">
        <v>0</v>
      </c>
      <c r="H556" s="12">
        <v>0</v>
      </c>
      <c r="M556"/>
    </row>
    <row r="557" spans="1:13">
      <c r="A557" s="44" t="s">
        <v>145</v>
      </c>
      <c r="B557" s="44">
        <v>512640</v>
      </c>
      <c r="C557" s="44" t="s">
        <v>513</v>
      </c>
      <c r="D557" s="11">
        <v>1</v>
      </c>
      <c r="E557" s="12">
        <v>0</v>
      </c>
      <c r="F557" s="12">
        <v>3</v>
      </c>
      <c r="G557" s="17">
        <v>2</v>
      </c>
      <c r="H557" s="12">
        <v>0</v>
      </c>
      <c r="M557"/>
    </row>
    <row r="558" spans="1:13">
      <c r="A558" s="44" t="s">
        <v>145</v>
      </c>
      <c r="B558" s="44">
        <v>412602</v>
      </c>
      <c r="C558" s="44" t="s">
        <v>509</v>
      </c>
      <c r="D558" s="11">
        <v>0</v>
      </c>
      <c r="E558" s="12">
        <v>0</v>
      </c>
      <c r="F558" s="12">
        <v>4</v>
      </c>
      <c r="G558" s="17">
        <v>0</v>
      </c>
      <c r="H558" s="12">
        <v>0</v>
      </c>
      <c r="M558"/>
    </row>
    <row r="559" spans="1:13">
      <c r="A559" s="44" t="s">
        <v>150</v>
      </c>
      <c r="B559" s="44">
        <v>538626</v>
      </c>
      <c r="C559" s="44" t="s">
        <v>1314</v>
      </c>
      <c r="D559" s="11">
        <v>1</v>
      </c>
      <c r="E559" s="12">
        <v>0</v>
      </c>
      <c r="F559" s="12">
        <v>1</v>
      </c>
      <c r="G559" s="17">
        <v>3</v>
      </c>
      <c r="H559" s="12">
        <v>2</v>
      </c>
      <c r="M559"/>
    </row>
    <row r="560" spans="1:13">
      <c r="A560" s="44" t="s">
        <v>5</v>
      </c>
      <c r="B560" s="44">
        <v>510299</v>
      </c>
      <c r="C560" s="44" t="s">
        <v>101</v>
      </c>
      <c r="D560" s="11">
        <v>0</v>
      </c>
      <c r="E560" s="12">
        <v>0</v>
      </c>
      <c r="F560" s="12">
        <v>0</v>
      </c>
      <c r="G560" s="17">
        <v>0</v>
      </c>
      <c r="H560" s="12">
        <v>0</v>
      </c>
      <c r="M560"/>
    </row>
    <row r="561" spans="1:13">
      <c r="A561" s="44" t="s">
        <v>151</v>
      </c>
      <c r="B561" s="44">
        <v>12323388</v>
      </c>
      <c r="C561" s="44" t="s">
        <v>853</v>
      </c>
      <c r="D561" s="11">
        <v>1</v>
      </c>
      <c r="E561" s="12">
        <v>0</v>
      </c>
      <c r="F561" s="12">
        <v>59</v>
      </c>
      <c r="G561" s="17">
        <v>11</v>
      </c>
      <c r="H561" s="12">
        <v>0</v>
      </c>
      <c r="M561"/>
    </row>
    <row r="562" spans="1:13">
      <c r="A562" s="44" t="s">
        <v>145</v>
      </c>
      <c r="B562" s="44">
        <v>392372</v>
      </c>
      <c r="C562" s="44" t="s">
        <v>504</v>
      </c>
      <c r="D562" s="11">
        <v>1</v>
      </c>
      <c r="E562" s="12">
        <v>0</v>
      </c>
      <c r="F562" s="12">
        <v>2</v>
      </c>
      <c r="G562" s="17">
        <v>2</v>
      </c>
      <c r="H562" s="12">
        <v>0</v>
      </c>
      <c r="M562"/>
    </row>
    <row r="563" spans="1:13">
      <c r="A563" s="44" t="s">
        <v>140</v>
      </c>
      <c r="B563" s="44">
        <v>199236</v>
      </c>
      <c r="C563" s="44" t="s">
        <v>1315</v>
      </c>
      <c r="D563" s="11">
        <v>1</v>
      </c>
      <c r="E563" s="12">
        <v>0</v>
      </c>
      <c r="F563" s="12">
        <v>9</v>
      </c>
      <c r="G563" s="17">
        <v>10</v>
      </c>
      <c r="H563" s="12">
        <v>1</v>
      </c>
      <c r="M563"/>
    </row>
    <row r="564" spans="1:13">
      <c r="A564" s="44">
        <v>2613052584</v>
      </c>
      <c r="B564" s="44">
        <v>327231</v>
      </c>
      <c r="C564" s="44" t="s">
        <v>585</v>
      </c>
      <c r="D564" s="11">
        <v>1</v>
      </c>
      <c r="E564" s="12">
        <v>0</v>
      </c>
      <c r="F564" s="12">
        <v>0</v>
      </c>
      <c r="G564" s="17">
        <v>1</v>
      </c>
      <c r="H564" s="12">
        <v>1</v>
      </c>
      <c r="M564"/>
    </row>
    <row r="565" spans="1:13">
      <c r="A565" s="44" t="s">
        <v>3</v>
      </c>
      <c r="B565" s="44">
        <v>484741</v>
      </c>
      <c r="C565" s="44" t="s">
        <v>1091</v>
      </c>
      <c r="D565" s="11">
        <v>1</v>
      </c>
      <c r="E565" s="12">
        <v>0</v>
      </c>
      <c r="F565" s="12">
        <v>3</v>
      </c>
      <c r="G565" s="17">
        <v>3</v>
      </c>
      <c r="H565" s="12">
        <v>0</v>
      </c>
      <c r="M565"/>
    </row>
    <row r="566" spans="1:13">
      <c r="A566" s="44" t="s">
        <v>143</v>
      </c>
      <c r="B566" s="44">
        <v>254042</v>
      </c>
      <c r="C566" s="44" t="s">
        <v>1255</v>
      </c>
      <c r="D566" s="11">
        <v>1</v>
      </c>
      <c r="E566" s="12">
        <v>0</v>
      </c>
      <c r="F566" s="12">
        <v>3</v>
      </c>
      <c r="G566" s="17">
        <v>1</v>
      </c>
      <c r="H566" s="12">
        <v>0</v>
      </c>
      <c r="M566"/>
    </row>
    <row r="567" spans="1:13">
      <c r="A567" s="44">
        <v>2613051043</v>
      </c>
      <c r="B567" s="44">
        <v>12297197</v>
      </c>
      <c r="C567" s="44" t="s">
        <v>1316</v>
      </c>
      <c r="D567" s="11">
        <v>1</v>
      </c>
      <c r="E567" s="12">
        <v>0</v>
      </c>
      <c r="F567" s="12">
        <v>0</v>
      </c>
      <c r="G567" s="17">
        <v>1</v>
      </c>
      <c r="H567" s="12">
        <v>1</v>
      </c>
      <c r="M567"/>
    </row>
    <row r="568" spans="1:13">
      <c r="A568" s="44" t="s">
        <v>152</v>
      </c>
      <c r="B568" s="44">
        <v>272014</v>
      </c>
      <c r="C568" s="44" t="s">
        <v>665</v>
      </c>
      <c r="D568" s="11">
        <v>1</v>
      </c>
      <c r="E568" s="12">
        <v>0</v>
      </c>
      <c r="F568" s="12">
        <v>2</v>
      </c>
      <c r="G568" s="17">
        <v>1</v>
      </c>
      <c r="H568" s="12">
        <v>0</v>
      </c>
      <c r="M568"/>
    </row>
    <row r="569" spans="1:13">
      <c r="A569" s="44" t="s">
        <v>141</v>
      </c>
      <c r="B569" s="44">
        <v>12296070</v>
      </c>
      <c r="C569" s="44" t="s">
        <v>184</v>
      </c>
      <c r="D569" s="11">
        <v>0</v>
      </c>
      <c r="E569" s="12">
        <v>0</v>
      </c>
      <c r="F569" s="12">
        <v>2</v>
      </c>
      <c r="G569" s="17">
        <v>0</v>
      </c>
      <c r="H569" s="12">
        <v>0</v>
      </c>
      <c r="M569"/>
    </row>
    <row r="570" spans="1:13">
      <c r="A570" s="44">
        <v>2613050885</v>
      </c>
      <c r="B570" s="44">
        <v>12325666</v>
      </c>
      <c r="C570" s="44" t="s">
        <v>279</v>
      </c>
      <c r="D570" s="11">
        <v>1</v>
      </c>
      <c r="E570" s="12">
        <v>0</v>
      </c>
      <c r="F570" s="12">
        <v>5</v>
      </c>
      <c r="G570" s="17">
        <v>2</v>
      </c>
      <c r="H570" s="12">
        <v>0</v>
      </c>
      <c r="M570"/>
    </row>
    <row r="571" spans="1:13">
      <c r="A571" s="44" t="s">
        <v>1136</v>
      </c>
      <c r="B571" s="44">
        <v>536320</v>
      </c>
      <c r="C571" s="44" t="s">
        <v>1317</v>
      </c>
      <c r="D571" s="11">
        <v>1</v>
      </c>
      <c r="E571" s="12">
        <v>0</v>
      </c>
      <c r="F571" s="12">
        <v>2</v>
      </c>
      <c r="G571" s="17">
        <v>2</v>
      </c>
      <c r="H571" s="12">
        <v>0</v>
      </c>
      <c r="M571"/>
    </row>
    <row r="572" spans="1:13">
      <c r="A572" s="44" t="s">
        <v>147</v>
      </c>
      <c r="B572" s="44">
        <v>62365</v>
      </c>
      <c r="C572" s="44" t="s">
        <v>1318</v>
      </c>
      <c r="D572" s="11">
        <v>1</v>
      </c>
      <c r="E572" s="12">
        <v>0</v>
      </c>
      <c r="F572" s="12">
        <v>2</v>
      </c>
      <c r="G572" s="17">
        <v>2</v>
      </c>
      <c r="H572" s="12">
        <v>0</v>
      </c>
      <c r="M572"/>
    </row>
    <row r="573" spans="1:13">
      <c r="A573" s="44" t="s">
        <v>140</v>
      </c>
      <c r="B573" s="44">
        <v>288094</v>
      </c>
      <c r="C573" s="44" t="s">
        <v>1319</v>
      </c>
      <c r="D573" s="11">
        <v>0</v>
      </c>
      <c r="E573" s="12">
        <v>0</v>
      </c>
      <c r="F573" s="12">
        <v>2</v>
      </c>
      <c r="G573" s="17">
        <v>0</v>
      </c>
      <c r="H573" s="12">
        <v>0</v>
      </c>
      <c r="M573"/>
    </row>
    <row r="574" spans="1:13">
      <c r="A574" s="44" t="s">
        <v>143</v>
      </c>
      <c r="B574" s="44">
        <v>410976</v>
      </c>
      <c r="C574" s="44" t="s">
        <v>260</v>
      </c>
      <c r="D574" s="11">
        <v>0</v>
      </c>
      <c r="E574" s="12">
        <v>0</v>
      </c>
      <c r="F574" s="12">
        <v>2</v>
      </c>
      <c r="G574" s="17">
        <v>0</v>
      </c>
      <c r="H574" s="12">
        <v>0</v>
      </c>
      <c r="M574"/>
    </row>
    <row r="575" spans="1:13">
      <c r="A575" s="44" t="s">
        <v>1136</v>
      </c>
      <c r="B575" s="44">
        <v>329519</v>
      </c>
      <c r="C575" s="44" t="s">
        <v>1320</v>
      </c>
      <c r="D575" s="11">
        <v>1</v>
      </c>
      <c r="E575" s="12">
        <v>0</v>
      </c>
      <c r="F575" s="12">
        <v>3</v>
      </c>
      <c r="G575" s="17">
        <v>2</v>
      </c>
      <c r="H575" s="12">
        <v>0</v>
      </c>
      <c r="M575"/>
    </row>
    <row r="576" spans="1:13">
      <c r="A576" s="44" t="s">
        <v>136</v>
      </c>
      <c r="B576" s="44">
        <v>127072</v>
      </c>
      <c r="C576" s="44" t="s">
        <v>399</v>
      </c>
      <c r="D576" s="11">
        <v>0</v>
      </c>
      <c r="E576" s="12">
        <v>0</v>
      </c>
      <c r="F576" s="12">
        <v>3</v>
      </c>
      <c r="G576" s="17">
        <v>0</v>
      </c>
      <c r="H576" s="12">
        <v>0</v>
      </c>
      <c r="M576"/>
    </row>
    <row r="577" spans="1:13">
      <c r="A577" s="44" t="s">
        <v>152</v>
      </c>
      <c r="B577" s="44">
        <v>195102</v>
      </c>
      <c r="C577" s="44" t="s">
        <v>657</v>
      </c>
      <c r="D577" s="11">
        <v>1</v>
      </c>
      <c r="E577" s="12">
        <v>0</v>
      </c>
      <c r="F577" s="12">
        <v>6</v>
      </c>
      <c r="G577" s="17">
        <v>5</v>
      </c>
      <c r="H577" s="12">
        <v>0</v>
      </c>
      <c r="M577"/>
    </row>
    <row r="578" spans="1:13">
      <c r="A578" s="44" t="s">
        <v>136</v>
      </c>
      <c r="B578" s="44">
        <v>489794</v>
      </c>
      <c r="C578" s="44" t="s">
        <v>1321</v>
      </c>
      <c r="D578" s="11">
        <v>1</v>
      </c>
      <c r="E578" s="12">
        <v>0</v>
      </c>
      <c r="F578" s="12">
        <v>1</v>
      </c>
      <c r="G578" s="17">
        <v>1</v>
      </c>
      <c r="H578" s="12">
        <v>0</v>
      </c>
      <c r="M578"/>
    </row>
    <row r="579" spans="1:13">
      <c r="A579" s="44" t="s">
        <v>152</v>
      </c>
      <c r="B579" s="44">
        <v>61652</v>
      </c>
      <c r="C579" s="44" t="s">
        <v>676</v>
      </c>
      <c r="D579" s="11">
        <v>1</v>
      </c>
      <c r="E579" s="12">
        <v>0</v>
      </c>
      <c r="F579" s="12">
        <v>1</v>
      </c>
      <c r="G579" s="17">
        <v>1</v>
      </c>
      <c r="H579" s="12">
        <v>0</v>
      </c>
      <c r="M579"/>
    </row>
    <row r="580" spans="1:13">
      <c r="A580" s="44" t="s">
        <v>143</v>
      </c>
      <c r="B580" s="44">
        <v>510981</v>
      </c>
      <c r="C580" s="44" t="s">
        <v>266</v>
      </c>
      <c r="D580" s="11">
        <v>1</v>
      </c>
      <c r="E580" s="12">
        <v>0</v>
      </c>
      <c r="F580" s="12">
        <v>6</v>
      </c>
      <c r="G580" s="17">
        <v>2</v>
      </c>
      <c r="H580" s="12">
        <v>0</v>
      </c>
      <c r="M580"/>
    </row>
    <row r="581" spans="1:13">
      <c r="A581" s="44" t="s">
        <v>5</v>
      </c>
      <c r="B581" s="44">
        <v>12324194</v>
      </c>
      <c r="C581" s="44" t="s">
        <v>1092</v>
      </c>
      <c r="D581" s="11">
        <v>1</v>
      </c>
      <c r="E581" s="12">
        <v>0</v>
      </c>
      <c r="F581" s="12">
        <v>5</v>
      </c>
      <c r="G581" s="17">
        <v>4</v>
      </c>
      <c r="H581" s="12">
        <v>0</v>
      </c>
      <c r="M581"/>
    </row>
    <row r="582" spans="1:13">
      <c r="A582" s="44" t="s">
        <v>156</v>
      </c>
      <c r="B582" s="44">
        <v>2677</v>
      </c>
      <c r="C582" s="44" t="s">
        <v>1322</v>
      </c>
      <c r="D582" s="11">
        <v>0</v>
      </c>
      <c r="E582" s="12">
        <v>0</v>
      </c>
      <c r="F582" s="12">
        <v>3</v>
      </c>
      <c r="G582" s="17">
        <v>0</v>
      </c>
      <c r="H582" s="12">
        <v>0</v>
      </c>
      <c r="M582"/>
    </row>
    <row r="583" spans="1:13">
      <c r="A583" s="44" t="s">
        <v>155</v>
      </c>
      <c r="B583" s="44">
        <v>502217</v>
      </c>
      <c r="C583" s="44" t="s">
        <v>1323</v>
      </c>
      <c r="D583" s="11">
        <v>1</v>
      </c>
      <c r="E583" s="12">
        <v>0</v>
      </c>
      <c r="F583" s="12">
        <v>1</v>
      </c>
      <c r="G583" s="17">
        <v>3</v>
      </c>
      <c r="H583" s="12">
        <v>2</v>
      </c>
      <c r="M583"/>
    </row>
    <row r="584" spans="1:13">
      <c r="A584" s="44" t="s">
        <v>3</v>
      </c>
      <c r="B584" s="44">
        <v>523938</v>
      </c>
      <c r="C584" s="44" t="s">
        <v>31</v>
      </c>
      <c r="D584" s="11">
        <v>0</v>
      </c>
      <c r="E584" s="12">
        <v>0</v>
      </c>
      <c r="F584" s="12">
        <v>3</v>
      </c>
      <c r="G584" s="17">
        <v>0</v>
      </c>
      <c r="H584" s="12">
        <v>0</v>
      </c>
      <c r="M584"/>
    </row>
    <row r="585" spans="1:13">
      <c r="A585" s="44">
        <v>2613050885</v>
      </c>
      <c r="B585" s="44">
        <v>149221</v>
      </c>
      <c r="C585" s="44" t="s">
        <v>281</v>
      </c>
      <c r="D585" s="11">
        <v>0</v>
      </c>
      <c r="E585" s="12">
        <v>0</v>
      </c>
      <c r="F585" s="12">
        <v>1</v>
      </c>
      <c r="G585" s="17">
        <v>0</v>
      </c>
      <c r="H585" s="12">
        <v>0</v>
      </c>
      <c r="M585"/>
    </row>
    <row r="586" spans="1:13">
      <c r="A586" s="44" t="s">
        <v>143</v>
      </c>
      <c r="B586" s="44">
        <v>514404</v>
      </c>
      <c r="C586" s="44" t="s">
        <v>267</v>
      </c>
      <c r="D586" s="11">
        <v>0</v>
      </c>
      <c r="E586" s="12">
        <v>0</v>
      </c>
      <c r="F586" s="12">
        <v>0</v>
      </c>
      <c r="G586" s="17">
        <v>0</v>
      </c>
      <c r="H586" s="12">
        <v>0</v>
      </c>
      <c r="M586"/>
    </row>
    <row r="587" spans="1:13">
      <c r="A587" s="44" t="s">
        <v>140</v>
      </c>
      <c r="B587" s="44">
        <v>211589</v>
      </c>
      <c r="C587" s="44" t="s">
        <v>1324</v>
      </c>
      <c r="D587" s="11">
        <v>0</v>
      </c>
      <c r="E587" s="12">
        <v>0</v>
      </c>
      <c r="F587" s="12">
        <v>4</v>
      </c>
      <c r="G587" s="17">
        <v>0</v>
      </c>
      <c r="H587" s="12">
        <v>0</v>
      </c>
      <c r="M587"/>
    </row>
    <row r="588" spans="1:13">
      <c r="A588" s="44" t="s">
        <v>155</v>
      </c>
      <c r="B588" s="44">
        <v>392325</v>
      </c>
      <c r="C588" s="44" t="s">
        <v>941</v>
      </c>
      <c r="D588" s="11">
        <v>1</v>
      </c>
      <c r="E588" s="12">
        <v>0</v>
      </c>
      <c r="F588" s="12">
        <v>3</v>
      </c>
      <c r="G588" s="17">
        <v>4</v>
      </c>
      <c r="H588" s="12">
        <v>1</v>
      </c>
      <c r="M588"/>
    </row>
    <row r="589" spans="1:13">
      <c r="A589" s="44" t="s">
        <v>148</v>
      </c>
      <c r="B589" s="44">
        <v>1556</v>
      </c>
      <c r="C589" s="44" t="s">
        <v>631</v>
      </c>
      <c r="D589" s="11">
        <v>1</v>
      </c>
      <c r="E589" s="12">
        <v>0</v>
      </c>
      <c r="F589" s="12">
        <v>15</v>
      </c>
      <c r="G589" s="17">
        <v>7</v>
      </c>
      <c r="H589" s="12">
        <v>0</v>
      </c>
      <c r="M589"/>
    </row>
    <row r="590" spans="1:13">
      <c r="A590" s="44" t="s">
        <v>150</v>
      </c>
      <c r="B590" s="44">
        <v>364974</v>
      </c>
      <c r="C590" s="44" t="s">
        <v>826</v>
      </c>
      <c r="D590" s="11">
        <v>0</v>
      </c>
      <c r="E590" s="12">
        <v>0</v>
      </c>
      <c r="F590" s="12">
        <v>3</v>
      </c>
      <c r="G590" s="17">
        <v>0</v>
      </c>
      <c r="H590" s="12">
        <v>0</v>
      </c>
      <c r="M590"/>
    </row>
    <row r="591" spans="1:13">
      <c r="A591" s="44" t="s">
        <v>156</v>
      </c>
      <c r="B591" s="44">
        <v>541003</v>
      </c>
      <c r="C591" s="44" t="s">
        <v>1000</v>
      </c>
      <c r="D591" s="11">
        <v>1</v>
      </c>
      <c r="E591" s="12">
        <v>0</v>
      </c>
      <c r="F591" s="12">
        <v>1</v>
      </c>
      <c r="G591" s="17">
        <v>1</v>
      </c>
      <c r="H591" s="12">
        <v>0</v>
      </c>
      <c r="M591"/>
    </row>
    <row r="592" spans="1:13">
      <c r="A592" s="44" t="s">
        <v>4</v>
      </c>
      <c r="B592" s="44">
        <v>543720</v>
      </c>
      <c r="C592" s="44" t="s">
        <v>65</v>
      </c>
      <c r="D592" s="11">
        <v>1</v>
      </c>
      <c r="E592" s="12">
        <v>0</v>
      </c>
      <c r="F592" s="12">
        <v>9</v>
      </c>
      <c r="G592" s="17">
        <v>5</v>
      </c>
      <c r="H592" s="12">
        <v>0</v>
      </c>
      <c r="M592"/>
    </row>
    <row r="593" spans="1:13">
      <c r="A593" s="44" t="s">
        <v>3</v>
      </c>
      <c r="B593" s="44">
        <v>12326533</v>
      </c>
      <c r="C593" s="44" t="s">
        <v>21</v>
      </c>
      <c r="D593" s="11">
        <v>0</v>
      </c>
      <c r="E593" s="12">
        <v>0</v>
      </c>
      <c r="F593" s="12">
        <v>3</v>
      </c>
      <c r="G593" s="17">
        <v>0</v>
      </c>
      <c r="H593" s="12">
        <v>0</v>
      </c>
      <c r="M593"/>
    </row>
    <row r="594" spans="1:13">
      <c r="A594" s="44" t="s">
        <v>5</v>
      </c>
      <c r="B594" s="44">
        <v>477625</v>
      </c>
      <c r="C594" s="44" t="s">
        <v>95</v>
      </c>
      <c r="D594" s="11">
        <v>1</v>
      </c>
      <c r="E594" s="12">
        <v>0</v>
      </c>
      <c r="F594" s="12">
        <v>3</v>
      </c>
      <c r="G594" s="17">
        <v>56</v>
      </c>
      <c r="H594" s="12">
        <v>53</v>
      </c>
      <c r="M594"/>
    </row>
    <row r="595" spans="1:13">
      <c r="A595" s="44" t="s">
        <v>140</v>
      </c>
      <c r="B595" s="44">
        <v>12321885</v>
      </c>
      <c r="C595" s="44" t="s">
        <v>1325</v>
      </c>
      <c r="D595" s="11">
        <v>0</v>
      </c>
      <c r="E595" s="12">
        <v>0</v>
      </c>
      <c r="F595" s="12">
        <v>4</v>
      </c>
      <c r="G595" s="17">
        <v>0</v>
      </c>
      <c r="H595" s="12">
        <v>0</v>
      </c>
      <c r="M595"/>
    </row>
    <row r="596" spans="1:13">
      <c r="A596" s="44" t="s">
        <v>5</v>
      </c>
      <c r="B596" s="44">
        <v>126963</v>
      </c>
      <c r="C596" s="44" t="s">
        <v>87</v>
      </c>
      <c r="D596" s="11">
        <v>0</v>
      </c>
      <c r="E596" s="12">
        <v>0</v>
      </c>
      <c r="F596" s="12">
        <v>4</v>
      </c>
      <c r="G596" s="17">
        <v>0</v>
      </c>
      <c r="H596" s="12">
        <v>0</v>
      </c>
      <c r="M596"/>
    </row>
    <row r="597" spans="1:13">
      <c r="A597" s="44" t="s">
        <v>156</v>
      </c>
      <c r="B597" s="44">
        <v>494950</v>
      </c>
      <c r="C597" s="44" t="s">
        <v>997</v>
      </c>
      <c r="D597" s="11">
        <v>1</v>
      </c>
      <c r="E597" s="12">
        <v>0</v>
      </c>
      <c r="F597" s="12">
        <v>2</v>
      </c>
      <c r="G597" s="17">
        <v>1</v>
      </c>
      <c r="H597" s="12">
        <v>0</v>
      </c>
      <c r="M597"/>
    </row>
    <row r="598" spans="1:13">
      <c r="A598" s="44" t="s">
        <v>144</v>
      </c>
      <c r="B598" s="44">
        <v>279169</v>
      </c>
      <c r="C598" s="44" t="s">
        <v>222</v>
      </c>
      <c r="D598" s="11">
        <v>0</v>
      </c>
      <c r="E598" s="12">
        <v>0</v>
      </c>
      <c r="F598" s="12">
        <v>0</v>
      </c>
      <c r="G598" s="17">
        <v>0</v>
      </c>
      <c r="H598" s="12">
        <v>0</v>
      </c>
      <c r="M598"/>
    </row>
    <row r="599" spans="1:13">
      <c r="A599" s="44" t="s">
        <v>156</v>
      </c>
      <c r="B599" s="44">
        <v>231806</v>
      </c>
      <c r="C599" s="44" t="s">
        <v>977</v>
      </c>
      <c r="D599" s="11">
        <v>1</v>
      </c>
      <c r="E599" s="12">
        <v>0</v>
      </c>
      <c r="F599" s="12">
        <v>1</v>
      </c>
      <c r="G599" s="17">
        <v>2</v>
      </c>
      <c r="H599" s="12">
        <v>1</v>
      </c>
      <c r="M599"/>
    </row>
    <row r="600" spans="1:13">
      <c r="A600" s="44" t="s">
        <v>140</v>
      </c>
      <c r="B600" s="44">
        <v>62019</v>
      </c>
      <c r="C600" s="44" t="s">
        <v>1326</v>
      </c>
      <c r="D600" s="11">
        <v>1</v>
      </c>
      <c r="E600" s="12">
        <v>0</v>
      </c>
      <c r="F600" s="12">
        <v>3</v>
      </c>
      <c r="G600" s="17">
        <v>1</v>
      </c>
      <c r="H600" s="12">
        <v>0</v>
      </c>
      <c r="M600"/>
    </row>
    <row r="601" spans="1:13">
      <c r="A601" s="44" t="s">
        <v>142</v>
      </c>
      <c r="B601" s="44">
        <v>115177</v>
      </c>
      <c r="C601" s="44" t="s">
        <v>342</v>
      </c>
      <c r="D601" s="11">
        <v>0</v>
      </c>
      <c r="E601" s="12">
        <v>0</v>
      </c>
      <c r="F601" s="12">
        <v>0</v>
      </c>
      <c r="G601" s="17">
        <v>0</v>
      </c>
      <c r="H601" s="12">
        <v>0</v>
      </c>
      <c r="M601"/>
    </row>
    <row r="602" spans="1:13">
      <c r="A602" s="44" t="s">
        <v>151</v>
      </c>
      <c r="B602" s="44">
        <v>2643</v>
      </c>
      <c r="C602" s="44" t="s">
        <v>865</v>
      </c>
      <c r="D602" s="11">
        <v>1</v>
      </c>
      <c r="E602" s="12">
        <v>0</v>
      </c>
      <c r="F602" s="12">
        <v>1</v>
      </c>
      <c r="G602" s="17">
        <v>1</v>
      </c>
      <c r="H602" s="12">
        <v>0</v>
      </c>
      <c r="M602"/>
    </row>
    <row r="603" spans="1:13">
      <c r="A603" s="44" t="s">
        <v>146</v>
      </c>
      <c r="B603" s="44">
        <v>488992</v>
      </c>
      <c r="C603" s="44" t="s">
        <v>1327</v>
      </c>
      <c r="D603" s="11">
        <v>0</v>
      </c>
      <c r="E603" s="12">
        <v>0</v>
      </c>
      <c r="F603" s="12">
        <v>2</v>
      </c>
      <c r="G603" s="17">
        <v>0</v>
      </c>
      <c r="H603" s="12">
        <v>0</v>
      </c>
      <c r="M603"/>
    </row>
    <row r="604" spans="1:13">
      <c r="A604" s="44" t="s">
        <v>153</v>
      </c>
      <c r="B604" s="44">
        <v>342770</v>
      </c>
      <c r="C604" s="44" t="s">
        <v>724</v>
      </c>
      <c r="D604" s="11">
        <v>1</v>
      </c>
      <c r="E604" s="12">
        <v>0</v>
      </c>
      <c r="F604" s="12">
        <v>2</v>
      </c>
      <c r="G604" s="17">
        <v>1</v>
      </c>
      <c r="H604" s="12">
        <v>0</v>
      </c>
      <c r="M604"/>
    </row>
    <row r="605" spans="1:13">
      <c r="A605" s="44" t="s">
        <v>147</v>
      </c>
      <c r="B605" s="44">
        <v>114854</v>
      </c>
      <c r="C605" s="44" t="s">
        <v>590</v>
      </c>
      <c r="D605" s="11">
        <v>0</v>
      </c>
      <c r="E605" s="12">
        <v>0</v>
      </c>
      <c r="F605" s="12">
        <v>0</v>
      </c>
      <c r="G605" s="17">
        <v>0</v>
      </c>
      <c r="H605" s="12">
        <v>0</v>
      </c>
      <c r="M605"/>
    </row>
    <row r="606" spans="1:13">
      <c r="A606" s="44" t="s">
        <v>144</v>
      </c>
      <c r="B606" s="44">
        <v>61981</v>
      </c>
      <c r="C606" s="44" t="s">
        <v>1328</v>
      </c>
      <c r="D606" s="11">
        <v>0</v>
      </c>
      <c r="E606" s="12">
        <v>0</v>
      </c>
      <c r="F606" s="12">
        <v>4</v>
      </c>
      <c r="G606" s="17">
        <v>0</v>
      </c>
      <c r="H606" s="12">
        <v>0</v>
      </c>
      <c r="M606"/>
    </row>
    <row r="607" spans="1:13">
      <c r="A607" s="44" t="s">
        <v>158</v>
      </c>
      <c r="B607" s="44">
        <v>231086</v>
      </c>
      <c r="C607" s="44" t="s">
        <v>1218</v>
      </c>
      <c r="D607" s="11">
        <v>0</v>
      </c>
      <c r="E607" s="12">
        <v>0</v>
      </c>
      <c r="F607" s="12">
        <v>3</v>
      </c>
      <c r="G607" s="17">
        <v>0</v>
      </c>
      <c r="H607" s="12">
        <v>0</v>
      </c>
      <c r="M607"/>
    </row>
    <row r="608" spans="1:13">
      <c r="A608" s="44" t="s">
        <v>1136</v>
      </c>
      <c r="B608" s="44">
        <v>61799</v>
      </c>
      <c r="C608" s="44" t="s">
        <v>1329</v>
      </c>
      <c r="D608" s="11">
        <v>1</v>
      </c>
      <c r="E608" s="12">
        <v>0</v>
      </c>
      <c r="F608" s="12">
        <v>4</v>
      </c>
      <c r="G608" s="17">
        <v>1</v>
      </c>
      <c r="H608" s="12">
        <v>0</v>
      </c>
      <c r="M608"/>
    </row>
    <row r="609" spans="1:13">
      <c r="A609" s="44" t="s">
        <v>1140</v>
      </c>
      <c r="B609" s="44">
        <v>330648</v>
      </c>
      <c r="C609" s="44" t="s">
        <v>1330</v>
      </c>
      <c r="D609" s="11">
        <v>1</v>
      </c>
      <c r="E609" s="12">
        <v>0</v>
      </c>
      <c r="F609" s="12">
        <v>1</v>
      </c>
      <c r="G609" s="17">
        <v>2</v>
      </c>
      <c r="H609" s="12">
        <v>1</v>
      </c>
      <c r="M609"/>
    </row>
    <row r="610" spans="1:13">
      <c r="A610" s="44" t="s">
        <v>158</v>
      </c>
      <c r="B610" s="44">
        <v>199185</v>
      </c>
      <c r="C610" s="44" t="s">
        <v>1331</v>
      </c>
      <c r="D610" s="11">
        <v>1</v>
      </c>
      <c r="E610" s="12">
        <v>0</v>
      </c>
      <c r="F610" s="12">
        <v>7</v>
      </c>
      <c r="G610" s="17">
        <v>9</v>
      </c>
      <c r="H610" s="12">
        <v>2</v>
      </c>
      <c r="M610"/>
    </row>
    <row r="611" spans="1:13">
      <c r="A611" s="44" t="s">
        <v>154</v>
      </c>
      <c r="B611" s="44">
        <v>2201</v>
      </c>
      <c r="C611" s="44" t="s">
        <v>739</v>
      </c>
      <c r="D611" s="11">
        <v>1</v>
      </c>
      <c r="E611" s="12">
        <v>0</v>
      </c>
      <c r="F611" s="12">
        <v>6</v>
      </c>
      <c r="G611" s="17">
        <v>1</v>
      </c>
      <c r="H611" s="12">
        <v>0</v>
      </c>
      <c r="M611"/>
    </row>
    <row r="612" spans="1:13">
      <c r="A612" s="44">
        <v>2613051475</v>
      </c>
      <c r="B612" s="44">
        <v>274492</v>
      </c>
      <c r="C612" s="44" t="s">
        <v>1332</v>
      </c>
      <c r="D612" s="11">
        <v>1</v>
      </c>
      <c r="E612" s="12">
        <v>0</v>
      </c>
      <c r="F612" s="12">
        <v>0</v>
      </c>
      <c r="G612" s="17">
        <v>3</v>
      </c>
      <c r="H612" s="12">
        <v>3</v>
      </c>
      <c r="M612"/>
    </row>
    <row r="613" spans="1:13">
      <c r="A613" s="44" t="s">
        <v>137</v>
      </c>
      <c r="B613" s="44">
        <v>12296071</v>
      </c>
      <c r="C613" s="44" t="s">
        <v>428</v>
      </c>
      <c r="D613" s="11">
        <v>1</v>
      </c>
      <c r="E613" s="12">
        <v>0</v>
      </c>
      <c r="F613" s="12">
        <v>8</v>
      </c>
      <c r="G613" s="17">
        <v>3</v>
      </c>
      <c r="H613" s="12">
        <v>0</v>
      </c>
      <c r="M613"/>
    </row>
    <row r="614" spans="1:13">
      <c r="A614" s="44">
        <v>2613051475</v>
      </c>
      <c r="B614" s="44">
        <v>458949</v>
      </c>
      <c r="C614" s="44" t="s">
        <v>904</v>
      </c>
      <c r="D614" s="11">
        <v>1</v>
      </c>
      <c r="E614" s="12">
        <v>1</v>
      </c>
      <c r="F614" s="12">
        <v>8</v>
      </c>
      <c r="G614" s="17">
        <v>1</v>
      </c>
      <c r="H614" s="12">
        <v>0</v>
      </c>
      <c r="M614"/>
    </row>
    <row r="615" spans="1:13">
      <c r="A615" s="44" t="s">
        <v>3</v>
      </c>
      <c r="B615" s="44">
        <v>287622</v>
      </c>
      <c r="C615" s="44" t="s">
        <v>25</v>
      </c>
      <c r="D615" s="11">
        <v>0</v>
      </c>
      <c r="E615" s="12">
        <v>0</v>
      </c>
      <c r="F615" s="12">
        <v>5</v>
      </c>
      <c r="G615" s="17">
        <v>0</v>
      </c>
      <c r="H615" s="12">
        <v>0</v>
      </c>
      <c r="M615"/>
    </row>
    <row r="616" spans="1:13">
      <c r="A616" s="44" t="s">
        <v>156</v>
      </c>
      <c r="B616" s="44">
        <v>12300536</v>
      </c>
      <c r="C616" s="44" t="s">
        <v>969</v>
      </c>
      <c r="D616" s="11">
        <v>0</v>
      </c>
      <c r="E616" s="12">
        <v>0</v>
      </c>
      <c r="F616" s="12">
        <v>0</v>
      </c>
      <c r="G616" s="17">
        <v>0</v>
      </c>
      <c r="H616" s="12">
        <v>0</v>
      </c>
      <c r="M616"/>
    </row>
    <row r="617" spans="1:13">
      <c r="A617" s="44" t="s">
        <v>154</v>
      </c>
      <c r="B617" s="44">
        <v>265466</v>
      </c>
      <c r="C617" s="44" t="s">
        <v>1333</v>
      </c>
      <c r="D617" s="11">
        <v>1</v>
      </c>
      <c r="E617" s="12">
        <v>0</v>
      </c>
      <c r="F617" s="12">
        <v>4</v>
      </c>
      <c r="G617" s="17">
        <v>4</v>
      </c>
      <c r="H617" s="12">
        <v>0</v>
      </c>
      <c r="M617"/>
    </row>
    <row r="618" spans="1:13">
      <c r="A618" s="44">
        <v>2613050886</v>
      </c>
      <c r="B618" s="44">
        <v>571637</v>
      </c>
      <c r="C618" s="44" t="s">
        <v>341</v>
      </c>
      <c r="D618" s="11">
        <v>0</v>
      </c>
      <c r="E618" s="12">
        <v>0</v>
      </c>
      <c r="F618" s="12">
        <v>1</v>
      </c>
      <c r="G618" s="17">
        <v>0</v>
      </c>
      <c r="H618" s="12">
        <v>0</v>
      </c>
      <c r="M618"/>
    </row>
    <row r="619" spans="1:13">
      <c r="A619" s="44" t="s">
        <v>152</v>
      </c>
      <c r="B619" s="44">
        <v>524914</v>
      </c>
      <c r="C619" s="44" t="s">
        <v>457</v>
      </c>
      <c r="D619" s="11">
        <v>1</v>
      </c>
      <c r="E619" s="12">
        <v>0</v>
      </c>
      <c r="F619" s="12">
        <v>2</v>
      </c>
      <c r="G619" s="17">
        <v>1</v>
      </c>
      <c r="H619" s="12">
        <v>0</v>
      </c>
      <c r="M619"/>
    </row>
    <row r="620" spans="1:13">
      <c r="A620" s="44" t="s">
        <v>152</v>
      </c>
      <c r="B620" s="44">
        <v>62083</v>
      </c>
      <c r="C620" s="44" t="s">
        <v>678</v>
      </c>
      <c r="D620" s="11">
        <v>0</v>
      </c>
      <c r="E620" s="12">
        <v>0</v>
      </c>
      <c r="F620" s="12">
        <v>1</v>
      </c>
      <c r="G620" s="17">
        <v>0</v>
      </c>
      <c r="H620" s="12">
        <v>0</v>
      </c>
      <c r="M620"/>
    </row>
    <row r="621" spans="1:13">
      <c r="A621" s="44" t="s">
        <v>5</v>
      </c>
      <c r="B621" s="44">
        <v>12318079</v>
      </c>
      <c r="C621" s="44" t="s">
        <v>1093</v>
      </c>
      <c r="D621" s="11">
        <v>1</v>
      </c>
      <c r="E621" s="12">
        <v>0</v>
      </c>
      <c r="F621" s="12">
        <v>4</v>
      </c>
      <c r="G621" s="17">
        <v>1</v>
      </c>
      <c r="H621" s="12">
        <v>0</v>
      </c>
      <c r="M621"/>
    </row>
    <row r="622" spans="1:13">
      <c r="A622" s="44" t="s">
        <v>146</v>
      </c>
      <c r="B622" s="44">
        <v>211696</v>
      </c>
      <c r="C622" s="44" t="s">
        <v>538</v>
      </c>
      <c r="D622" s="11">
        <v>1</v>
      </c>
      <c r="E622" s="12">
        <v>0</v>
      </c>
      <c r="F622" s="12">
        <v>3</v>
      </c>
      <c r="G622" s="17">
        <v>1</v>
      </c>
      <c r="H622" s="12">
        <v>0</v>
      </c>
      <c r="M622"/>
    </row>
    <row r="623" spans="1:13">
      <c r="A623" s="44" t="s">
        <v>145</v>
      </c>
      <c r="B623" s="44">
        <v>61848</v>
      </c>
      <c r="C623" s="44" t="s">
        <v>521</v>
      </c>
      <c r="D623" s="11">
        <v>0</v>
      </c>
      <c r="E623" s="12">
        <v>0</v>
      </c>
      <c r="F623" s="12">
        <v>0</v>
      </c>
      <c r="G623" s="17">
        <v>0</v>
      </c>
      <c r="H623" s="12">
        <v>0</v>
      </c>
      <c r="M623"/>
    </row>
    <row r="624" spans="1:13">
      <c r="A624" s="44">
        <v>2613050885</v>
      </c>
      <c r="B624" s="44">
        <v>518161</v>
      </c>
      <c r="C624" s="44" t="s">
        <v>297</v>
      </c>
      <c r="D624" s="11">
        <v>0</v>
      </c>
      <c r="E624" s="12">
        <v>0</v>
      </c>
      <c r="F624" s="12">
        <v>0</v>
      </c>
      <c r="G624" s="17">
        <v>0</v>
      </c>
      <c r="H624" s="12">
        <v>0</v>
      </c>
      <c r="M624"/>
    </row>
    <row r="625" spans="1:13">
      <c r="A625" s="44" t="s">
        <v>149</v>
      </c>
      <c r="B625" s="44">
        <v>12294918</v>
      </c>
      <c r="C625" s="44" t="s">
        <v>1334</v>
      </c>
      <c r="D625" s="11">
        <v>1</v>
      </c>
      <c r="E625" s="12">
        <v>0</v>
      </c>
      <c r="F625" s="12">
        <v>3</v>
      </c>
      <c r="G625" s="17">
        <v>1</v>
      </c>
      <c r="H625" s="12">
        <v>0</v>
      </c>
      <c r="M625"/>
    </row>
    <row r="626" spans="1:13">
      <c r="A626" s="44" t="s">
        <v>153</v>
      </c>
      <c r="B626" s="44">
        <v>211807</v>
      </c>
      <c r="C626" s="44" t="s">
        <v>1335</v>
      </c>
      <c r="D626" s="11">
        <v>0</v>
      </c>
      <c r="E626" s="12">
        <v>0</v>
      </c>
      <c r="F626" s="12">
        <v>4</v>
      </c>
      <c r="G626" s="17">
        <v>0</v>
      </c>
      <c r="H626" s="12">
        <v>0</v>
      </c>
      <c r="M626"/>
    </row>
    <row r="627" spans="1:13">
      <c r="A627" s="44" t="s">
        <v>136</v>
      </c>
      <c r="B627" s="44">
        <v>580416</v>
      </c>
      <c r="C627" s="44" t="s">
        <v>411</v>
      </c>
      <c r="D627" s="11">
        <v>1</v>
      </c>
      <c r="E627" s="12">
        <v>0</v>
      </c>
      <c r="F627" s="12">
        <v>15</v>
      </c>
      <c r="G627" s="17">
        <v>9</v>
      </c>
      <c r="H627" s="12">
        <v>0</v>
      </c>
      <c r="M627"/>
    </row>
    <row r="628" spans="1:13">
      <c r="A628" s="44">
        <v>2613052584</v>
      </c>
      <c r="B628" s="44">
        <v>12330397</v>
      </c>
      <c r="C628" s="44" t="s">
        <v>581</v>
      </c>
      <c r="D628" s="11">
        <v>0</v>
      </c>
      <c r="E628" s="12">
        <v>0</v>
      </c>
      <c r="F628" s="12">
        <v>0</v>
      </c>
      <c r="G628" s="17">
        <v>0</v>
      </c>
      <c r="H628" s="12">
        <v>0</v>
      </c>
      <c r="M628"/>
    </row>
    <row r="629" spans="1:13">
      <c r="A629" s="44" t="s">
        <v>151</v>
      </c>
      <c r="B629" s="44">
        <v>12328568</v>
      </c>
      <c r="C629" s="44" t="s">
        <v>856</v>
      </c>
      <c r="D629" s="11">
        <v>0</v>
      </c>
      <c r="E629" s="12">
        <v>0</v>
      </c>
      <c r="F629" s="12">
        <v>1</v>
      </c>
      <c r="G629" s="17">
        <v>0</v>
      </c>
      <c r="H629" s="12">
        <v>0</v>
      </c>
      <c r="M629"/>
    </row>
    <row r="630" spans="1:13">
      <c r="A630" s="44" t="s">
        <v>5</v>
      </c>
      <c r="B630" s="44">
        <v>195918</v>
      </c>
      <c r="C630" s="44" t="s">
        <v>88</v>
      </c>
      <c r="D630" s="11">
        <v>1</v>
      </c>
      <c r="E630" s="12">
        <v>0</v>
      </c>
      <c r="F630" s="12">
        <v>3</v>
      </c>
      <c r="G630" s="17">
        <v>2</v>
      </c>
      <c r="H630" s="12">
        <v>0</v>
      </c>
      <c r="M630"/>
    </row>
    <row r="631" spans="1:13">
      <c r="A631" s="44" t="s">
        <v>158</v>
      </c>
      <c r="B631" s="44">
        <v>12324062</v>
      </c>
      <c r="C631" s="44" t="s">
        <v>1336</v>
      </c>
      <c r="D631" s="11">
        <v>1</v>
      </c>
      <c r="E631" s="12">
        <v>0</v>
      </c>
      <c r="F631" s="12">
        <v>2</v>
      </c>
      <c r="G631" s="17">
        <v>1</v>
      </c>
      <c r="H631" s="12">
        <v>0</v>
      </c>
      <c r="M631"/>
    </row>
    <row r="632" spans="1:13">
      <c r="A632" s="44" t="s">
        <v>142</v>
      </c>
      <c r="B632" s="44">
        <v>211669</v>
      </c>
      <c r="C632" s="44" t="s">
        <v>347</v>
      </c>
      <c r="D632" s="11">
        <v>0</v>
      </c>
      <c r="E632" s="12">
        <v>0</v>
      </c>
      <c r="F632" s="12">
        <v>0</v>
      </c>
      <c r="G632" s="17">
        <v>0</v>
      </c>
      <c r="H632" s="12">
        <v>0</v>
      </c>
      <c r="M632"/>
    </row>
    <row r="633" spans="1:13">
      <c r="A633" s="44">
        <v>2613051412</v>
      </c>
      <c r="B633" s="44">
        <v>12327415</v>
      </c>
      <c r="C633" s="44" t="s">
        <v>553</v>
      </c>
      <c r="D633" s="11">
        <v>1</v>
      </c>
      <c r="E633" s="12">
        <v>0</v>
      </c>
      <c r="F633" s="12">
        <v>3</v>
      </c>
      <c r="G633" s="17">
        <v>11</v>
      </c>
      <c r="H633" s="12">
        <v>8</v>
      </c>
      <c r="M633"/>
    </row>
    <row r="634" spans="1:13">
      <c r="A634" s="44" t="s">
        <v>158</v>
      </c>
      <c r="B634" s="44">
        <v>341960</v>
      </c>
      <c r="C634" s="44" t="s">
        <v>1337</v>
      </c>
      <c r="D634" s="11">
        <v>1</v>
      </c>
      <c r="E634" s="12">
        <v>0</v>
      </c>
      <c r="F634" s="12">
        <v>4</v>
      </c>
      <c r="G634" s="17">
        <v>1</v>
      </c>
      <c r="H634" s="12">
        <v>0</v>
      </c>
      <c r="M634"/>
    </row>
    <row r="635" spans="1:13">
      <c r="A635" s="44">
        <v>2613050885</v>
      </c>
      <c r="B635" s="44">
        <v>523918</v>
      </c>
      <c r="C635" s="44" t="s">
        <v>302</v>
      </c>
      <c r="D635" s="11">
        <v>1</v>
      </c>
      <c r="E635" s="12">
        <v>0</v>
      </c>
      <c r="F635" s="12">
        <v>1</v>
      </c>
      <c r="G635" s="17">
        <v>3</v>
      </c>
      <c r="H635" s="12">
        <v>2</v>
      </c>
      <c r="M635"/>
    </row>
    <row r="636" spans="1:13">
      <c r="A636" s="44" t="s">
        <v>3</v>
      </c>
      <c r="B636" s="44">
        <v>535790</v>
      </c>
      <c r="C636" s="44" t="s">
        <v>34</v>
      </c>
      <c r="D636" s="11">
        <v>1</v>
      </c>
      <c r="E636" s="12">
        <v>0</v>
      </c>
      <c r="F636" s="12">
        <v>3</v>
      </c>
      <c r="G636" s="17">
        <v>3</v>
      </c>
      <c r="H636" s="12">
        <v>0</v>
      </c>
      <c r="M636"/>
    </row>
    <row r="637" spans="1:13">
      <c r="A637" s="44">
        <v>2613051412</v>
      </c>
      <c r="B637" s="44">
        <v>336362</v>
      </c>
      <c r="C637" s="44" t="s">
        <v>556</v>
      </c>
      <c r="D637" s="11">
        <v>0</v>
      </c>
      <c r="E637" s="12">
        <v>0</v>
      </c>
      <c r="F637" s="12">
        <v>0</v>
      </c>
      <c r="G637" s="17">
        <v>0</v>
      </c>
      <c r="H637" s="12">
        <v>0</v>
      </c>
      <c r="M637"/>
    </row>
    <row r="638" spans="1:13">
      <c r="A638" s="44" t="s">
        <v>142</v>
      </c>
      <c r="B638" s="44">
        <v>547285</v>
      </c>
      <c r="C638" s="44" t="s">
        <v>370</v>
      </c>
      <c r="D638" s="11">
        <v>1</v>
      </c>
      <c r="E638" s="12">
        <v>0</v>
      </c>
      <c r="F638" s="12">
        <v>1</v>
      </c>
      <c r="G638" s="17">
        <v>1</v>
      </c>
      <c r="H638" s="12">
        <v>0</v>
      </c>
      <c r="M638"/>
    </row>
    <row r="639" spans="1:13">
      <c r="A639" s="44">
        <v>2613052222</v>
      </c>
      <c r="B639" s="44">
        <v>12323326</v>
      </c>
      <c r="C639" s="44" t="s">
        <v>685</v>
      </c>
      <c r="D639" s="11">
        <v>1</v>
      </c>
      <c r="E639" s="12">
        <v>0</v>
      </c>
      <c r="F639" s="12">
        <v>95</v>
      </c>
      <c r="G639" s="17">
        <v>45</v>
      </c>
      <c r="H639" s="12">
        <v>0</v>
      </c>
      <c r="M639"/>
    </row>
    <row r="640" spans="1:13">
      <c r="A640" s="44">
        <v>2613051043</v>
      </c>
      <c r="B640" s="44">
        <v>12297032</v>
      </c>
      <c r="C640" s="44" t="s">
        <v>164</v>
      </c>
      <c r="D640" s="11">
        <v>0</v>
      </c>
      <c r="E640" s="12">
        <v>0</v>
      </c>
      <c r="F640" s="12">
        <v>1</v>
      </c>
      <c r="G640" s="17">
        <v>0</v>
      </c>
      <c r="H640" s="12">
        <v>0</v>
      </c>
      <c r="M640"/>
    </row>
    <row r="641" spans="1:13">
      <c r="A641" s="44">
        <v>2613051412</v>
      </c>
      <c r="B641" s="44">
        <v>12328134</v>
      </c>
      <c r="C641" s="44" t="s">
        <v>1338</v>
      </c>
      <c r="D641" s="11">
        <v>1</v>
      </c>
      <c r="E641" s="12">
        <v>0</v>
      </c>
      <c r="F641" s="12">
        <v>3</v>
      </c>
      <c r="G641" s="17">
        <v>4</v>
      </c>
      <c r="H641" s="12">
        <v>1</v>
      </c>
      <c r="M641"/>
    </row>
    <row r="642" spans="1:13">
      <c r="A642" s="44" t="s">
        <v>154</v>
      </c>
      <c r="B642" s="44">
        <v>445499</v>
      </c>
      <c r="C642" s="44" t="s">
        <v>747</v>
      </c>
      <c r="D642" s="11">
        <v>0</v>
      </c>
      <c r="E642" s="12">
        <v>0</v>
      </c>
      <c r="F642" s="12">
        <v>7</v>
      </c>
      <c r="G642" s="17">
        <v>0</v>
      </c>
      <c r="H642" s="12">
        <v>0</v>
      </c>
      <c r="M642"/>
    </row>
    <row r="643" spans="1:13">
      <c r="A643" s="44" t="s">
        <v>136</v>
      </c>
      <c r="B643" s="44">
        <v>524025</v>
      </c>
      <c r="C643" s="44" t="s">
        <v>1339</v>
      </c>
      <c r="D643" s="11">
        <v>0</v>
      </c>
      <c r="E643" s="12">
        <v>0</v>
      </c>
      <c r="F643" s="12">
        <v>4</v>
      </c>
      <c r="G643" s="17">
        <v>0</v>
      </c>
      <c r="H643" s="12">
        <v>0</v>
      </c>
      <c r="M643"/>
    </row>
    <row r="644" spans="1:13">
      <c r="A644" s="44" t="s">
        <v>151</v>
      </c>
      <c r="B644" s="44">
        <v>12326005</v>
      </c>
      <c r="C644" s="44" t="s">
        <v>855</v>
      </c>
      <c r="D644" s="11">
        <v>1</v>
      </c>
      <c r="E644" s="12">
        <v>1</v>
      </c>
      <c r="F644" s="12">
        <v>9</v>
      </c>
      <c r="G644" s="17">
        <v>3</v>
      </c>
      <c r="H644" s="12">
        <v>0</v>
      </c>
      <c r="M644"/>
    </row>
    <row r="645" spans="1:13">
      <c r="A645" s="44" t="s">
        <v>157</v>
      </c>
      <c r="B645" s="44">
        <v>267498</v>
      </c>
      <c r="C645" s="44" t="s">
        <v>1031</v>
      </c>
      <c r="D645" s="11">
        <v>1</v>
      </c>
      <c r="E645" s="12">
        <v>0</v>
      </c>
      <c r="F645" s="12">
        <v>0</v>
      </c>
      <c r="G645" s="17">
        <v>1</v>
      </c>
      <c r="H645" s="12">
        <v>1</v>
      </c>
      <c r="M645"/>
    </row>
    <row r="646" spans="1:13">
      <c r="A646" s="44" t="s">
        <v>136</v>
      </c>
      <c r="B646" s="44">
        <v>12304568</v>
      </c>
      <c r="C646" s="44" t="s">
        <v>392</v>
      </c>
      <c r="D646" s="11">
        <v>1</v>
      </c>
      <c r="E646" s="12">
        <v>0</v>
      </c>
      <c r="F646" s="12">
        <v>10</v>
      </c>
      <c r="G646" s="17">
        <v>10</v>
      </c>
      <c r="H646" s="12">
        <v>0</v>
      </c>
      <c r="M646"/>
    </row>
    <row r="647" spans="1:13">
      <c r="A647" s="44">
        <v>2613050885</v>
      </c>
      <c r="B647" s="44">
        <v>490411</v>
      </c>
      <c r="C647" s="44" t="s">
        <v>292</v>
      </c>
      <c r="D647" s="11">
        <v>1</v>
      </c>
      <c r="E647" s="12">
        <v>0</v>
      </c>
      <c r="F647" s="12">
        <v>3</v>
      </c>
      <c r="G647" s="17">
        <v>3</v>
      </c>
      <c r="H647" s="12">
        <v>0</v>
      </c>
      <c r="M647"/>
    </row>
    <row r="648" spans="1:13">
      <c r="A648" s="44" t="s">
        <v>145</v>
      </c>
      <c r="B648" s="44">
        <v>1937</v>
      </c>
      <c r="C648" s="44" t="s">
        <v>494</v>
      </c>
      <c r="D648" s="11">
        <v>1</v>
      </c>
      <c r="E648" s="12">
        <v>0</v>
      </c>
      <c r="F648" s="12">
        <v>4</v>
      </c>
      <c r="G648" s="17">
        <v>2</v>
      </c>
      <c r="H648" s="12">
        <v>0</v>
      </c>
      <c r="M648"/>
    </row>
    <row r="649" spans="1:13">
      <c r="A649" s="44" t="s">
        <v>1140</v>
      </c>
      <c r="B649" s="44">
        <v>496630</v>
      </c>
      <c r="C649" s="44" t="s">
        <v>1340</v>
      </c>
      <c r="D649" s="11">
        <v>0</v>
      </c>
      <c r="E649" s="12">
        <v>0</v>
      </c>
      <c r="F649" s="12">
        <v>0</v>
      </c>
      <c r="G649" s="17">
        <v>0</v>
      </c>
      <c r="H649" s="12">
        <v>0</v>
      </c>
      <c r="M649"/>
    </row>
    <row r="650" spans="1:13">
      <c r="A650" s="44" t="s">
        <v>137</v>
      </c>
      <c r="B650" s="44">
        <v>12295782</v>
      </c>
      <c r="C650" s="44" t="s">
        <v>1341</v>
      </c>
      <c r="D650" s="11">
        <v>0</v>
      </c>
      <c r="E650" s="12">
        <v>0</v>
      </c>
      <c r="F650" s="12">
        <v>0</v>
      </c>
      <c r="G650" s="17">
        <v>0</v>
      </c>
      <c r="H650" s="12">
        <v>0</v>
      </c>
      <c r="M650"/>
    </row>
    <row r="651" spans="1:13">
      <c r="A651" s="44" t="s">
        <v>141</v>
      </c>
      <c r="B651" s="44">
        <v>4761</v>
      </c>
      <c r="C651" s="44" t="s">
        <v>202</v>
      </c>
      <c r="D651" s="11">
        <v>0</v>
      </c>
      <c r="E651" s="12">
        <v>0</v>
      </c>
      <c r="F651" s="12">
        <v>2</v>
      </c>
      <c r="G651" s="17">
        <v>0</v>
      </c>
      <c r="H651" s="12">
        <v>0</v>
      </c>
      <c r="M651"/>
    </row>
    <row r="652" spans="1:13">
      <c r="A652" s="44" t="s">
        <v>141</v>
      </c>
      <c r="B652" s="44">
        <v>390324</v>
      </c>
      <c r="C652" s="44" t="s">
        <v>1342</v>
      </c>
      <c r="D652" s="11">
        <v>1</v>
      </c>
      <c r="E652" s="12">
        <v>0</v>
      </c>
      <c r="F652" s="12">
        <v>2</v>
      </c>
      <c r="G652" s="17">
        <v>1</v>
      </c>
      <c r="H652" s="12">
        <v>0</v>
      </c>
      <c r="M652"/>
    </row>
    <row r="653" spans="1:13">
      <c r="A653" s="44" t="s">
        <v>145</v>
      </c>
      <c r="B653" s="44">
        <v>401840</v>
      </c>
      <c r="C653" s="44" t="s">
        <v>507</v>
      </c>
      <c r="D653" s="11">
        <v>1</v>
      </c>
      <c r="E653" s="12">
        <v>0</v>
      </c>
      <c r="F653" s="12">
        <v>0</v>
      </c>
      <c r="G653" s="17">
        <v>1</v>
      </c>
      <c r="H653" s="12">
        <v>1</v>
      </c>
      <c r="M653"/>
    </row>
    <row r="654" spans="1:13">
      <c r="A654" s="44" t="s">
        <v>151</v>
      </c>
      <c r="B654" s="44">
        <v>453857</v>
      </c>
      <c r="C654" s="44" t="s">
        <v>873</v>
      </c>
      <c r="D654" s="11">
        <v>0</v>
      </c>
      <c r="E654" s="12">
        <v>0</v>
      </c>
      <c r="F654" s="12">
        <v>0</v>
      </c>
      <c r="G654" s="17">
        <v>0</v>
      </c>
      <c r="H654" s="12">
        <v>0</v>
      </c>
      <c r="M654"/>
    </row>
    <row r="655" spans="1:13">
      <c r="A655" s="44" t="s">
        <v>5</v>
      </c>
      <c r="B655" s="44">
        <v>499483</v>
      </c>
      <c r="C655" s="44" t="s">
        <v>97</v>
      </c>
      <c r="D655" s="11">
        <v>0</v>
      </c>
      <c r="E655" s="12">
        <v>1</v>
      </c>
      <c r="F655" s="12">
        <v>3</v>
      </c>
      <c r="G655" s="17">
        <v>0</v>
      </c>
      <c r="H655" s="12">
        <v>0</v>
      </c>
      <c r="M655"/>
    </row>
    <row r="656" spans="1:13">
      <c r="A656" s="44" t="s">
        <v>1140</v>
      </c>
      <c r="B656" s="44">
        <v>344269</v>
      </c>
      <c r="C656" s="44" t="s">
        <v>163</v>
      </c>
      <c r="D656" s="11">
        <v>0</v>
      </c>
      <c r="E656" s="12">
        <v>0</v>
      </c>
      <c r="F656" s="12">
        <v>0</v>
      </c>
      <c r="G656" s="17">
        <v>0</v>
      </c>
      <c r="H656" s="12">
        <v>0</v>
      </c>
      <c r="M656"/>
    </row>
    <row r="657" spans="1:13">
      <c r="A657" s="44" t="s">
        <v>4</v>
      </c>
      <c r="B657" s="44">
        <v>231278</v>
      </c>
      <c r="C657" s="44" t="s">
        <v>1094</v>
      </c>
      <c r="D657" s="11">
        <v>0</v>
      </c>
      <c r="E657" s="12">
        <v>0</v>
      </c>
      <c r="F657" s="12">
        <v>1</v>
      </c>
      <c r="G657" s="17">
        <v>0</v>
      </c>
      <c r="H657" s="12">
        <v>0</v>
      </c>
      <c r="M657"/>
    </row>
    <row r="658" spans="1:13">
      <c r="A658" s="44" t="s">
        <v>137</v>
      </c>
      <c r="B658" s="44">
        <v>12296271</v>
      </c>
      <c r="C658" s="44" t="s">
        <v>432</v>
      </c>
      <c r="D658" s="11">
        <v>0</v>
      </c>
      <c r="E658" s="12">
        <v>0</v>
      </c>
      <c r="F658" s="12">
        <v>1</v>
      </c>
      <c r="G658" s="17">
        <v>0</v>
      </c>
      <c r="H658" s="12">
        <v>0</v>
      </c>
      <c r="M658"/>
    </row>
    <row r="659" spans="1:13">
      <c r="A659" s="44" t="s">
        <v>155</v>
      </c>
      <c r="B659" s="44">
        <v>511538</v>
      </c>
      <c r="C659" s="44" t="s">
        <v>946</v>
      </c>
      <c r="D659" s="11">
        <v>1</v>
      </c>
      <c r="E659" s="12">
        <v>0</v>
      </c>
      <c r="F659" s="12">
        <v>1</v>
      </c>
      <c r="G659" s="17">
        <v>3</v>
      </c>
      <c r="H659" s="12">
        <v>2</v>
      </c>
      <c r="M659"/>
    </row>
    <row r="660" spans="1:13">
      <c r="A660" s="44" t="s">
        <v>157</v>
      </c>
      <c r="B660" s="44">
        <v>551521</v>
      </c>
      <c r="C660" s="44" t="s">
        <v>1343</v>
      </c>
      <c r="D660" s="11">
        <v>1</v>
      </c>
      <c r="E660" s="12">
        <v>0</v>
      </c>
      <c r="F660" s="12">
        <v>3</v>
      </c>
      <c r="G660" s="17">
        <v>1</v>
      </c>
      <c r="H660" s="12">
        <v>0</v>
      </c>
      <c r="M660"/>
    </row>
    <row r="661" spans="1:13">
      <c r="A661" s="44" t="s">
        <v>155</v>
      </c>
      <c r="B661" s="44">
        <v>369922</v>
      </c>
      <c r="C661" s="44" t="s">
        <v>940</v>
      </c>
      <c r="D661" s="11">
        <v>0</v>
      </c>
      <c r="E661" s="12">
        <v>0</v>
      </c>
      <c r="F661" s="12">
        <v>3</v>
      </c>
      <c r="G661" s="17">
        <v>0</v>
      </c>
      <c r="H661" s="12">
        <v>0</v>
      </c>
      <c r="M661"/>
    </row>
    <row r="662" spans="1:13">
      <c r="A662" s="44" t="s">
        <v>4</v>
      </c>
      <c r="B662" s="44">
        <v>529090</v>
      </c>
      <c r="C662" s="44" t="s">
        <v>1095</v>
      </c>
      <c r="D662" s="11">
        <v>0</v>
      </c>
      <c r="E662" s="12">
        <v>0</v>
      </c>
      <c r="F662" s="12">
        <v>6</v>
      </c>
      <c r="G662" s="17">
        <v>0</v>
      </c>
      <c r="H662" s="12">
        <v>0</v>
      </c>
      <c r="M662"/>
    </row>
    <row r="663" spans="1:13">
      <c r="A663" s="44" t="s">
        <v>155</v>
      </c>
      <c r="B663" s="44">
        <v>545395</v>
      </c>
      <c r="C663" s="44" t="s">
        <v>953</v>
      </c>
      <c r="D663" s="11">
        <v>0</v>
      </c>
      <c r="E663" s="12">
        <v>0</v>
      </c>
      <c r="F663" s="12">
        <v>1</v>
      </c>
      <c r="G663" s="17">
        <v>0</v>
      </c>
      <c r="H663" s="12">
        <v>0</v>
      </c>
      <c r="M663"/>
    </row>
    <row r="664" spans="1:13">
      <c r="A664" s="44">
        <v>2613050885</v>
      </c>
      <c r="B664" s="44">
        <v>545433</v>
      </c>
      <c r="C664" s="44" t="s">
        <v>310</v>
      </c>
      <c r="D664" s="11">
        <v>0</v>
      </c>
      <c r="E664" s="12">
        <v>0</v>
      </c>
      <c r="F664" s="12">
        <v>1</v>
      </c>
      <c r="G664" s="17">
        <v>0</v>
      </c>
      <c r="H664" s="12">
        <v>0</v>
      </c>
      <c r="M664"/>
    </row>
    <row r="665" spans="1:13">
      <c r="A665" s="44">
        <v>2613051475</v>
      </c>
      <c r="B665" s="44">
        <v>538067</v>
      </c>
      <c r="C665" s="44" t="s">
        <v>914</v>
      </c>
      <c r="D665" s="11">
        <v>0</v>
      </c>
      <c r="E665" s="12">
        <v>0</v>
      </c>
      <c r="F665" s="12">
        <v>3</v>
      </c>
      <c r="G665" s="17">
        <v>0</v>
      </c>
      <c r="H665" s="12">
        <v>0</v>
      </c>
      <c r="M665"/>
    </row>
    <row r="666" spans="1:13">
      <c r="A666" s="44" t="s">
        <v>141</v>
      </c>
      <c r="B666" s="44">
        <v>410675</v>
      </c>
      <c r="C666" s="44" t="s">
        <v>198</v>
      </c>
      <c r="D666" s="11">
        <v>1</v>
      </c>
      <c r="E666" s="12">
        <v>0</v>
      </c>
      <c r="F666" s="12">
        <v>3</v>
      </c>
      <c r="G666" s="17">
        <v>1</v>
      </c>
      <c r="H666" s="12">
        <v>0</v>
      </c>
      <c r="M666"/>
    </row>
    <row r="667" spans="1:13">
      <c r="A667" s="44">
        <v>2613052222</v>
      </c>
      <c r="B667" s="44">
        <v>242675</v>
      </c>
      <c r="C667" s="44" t="s">
        <v>691</v>
      </c>
      <c r="D667" s="11">
        <v>1</v>
      </c>
      <c r="E667" s="12">
        <v>0</v>
      </c>
      <c r="F667" s="12">
        <v>10</v>
      </c>
      <c r="G667" s="17">
        <v>5</v>
      </c>
      <c r="H667" s="12">
        <v>0</v>
      </c>
      <c r="M667"/>
    </row>
    <row r="668" spans="1:13">
      <c r="A668" s="44" t="s">
        <v>152</v>
      </c>
      <c r="B668" s="44">
        <v>489452</v>
      </c>
      <c r="C668" s="44" t="s">
        <v>674</v>
      </c>
      <c r="D668" s="11">
        <v>0</v>
      </c>
      <c r="E668" s="12">
        <v>0</v>
      </c>
      <c r="F668" s="12">
        <v>0</v>
      </c>
      <c r="G668" s="17">
        <v>0</v>
      </c>
      <c r="H668" s="12">
        <v>0</v>
      </c>
      <c r="M668"/>
    </row>
    <row r="669" spans="1:13">
      <c r="A669" s="44" t="s">
        <v>147</v>
      </c>
      <c r="B669" s="44">
        <v>62382</v>
      </c>
      <c r="C669" s="44" t="s">
        <v>621</v>
      </c>
      <c r="D669" s="11">
        <v>0</v>
      </c>
      <c r="E669" s="12">
        <v>0</v>
      </c>
      <c r="F669" s="12">
        <v>2</v>
      </c>
      <c r="G669" s="17">
        <v>0</v>
      </c>
      <c r="H669" s="12">
        <v>0</v>
      </c>
      <c r="M669"/>
    </row>
    <row r="670" spans="1:13">
      <c r="A670" s="44">
        <v>2613052222</v>
      </c>
      <c r="B670" s="44">
        <v>239978</v>
      </c>
      <c r="C670" s="44" t="s">
        <v>1344</v>
      </c>
      <c r="D670" s="11">
        <v>1</v>
      </c>
      <c r="E670" s="12">
        <v>0</v>
      </c>
      <c r="F670" s="12">
        <v>13</v>
      </c>
      <c r="G670" s="17">
        <v>7</v>
      </c>
      <c r="H670" s="12">
        <v>0</v>
      </c>
      <c r="M670"/>
    </row>
    <row r="671" spans="1:13">
      <c r="A671" s="44" t="s">
        <v>154</v>
      </c>
      <c r="B671" s="44">
        <v>409595</v>
      </c>
      <c r="C671" s="44" t="s">
        <v>1345</v>
      </c>
      <c r="D671" s="11">
        <v>0</v>
      </c>
      <c r="E671" s="12">
        <v>0</v>
      </c>
      <c r="F671" s="12">
        <v>3</v>
      </c>
      <c r="G671" s="17">
        <v>0</v>
      </c>
      <c r="H671" s="12">
        <v>0</v>
      </c>
      <c r="M671"/>
    </row>
    <row r="672" spans="1:13">
      <c r="A672" s="44" t="s">
        <v>140</v>
      </c>
      <c r="B672" s="44">
        <v>13657</v>
      </c>
      <c r="C672" s="44" t="s">
        <v>461</v>
      </c>
      <c r="D672" s="11">
        <v>0</v>
      </c>
      <c r="E672" s="12">
        <v>0</v>
      </c>
      <c r="F672" s="12">
        <v>4</v>
      </c>
      <c r="G672" s="17">
        <v>0</v>
      </c>
      <c r="H672" s="12">
        <v>0</v>
      </c>
      <c r="M672"/>
    </row>
    <row r="673" spans="1:13">
      <c r="A673" s="44">
        <v>2613051412</v>
      </c>
      <c r="B673" s="44">
        <v>344259</v>
      </c>
      <c r="C673" s="44" t="s">
        <v>558</v>
      </c>
      <c r="D673" s="11">
        <v>0</v>
      </c>
      <c r="E673" s="12">
        <v>0</v>
      </c>
      <c r="F673" s="12">
        <v>1</v>
      </c>
      <c r="G673" s="17">
        <v>0</v>
      </c>
      <c r="H673" s="12">
        <v>0</v>
      </c>
      <c r="M673"/>
    </row>
    <row r="674" spans="1:13">
      <c r="A674" s="44">
        <v>2613050885</v>
      </c>
      <c r="B674" s="44">
        <v>531622</v>
      </c>
      <c r="C674" s="44" t="s">
        <v>305</v>
      </c>
      <c r="D674" s="11">
        <v>0</v>
      </c>
      <c r="E674" s="12">
        <v>0</v>
      </c>
      <c r="F674" s="12">
        <v>0</v>
      </c>
      <c r="G674" s="17">
        <v>0</v>
      </c>
      <c r="H674" s="12">
        <v>0</v>
      </c>
      <c r="M674"/>
    </row>
    <row r="675" spans="1:13">
      <c r="A675" s="44" t="s">
        <v>158</v>
      </c>
      <c r="B675" s="44">
        <v>398997</v>
      </c>
      <c r="C675" s="44" t="s">
        <v>1346</v>
      </c>
      <c r="D675" s="11">
        <v>0</v>
      </c>
      <c r="E675" s="12">
        <v>0</v>
      </c>
      <c r="F675" s="12">
        <v>0</v>
      </c>
      <c r="G675" s="17">
        <v>0</v>
      </c>
      <c r="H675" s="12">
        <v>0</v>
      </c>
      <c r="M675"/>
    </row>
    <row r="676" spans="1:13">
      <c r="A676" s="44" t="s">
        <v>155</v>
      </c>
      <c r="B676" s="44">
        <v>530211</v>
      </c>
      <c r="C676" s="44" t="s">
        <v>949</v>
      </c>
      <c r="D676" s="11">
        <v>1</v>
      </c>
      <c r="E676" s="12">
        <v>0</v>
      </c>
      <c r="F676" s="12">
        <v>86</v>
      </c>
      <c r="G676" s="17">
        <v>45</v>
      </c>
      <c r="H676" s="12">
        <v>0</v>
      </c>
      <c r="M676"/>
    </row>
    <row r="677" spans="1:13">
      <c r="A677" s="44" t="s">
        <v>145</v>
      </c>
      <c r="B677" s="44">
        <v>517552</v>
      </c>
      <c r="C677" s="44" t="s">
        <v>514</v>
      </c>
      <c r="D677" s="11">
        <v>1</v>
      </c>
      <c r="E677" s="12">
        <v>1</v>
      </c>
      <c r="F677" s="12">
        <v>4</v>
      </c>
      <c r="G677" s="17">
        <v>1</v>
      </c>
      <c r="H677" s="12">
        <v>0</v>
      </c>
      <c r="M677"/>
    </row>
    <row r="678" spans="1:13">
      <c r="A678" s="44" t="s">
        <v>153</v>
      </c>
      <c r="B678" s="44">
        <v>478964</v>
      </c>
      <c r="C678" s="44" t="s">
        <v>1347</v>
      </c>
      <c r="D678" s="11">
        <v>1</v>
      </c>
      <c r="E678" s="12">
        <v>0</v>
      </c>
      <c r="F678" s="12">
        <v>2</v>
      </c>
      <c r="G678" s="17">
        <v>4</v>
      </c>
      <c r="H678" s="12">
        <v>2</v>
      </c>
      <c r="M678"/>
    </row>
    <row r="679" spans="1:13">
      <c r="A679" s="44" t="s">
        <v>147</v>
      </c>
      <c r="B679" s="44">
        <v>542066</v>
      </c>
      <c r="C679" s="44" t="s">
        <v>616</v>
      </c>
      <c r="D679" s="11">
        <v>0</v>
      </c>
      <c r="E679" s="12">
        <v>0</v>
      </c>
      <c r="F679" s="12">
        <v>1</v>
      </c>
      <c r="G679" s="17">
        <v>0</v>
      </c>
      <c r="H679" s="12">
        <v>0</v>
      </c>
      <c r="M679"/>
    </row>
    <row r="680" spans="1:13">
      <c r="A680" s="44" t="s">
        <v>1140</v>
      </c>
      <c r="B680" s="44">
        <v>330557</v>
      </c>
      <c r="C680" s="44" t="s">
        <v>1348</v>
      </c>
      <c r="D680" s="11">
        <v>0</v>
      </c>
      <c r="E680" s="12">
        <v>0</v>
      </c>
      <c r="F680" s="12">
        <v>1</v>
      </c>
      <c r="G680" s="17">
        <v>0</v>
      </c>
      <c r="H680" s="12">
        <v>0</v>
      </c>
      <c r="M680"/>
    </row>
    <row r="681" spans="1:13">
      <c r="A681" s="44" t="s">
        <v>156</v>
      </c>
      <c r="B681" s="44">
        <v>298411</v>
      </c>
      <c r="C681" s="44" t="s">
        <v>983</v>
      </c>
      <c r="D681" s="11">
        <v>0</v>
      </c>
      <c r="E681" s="12">
        <v>0</v>
      </c>
      <c r="F681" s="12">
        <v>0</v>
      </c>
      <c r="G681" s="17">
        <v>0</v>
      </c>
      <c r="H681" s="12">
        <v>0</v>
      </c>
      <c r="M681"/>
    </row>
    <row r="682" spans="1:13">
      <c r="A682" s="44" t="s">
        <v>1136</v>
      </c>
      <c r="B682" s="44">
        <v>564427</v>
      </c>
      <c r="C682" s="44" t="s">
        <v>1349</v>
      </c>
      <c r="D682" s="11">
        <v>0</v>
      </c>
      <c r="E682" s="12">
        <v>0</v>
      </c>
      <c r="F682" s="12">
        <v>0</v>
      </c>
      <c r="G682" s="17">
        <v>0</v>
      </c>
      <c r="H682" s="12">
        <v>0</v>
      </c>
      <c r="M682"/>
    </row>
    <row r="683" spans="1:13">
      <c r="A683" s="44" t="s">
        <v>3</v>
      </c>
      <c r="B683" s="44">
        <v>10466</v>
      </c>
      <c r="C683" s="44" t="s">
        <v>9</v>
      </c>
      <c r="D683" s="11">
        <v>1</v>
      </c>
      <c r="E683" s="12">
        <v>0</v>
      </c>
      <c r="F683" s="12">
        <v>2</v>
      </c>
      <c r="G683" s="17">
        <v>2</v>
      </c>
      <c r="H683" s="12">
        <v>0</v>
      </c>
      <c r="M683"/>
    </row>
    <row r="684" spans="1:13">
      <c r="A684" s="44" t="s">
        <v>158</v>
      </c>
      <c r="B684" s="44">
        <v>517257</v>
      </c>
      <c r="C684" s="44" t="s">
        <v>1350</v>
      </c>
      <c r="D684" s="11">
        <v>0</v>
      </c>
      <c r="E684" s="12">
        <v>0</v>
      </c>
      <c r="F684" s="12">
        <v>1</v>
      </c>
      <c r="G684" s="17">
        <v>0</v>
      </c>
      <c r="H684" s="12">
        <v>0</v>
      </c>
      <c r="M684"/>
    </row>
    <row r="685" spans="1:13">
      <c r="A685" s="44">
        <v>2613052222</v>
      </c>
      <c r="B685" s="44">
        <v>509953</v>
      </c>
      <c r="C685" s="44" t="s">
        <v>699</v>
      </c>
      <c r="D685" s="11">
        <v>0</v>
      </c>
      <c r="E685" s="12">
        <v>0</v>
      </c>
      <c r="F685" s="12">
        <v>1</v>
      </c>
      <c r="G685" s="17">
        <v>0</v>
      </c>
      <c r="H685" s="12">
        <v>0</v>
      </c>
      <c r="M685"/>
    </row>
    <row r="686" spans="1:13">
      <c r="A686" s="44">
        <v>2613052584</v>
      </c>
      <c r="B686" s="44">
        <v>299958</v>
      </c>
      <c r="C686" s="44" t="s">
        <v>583</v>
      </c>
      <c r="D686" s="11">
        <v>1</v>
      </c>
      <c r="E686" s="12">
        <v>0</v>
      </c>
      <c r="F686" s="12">
        <v>1</v>
      </c>
      <c r="G686" s="17">
        <v>1</v>
      </c>
      <c r="H686" s="12">
        <v>0</v>
      </c>
      <c r="M686"/>
    </row>
    <row r="687" spans="1:13">
      <c r="A687" s="44" t="s">
        <v>137</v>
      </c>
      <c r="B687" s="44">
        <v>12296326</v>
      </c>
      <c r="C687" s="44" t="s">
        <v>435</v>
      </c>
      <c r="D687" s="11">
        <v>1</v>
      </c>
      <c r="E687" s="12">
        <v>0</v>
      </c>
      <c r="F687" s="12">
        <v>3</v>
      </c>
      <c r="G687" s="17">
        <v>1</v>
      </c>
      <c r="H687" s="12">
        <v>0</v>
      </c>
      <c r="M687"/>
    </row>
    <row r="688" spans="1:13">
      <c r="A688" s="44">
        <v>2613052222</v>
      </c>
      <c r="B688" s="44">
        <v>61549</v>
      </c>
      <c r="C688" s="44" t="s">
        <v>1351</v>
      </c>
      <c r="D688" s="11">
        <v>0</v>
      </c>
      <c r="E688" s="12">
        <v>0</v>
      </c>
      <c r="F688" s="12">
        <v>2</v>
      </c>
      <c r="G688" s="17">
        <v>0</v>
      </c>
      <c r="H688" s="12">
        <v>0</v>
      </c>
      <c r="M688"/>
    </row>
    <row r="689" spans="1:13">
      <c r="A689" s="44" t="s">
        <v>142</v>
      </c>
      <c r="B689" s="44">
        <v>523503</v>
      </c>
      <c r="C689" s="44" t="s">
        <v>361</v>
      </c>
      <c r="D689" s="11">
        <v>1</v>
      </c>
      <c r="E689" s="12">
        <v>0</v>
      </c>
      <c r="F689" s="12">
        <v>1</v>
      </c>
      <c r="G689" s="17">
        <v>1</v>
      </c>
      <c r="H689" s="12">
        <v>0</v>
      </c>
      <c r="M689"/>
    </row>
    <row r="690" spans="1:13">
      <c r="A690" s="44" t="s">
        <v>147</v>
      </c>
      <c r="B690" s="44">
        <v>12318027</v>
      </c>
      <c r="C690" s="44" t="s">
        <v>593</v>
      </c>
      <c r="D690" s="11">
        <v>1</v>
      </c>
      <c r="E690" s="12">
        <v>0</v>
      </c>
      <c r="F690" s="12">
        <v>36</v>
      </c>
      <c r="G690" s="17">
        <v>32</v>
      </c>
      <c r="H690" s="12">
        <v>0</v>
      </c>
      <c r="M690"/>
    </row>
    <row r="691" spans="1:13">
      <c r="A691" s="44" t="s">
        <v>1140</v>
      </c>
      <c r="B691" s="44">
        <v>286468</v>
      </c>
      <c r="C691" s="44" t="s">
        <v>161</v>
      </c>
      <c r="D691" s="11">
        <v>0</v>
      </c>
      <c r="E691" s="12">
        <v>0</v>
      </c>
      <c r="F691" s="12">
        <v>1</v>
      </c>
      <c r="G691" s="17">
        <v>0</v>
      </c>
      <c r="H691" s="12">
        <v>0</v>
      </c>
      <c r="M691"/>
    </row>
    <row r="692" spans="1:13">
      <c r="A692" s="44" t="s">
        <v>140</v>
      </c>
      <c r="B692" s="44">
        <v>414487</v>
      </c>
      <c r="C692" s="44" t="s">
        <v>1352</v>
      </c>
      <c r="D692" s="11">
        <v>1</v>
      </c>
      <c r="E692" s="12">
        <v>0</v>
      </c>
      <c r="F692" s="12">
        <v>5</v>
      </c>
      <c r="G692" s="17">
        <v>1</v>
      </c>
      <c r="H692" s="12">
        <v>0</v>
      </c>
      <c r="M692"/>
    </row>
    <row r="693" spans="1:13">
      <c r="A693" s="44" t="s">
        <v>152</v>
      </c>
      <c r="B693" s="44">
        <v>353735</v>
      </c>
      <c r="C693" s="44" t="s">
        <v>670</v>
      </c>
      <c r="D693" s="11">
        <v>0</v>
      </c>
      <c r="E693" s="12">
        <v>0</v>
      </c>
      <c r="F693" s="12">
        <v>0</v>
      </c>
      <c r="G693" s="17">
        <v>0</v>
      </c>
      <c r="H693" s="12">
        <v>0</v>
      </c>
      <c r="M693"/>
    </row>
    <row r="694" spans="1:13">
      <c r="A694" s="44" t="s">
        <v>5</v>
      </c>
      <c r="B694" s="44">
        <v>511584</v>
      </c>
      <c r="C694" s="44" t="s">
        <v>1096</v>
      </c>
      <c r="D694" s="11">
        <v>1</v>
      </c>
      <c r="E694" s="12">
        <v>0</v>
      </c>
      <c r="F694" s="12">
        <v>4</v>
      </c>
      <c r="G694" s="17">
        <v>2</v>
      </c>
      <c r="H694" s="12">
        <v>0</v>
      </c>
      <c r="M694"/>
    </row>
    <row r="695" spans="1:13">
      <c r="A695" s="44" t="s">
        <v>151</v>
      </c>
      <c r="B695" s="44">
        <v>513155</v>
      </c>
      <c r="C695" s="44" t="s">
        <v>876</v>
      </c>
      <c r="D695" s="11">
        <v>0</v>
      </c>
      <c r="E695" s="12">
        <v>0</v>
      </c>
      <c r="F695" s="12">
        <v>4</v>
      </c>
      <c r="G695" s="17">
        <v>0</v>
      </c>
      <c r="H695" s="12">
        <v>0</v>
      </c>
      <c r="M695"/>
    </row>
    <row r="696" spans="1:13">
      <c r="A696" s="44" t="s">
        <v>158</v>
      </c>
      <c r="B696" s="44">
        <v>289467</v>
      </c>
      <c r="C696" s="44" t="s">
        <v>1353</v>
      </c>
      <c r="D696" s="11">
        <v>0</v>
      </c>
      <c r="E696" s="12">
        <v>0</v>
      </c>
      <c r="F696" s="12">
        <v>2</v>
      </c>
      <c r="G696" s="17">
        <v>0</v>
      </c>
      <c r="H696" s="12">
        <v>0</v>
      </c>
      <c r="M696"/>
    </row>
    <row r="697" spans="1:13">
      <c r="A697" s="44">
        <v>2613051475</v>
      </c>
      <c r="B697" s="44">
        <v>196535</v>
      </c>
      <c r="C697" s="44" t="s">
        <v>1354</v>
      </c>
      <c r="D697" s="11">
        <v>0</v>
      </c>
      <c r="E697" s="12">
        <v>0</v>
      </c>
      <c r="F697" s="12">
        <v>1</v>
      </c>
      <c r="G697" s="17">
        <v>0</v>
      </c>
      <c r="H697" s="12">
        <v>0</v>
      </c>
      <c r="M697"/>
    </row>
    <row r="698" spans="1:13">
      <c r="A698" s="44" t="s">
        <v>1136</v>
      </c>
      <c r="B698" s="44">
        <v>260931</v>
      </c>
      <c r="C698" s="44" t="s">
        <v>1355</v>
      </c>
      <c r="D698" s="11">
        <v>1</v>
      </c>
      <c r="E698" s="12">
        <v>0</v>
      </c>
      <c r="F698" s="12">
        <v>6</v>
      </c>
      <c r="G698" s="17">
        <v>4</v>
      </c>
      <c r="H698" s="12">
        <v>0</v>
      </c>
      <c r="M698"/>
    </row>
    <row r="699" spans="1:13">
      <c r="A699" s="44">
        <v>2613052222</v>
      </c>
      <c r="B699" s="44">
        <v>199069</v>
      </c>
      <c r="C699" s="44" t="s">
        <v>1356</v>
      </c>
      <c r="D699" s="11">
        <v>0</v>
      </c>
      <c r="E699" s="12">
        <v>0</v>
      </c>
      <c r="F699" s="12">
        <v>0</v>
      </c>
      <c r="G699" s="17">
        <v>0</v>
      </c>
      <c r="H699" s="12">
        <v>0</v>
      </c>
      <c r="M699"/>
    </row>
    <row r="700" spans="1:13">
      <c r="A700" s="44" t="s">
        <v>149</v>
      </c>
      <c r="B700" s="44">
        <v>563090</v>
      </c>
      <c r="C700" s="44" t="s">
        <v>799</v>
      </c>
      <c r="D700" s="11">
        <v>0</v>
      </c>
      <c r="E700" s="12">
        <v>0</v>
      </c>
      <c r="F700" s="12">
        <v>0</v>
      </c>
      <c r="G700" s="17">
        <v>0</v>
      </c>
      <c r="H700" s="12">
        <v>0</v>
      </c>
      <c r="M700"/>
    </row>
    <row r="701" spans="1:13">
      <c r="A701" s="44" t="s">
        <v>147</v>
      </c>
      <c r="B701" s="44">
        <v>12296194</v>
      </c>
      <c r="C701" s="44" t="s">
        <v>1357</v>
      </c>
      <c r="D701" s="11">
        <v>1</v>
      </c>
      <c r="E701" s="12">
        <v>0</v>
      </c>
      <c r="F701" s="12">
        <v>2</v>
      </c>
      <c r="G701" s="17">
        <v>1</v>
      </c>
      <c r="H701" s="12">
        <v>0</v>
      </c>
      <c r="M701"/>
    </row>
    <row r="702" spans="1:13">
      <c r="A702" s="44" t="s">
        <v>1140</v>
      </c>
      <c r="B702" s="44">
        <v>61528</v>
      </c>
      <c r="C702" s="44" t="s">
        <v>1358</v>
      </c>
      <c r="D702" s="11">
        <v>1</v>
      </c>
      <c r="E702" s="12">
        <v>0</v>
      </c>
      <c r="F702" s="12">
        <v>1</v>
      </c>
      <c r="G702" s="17">
        <v>5</v>
      </c>
      <c r="H702" s="12">
        <v>4</v>
      </c>
      <c r="M702"/>
    </row>
    <row r="703" spans="1:13">
      <c r="A703" s="44" t="s">
        <v>145</v>
      </c>
      <c r="B703" s="44">
        <v>199293</v>
      </c>
      <c r="C703" s="44" t="s">
        <v>244</v>
      </c>
      <c r="D703" s="11">
        <v>0</v>
      </c>
      <c r="E703" s="12">
        <v>0</v>
      </c>
      <c r="F703" s="12">
        <v>2</v>
      </c>
      <c r="G703" s="17">
        <v>0</v>
      </c>
      <c r="H703" s="12">
        <v>0</v>
      </c>
      <c r="M703"/>
    </row>
    <row r="704" spans="1:13">
      <c r="A704" s="44" t="s">
        <v>156</v>
      </c>
      <c r="B704" s="44">
        <v>473615</v>
      </c>
      <c r="C704" s="44" t="s">
        <v>994</v>
      </c>
      <c r="D704" s="11">
        <v>0</v>
      </c>
      <c r="E704" s="12">
        <v>0</v>
      </c>
      <c r="F704" s="12">
        <v>3</v>
      </c>
      <c r="G704" s="17">
        <v>0</v>
      </c>
      <c r="H704" s="12">
        <v>0</v>
      </c>
      <c r="M704"/>
    </row>
    <row r="705" spans="1:13">
      <c r="A705" s="44" t="s">
        <v>149</v>
      </c>
      <c r="B705" s="44">
        <v>9191</v>
      </c>
      <c r="C705" s="44" t="s">
        <v>803</v>
      </c>
      <c r="D705" s="11">
        <v>0</v>
      </c>
      <c r="E705" s="12">
        <v>0</v>
      </c>
      <c r="F705" s="12">
        <v>1</v>
      </c>
      <c r="G705" s="17">
        <v>0</v>
      </c>
      <c r="H705" s="12">
        <v>0</v>
      </c>
      <c r="M705"/>
    </row>
    <row r="706" spans="1:13">
      <c r="A706" s="44" t="s">
        <v>146</v>
      </c>
      <c r="B706" s="44">
        <v>572995</v>
      </c>
      <c r="C706" s="44" t="s">
        <v>1359</v>
      </c>
      <c r="D706" s="11">
        <v>0</v>
      </c>
      <c r="E706" s="12">
        <v>0</v>
      </c>
      <c r="F706" s="12">
        <v>1</v>
      </c>
      <c r="G706" s="17">
        <v>0</v>
      </c>
      <c r="H706" s="12">
        <v>0</v>
      </c>
      <c r="M706"/>
    </row>
    <row r="707" spans="1:13">
      <c r="A707" s="44" t="s">
        <v>144</v>
      </c>
      <c r="B707" s="44">
        <v>518491</v>
      </c>
      <c r="C707" s="44" t="s">
        <v>241</v>
      </c>
      <c r="D707" s="11">
        <v>0</v>
      </c>
      <c r="E707" s="12">
        <v>0</v>
      </c>
      <c r="F707" s="12">
        <v>0</v>
      </c>
      <c r="G707" s="17">
        <v>0</v>
      </c>
      <c r="H707" s="12">
        <v>0</v>
      </c>
      <c r="M707"/>
    </row>
    <row r="708" spans="1:13">
      <c r="A708" s="44" t="s">
        <v>3</v>
      </c>
      <c r="B708" s="44">
        <v>12323218</v>
      </c>
      <c r="C708" s="44" t="s">
        <v>1097</v>
      </c>
      <c r="D708" s="11">
        <v>1</v>
      </c>
      <c r="E708" s="12">
        <v>0</v>
      </c>
      <c r="F708" s="12">
        <v>18</v>
      </c>
      <c r="G708" s="17">
        <v>30</v>
      </c>
      <c r="H708" s="12">
        <v>12</v>
      </c>
      <c r="M708"/>
    </row>
    <row r="709" spans="1:13">
      <c r="A709" s="44" t="s">
        <v>155</v>
      </c>
      <c r="B709" s="44">
        <v>281833</v>
      </c>
      <c r="C709" s="44" t="s">
        <v>935</v>
      </c>
      <c r="D709" s="11">
        <v>1</v>
      </c>
      <c r="E709" s="12">
        <v>0</v>
      </c>
      <c r="F709" s="12">
        <v>0</v>
      </c>
      <c r="G709" s="17">
        <v>1</v>
      </c>
      <c r="H709" s="12">
        <v>1</v>
      </c>
      <c r="M709"/>
    </row>
    <row r="710" spans="1:13">
      <c r="A710" s="44">
        <v>2613051475</v>
      </c>
      <c r="B710" s="44">
        <v>201641</v>
      </c>
      <c r="C710" s="44" t="s">
        <v>889</v>
      </c>
      <c r="D710" s="11">
        <v>1</v>
      </c>
      <c r="E710" s="12">
        <v>0</v>
      </c>
      <c r="F710" s="12">
        <v>3</v>
      </c>
      <c r="G710" s="17">
        <v>2</v>
      </c>
      <c r="H710" s="12">
        <v>0</v>
      </c>
      <c r="M710"/>
    </row>
    <row r="711" spans="1:13">
      <c r="A711" s="44" t="s">
        <v>144</v>
      </c>
      <c r="B711" s="44">
        <v>534088</v>
      </c>
      <c r="C711" s="44" t="s">
        <v>1360</v>
      </c>
      <c r="D711" s="11">
        <v>0</v>
      </c>
      <c r="E711" s="12">
        <v>0</v>
      </c>
      <c r="F711" s="12">
        <v>0</v>
      </c>
      <c r="G711" s="17">
        <v>0</v>
      </c>
      <c r="H711" s="12">
        <v>0</v>
      </c>
      <c r="M711"/>
    </row>
    <row r="712" spans="1:13">
      <c r="A712" s="44">
        <v>2613050885</v>
      </c>
      <c r="B712" s="44">
        <v>523875</v>
      </c>
      <c r="C712" s="44" t="s">
        <v>300</v>
      </c>
      <c r="D712" s="11">
        <v>0</v>
      </c>
      <c r="E712" s="12">
        <v>0</v>
      </c>
      <c r="F712" s="12">
        <v>7</v>
      </c>
      <c r="G712" s="17">
        <v>0</v>
      </c>
      <c r="H712" s="12">
        <v>0</v>
      </c>
      <c r="M712"/>
    </row>
    <row r="713" spans="1:13">
      <c r="A713" s="44">
        <v>2613050886</v>
      </c>
      <c r="B713" s="44">
        <v>437019</v>
      </c>
      <c r="C713" s="44" t="s">
        <v>1361</v>
      </c>
      <c r="D713" s="11">
        <v>0</v>
      </c>
      <c r="E713" s="12">
        <v>0</v>
      </c>
      <c r="F713" s="12">
        <v>3</v>
      </c>
      <c r="G713" s="17">
        <v>0</v>
      </c>
      <c r="H713" s="12">
        <v>0</v>
      </c>
      <c r="M713"/>
    </row>
    <row r="714" spans="1:13">
      <c r="A714" s="44" t="s">
        <v>5</v>
      </c>
      <c r="B714" s="44">
        <v>12322430</v>
      </c>
      <c r="C714" s="44" t="s">
        <v>81</v>
      </c>
      <c r="D714" s="11">
        <v>0</v>
      </c>
      <c r="E714" s="12">
        <v>0</v>
      </c>
      <c r="F714" s="12">
        <v>3</v>
      </c>
      <c r="G714" s="17">
        <v>0</v>
      </c>
      <c r="H714" s="12">
        <v>0</v>
      </c>
      <c r="M714"/>
    </row>
    <row r="715" spans="1:13">
      <c r="A715" s="44" t="s">
        <v>140</v>
      </c>
      <c r="B715" s="44">
        <v>61904</v>
      </c>
      <c r="C715" s="44" t="s">
        <v>1362</v>
      </c>
      <c r="D715" s="11">
        <v>1</v>
      </c>
      <c r="E715" s="12">
        <v>0</v>
      </c>
      <c r="F715" s="12">
        <v>3</v>
      </c>
      <c r="G715" s="17">
        <v>3</v>
      </c>
      <c r="H715" s="12">
        <v>0</v>
      </c>
      <c r="M715"/>
    </row>
    <row r="716" spans="1:13">
      <c r="A716" s="44" t="s">
        <v>142</v>
      </c>
      <c r="B716" s="44">
        <v>199097</v>
      </c>
      <c r="C716" s="44" t="s">
        <v>1363</v>
      </c>
      <c r="D716" s="11">
        <v>1</v>
      </c>
      <c r="E716" s="12">
        <v>0</v>
      </c>
      <c r="F716" s="12">
        <v>3</v>
      </c>
      <c r="G716" s="17">
        <v>1</v>
      </c>
      <c r="H716" s="12">
        <v>0</v>
      </c>
      <c r="M716"/>
    </row>
    <row r="717" spans="1:13">
      <c r="A717" s="44" t="s">
        <v>1136</v>
      </c>
      <c r="B717" s="44">
        <v>199330</v>
      </c>
      <c r="C717" s="44" t="s">
        <v>1364</v>
      </c>
      <c r="D717" s="11">
        <v>1</v>
      </c>
      <c r="E717" s="12">
        <v>0</v>
      </c>
      <c r="F717" s="12">
        <v>2</v>
      </c>
      <c r="G717" s="17">
        <v>1</v>
      </c>
      <c r="H717" s="12">
        <v>0</v>
      </c>
      <c r="M717"/>
    </row>
    <row r="718" spans="1:13">
      <c r="A718" s="44" t="s">
        <v>151</v>
      </c>
      <c r="B718" s="44">
        <v>277789</v>
      </c>
      <c r="C718" s="44" t="s">
        <v>1263</v>
      </c>
      <c r="D718" s="11">
        <v>0</v>
      </c>
      <c r="E718" s="12">
        <v>0</v>
      </c>
      <c r="F718" s="12">
        <v>0</v>
      </c>
      <c r="G718" s="17">
        <v>0</v>
      </c>
      <c r="H718" s="12">
        <v>0</v>
      </c>
      <c r="M718"/>
    </row>
    <row r="719" spans="1:13">
      <c r="A719" s="44" t="s">
        <v>5</v>
      </c>
      <c r="B719" s="44">
        <v>127198</v>
      </c>
      <c r="C719" s="44" t="s">
        <v>1098</v>
      </c>
      <c r="D719" s="11">
        <v>1</v>
      </c>
      <c r="E719" s="12">
        <v>0</v>
      </c>
      <c r="F719" s="12">
        <v>15</v>
      </c>
      <c r="G719" s="17">
        <v>1</v>
      </c>
      <c r="H719" s="12">
        <v>0</v>
      </c>
      <c r="M719"/>
    </row>
    <row r="720" spans="1:13">
      <c r="A720" s="44" t="s">
        <v>155</v>
      </c>
      <c r="B720" s="44">
        <v>243377</v>
      </c>
      <c r="C720" s="44" t="s">
        <v>932</v>
      </c>
      <c r="D720" s="11">
        <v>0</v>
      </c>
      <c r="E720" s="12">
        <v>0</v>
      </c>
      <c r="F720" s="12">
        <v>1</v>
      </c>
      <c r="G720" s="17">
        <v>0</v>
      </c>
      <c r="H720" s="12">
        <v>0</v>
      </c>
      <c r="M720"/>
    </row>
    <row r="721" spans="1:13">
      <c r="A721" s="44" t="s">
        <v>144</v>
      </c>
      <c r="B721" s="44">
        <v>423729</v>
      </c>
      <c r="C721" s="44" t="s">
        <v>229</v>
      </c>
      <c r="D721" s="11">
        <v>0</v>
      </c>
      <c r="E721" s="12">
        <v>0</v>
      </c>
      <c r="F721" s="12">
        <v>0</v>
      </c>
      <c r="G721" s="17">
        <v>0</v>
      </c>
      <c r="H721" s="12">
        <v>0</v>
      </c>
      <c r="M721"/>
    </row>
    <row r="722" spans="1:13">
      <c r="A722" s="44" t="s">
        <v>143</v>
      </c>
      <c r="B722" s="44">
        <v>399790</v>
      </c>
      <c r="C722" s="44" t="s">
        <v>256</v>
      </c>
      <c r="D722" s="11">
        <v>1</v>
      </c>
      <c r="E722" s="12">
        <v>0</v>
      </c>
      <c r="F722" s="12">
        <v>3</v>
      </c>
      <c r="G722" s="17">
        <v>1</v>
      </c>
      <c r="H722" s="12">
        <v>0</v>
      </c>
      <c r="M722"/>
    </row>
    <row r="723" spans="1:13">
      <c r="A723" s="44">
        <v>2613051475</v>
      </c>
      <c r="B723" s="44">
        <v>2790</v>
      </c>
      <c r="C723" s="44" t="s">
        <v>896</v>
      </c>
      <c r="D723" s="11">
        <v>0</v>
      </c>
      <c r="E723" s="12">
        <v>0</v>
      </c>
      <c r="F723" s="12">
        <v>0</v>
      </c>
      <c r="G723" s="17">
        <v>0</v>
      </c>
      <c r="H723" s="12">
        <v>0</v>
      </c>
      <c r="M723"/>
    </row>
    <row r="724" spans="1:13">
      <c r="A724" s="44" t="s">
        <v>142</v>
      </c>
      <c r="B724" s="44">
        <v>523417</v>
      </c>
      <c r="C724" s="44" t="s">
        <v>360</v>
      </c>
      <c r="D724" s="11">
        <v>0</v>
      </c>
      <c r="E724" s="12">
        <v>0</v>
      </c>
      <c r="F724" s="12">
        <v>0</v>
      </c>
      <c r="G724" s="17">
        <v>0</v>
      </c>
      <c r="H724" s="12">
        <v>0</v>
      </c>
      <c r="M724"/>
    </row>
    <row r="725" spans="1:13">
      <c r="A725" s="44" t="s">
        <v>149</v>
      </c>
      <c r="B725" s="44">
        <v>475159</v>
      </c>
      <c r="C725" s="44" t="s">
        <v>794</v>
      </c>
      <c r="D725" s="11">
        <v>0</v>
      </c>
      <c r="E725" s="12">
        <v>0</v>
      </c>
      <c r="F725" s="12">
        <v>3</v>
      </c>
      <c r="G725" s="17">
        <v>0</v>
      </c>
      <c r="H725" s="12">
        <v>0</v>
      </c>
      <c r="M725"/>
    </row>
    <row r="726" spans="1:13">
      <c r="A726" s="44" t="s">
        <v>143</v>
      </c>
      <c r="B726" s="44">
        <v>241230</v>
      </c>
      <c r="C726" s="44" t="s">
        <v>254</v>
      </c>
      <c r="D726" s="11">
        <v>1</v>
      </c>
      <c r="E726" s="12">
        <v>0</v>
      </c>
      <c r="F726" s="12">
        <v>3</v>
      </c>
      <c r="G726" s="17">
        <v>3</v>
      </c>
      <c r="H726" s="12">
        <v>0</v>
      </c>
      <c r="M726"/>
    </row>
    <row r="727" spans="1:13">
      <c r="A727" s="44" t="s">
        <v>137</v>
      </c>
      <c r="B727" s="44">
        <v>12296049</v>
      </c>
      <c r="C727" s="44" t="s">
        <v>425</v>
      </c>
      <c r="D727" s="11">
        <v>1</v>
      </c>
      <c r="E727" s="12">
        <v>0</v>
      </c>
      <c r="F727" s="12">
        <v>10</v>
      </c>
      <c r="G727" s="17">
        <v>11</v>
      </c>
      <c r="H727" s="12">
        <v>1</v>
      </c>
      <c r="M727"/>
    </row>
    <row r="728" spans="1:13">
      <c r="A728" s="44" t="s">
        <v>147</v>
      </c>
      <c r="B728" s="44">
        <v>325380</v>
      </c>
      <c r="C728" s="44" t="s">
        <v>609</v>
      </c>
      <c r="D728" s="11">
        <v>1</v>
      </c>
      <c r="E728" s="12">
        <v>0</v>
      </c>
      <c r="F728" s="12">
        <v>2</v>
      </c>
      <c r="G728" s="17">
        <v>2</v>
      </c>
      <c r="H728" s="12">
        <v>0</v>
      </c>
      <c r="M728"/>
    </row>
    <row r="729" spans="1:13">
      <c r="A729" s="44" t="s">
        <v>148</v>
      </c>
      <c r="B729" s="44">
        <v>12299980</v>
      </c>
      <c r="C729" s="44" t="s">
        <v>1365</v>
      </c>
      <c r="D729" s="11">
        <v>1</v>
      </c>
      <c r="E729" s="12">
        <v>0</v>
      </c>
      <c r="F729" s="12">
        <v>89</v>
      </c>
      <c r="G729" s="17">
        <v>53</v>
      </c>
      <c r="H729" s="12">
        <v>0</v>
      </c>
      <c r="M729"/>
    </row>
    <row r="730" spans="1:13">
      <c r="A730" s="44" t="s">
        <v>153</v>
      </c>
      <c r="B730" s="44">
        <v>347832</v>
      </c>
      <c r="C730" s="44" t="s">
        <v>725</v>
      </c>
      <c r="D730" s="11">
        <v>1</v>
      </c>
      <c r="E730" s="12">
        <v>0</v>
      </c>
      <c r="F730" s="12">
        <v>1</v>
      </c>
      <c r="G730" s="17">
        <v>1</v>
      </c>
      <c r="H730" s="12">
        <v>0</v>
      </c>
      <c r="M730"/>
    </row>
    <row r="731" spans="1:13">
      <c r="A731" s="44" t="s">
        <v>140</v>
      </c>
      <c r="B731" s="44">
        <v>211655</v>
      </c>
      <c r="C731" s="44" t="s">
        <v>1366</v>
      </c>
      <c r="D731" s="11">
        <v>0</v>
      </c>
      <c r="E731" s="12">
        <v>0</v>
      </c>
      <c r="F731" s="12">
        <v>0</v>
      </c>
      <c r="G731" s="17">
        <v>0</v>
      </c>
      <c r="H731" s="12">
        <v>0</v>
      </c>
      <c r="M731"/>
    </row>
    <row r="732" spans="1:13">
      <c r="A732" s="44" t="s">
        <v>154</v>
      </c>
      <c r="B732" s="44">
        <v>275866</v>
      </c>
      <c r="C732" s="44" t="s">
        <v>742</v>
      </c>
      <c r="D732" s="11">
        <v>0</v>
      </c>
      <c r="E732" s="12">
        <v>0</v>
      </c>
      <c r="F732" s="12">
        <v>2</v>
      </c>
      <c r="G732" s="17">
        <v>0</v>
      </c>
      <c r="H732" s="12">
        <v>0</v>
      </c>
      <c r="M732"/>
    </row>
    <row r="733" spans="1:13">
      <c r="A733" s="44">
        <v>2613050885</v>
      </c>
      <c r="B733" s="44">
        <v>542767</v>
      </c>
      <c r="C733" s="44" t="s">
        <v>1367</v>
      </c>
      <c r="D733" s="11">
        <v>0</v>
      </c>
      <c r="E733" s="12">
        <v>0</v>
      </c>
      <c r="F733" s="12">
        <v>3</v>
      </c>
      <c r="G733" s="17">
        <v>0</v>
      </c>
      <c r="H733" s="12">
        <v>0</v>
      </c>
      <c r="M733"/>
    </row>
    <row r="734" spans="1:13">
      <c r="A734" s="44" t="s">
        <v>136</v>
      </c>
      <c r="B734" s="44">
        <v>353878</v>
      </c>
      <c r="C734" s="44" t="s">
        <v>1368</v>
      </c>
      <c r="D734" s="11">
        <v>0</v>
      </c>
      <c r="E734" s="12">
        <v>0</v>
      </c>
      <c r="F734" s="12">
        <v>3</v>
      </c>
      <c r="G734" s="17">
        <v>0</v>
      </c>
      <c r="H734" s="12">
        <v>0</v>
      </c>
      <c r="M734"/>
    </row>
    <row r="735" spans="1:13">
      <c r="A735" s="44" t="s">
        <v>157</v>
      </c>
      <c r="B735" s="44">
        <v>12322833</v>
      </c>
      <c r="C735" s="44" t="s">
        <v>1023</v>
      </c>
      <c r="D735" s="11">
        <v>0</v>
      </c>
      <c r="E735" s="12">
        <v>0</v>
      </c>
      <c r="F735" s="12">
        <v>0</v>
      </c>
      <c r="G735" s="17">
        <v>0</v>
      </c>
      <c r="H735" s="12">
        <v>0</v>
      </c>
      <c r="M735"/>
    </row>
    <row r="736" spans="1:13">
      <c r="A736" s="44" t="s">
        <v>140</v>
      </c>
      <c r="B736" s="44">
        <v>63878</v>
      </c>
      <c r="C736" s="44" t="s">
        <v>480</v>
      </c>
      <c r="D736" s="11">
        <v>0</v>
      </c>
      <c r="E736" s="12">
        <v>0</v>
      </c>
      <c r="F736" s="12">
        <v>2</v>
      </c>
      <c r="G736" s="17">
        <v>0</v>
      </c>
      <c r="H736" s="12">
        <v>0</v>
      </c>
      <c r="M736"/>
    </row>
    <row r="737" spans="1:13">
      <c r="A737" s="44">
        <v>2613051043</v>
      </c>
      <c r="B737" s="44">
        <v>12300796</v>
      </c>
      <c r="C737" s="44" t="s">
        <v>451</v>
      </c>
      <c r="D737" s="11">
        <v>1</v>
      </c>
      <c r="E737" s="12">
        <v>0</v>
      </c>
      <c r="F737" s="12">
        <v>0</v>
      </c>
      <c r="G737" s="17">
        <v>1</v>
      </c>
      <c r="H737" s="12">
        <v>1</v>
      </c>
      <c r="M737"/>
    </row>
    <row r="738" spans="1:13">
      <c r="A738" s="44">
        <v>2613051043</v>
      </c>
      <c r="B738" s="44">
        <v>12297014</v>
      </c>
      <c r="C738" s="44" t="s">
        <v>445</v>
      </c>
      <c r="D738" s="11">
        <v>0</v>
      </c>
      <c r="E738" s="12">
        <v>0</v>
      </c>
      <c r="F738" s="12">
        <v>0</v>
      </c>
      <c r="G738" s="17">
        <v>0</v>
      </c>
      <c r="H738" s="12">
        <v>0</v>
      </c>
      <c r="M738"/>
    </row>
    <row r="739" spans="1:13">
      <c r="A739" s="44" t="s">
        <v>148</v>
      </c>
      <c r="B739" s="44">
        <v>341652</v>
      </c>
      <c r="C739" s="44" t="s">
        <v>642</v>
      </c>
      <c r="D739" s="11">
        <v>0</v>
      </c>
      <c r="E739" s="12">
        <v>0</v>
      </c>
      <c r="F739" s="12">
        <v>1</v>
      </c>
      <c r="G739" s="17">
        <v>0</v>
      </c>
      <c r="H739" s="12">
        <v>0</v>
      </c>
      <c r="M739"/>
    </row>
    <row r="740" spans="1:13">
      <c r="A740" s="44" t="s">
        <v>136</v>
      </c>
      <c r="B740" s="44">
        <v>12305463</v>
      </c>
      <c r="C740" s="44" t="s">
        <v>393</v>
      </c>
      <c r="D740" s="11">
        <v>1</v>
      </c>
      <c r="E740" s="12">
        <v>0</v>
      </c>
      <c r="F740" s="12">
        <v>6</v>
      </c>
      <c r="G740" s="17">
        <v>25</v>
      </c>
      <c r="H740" s="12">
        <v>19</v>
      </c>
      <c r="M740"/>
    </row>
    <row r="741" spans="1:13">
      <c r="A741" s="44" t="s">
        <v>143</v>
      </c>
      <c r="B741" s="44">
        <v>525728</v>
      </c>
      <c r="C741" s="44" t="s">
        <v>164</v>
      </c>
      <c r="D741" s="11">
        <v>1</v>
      </c>
      <c r="E741" s="12">
        <v>0</v>
      </c>
      <c r="F741" s="12">
        <v>4</v>
      </c>
      <c r="G741" s="17">
        <v>1</v>
      </c>
      <c r="H741" s="12">
        <v>0</v>
      </c>
      <c r="M741"/>
    </row>
    <row r="742" spans="1:13">
      <c r="A742" s="44" t="s">
        <v>157</v>
      </c>
      <c r="B742" s="44">
        <v>3369</v>
      </c>
      <c r="C742" s="44" t="s">
        <v>1040</v>
      </c>
      <c r="D742" s="11">
        <v>1</v>
      </c>
      <c r="E742" s="12">
        <v>0</v>
      </c>
      <c r="F742" s="12">
        <v>3</v>
      </c>
      <c r="G742" s="17">
        <v>5</v>
      </c>
      <c r="H742" s="12">
        <v>2</v>
      </c>
      <c r="M742"/>
    </row>
    <row r="743" spans="1:13">
      <c r="A743" s="44" t="s">
        <v>157</v>
      </c>
      <c r="B743" s="44">
        <v>531570</v>
      </c>
      <c r="C743" s="44" t="s">
        <v>1052</v>
      </c>
      <c r="D743" s="11">
        <v>0</v>
      </c>
      <c r="E743" s="12">
        <v>0</v>
      </c>
      <c r="F743" s="12">
        <v>0</v>
      </c>
      <c r="G743" s="17">
        <v>0</v>
      </c>
      <c r="H743" s="12">
        <v>0</v>
      </c>
      <c r="M743"/>
    </row>
    <row r="744" spans="1:13">
      <c r="A744" s="44" t="s">
        <v>158</v>
      </c>
      <c r="B744" s="44">
        <v>526020</v>
      </c>
      <c r="C744" s="44" t="s">
        <v>1369</v>
      </c>
      <c r="D744" s="11">
        <v>0</v>
      </c>
      <c r="E744" s="12">
        <v>0</v>
      </c>
      <c r="F744" s="12">
        <v>3</v>
      </c>
      <c r="G744" s="17">
        <v>0</v>
      </c>
      <c r="H744" s="12">
        <v>0</v>
      </c>
      <c r="M744"/>
    </row>
    <row r="745" spans="1:13">
      <c r="A745" s="44" t="s">
        <v>150</v>
      </c>
      <c r="B745" s="44">
        <v>514162</v>
      </c>
      <c r="C745" s="44" t="s">
        <v>1370</v>
      </c>
      <c r="D745" s="11">
        <v>1</v>
      </c>
      <c r="E745" s="12">
        <v>0</v>
      </c>
      <c r="F745" s="12">
        <v>1</v>
      </c>
      <c r="G745" s="17">
        <v>5</v>
      </c>
      <c r="H745" s="12">
        <v>4</v>
      </c>
      <c r="M745"/>
    </row>
    <row r="746" spans="1:13">
      <c r="A746" s="44" t="s">
        <v>156</v>
      </c>
      <c r="B746" s="44">
        <v>240684</v>
      </c>
      <c r="C746" s="44" t="s">
        <v>432</v>
      </c>
      <c r="D746" s="11">
        <v>0</v>
      </c>
      <c r="E746" s="12">
        <v>0</v>
      </c>
      <c r="F746" s="12">
        <v>2</v>
      </c>
      <c r="G746" s="17">
        <v>0</v>
      </c>
      <c r="H746" s="12">
        <v>0</v>
      </c>
      <c r="M746"/>
    </row>
    <row r="747" spans="1:13">
      <c r="A747" s="44" t="s">
        <v>146</v>
      </c>
      <c r="B747" s="44">
        <v>12319419</v>
      </c>
      <c r="C747" s="44" t="s">
        <v>527</v>
      </c>
      <c r="D747" s="11">
        <v>0</v>
      </c>
      <c r="E747" s="12">
        <v>0</v>
      </c>
      <c r="F747" s="12">
        <v>3</v>
      </c>
      <c r="G747" s="17">
        <v>0</v>
      </c>
      <c r="H747" s="12">
        <v>0</v>
      </c>
      <c r="M747"/>
    </row>
    <row r="748" spans="1:13">
      <c r="A748" s="44" t="s">
        <v>140</v>
      </c>
      <c r="B748" s="44">
        <v>411810</v>
      </c>
      <c r="C748" s="44" t="s">
        <v>474</v>
      </c>
      <c r="D748" s="11">
        <v>0</v>
      </c>
      <c r="E748" s="12">
        <v>0</v>
      </c>
      <c r="F748" s="12">
        <v>3</v>
      </c>
      <c r="G748" s="17">
        <v>0</v>
      </c>
      <c r="H748" s="12">
        <v>0</v>
      </c>
      <c r="M748"/>
    </row>
    <row r="749" spans="1:13">
      <c r="A749" s="44">
        <v>2613050885</v>
      </c>
      <c r="B749" s="44">
        <v>376433</v>
      </c>
      <c r="C749" s="44" t="s">
        <v>287</v>
      </c>
      <c r="D749" s="11">
        <v>1</v>
      </c>
      <c r="E749" s="12">
        <v>0</v>
      </c>
      <c r="F749" s="12">
        <v>3</v>
      </c>
      <c r="G749" s="17">
        <v>1</v>
      </c>
      <c r="H749" s="12">
        <v>0</v>
      </c>
      <c r="M749"/>
    </row>
    <row r="750" spans="1:13">
      <c r="A750" s="44" t="s">
        <v>157</v>
      </c>
      <c r="B750" s="44">
        <v>250263</v>
      </c>
      <c r="C750" s="44" t="s">
        <v>1029</v>
      </c>
      <c r="D750" s="11">
        <v>0</v>
      </c>
      <c r="E750" s="12">
        <v>0</v>
      </c>
      <c r="F750" s="12">
        <v>3</v>
      </c>
      <c r="G750" s="17">
        <v>0</v>
      </c>
      <c r="H750" s="12">
        <v>0</v>
      </c>
      <c r="M750"/>
    </row>
    <row r="751" spans="1:13">
      <c r="A751" s="44" t="s">
        <v>157</v>
      </c>
      <c r="B751" s="44">
        <v>63855</v>
      </c>
      <c r="C751" s="44" t="s">
        <v>1065</v>
      </c>
      <c r="D751" s="11">
        <v>1</v>
      </c>
      <c r="E751" s="12">
        <v>0</v>
      </c>
      <c r="F751" s="12">
        <v>1</v>
      </c>
      <c r="G751" s="17">
        <v>3</v>
      </c>
      <c r="H751" s="12">
        <v>2</v>
      </c>
      <c r="M751"/>
    </row>
    <row r="752" spans="1:13">
      <c r="A752" s="44" t="s">
        <v>142</v>
      </c>
      <c r="B752" s="44">
        <v>514827</v>
      </c>
      <c r="C752" s="44" t="s">
        <v>1371</v>
      </c>
      <c r="D752" s="11">
        <v>1</v>
      </c>
      <c r="E752" s="12">
        <v>0</v>
      </c>
      <c r="F752" s="12">
        <v>1</v>
      </c>
      <c r="G752" s="17">
        <v>5</v>
      </c>
      <c r="H752" s="12">
        <v>4</v>
      </c>
      <c r="M752"/>
    </row>
    <row r="753" spans="1:13">
      <c r="A753" s="44" t="s">
        <v>141</v>
      </c>
      <c r="B753" s="44">
        <v>12322463</v>
      </c>
      <c r="C753" s="44" t="s">
        <v>191</v>
      </c>
      <c r="D753" s="11">
        <v>1</v>
      </c>
      <c r="E753" s="12">
        <v>0</v>
      </c>
      <c r="F753" s="12">
        <v>2</v>
      </c>
      <c r="G753" s="17">
        <v>1</v>
      </c>
      <c r="H753" s="12">
        <v>0</v>
      </c>
      <c r="M753"/>
    </row>
    <row r="754" spans="1:13">
      <c r="A754" s="44">
        <v>2613050886</v>
      </c>
      <c r="B754" s="44">
        <v>533910</v>
      </c>
      <c r="C754" s="44" t="s">
        <v>333</v>
      </c>
      <c r="D754" s="11">
        <v>1</v>
      </c>
      <c r="E754" s="12">
        <v>0</v>
      </c>
      <c r="F754" s="12">
        <v>4</v>
      </c>
      <c r="G754" s="17">
        <v>3</v>
      </c>
      <c r="H754" s="12">
        <v>0</v>
      </c>
      <c r="M754"/>
    </row>
    <row r="755" spans="1:13">
      <c r="A755" s="44">
        <v>2613051412</v>
      </c>
      <c r="B755" s="44">
        <v>395702</v>
      </c>
      <c r="C755" s="44" t="s">
        <v>560</v>
      </c>
      <c r="D755" s="11">
        <v>0</v>
      </c>
      <c r="E755" s="12">
        <v>0</v>
      </c>
      <c r="F755" s="12">
        <v>0</v>
      </c>
      <c r="G755" s="17">
        <v>0</v>
      </c>
      <c r="H755" s="12">
        <v>0</v>
      </c>
      <c r="M755"/>
    </row>
    <row r="756" spans="1:13">
      <c r="A756" s="44" t="s">
        <v>5</v>
      </c>
      <c r="B756" s="44">
        <v>12313881</v>
      </c>
      <c r="C756" s="44" t="s">
        <v>77</v>
      </c>
      <c r="D756" s="11">
        <v>1</v>
      </c>
      <c r="E756" s="12">
        <v>1</v>
      </c>
      <c r="F756" s="12">
        <v>48</v>
      </c>
      <c r="G756" s="17">
        <v>42</v>
      </c>
      <c r="H756" s="12">
        <v>0</v>
      </c>
      <c r="M756"/>
    </row>
    <row r="757" spans="1:13">
      <c r="A757" s="44" t="s">
        <v>143</v>
      </c>
      <c r="B757" s="44">
        <v>559146</v>
      </c>
      <c r="C757" s="44" t="s">
        <v>1372</v>
      </c>
      <c r="D757" s="11">
        <v>0</v>
      </c>
      <c r="E757" s="12">
        <v>0</v>
      </c>
      <c r="F757" s="12">
        <v>3</v>
      </c>
      <c r="G757" s="17">
        <v>0</v>
      </c>
      <c r="H757" s="12">
        <v>0</v>
      </c>
      <c r="M757"/>
    </row>
    <row r="758" spans="1:13">
      <c r="A758" s="44" t="s">
        <v>153</v>
      </c>
      <c r="B758" s="44">
        <v>2083</v>
      </c>
      <c r="C758" s="44" t="s">
        <v>1373</v>
      </c>
      <c r="D758" s="11">
        <v>0</v>
      </c>
      <c r="E758" s="12">
        <v>0</v>
      </c>
      <c r="F758" s="12">
        <v>3</v>
      </c>
      <c r="G758" s="17">
        <v>0</v>
      </c>
      <c r="H758" s="12">
        <v>0</v>
      </c>
      <c r="M758"/>
    </row>
    <row r="759" spans="1:13">
      <c r="A759" s="44" t="s">
        <v>144</v>
      </c>
      <c r="B759" s="44">
        <v>12300143</v>
      </c>
      <c r="C759" s="44" t="s">
        <v>212</v>
      </c>
      <c r="D759" s="11">
        <v>1</v>
      </c>
      <c r="E759" s="12">
        <v>0</v>
      </c>
      <c r="F759" s="12">
        <v>3</v>
      </c>
      <c r="G759" s="17">
        <v>3</v>
      </c>
      <c r="H759" s="12">
        <v>0</v>
      </c>
      <c r="M759"/>
    </row>
    <row r="760" spans="1:13">
      <c r="A760" s="44" t="s">
        <v>142</v>
      </c>
      <c r="B760" s="44">
        <v>545547</v>
      </c>
      <c r="C760" s="44" t="s">
        <v>1374</v>
      </c>
      <c r="D760" s="11">
        <v>1</v>
      </c>
      <c r="E760" s="12">
        <v>0</v>
      </c>
      <c r="F760" s="12">
        <v>1</v>
      </c>
      <c r="G760" s="17">
        <v>1</v>
      </c>
      <c r="H760" s="12">
        <v>0</v>
      </c>
      <c r="M760"/>
    </row>
    <row r="761" spans="1:13">
      <c r="A761" s="44">
        <v>2613052584</v>
      </c>
      <c r="B761" s="44">
        <v>306756</v>
      </c>
      <c r="C761" s="44" t="s">
        <v>584</v>
      </c>
      <c r="D761" s="11">
        <v>0</v>
      </c>
      <c r="E761" s="12">
        <v>0</v>
      </c>
      <c r="F761" s="12">
        <v>0</v>
      </c>
      <c r="G761" s="17">
        <v>0</v>
      </c>
      <c r="H761" s="12">
        <v>0</v>
      </c>
      <c r="M761"/>
    </row>
    <row r="762" spans="1:13">
      <c r="A762" s="44" t="s">
        <v>152</v>
      </c>
      <c r="B762" s="44">
        <v>62369</v>
      </c>
      <c r="C762" s="44" t="s">
        <v>679</v>
      </c>
      <c r="D762" s="11">
        <v>1</v>
      </c>
      <c r="E762" s="12">
        <v>0</v>
      </c>
      <c r="F762" s="12">
        <v>2</v>
      </c>
      <c r="G762" s="17">
        <v>1</v>
      </c>
      <c r="H762" s="12">
        <v>0</v>
      </c>
      <c r="M762"/>
    </row>
    <row r="763" spans="1:13">
      <c r="A763" s="44" t="s">
        <v>1140</v>
      </c>
      <c r="B763" s="44">
        <v>287843</v>
      </c>
      <c r="C763" s="44" t="s">
        <v>1375</v>
      </c>
      <c r="D763" s="11">
        <v>1</v>
      </c>
      <c r="E763" s="12">
        <v>0</v>
      </c>
      <c r="F763" s="12">
        <v>1</v>
      </c>
      <c r="G763" s="17">
        <v>1</v>
      </c>
      <c r="H763" s="12">
        <v>0</v>
      </c>
      <c r="M763"/>
    </row>
    <row r="764" spans="1:13">
      <c r="A764" s="44" t="s">
        <v>143</v>
      </c>
      <c r="B764" s="44">
        <v>517137</v>
      </c>
      <c r="C764" s="44" t="s">
        <v>268</v>
      </c>
      <c r="D764" s="11">
        <v>1</v>
      </c>
      <c r="E764" s="12">
        <v>0</v>
      </c>
      <c r="F764" s="12">
        <v>0</v>
      </c>
      <c r="G764" s="17">
        <v>2</v>
      </c>
      <c r="H764" s="12">
        <v>2</v>
      </c>
      <c r="M764"/>
    </row>
    <row r="765" spans="1:13">
      <c r="A765" s="44" t="s">
        <v>142</v>
      </c>
      <c r="B765" s="44">
        <v>513384</v>
      </c>
      <c r="C765" s="44" t="s">
        <v>357</v>
      </c>
      <c r="D765" s="11">
        <v>1</v>
      </c>
      <c r="E765" s="12">
        <v>0</v>
      </c>
      <c r="F765" s="12">
        <v>3</v>
      </c>
      <c r="G765" s="17">
        <v>1</v>
      </c>
      <c r="H765" s="12">
        <v>0</v>
      </c>
      <c r="M765"/>
    </row>
    <row r="766" spans="1:13">
      <c r="A766" s="44" t="s">
        <v>137</v>
      </c>
      <c r="B766" s="44">
        <v>12296067</v>
      </c>
      <c r="C766" s="44" t="s">
        <v>426</v>
      </c>
      <c r="D766" s="11">
        <v>1</v>
      </c>
      <c r="E766" s="12">
        <v>0</v>
      </c>
      <c r="F766" s="12">
        <v>1</v>
      </c>
      <c r="G766" s="17">
        <v>1</v>
      </c>
      <c r="H766" s="12">
        <v>0</v>
      </c>
      <c r="M766"/>
    </row>
    <row r="767" spans="1:13">
      <c r="A767" s="44" t="s">
        <v>154</v>
      </c>
      <c r="B767" s="44">
        <v>557423</v>
      </c>
      <c r="C767" s="44" t="s">
        <v>1376</v>
      </c>
      <c r="D767" s="11">
        <v>0</v>
      </c>
      <c r="E767" s="12">
        <v>0</v>
      </c>
      <c r="F767" s="12">
        <v>3</v>
      </c>
      <c r="G767" s="17">
        <v>0</v>
      </c>
      <c r="H767" s="12">
        <v>0</v>
      </c>
      <c r="M767"/>
    </row>
    <row r="768" spans="1:13">
      <c r="A768" s="44" t="s">
        <v>156</v>
      </c>
      <c r="B768" s="44">
        <v>126597</v>
      </c>
      <c r="C768" s="44" t="s">
        <v>1377</v>
      </c>
      <c r="D768" s="11">
        <v>0</v>
      </c>
      <c r="E768" s="12">
        <v>0</v>
      </c>
      <c r="F768" s="12">
        <v>0</v>
      </c>
      <c r="G768" s="17">
        <v>0</v>
      </c>
      <c r="H768" s="12">
        <v>0</v>
      </c>
      <c r="M768"/>
    </row>
    <row r="769" spans="1:13">
      <c r="A769" s="44" t="s">
        <v>5</v>
      </c>
      <c r="B769" s="44">
        <v>510295</v>
      </c>
      <c r="C769" s="44" t="s">
        <v>100</v>
      </c>
      <c r="D769" s="11">
        <v>1</v>
      </c>
      <c r="E769" s="12">
        <v>0</v>
      </c>
      <c r="F769" s="12">
        <v>3</v>
      </c>
      <c r="G769" s="17">
        <v>4</v>
      </c>
      <c r="H769" s="12">
        <v>1</v>
      </c>
      <c r="M769"/>
    </row>
    <row r="770" spans="1:13">
      <c r="A770" s="44">
        <v>2613050885</v>
      </c>
      <c r="B770" s="44">
        <v>160207</v>
      </c>
      <c r="C770" s="44" t="s">
        <v>282</v>
      </c>
      <c r="D770" s="11">
        <v>0</v>
      </c>
      <c r="E770" s="12">
        <v>0</v>
      </c>
      <c r="F770" s="12">
        <v>2</v>
      </c>
      <c r="G770" s="17">
        <v>0</v>
      </c>
      <c r="H770" s="12">
        <v>0</v>
      </c>
      <c r="M770"/>
    </row>
    <row r="771" spans="1:13">
      <c r="A771" s="44" t="s">
        <v>155</v>
      </c>
      <c r="B771" s="44">
        <v>537838</v>
      </c>
      <c r="C771" s="44" t="s">
        <v>951</v>
      </c>
      <c r="D771" s="11">
        <v>0</v>
      </c>
      <c r="E771" s="12">
        <v>0</v>
      </c>
      <c r="F771" s="12">
        <v>5</v>
      </c>
      <c r="G771" s="17">
        <v>0</v>
      </c>
      <c r="H771" s="12">
        <v>0</v>
      </c>
      <c r="M771"/>
    </row>
    <row r="772" spans="1:13">
      <c r="A772" s="44" t="s">
        <v>144</v>
      </c>
      <c r="B772" s="44">
        <v>580284</v>
      </c>
      <c r="C772" s="44" t="s">
        <v>243</v>
      </c>
      <c r="D772" s="11">
        <v>0</v>
      </c>
      <c r="E772" s="12">
        <v>0</v>
      </c>
      <c r="F772" s="12">
        <v>0</v>
      </c>
      <c r="G772" s="17">
        <v>0</v>
      </c>
      <c r="H772" s="12">
        <v>0</v>
      </c>
      <c r="M772"/>
    </row>
    <row r="773" spans="1:13">
      <c r="A773" s="44" t="s">
        <v>1140</v>
      </c>
      <c r="B773" s="44">
        <v>369884</v>
      </c>
      <c r="C773" s="44" t="s">
        <v>1378</v>
      </c>
      <c r="D773" s="11">
        <v>1</v>
      </c>
      <c r="E773" s="12">
        <v>0</v>
      </c>
      <c r="F773" s="12">
        <v>7</v>
      </c>
      <c r="G773" s="17">
        <v>2</v>
      </c>
      <c r="H773" s="12">
        <v>0</v>
      </c>
      <c r="M773"/>
    </row>
    <row r="774" spans="1:13">
      <c r="A774" s="44" t="s">
        <v>1136</v>
      </c>
      <c r="B774" s="44">
        <v>12320323</v>
      </c>
      <c r="C774" s="44" t="s">
        <v>18</v>
      </c>
      <c r="D774" s="11">
        <v>0</v>
      </c>
      <c r="E774" s="12">
        <v>0</v>
      </c>
      <c r="F774" s="12">
        <v>0</v>
      </c>
      <c r="G774" s="17">
        <v>0</v>
      </c>
      <c r="H774" s="12">
        <v>0</v>
      </c>
      <c r="M774"/>
    </row>
    <row r="775" spans="1:13">
      <c r="A775" s="44" t="s">
        <v>151</v>
      </c>
      <c r="B775" s="44">
        <v>61883</v>
      </c>
      <c r="C775" s="44" t="s">
        <v>1204</v>
      </c>
      <c r="D775" s="11">
        <v>1</v>
      </c>
      <c r="E775" s="12">
        <v>0</v>
      </c>
      <c r="F775" s="12">
        <v>13</v>
      </c>
      <c r="G775" s="17">
        <v>7</v>
      </c>
      <c r="H775" s="12">
        <v>0</v>
      </c>
      <c r="M775"/>
    </row>
    <row r="776" spans="1:13">
      <c r="A776" s="44">
        <v>2613051043</v>
      </c>
      <c r="B776" s="44">
        <v>12327274</v>
      </c>
      <c r="C776" s="44" t="s">
        <v>1379</v>
      </c>
      <c r="D776" s="11">
        <v>0</v>
      </c>
      <c r="E776" s="12">
        <v>0</v>
      </c>
      <c r="F776" s="12">
        <v>0</v>
      </c>
      <c r="G776" s="17">
        <v>0</v>
      </c>
      <c r="H776" s="12">
        <v>0</v>
      </c>
      <c r="M776"/>
    </row>
    <row r="777" spans="1:13">
      <c r="A777" s="44" t="s">
        <v>137</v>
      </c>
      <c r="B777" s="44">
        <v>12296076</v>
      </c>
      <c r="C777" s="44" t="s">
        <v>1380</v>
      </c>
      <c r="D777" s="11">
        <v>0</v>
      </c>
      <c r="E777" s="12">
        <v>0</v>
      </c>
      <c r="F777" s="12">
        <v>3</v>
      </c>
      <c r="G777" s="17">
        <v>0</v>
      </c>
      <c r="H777" s="12">
        <v>0</v>
      </c>
      <c r="M777"/>
    </row>
    <row r="778" spans="1:13">
      <c r="A778" s="44" t="s">
        <v>146</v>
      </c>
      <c r="B778" s="44">
        <v>366738</v>
      </c>
      <c r="C778" s="44" t="s">
        <v>542</v>
      </c>
      <c r="D778" s="11">
        <v>0</v>
      </c>
      <c r="E778" s="12">
        <v>0</v>
      </c>
      <c r="F778" s="12">
        <v>4</v>
      </c>
      <c r="G778" s="17">
        <v>0</v>
      </c>
      <c r="H778" s="12">
        <v>0</v>
      </c>
      <c r="M778"/>
    </row>
    <row r="779" spans="1:13">
      <c r="A779" s="44" t="s">
        <v>1136</v>
      </c>
      <c r="B779" s="44">
        <v>553964</v>
      </c>
      <c r="C779" s="44" t="s">
        <v>1381</v>
      </c>
      <c r="D779" s="11">
        <v>1</v>
      </c>
      <c r="E779" s="12">
        <v>0</v>
      </c>
      <c r="F779" s="12">
        <v>8</v>
      </c>
      <c r="G779" s="17">
        <v>4</v>
      </c>
      <c r="H779" s="12">
        <v>0</v>
      </c>
      <c r="M779"/>
    </row>
    <row r="780" spans="1:13">
      <c r="A780" s="44">
        <v>2613051043</v>
      </c>
      <c r="B780" s="44">
        <v>12300507</v>
      </c>
      <c r="C780" s="44" t="s">
        <v>1382</v>
      </c>
      <c r="D780" s="11">
        <v>0</v>
      </c>
      <c r="E780" s="12">
        <v>0</v>
      </c>
      <c r="F780" s="12">
        <v>1</v>
      </c>
      <c r="G780" s="17">
        <v>0</v>
      </c>
      <c r="H780" s="12">
        <v>0</v>
      </c>
      <c r="M780"/>
    </row>
    <row r="781" spans="1:13">
      <c r="A781" s="44" t="s">
        <v>141</v>
      </c>
      <c r="B781" s="44">
        <v>12296086</v>
      </c>
      <c r="C781" s="44" t="s">
        <v>185</v>
      </c>
      <c r="D781" s="11">
        <v>0</v>
      </c>
      <c r="E781" s="12">
        <v>0</v>
      </c>
      <c r="F781" s="12">
        <v>1</v>
      </c>
      <c r="G781" s="17">
        <v>0</v>
      </c>
      <c r="H781" s="12">
        <v>0</v>
      </c>
      <c r="M781"/>
    </row>
    <row r="782" spans="1:13">
      <c r="A782" s="44" t="s">
        <v>146</v>
      </c>
      <c r="B782" s="44">
        <v>12317312</v>
      </c>
      <c r="C782" s="44" t="s">
        <v>526</v>
      </c>
      <c r="D782" s="11">
        <v>0</v>
      </c>
      <c r="E782" s="12">
        <v>0</v>
      </c>
      <c r="F782" s="12">
        <v>1</v>
      </c>
      <c r="G782" s="17">
        <v>0</v>
      </c>
      <c r="H782" s="12">
        <v>0</v>
      </c>
      <c r="M782"/>
    </row>
    <row r="783" spans="1:13">
      <c r="A783" s="44" t="s">
        <v>140</v>
      </c>
      <c r="B783" s="44">
        <v>62339</v>
      </c>
      <c r="C783" s="44" t="s">
        <v>1383</v>
      </c>
      <c r="D783" s="11">
        <v>1</v>
      </c>
      <c r="E783" s="12">
        <v>1</v>
      </c>
      <c r="F783" s="12">
        <v>2</v>
      </c>
      <c r="G783" s="17">
        <v>1</v>
      </c>
      <c r="H783" s="12">
        <v>0</v>
      </c>
      <c r="M783"/>
    </row>
    <row r="784" spans="1:13">
      <c r="A784" s="44">
        <v>2613052584</v>
      </c>
      <c r="B784" s="44">
        <v>12327540</v>
      </c>
      <c r="C784" s="44" t="s">
        <v>1384</v>
      </c>
      <c r="D784" s="11">
        <v>1</v>
      </c>
      <c r="E784" s="12">
        <v>0</v>
      </c>
      <c r="F784" s="12">
        <v>42</v>
      </c>
      <c r="G784" s="17">
        <v>4</v>
      </c>
      <c r="H784" s="12">
        <v>0</v>
      </c>
      <c r="M784"/>
    </row>
    <row r="785" spans="1:13">
      <c r="A785" s="44">
        <v>2613051451</v>
      </c>
      <c r="B785" s="44">
        <v>344776</v>
      </c>
      <c r="C785" s="44" t="s">
        <v>386</v>
      </c>
      <c r="D785" s="11">
        <v>0</v>
      </c>
      <c r="E785" s="12">
        <v>0</v>
      </c>
      <c r="F785" s="12">
        <v>0</v>
      </c>
      <c r="G785" s="17">
        <v>0</v>
      </c>
      <c r="H785" s="12">
        <v>0</v>
      </c>
      <c r="M785"/>
    </row>
    <row r="786" spans="1:13">
      <c r="A786" s="44" t="s">
        <v>148</v>
      </c>
      <c r="B786" s="44">
        <v>62187</v>
      </c>
      <c r="C786" s="44" t="s">
        <v>1385</v>
      </c>
      <c r="D786" s="11">
        <v>0</v>
      </c>
      <c r="E786" s="12">
        <v>0</v>
      </c>
      <c r="F786" s="12">
        <v>0</v>
      </c>
      <c r="G786" s="17">
        <v>0</v>
      </c>
      <c r="H786" s="12">
        <v>0</v>
      </c>
      <c r="M786"/>
    </row>
    <row r="787" spans="1:13">
      <c r="A787" s="44" t="s">
        <v>141</v>
      </c>
      <c r="B787" s="44">
        <v>126976</v>
      </c>
      <c r="C787" s="44" t="s">
        <v>194</v>
      </c>
      <c r="D787" s="11">
        <v>1</v>
      </c>
      <c r="E787" s="12">
        <v>0</v>
      </c>
      <c r="F787" s="12">
        <v>2</v>
      </c>
      <c r="G787" s="17">
        <v>1</v>
      </c>
      <c r="H787" s="12">
        <v>0</v>
      </c>
      <c r="M787"/>
    </row>
    <row r="788" spans="1:13">
      <c r="A788" s="44" t="s">
        <v>4</v>
      </c>
      <c r="B788" s="44">
        <v>199007</v>
      </c>
      <c r="C788" s="44" t="s">
        <v>50</v>
      </c>
      <c r="D788" s="11">
        <v>1</v>
      </c>
      <c r="E788" s="12">
        <v>0</v>
      </c>
      <c r="F788" s="12">
        <v>6</v>
      </c>
      <c r="G788" s="17">
        <v>5</v>
      </c>
      <c r="H788" s="12">
        <v>0</v>
      </c>
      <c r="M788"/>
    </row>
    <row r="789" spans="1:13">
      <c r="A789" s="44" t="s">
        <v>150</v>
      </c>
      <c r="B789" s="44">
        <v>405373</v>
      </c>
      <c r="C789" s="44" t="s">
        <v>829</v>
      </c>
      <c r="D789" s="11">
        <v>0</v>
      </c>
      <c r="E789" s="12">
        <v>0</v>
      </c>
      <c r="F789" s="12">
        <v>2</v>
      </c>
      <c r="G789" s="17">
        <v>0</v>
      </c>
      <c r="H789" s="12">
        <v>0</v>
      </c>
      <c r="M789"/>
    </row>
    <row r="790" spans="1:13">
      <c r="A790" s="44" t="s">
        <v>157</v>
      </c>
      <c r="B790" s="44">
        <v>67032</v>
      </c>
      <c r="C790" s="44" t="s">
        <v>1067</v>
      </c>
      <c r="D790" s="11">
        <v>1</v>
      </c>
      <c r="E790" s="12">
        <v>0</v>
      </c>
      <c r="F790" s="12">
        <v>3</v>
      </c>
      <c r="G790" s="17">
        <v>1</v>
      </c>
      <c r="H790" s="12">
        <v>0</v>
      </c>
      <c r="M790"/>
    </row>
    <row r="791" spans="1:13">
      <c r="A791" s="44" t="s">
        <v>1136</v>
      </c>
      <c r="B791" s="44">
        <v>12303554</v>
      </c>
      <c r="C791" s="44" t="s">
        <v>1386</v>
      </c>
      <c r="D791" s="11">
        <v>1</v>
      </c>
      <c r="E791" s="12">
        <v>0</v>
      </c>
      <c r="F791" s="12">
        <v>7</v>
      </c>
      <c r="G791" s="17">
        <v>4</v>
      </c>
      <c r="H791" s="12">
        <v>0</v>
      </c>
      <c r="M791"/>
    </row>
    <row r="792" spans="1:13">
      <c r="A792" s="44" t="s">
        <v>145</v>
      </c>
      <c r="B792" s="44">
        <v>507346</v>
      </c>
      <c r="C792" s="44" t="s">
        <v>1387</v>
      </c>
      <c r="D792" s="11">
        <v>0</v>
      </c>
      <c r="E792" s="12">
        <v>0</v>
      </c>
      <c r="F792" s="12">
        <v>3</v>
      </c>
      <c r="G792" s="17">
        <v>0</v>
      </c>
      <c r="H792" s="12">
        <v>0</v>
      </c>
      <c r="M792"/>
    </row>
    <row r="793" spans="1:13">
      <c r="A793" s="44" t="s">
        <v>152</v>
      </c>
      <c r="B793" s="44">
        <v>281770</v>
      </c>
      <c r="C793" s="44" t="s">
        <v>666</v>
      </c>
      <c r="D793" s="11">
        <v>0</v>
      </c>
      <c r="E793" s="12">
        <v>0</v>
      </c>
      <c r="F793" s="12">
        <v>1</v>
      </c>
      <c r="G793" s="17">
        <v>0</v>
      </c>
      <c r="H793" s="12">
        <v>0</v>
      </c>
      <c r="M793"/>
    </row>
    <row r="794" spans="1:13">
      <c r="A794" s="44">
        <v>2613051412</v>
      </c>
      <c r="B794" s="44">
        <v>280412</v>
      </c>
      <c r="C794" s="44" t="s">
        <v>1388</v>
      </c>
      <c r="D794" s="11">
        <v>1</v>
      </c>
      <c r="E794" s="12">
        <v>0</v>
      </c>
      <c r="F794" s="12">
        <v>4</v>
      </c>
      <c r="G794" s="17">
        <v>1</v>
      </c>
      <c r="H794" s="12">
        <v>0</v>
      </c>
      <c r="M794"/>
    </row>
    <row r="795" spans="1:13">
      <c r="A795" s="44" t="s">
        <v>144</v>
      </c>
      <c r="B795" s="44">
        <v>387721</v>
      </c>
      <c r="C795" s="44" t="s">
        <v>226</v>
      </c>
      <c r="D795" s="11">
        <v>1</v>
      </c>
      <c r="E795" s="12">
        <v>0</v>
      </c>
      <c r="F795" s="12">
        <v>6</v>
      </c>
      <c r="G795" s="17">
        <v>5</v>
      </c>
      <c r="H795" s="12">
        <v>0</v>
      </c>
      <c r="M795"/>
    </row>
    <row r="796" spans="1:13">
      <c r="A796" s="44" t="s">
        <v>142</v>
      </c>
      <c r="B796" s="44">
        <v>383463</v>
      </c>
      <c r="C796" s="44" t="s">
        <v>1389</v>
      </c>
      <c r="D796" s="11">
        <v>0</v>
      </c>
      <c r="E796" s="12">
        <v>0</v>
      </c>
      <c r="F796" s="12">
        <v>1</v>
      </c>
      <c r="G796" s="17">
        <v>0</v>
      </c>
      <c r="H796" s="12">
        <v>0</v>
      </c>
      <c r="M796"/>
    </row>
    <row r="797" spans="1:13">
      <c r="A797" s="44" t="s">
        <v>136</v>
      </c>
      <c r="B797" s="44">
        <v>402551</v>
      </c>
      <c r="C797" s="44" t="s">
        <v>1245</v>
      </c>
      <c r="D797" s="11">
        <v>1</v>
      </c>
      <c r="E797" s="12">
        <v>0</v>
      </c>
      <c r="F797" s="12">
        <v>2</v>
      </c>
      <c r="G797" s="17">
        <v>1</v>
      </c>
      <c r="H797" s="12">
        <v>0</v>
      </c>
      <c r="M797"/>
    </row>
    <row r="798" spans="1:13">
      <c r="A798" s="44" t="s">
        <v>143</v>
      </c>
      <c r="B798" s="44">
        <v>11178</v>
      </c>
      <c r="C798" s="44" t="s">
        <v>247</v>
      </c>
      <c r="D798" s="11">
        <v>1</v>
      </c>
      <c r="E798" s="12">
        <v>0</v>
      </c>
      <c r="F798" s="12">
        <v>3</v>
      </c>
      <c r="G798" s="17">
        <v>3</v>
      </c>
      <c r="H798" s="12">
        <v>0</v>
      </c>
      <c r="M798"/>
    </row>
    <row r="799" spans="1:13">
      <c r="A799" s="44" t="s">
        <v>155</v>
      </c>
      <c r="B799" s="44">
        <v>298574</v>
      </c>
      <c r="C799" s="44" t="s">
        <v>1390</v>
      </c>
      <c r="D799" s="11">
        <v>1</v>
      </c>
      <c r="E799" s="12">
        <v>0</v>
      </c>
      <c r="F799" s="12">
        <v>3</v>
      </c>
      <c r="G799" s="17">
        <v>3</v>
      </c>
      <c r="H799" s="12">
        <v>0</v>
      </c>
      <c r="M799"/>
    </row>
    <row r="800" spans="1:13">
      <c r="A800" s="44" t="s">
        <v>146</v>
      </c>
      <c r="B800" s="44">
        <v>518762</v>
      </c>
      <c r="C800" s="44" t="s">
        <v>545</v>
      </c>
      <c r="D800" s="11">
        <v>0</v>
      </c>
      <c r="E800" s="12">
        <v>0</v>
      </c>
      <c r="F800" s="12">
        <v>3</v>
      </c>
      <c r="G800" s="17">
        <v>0</v>
      </c>
      <c r="H800" s="12">
        <v>0</v>
      </c>
      <c r="M800"/>
    </row>
    <row r="801" spans="1:13">
      <c r="A801" s="44" t="s">
        <v>156</v>
      </c>
      <c r="B801" s="44">
        <v>61576</v>
      </c>
      <c r="C801" s="44" t="s">
        <v>1001</v>
      </c>
      <c r="D801" s="11">
        <v>0</v>
      </c>
      <c r="E801" s="12">
        <v>0</v>
      </c>
      <c r="F801" s="12">
        <v>0</v>
      </c>
      <c r="G801" s="17">
        <v>0</v>
      </c>
      <c r="H801" s="12">
        <v>0</v>
      </c>
      <c r="M801"/>
    </row>
    <row r="802" spans="1:13">
      <c r="A802" s="44" t="s">
        <v>141</v>
      </c>
      <c r="B802" s="44">
        <v>12295824</v>
      </c>
      <c r="C802" s="44" t="s">
        <v>180</v>
      </c>
      <c r="D802" s="11">
        <v>1</v>
      </c>
      <c r="E802" s="12">
        <v>0</v>
      </c>
      <c r="F802" s="12">
        <v>3</v>
      </c>
      <c r="G802" s="17">
        <v>1</v>
      </c>
      <c r="H802" s="12">
        <v>0</v>
      </c>
      <c r="M802"/>
    </row>
    <row r="803" spans="1:13">
      <c r="A803" s="44" t="s">
        <v>157</v>
      </c>
      <c r="B803" s="44">
        <v>362462</v>
      </c>
      <c r="C803" s="44" t="s">
        <v>1391</v>
      </c>
      <c r="D803" s="11">
        <v>0</v>
      </c>
      <c r="E803" s="12">
        <v>0</v>
      </c>
      <c r="F803" s="12">
        <v>14</v>
      </c>
      <c r="G803" s="17">
        <v>0</v>
      </c>
      <c r="H803" s="12">
        <v>0</v>
      </c>
      <c r="M803"/>
    </row>
    <row r="804" spans="1:13">
      <c r="A804" s="44" t="s">
        <v>150</v>
      </c>
      <c r="B804" s="44">
        <v>527659</v>
      </c>
      <c r="C804" s="44" t="s">
        <v>832</v>
      </c>
      <c r="D804" s="11">
        <v>0</v>
      </c>
      <c r="E804" s="12">
        <v>0</v>
      </c>
      <c r="F804" s="12">
        <v>1</v>
      </c>
      <c r="G804" s="17">
        <v>0</v>
      </c>
      <c r="H804" s="12">
        <v>0</v>
      </c>
      <c r="M804"/>
    </row>
    <row r="805" spans="1:13">
      <c r="A805" s="44" t="s">
        <v>5</v>
      </c>
      <c r="B805" s="44">
        <v>396176</v>
      </c>
      <c r="C805" s="44" t="s">
        <v>1099</v>
      </c>
      <c r="D805" s="11">
        <v>1</v>
      </c>
      <c r="E805" s="12">
        <v>0</v>
      </c>
      <c r="F805" s="12">
        <v>1</v>
      </c>
      <c r="G805" s="17">
        <v>1</v>
      </c>
      <c r="H805" s="12">
        <v>0</v>
      </c>
      <c r="M805"/>
    </row>
    <row r="806" spans="1:13">
      <c r="A806" s="44" t="s">
        <v>140</v>
      </c>
      <c r="B806" s="44">
        <v>139908</v>
      </c>
      <c r="C806" s="44" t="s">
        <v>1392</v>
      </c>
      <c r="D806" s="11">
        <v>0</v>
      </c>
      <c r="E806" s="12">
        <v>0</v>
      </c>
      <c r="F806" s="12">
        <v>2</v>
      </c>
      <c r="G806" s="17">
        <v>0</v>
      </c>
      <c r="H806" s="12">
        <v>0</v>
      </c>
      <c r="M806"/>
    </row>
    <row r="807" spans="1:13">
      <c r="A807" s="44" t="s">
        <v>146</v>
      </c>
      <c r="B807" s="44">
        <v>199026</v>
      </c>
      <c r="C807" s="44" t="s">
        <v>1393</v>
      </c>
      <c r="D807" s="11">
        <v>1</v>
      </c>
      <c r="E807" s="12">
        <v>0</v>
      </c>
      <c r="F807" s="12">
        <v>18</v>
      </c>
      <c r="G807" s="17">
        <v>35</v>
      </c>
      <c r="H807" s="12">
        <v>17</v>
      </c>
      <c r="M807"/>
    </row>
    <row r="808" spans="1:13">
      <c r="A808" s="44" t="s">
        <v>146</v>
      </c>
      <c r="B808" s="44">
        <v>534674</v>
      </c>
      <c r="C808" s="44" t="s">
        <v>1394</v>
      </c>
      <c r="D808" s="11">
        <v>1</v>
      </c>
      <c r="E808" s="12">
        <v>1</v>
      </c>
      <c r="F808" s="12">
        <v>4</v>
      </c>
      <c r="G808" s="17">
        <v>1</v>
      </c>
      <c r="H808" s="12">
        <v>0</v>
      </c>
      <c r="M808"/>
    </row>
    <row r="809" spans="1:13">
      <c r="A809" s="44" t="s">
        <v>157</v>
      </c>
      <c r="B809" s="44">
        <v>62002</v>
      </c>
      <c r="C809" s="44" t="s">
        <v>1063</v>
      </c>
      <c r="D809" s="11">
        <v>1</v>
      </c>
      <c r="E809" s="12">
        <v>0</v>
      </c>
      <c r="F809" s="12">
        <v>3</v>
      </c>
      <c r="G809" s="17">
        <v>1</v>
      </c>
      <c r="H809" s="12">
        <v>0</v>
      </c>
      <c r="M809"/>
    </row>
    <row r="810" spans="1:13">
      <c r="A810" s="44" t="s">
        <v>151</v>
      </c>
      <c r="B810" s="44">
        <v>553891</v>
      </c>
      <c r="C810" s="44" t="s">
        <v>878</v>
      </c>
      <c r="D810" s="11">
        <v>1</v>
      </c>
      <c r="E810" s="12">
        <v>0</v>
      </c>
      <c r="F810" s="12">
        <v>3</v>
      </c>
      <c r="G810" s="17">
        <v>1</v>
      </c>
      <c r="H810" s="12">
        <v>0</v>
      </c>
      <c r="M810"/>
    </row>
    <row r="811" spans="1:13">
      <c r="A811" s="44">
        <v>2613050885</v>
      </c>
      <c r="B811" s="44">
        <v>527179</v>
      </c>
      <c r="C811" s="44" t="s">
        <v>1395</v>
      </c>
      <c r="D811" s="11">
        <v>0</v>
      </c>
      <c r="E811" s="12">
        <v>0</v>
      </c>
      <c r="F811" s="12">
        <v>1</v>
      </c>
      <c r="G811" s="17">
        <v>0</v>
      </c>
      <c r="H811" s="12">
        <v>0</v>
      </c>
      <c r="M811"/>
    </row>
    <row r="812" spans="1:13">
      <c r="A812" s="44">
        <v>2613050886</v>
      </c>
      <c r="B812" s="44">
        <v>287452</v>
      </c>
      <c r="C812" s="44" t="s">
        <v>322</v>
      </c>
      <c r="D812" s="11">
        <v>0</v>
      </c>
      <c r="E812" s="12">
        <v>0</v>
      </c>
      <c r="F812" s="12">
        <v>3</v>
      </c>
      <c r="G812" s="17">
        <v>0</v>
      </c>
      <c r="H812" s="12">
        <v>0</v>
      </c>
      <c r="M812"/>
    </row>
    <row r="813" spans="1:13">
      <c r="A813" s="44">
        <v>2613050886</v>
      </c>
      <c r="B813" s="44">
        <v>12295051</v>
      </c>
      <c r="C813" s="44" t="s">
        <v>313</v>
      </c>
      <c r="D813" s="11">
        <v>0</v>
      </c>
      <c r="E813" s="12">
        <v>0</v>
      </c>
      <c r="F813" s="12">
        <v>4</v>
      </c>
      <c r="G813" s="17">
        <v>0</v>
      </c>
      <c r="H813" s="12">
        <v>0</v>
      </c>
      <c r="M813"/>
    </row>
    <row r="814" spans="1:13">
      <c r="A814" s="44">
        <v>2613051412</v>
      </c>
      <c r="B814" s="44">
        <v>355448</v>
      </c>
      <c r="C814" s="44" t="s">
        <v>1396</v>
      </c>
      <c r="D814" s="11">
        <v>0</v>
      </c>
      <c r="E814" s="12">
        <v>1</v>
      </c>
      <c r="F814" s="12">
        <v>2</v>
      </c>
      <c r="G814" s="17">
        <v>0</v>
      </c>
      <c r="H814" s="12">
        <v>0</v>
      </c>
      <c r="M814"/>
    </row>
    <row r="815" spans="1:13">
      <c r="A815" s="44" t="s">
        <v>155</v>
      </c>
      <c r="B815" s="44">
        <v>62246</v>
      </c>
      <c r="C815" s="44" t="s">
        <v>960</v>
      </c>
      <c r="D815" s="11">
        <v>0</v>
      </c>
      <c r="E815" s="12">
        <v>0</v>
      </c>
      <c r="F815" s="12">
        <v>3</v>
      </c>
      <c r="G815" s="17">
        <v>0</v>
      </c>
      <c r="H815" s="12">
        <v>0</v>
      </c>
      <c r="M815"/>
    </row>
    <row r="816" spans="1:13">
      <c r="A816" s="44">
        <v>2613051043</v>
      </c>
      <c r="B816" s="44">
        <v>12297054</v>
      </c>
      <c r="C816" s="44" t="s">
        <v>1397</v>
      </c>
      <c r="D816" s="11">
        <v>0</v>
      </c>
      <c r="E816" s="12">
        <v>0</v>
      </c>
      <c r="F816" s="12">
        <v>1</v>
      </c>
      <c r="G816" s="17">
        <v>0</v>
      </c>
      <c r="H816" s="12">
        <v>0</v>
      </c>
      <c r="M816"/>
    </row>
    <row r="817" spans="1:13">
      <c r="A817" s="44" t="s">
        <v>156</v>
      </c>
      <c r="B817" s="44">
        <v>62223</v>
      </c>
      <c r="C817" s="44" t="s">
        <v>1005</v>
      </c>
      <c r="D817" s="11">
        <v>0</v>
      </c>
      <c r="E817" s="12">
        <v>0</v>
      </c>
      <c r="F817" s="12">
        <v>0</v>
      </c>
      <c r="G817" s="17">
        <v>0</v>
      </c>
      <c r="H817" s="12">
        <v>0</v>
      </c>
      <c r="M817"/>
    </row>
    <row r="818" spans="1:13">
      <c r="A818" s="44">
        <v>2613050886</v>
      </c>
      <c r="B818" s="44">
        <v>260597</v>
      </c>
      <c r="C818" s="44" t="s">
        <v>1104</v>
      </c>
      <c r="D818" s="11">
        <v>1</v>
      </c>
      <c r="E818" s="12">
        <v>1</v>
      </c>
      <c r="F818" s="12">
        <v>4</v>
      </c>
      <c r="G818" s="17">
        <v>1</v>
      </c>
      <c r="H818" s="12">
        <v>0</v>
      </c>
      <c r="M818"/>
    </row>
    <row r="819" spans="1:13">
      <c r="A819" s="44" t="s">
        <v>145</v>
      </c>
      <c r="B819" s="44">
        <v>127075</v>
      </c>
      <c r="C819" s="44" t="s">
        <v>1398</v>
      </c>
      <c r="D819" s="11">
        <v>0</v>
      </c>
      <c r="E819" s="12">
        <v>0</v>
      </c>
      <c r="F819" s="12">
        <v>0</v>
      </c>
      <c r="G819" s="17">
        <v>0</v>
      </c>
      <c r="H819" s="12">
        <v>0</v>
      </c>
      <c r="M819"/>
    </row>
    <row r="820" spans="1:13">
      <c r="A820" s="44" t="s">
        <v>151</v>
      </c>
      <c r="B820" s="44">
        <v>12322314</v>
      </c>
      <c r="C820" s="44" t="s">
        <v>1399</v>
      </c>
      <c r="D820" s="11">
        <v>1</v>
      </c>
      <c r="E820" s="12">
        <v>0</v>
      </c>
      <c r="F820" s="12">
        <v>4</v>
      </c>
      <c r="G820" s="17">
        <v>3</v>
      </c>
      <c r="H820" s="12">
        <v>0</v>
      </c>
      <c r="M820"/>
    </row>
    <row r="821" spans="1:13">
      <c r="A821" s="44" t="s">
        <v>5</v>
      </c>
      <c r="B821" s="44">
        <v>240713</v>
      </c>
      <c r="C821" s="44" t="s">
        <v>91</v>
      </c>
      <c r="D821" s="11">
        <v>1</v>
      </c>
      <c r="E821" s="12">
        <v>0</v>
      </c>
      <c r="F821" s="12">
        <v>6</v>
      </c>
      <c r="G821" s="17">
        <v>2</v>
      </c>
      <c r="H821" s="12">
        <v>0</v>
      </c>
      <c r="M821"/>
    </row>
    <row r="822" spans="1:13">
      <c r="A822" s="44" t="s">
        <v>136</v>
      </c>
      <c r="B822" s="44">
        <v>404946</v>
      </c>
      <c r="C822" s="44" t="s">
        <v>405</v>
      </c>
      <c r="D822" s="11">
        <v>0</v>
      </c>
      <c r="E822" s="12">
        <v>0</v>
      </c>
      <c r="F822" s="12">
        <v>1</v>
      </c>
      <c r="G822" s="17">
        <v>0</v>
      </c>
      <c r="H822" s="12">
        <v>0</v>
      </c>
      <c r="M822"/>
    </row>
    <row r="823" spans="1:13">
      <c r="A823" s="44">
        <v>2613050886</v>
      </c>
      <c r="B823" s="44">
        <v>199108</v>
      </c>
      <c r="C823" s="44" t="s">
        <v>319</v>
      </c>
      <c r="D823" s="11">
        <v>0</v>
      </c>
      <c r="E823" s="12">
        <v>0</v>
      </c>
      <c r="F823" s="12">
        <v>1</v>
      </c>
      <c r="G823" s="17">
        <v>0</v>
      </c>
      <c r="H823" s="12">
        <v>0</v>
      </c>
      <c r="M823"/>
    </row>
    <row r="824" spans="1:13">
      <c r="A824" s="44" t="s">
        <v>151</v>
      </c>
      <c r="B824" s="44">
        <v>543746</v>
      </c>
      <c r="C824" s="44" t="s">
        <v>877</v>
      </c>
      <c r="D824" s="11">
        <v>1</v>
      </c>
      <c r="E824" s="12">
        <v>0</v>
      </c>
      <c r="F824" s="12">
        <v>0</v>
      </c>
      <c r="G824" s="17">
        <v>24</v>
      </c>
      <c r="H824" s="12">
        <v>24</v>
      </c>
      <c r="M824"/>
    </row>
    <row r="825" spans="1:13">
      <c r="A825" s="44" t="s">
        <v>147</v>
      </c>
      <c r="B825" s="44">
        <v>195812</v>
      </c>
      <c r="C825" s="44" t="s">
        <v>598</v>
      </c>
      <c r="D825" s="11">
        <v>1</v>
      </c>
      <c r="E825" s="12">
        <v>1</v>
      </c>
      <c r="F825" s="12">
        <v>4</v>
      </c>
      <c r="G825" s="17">
        <v>4</v>
      </c>
      <c r="H825" s="12">
        <v>0</v>
      </c>
      <c r="M825"/>
    </row>
    <row r="826" spans="1:13">
      <c r="A826" s="44" t="s">
        <v>137</v>
      </c>
      <c r="B826" s="44">
        <v>12296041</v>
      </c>
      <c r="C826" s="44" t="s">
        <v>423</v>
      </c>
      <c r="D826" s="11">
        <v>0</v>
      </c>
      <c r="E826" s="12">
        <v>0</v>
      </c>
      <c r="F826" s="12">
        <v>0</v>
      </c>
      <c r="G826" s="17">
        <v>0</v>
      </c>
      <c r="H826" s="12">
        <v>0</v>
      </c>
      <c r="M826"/>
    </row>
    <row r="827" spans="1:13">
      <c r="A827" s="44">
        <v>2613050886</v>
      </c>
      <c r="B827" s="44">
        <v>544108</v>
      </c>
      <c r="C827" s="44" t="s">
        <v>337</v>
      </c>
      <c r="D827" s="11">
        <v>0</v>
      </c>
      <c r="E827" s="12">
        <v>0</v>
      </c>
      <c r="F827" s="12">
        <v>6</v>
      </c>
      <c r="G827" s="17">
        <v>0</v>
      </c>
      <c r="H827" s="12">
        <v>0</v>
      </c>
      <c r="M827"/>
    </row>
    <row r="828" spans="1:13">
      <c r="A828" s="44" t="s">
        <v>148</v>
      </c>
      <c r="B828" s="44">
        <v>1596</v>
      </c>
      <c r="C828" s="44" t="s">
        <v>632</v>
      </c>
      <c r="D828" s="11">
        <v>0</v>
      </c>
      <c r="E828" s="12">
        <v>0</v>
      </c>
      <c r="F828" s="12">
        <v>1</v>
      </c>
      <c r="G828" s="17">
        <v>0</v>
      </c>
      <c r="H828" s="12">
        <v>0</v>
      </c>
      <c r="M828"/>
    </row>
    <row r="829" spans="1:13">
      <c r="A829" s="44" t="s">
        <v>158</v>
      </c>
      <c r="B829" s="44">
        <v>188236</v>
      </c>
      <c r="C829" s="44" t="s">
        <v>1400</v>
      </c>
      <c r="D829" s="11">
        <v>1</v>
      </c>
      <c r="E829" s="12">
        <v>0</v>
      </c>
      <c r="F829" s="12">
        <v>4</v>
      </c>
      <c r="G829" s="17">
        <v>1</v>
      </c>
      <c r="H829" s="12">
        <v>0</v>
      </c>
      <c r="M829"/>
    </row>
    <row r="830" spans="1:13">
      <c r="A830" s="44" t="s">
        <v>145</v>
      </c>
      <c r="B830" s="44">
        <v>547263</v>
      </c>
      <c r="C830" s="44" t="s">
        <v>517</v>
      </c>
      <c r="D830" s="11">
        <v>0</v>
      </c>
      <c r="E830" s="12">
        <v>1</v>
      </c>
      <c r="F830" s="12">
        <v>4</v>
      </c>
      <c r="G830" s="17">
        <v>0</v>
      </c>
      <c r="H830" s="12">
        <v>0</v>
      </c>
      <c r="M830"/>
    </row>
    <row r="831" spans="1:13">
      <c r="A831" s="44" t="s">
        <v>4</v>
      </c>
      <c r="B831" s="44">
        <v>503633</v>
      </c>
      <c r="C831" s="44" t="s">
        <v>59</v>
      </c>
      <c r="D831" s="11">
        <v>0</v>
      </c>
      <c r="E831" s="12">
        <v>0</v>
      </c>
      <c r="F831" s="12">
        <v>0</v>
      </c>
      <c r="G831" s="17">
        <v>0</v>
      </c>
      <c r="H831" s="12">
        <v>0</v>
      </c>
      <c r="M831"/>
    </row>
    <row r="832" spans="1:13">
      <c r="A832" s="44">
        <v>2613050886</v>
      </c>
      <c r="B832" s="44">
        <v>12322409</v>
      </c>
      <c r="C832" s="44" t="s">
        <v>1401</v>
      </c>
      <c r="D832" s="11">
        <v>0</v>
      </c>
      <c r="E832" s="12">
        <v>1</v>
      </c>
      <c r="F832" s="12">
        <v>4</v>
      </c>
      <c r="G832" s="17">
        <v>0</v>
      </c>
      <c r="H832" s="12">
        <v>0</v>
      </c>
      <c r="M832"/>
    </row>
    <row r="833" spans="1:13">
      <c r="A833" s="44" t="s">
        <v>155</v>
      </c>
      <c r="B833" s="44">
        <v>314840</v>
      </c>
      <c r="C833" s="44" t="s">
        <v>938</v>
      </c>
      <c r="D833" s="11">
        <v>1</v>
      </c>
      <c r="E833" s="12">
        <v>1</v>
      </c>
      <c r="F833" s="12">
        <v>3</v>
      </c>
      <c r="G833" s="17">
        <v>6</v>
      </c>
      <c r="H833" s="12">
        <v>3</v>
      </c>
      <c r="M833"/>
    </row>
    <row r="834" spans="1:13">
      <c r="A834" s="44" t="s">
        <v>157</v>
      </c>
      <c r="B834" s="44">
        <v>61720</v>
      </c>
      <c r="C834" s="44" t="s">
        <v>1060</v>
      </c>
      <c r="D834" s="11">
        <v>0</v>
      </c>
      <c r="E834" s="12">
        <v>0</v>
      </c>
      <c r="F834" s="12">
        <v>3</v>
      </c>
      <c r="G834" s="17">
        <v>0</v>
      </c>
      <c r="H834" s="12">
        <v>0</v>
      </c>
      <c r="M834"/>
    </row>
    <row r="835" spans="1:13">
      <c r="A835" s="44" t="s">
        <v>5</v>
      </c>
      <c r="B835" s="44">
        <v>345427</v>
      </c>
      <c r="C835" s="44" t="s">
        <v>93</v>
      </c>
      <c r="D835" s="11">
        <v>0</v>
      </c>
      <c r="E835" s="12">
        <v>0</v>
      </c>
      <c r="F835" s="12">
        <v>3</v>
      </c>
      <c r="G835" s="17">
        <v>0</v>
      </c>
      <c r="H835" s="12">
        <v>0</v>
      </c>
      <c r="M835"/>
    </row>
    <row r="836" spans="1:13">
      <c r="A836" s="44" t="s">
        <v>153</v>
      </c>
      <c r="B836" s="44">
        <v>238719</v>
      </c>
      <c r="C836" s="44" t="s">
        <v>718</v>
      </c>
      <c r="D836" s="11">
        <v>1</v>
      </c>
      <c r="E836" s="12">
        <v>0</v>
      </c>
      <c r="F836" s="12">
        <v>5</v>
      </c>
      <c r="G836" s="17">
        <v>15</v>
      </c>
      <c r="H836" s="12">
        <v>10</v>
      </c>
      <c r="M836"/>
    </row>
    <row r="837" spans="1:13">
      <c r="A837" s="44">
        <v>2613050886</v>
      </c>
      <c r="B837" s="44">
        <v>512273</v>
      </c>
      <c r="C837" s="44" t="s">
        <v>326</v>
      </c>
      <c r="D837" s="11">
        <v>0</v>
      </c>
      <c r="E837" s="12">
        <v>0</v>
      </c>
      <c r="F837" s="12">
        <v>2</v>
      </c>
      <c r="G837" s="17">
        <v>0</v>
      </c>
      <c r="H837" s="12">
        <v>0</v>
      </c>
      <c r="M837"/>
    </row>
    <row r="838" spans="1:13">
      <c r="A838" s="44" t="s">
        <v>142</v>
      </c>
      <c r="B838" s="44">
        <v>522823</v>
      </c>
      <c r="C838" s="44" t="s">
        <v>359</v>
      </c>
      <c r="D838" s="11">
        <v>0</v>
      </c>
      <c r="E838" s="12">
        <v>0</v>
      </c>
      <c r="F838" s="12">
        <v>0</v>
      </c>
      <c r="G838" s="17">
        <v>0</v>
      </c>
      <c r="H838" s="12">
        <v>0</v>
      </c>
      <c r="M838"/>
    </row>
    <row r="839" spans="1:13">
      <c r="A839" s="44" t="s">
        <v>142</v>
      </c>
      <c r="B839" s="44">
        <v>211674</v>
      </c>
      <c r="C839" s="44" t="s">
        <v>1402</v>
      </c>
      <c r="D839" s="11">
        <v>1</v>
      </c>
      <c r="E839" s="12">
        <v>0</v>
      </c>
      <c r="F839" s="12">
        <v>1</v>
      </c>
      <c r="G839" s="17">
        <v>1</v>
      </c>
      <c r="H839" s="12">
        <v>0</v>
      </c>
      <c r="M839"/>
    </row>
    <row r="840" spans="1:13">
      <c r="A840" s="44" t="s">
        <v>144</v>
      </c>
      <c r="B840" s="44">
        <v>537701</v>
      </c>
      <c r="C840" s="44" t="s">
        <v>1403</v>
      </c>
      <c r="D840" s="11">
        <v>0</v>
      </c>
      <c r="E840" s="12">
        <v>0</v>
      </c>
      <c r="F840" s="12">
        <v>0</v>
      </c>
      <c r="G840" s="17">
        <v>0</v>
      </c>
      <c r="H840" s="12">
        <v>0</v>
      </c>
      <c r="M840"/>
    </row>
    <row r="841" spans="1:13">
      <c r="A841" s="44" t="s">
        <v>148</v>
      </c>
      <c r="B841" s="44">
        <v>222335</v>
      </c>
      <c r="C841" s="44" t="s">
        <v>635</v>
      </c>
      <c r="D841" s="11">
        <v>1</v>
      </c>
      <c r="E841" s="12">
        <v>0</v>
      </c>
      <c r="F841" s="12">
        <v>1</v>
      </c>
      <c r="G841" s="17">
        <v>1</v>
      </c>
      <c r="H841" s="12">
        <v>0</v>
      </c>
      <c r="M841"/>
    </row>
    <row r="842" spans="1:13">
      <c r="A842" s="44" t="s">
        <v>5</v>
      </c>
      <c r="B842" s="44">
        <v>12317091</v>
      </c>
      <c r="C842" s="44" t="s">
        <v>1100</v>
      </c>
      <c r="D842" s="11">
        <v>1</v>
      </c>
      <c r="E842" s="12">
        <v>0</v>
      </c>
      <c r="F842" s="12">
        <v>3</v>
      </c>
      <c r="G842" s="17">
        <v>4</v>
      </c>
      <c r="H842" s="12">
        <v>1</v>
      </c>
      <c r="M842"/>
    </row>
    <row r="843" spans="1:13">
      <c r="A843" s="44">
        <v>2613052222</v>
      </c>
      <c r="B843" s="44">
        <v>363655</v>
      </c>
      <c r="C843" s="44" t="s">
        <v>1404</v>
      </c>
      <c r="D843" s="11">
        <v>1</v>
      </c>
      <c r="E843" s="12">
        <v>0</v>
      </c>
      <c r="F843" s="12">
        <v>2</v>
      </c>
      <c r="G843" s="17">
        <v>3</v>
      </c>
      <c r="H843" s="12">
        <v>1</v>
      </c>
      <c r="M843"/>
    </row>
    <row r="844" spans="1:13">
      <c r="A844" s="44" t="s">
        <v>157</v>
      </c>
      <c r="B844" s="44">
        <v>237391</v>
      </c>
      <c r="C844" s="44" t="s">
        <v>1027</v>
      </c>
      <c r="D844" s="11">
        <v>1</v>
      </c>
      <c r="E844" s="12">
        <v>0</v>
      </c>
      <c r="F844" s="12">
        <v>9</v>
      </c>
      <c r="G844" s="17">
        <v>6</v>
      </c>
      <c r="H844" s="12">
        <v>0</v>
      </c>
      <c r="M844"/>
    </row>
    <row r="845" spans="1:13">
      <c r="A845" s="44" t="s">
        <v>136</v>
      </c>
      <c r="B845" s="44">
        <v>211639</v>
      </c>
      <c r="C845" s="44" t="s">
        <v>401</v>
      </c>
      <c r="D845" s="11">
        <v>1</v>
      </c>
      <c r="E845" s="12">
        <v>1</v>
      </c>
      <c r="F845" s="12">
        <v>5</v>
      </c>
      <c r="G845" s="17">
        <v>1</v>
      </c>
      <c r="H845" s="12">
        <v>0</v>
      </c>
      <c r="M845"/>
    </row>
    <row r="846" spans="1:13">
      <c r="A846" s="44" t="s">
        <v>156</v>
      </c>
      <c r="B846" s="44">
        <v>62200</v>
      </c>
      <c r="C846" s="44" t="s">
        <v>1004</v>
      </c>
      <c r="D846" s="11">
        <v>0</v>
      </c>
      <c r="E846" s="12">
        <v>0</v>
      </c>
      <c r="F846" s="12">
        <v>2</v>
      </c>
      <c r="G846" s="17">
        <v>0</v>
      </c>
      <c r="H846" s="12">
        <v>0</v>
      </c>
      <c r="M846"/>
    </row>
    <row r="847" spans="1:13">
      <c r="A847" s="44" t="s">
        <v>144</v>
      </c>
      <c r="B847" s="44">
        <v>455508</v>
      </c>
      <c r="C847" s="44" t="s">
        <v>230</v>
      </c>
      <c r="D847" s="11">
        <v>0</v>
      </c>
      <c r="E847" s="12">
        <v>0</v>
      </c>
      <c r="F847" s="12">
        <v>1</v>
      </c>
      <c r="G847" s="17">
        <v>0</v>
      </c>
      <c r="H847" s="12">
        <v>0</v>
      </c>
      <c r="M847"/>
    </row>
    <row r="848" spans="1:13">
      <c r="A848" s="44" t="s">
        <v>152</v>
      </c>
      <c r="B848" s="44">
        <v>268747</v>
      </c>
      <c r="C848" s="44" t="s">
        <v>664</v>
      </c>
      <c r="D848" s="11">
        <v>1</v>
      </c>
      <c r="E848" s="12">
        <v>0</v>
      </c>
      <c r="F848" s="12">
        <v>4</v>
      </c>
      <c r="G848" s="17">
        <v>1</v>
      </c>
      <c r="H848" s="12">
        <v>0</v>
      </c>
      <c r="M848"/>
    </row>
    <row r="849" spans="1:13">
      <c r="A849" s="44" t="s">
        <v>5</v>
      </c>
      <c r="B849" s="44">
        <v>471389</v>
      </c>
      <c r="C849" s="44" t="s">
        <v>1101</v>
      </c>
      <c r="D849" s="11">
        <v>0</v>
      </c>
      <c r="E849" s="12">
        <v>0</v>
      </c>
      <c r="F849" s="12">
        <v>3</v>
      </c>
      <c r="G849" s="17">
        <v>0</v>
      </c>
      <c r="H849" s="12">
        <v>0</v>
      </c>
      <c r="M849"/>
    </row>
    <row r="850" spans="1:13">
      <c r="A850" s="44" t="s">
        <v>136</v>
      </c>
      <c r="B850" s="44">
        <v>353860</v>
      </c>
      <c r="C850" s="44" t="s">
        <v>1405</v>
      </c>
      <c r="D850" s="11">
        <v>1</v>
      </c>
      <c r="E850" s="12">
        <v>0</v>
      </c>
      <c r="F850" s="12">
        <v>0</v>
      </c>
      <c r="G850" s="17">
        <v>8</v>
      </c>
      <c r="H850" s="12">
        <v>8</v>
      </c>
      <c r="M850"/>
    </row>
    <row r="851" spans="1:13">
      <c r="A851" s="44" t="s">
        <v>156</v>
      </c>
      <c r="B851" s="44">
        <v>368908</v>
      </c>
      <c r="C851" s="44" t="s">
        <v>464</v>
      </c>
      <c r="D851" s="11">
        <v>1</v>
      </c>
      <c r="E851" s="12">
        <v>0</v>
      </c>
      <c r="F851" s="12">
        <v>3</v>
      </c>
      <c r="G851" s="17">
        <v>3</v>
      </c>
      <c r="H851" s="12">
        <v>0</v>
      </c>
      <c r="M851"/>
    </row>
    <row r="852" spans="1:13">
      <c r="A852" s="44" t="s">
        <v>142</v>
      </c>
      <c r="B852" s="44">
        <v>544721</v>
      </c>
      <c r="C852" s="44" t="s">
        <v>367</v>
      </c>
      <c r="D852" s="11">
        <v>1</v>
      </c>
      <c r="E852" s="12">
        <v>0</v>
      </c>
      <c r="F852" s="12">
        <v>1</v>
      </c>
      <c r="G852" s="17">
        <v>1</v>
      </c>
      <c r="H852" s="12">
        <v>0</v>
      </c>
      <c r="M852"/>
    </row>
    <row r="853" spans="1:13">
      <c r="A853" s="44">
        <v>2613051451</v>
      </c>
      <c r="B853" s="44">
        <v>356428</v>
      </c>
      <c r="C853" s="44" t="s">
        <v>1406</v>
      </c>
      <c r="D853" s="11">
        <v>0</v>
      </c>
      <c r="E853" s="12">
        <v>0</v>
      </c>
      <c r="F853" s="12">
        <v>0</v>
      </c>
      <c r="G853" s="17">
        <v>0</v>
      </c>
      <c r="H853" s="12">
        <v>0</v>
      </c>
      <c r="M853"/>
    </row>
    <row r="854" spans="1:13">
      <c r="A854" s="44" t="s">
        <v>149</v>
      </c>
      <c r="B854" s="44">
        <v>525138</v>
      </c>
      <c r="C854" s="44" t="s">
        <v>796</v>
      </c>
      <c r="D854" s="11">
        <v>0</v>
      </c>
      <c r="E854" s="12">
        <v>0</v>
      </c>
      <c r="F854" s="12">
        <v>0</v>
      </c>
      <c r="G854" s="17">
        <v>0</v>
      </c>
      <c r="H854" s="12">
        <v>0</v>
      </c>
      <c r="M854"/>
    </row>
    <row r="855" spans="1:13">
      <c r="A855" s="44" t="s">
        <v>157</v>
      </c>
      <c r="B855" s="44">
        <v>221676</v>
      </c>
      <c r="C855" s="44" t="s">
        <v>188</v>
      </c>
      <c r="D855" s="11">
        <v>0</v>
      </c>
      <c r="E855" s="12">
        <v>0</v>
      </c>
      <c r="F855" s="12">
        <v>2</v>
      </c>
      <c r="G855" s="17">
        <v>0</v>
      </c>
      <c r="H855" s="12">
        <v>0</v>
      </c>
      <c r="M855"/>
    </row>
    <row r="856" spans="1:13">
      <c r="A856" s="44" t="s">
        <v>157</v>
      </c>
      <c r="B856" s="44">
        <v>252647</v>
      </c>
      <c r="C856" s="44" t="s">
        <v>1407</v>
      </c>
      <c r="D856" s="11">
        <v>0</v>
      </c>
      <c r="E856" s="12">
        <v>0</v>
      </c>
      <c r="F856" s="12">
        <v>3</v>
      </c>
      <c r="G856" s="17">
        <v>0</v>
      </c>
      <c r="H856" s="12">
        <v>0</v>
      </c>
      <c r="M856"/>
    </row>
    <row r="857" spans="1:13">
      <c r="A857" s="44">
        <v>2613051412</v>
      </c>
      <c r="B857" s="44">
        <v>12318885</v>
      </c>
      <c r="C857" s="44" t="s">
        <v>1177</v>
      </c>
      <c r="D857" s="11">
        <v>0</v>
      </c>
      <c r="E857" s="12">
        <v>0</v>
      </c>
      <c r="F857" s="12">
        <v>1</v>
      </c>
      <c r="G857" s="17">
        <v>0</v>
      </c>
      <c r="H857" s="12">
        <v>0</v>
      </c>
      <c r="M857"/>
    </row>
    <row r="858" spans="1:13">
      <c r="A858" s="44">
        <v>2613051451</v>
      </c>
      <c r="B858" s="44">
        <v>523840</v>
      </c>
      <c r="C858" s="44" t="s">
        <v>1408</v>
      </c>
      <c r="D858" s="11">
        <v>0</v>
      </c>
      <c r="E858" s="12">
        <v>0</v>
      </c>
      <c r="F858" s="12">
        <v>0</v>
      </c>
      <c r="G858" s="17">
        <v>0</v>
      </c>
      <c r="H858" s="12">
        <v>0</v>
      </c>
      <c r="M858"/>
    </row>
    <row r="859" spans="1:13">
      <c r="A859" s="44" t="s">
        <v>143</v>
      </c>
      <c r="B859" s="44">
        <v>62419</v>
      </c>
      <c r="C859" s="44" t="s">
        <v>1365</v>
      </c>
      <c r="D859" s="11">
        <v>0</v>
      </c>
      <c r="E859" s="12">
        <v>0</v>
      </c>
      <c r="F859" s="12">
        <v>3</v>
      </c>
      <c r="G859" s="17">
        <v>0</v>
      </c>
      <c r="H859" s="12">
        <v>0</v>
      </c>
      <c r="M859"/>
    </row>
    <row r="860" spans="1:13">
      <c r="A860" s="44" t="s">
        <v>149</v>
      </c>
      <c r="B860" s="44">
        <v>12300329</v>
      </c>
      <c r="C860" s="44" t="s">
        <v>766</v>
      </c>
      <c r="D860" s="11">
        <v>1</v>
      </c>
      <c r="E860" s="12">
        <v>0</v>
      </c>
      <c r="F860" s="12">
        <v>0</v>
      </c>
      <c r="G860" s="17">
        <v>1</v>
      </c>
      <c r="H860" s="12">
        <v>1</v>
      </c>
      <c r="M860"/>
    </row>
    <row r="861" spans="1:13">
      <c r="A861" s="44" t="s">
        <v>158</v>
      </c>
      <c r="B861" s="44">
        <v>358978</v>
      </c>
      <c r="C861" s="44" t="s">
        <v>1409</v>
      </c>
      <c r="D861" s="11">
        <v>1</v>
      </c>
      <c r="E861" s="12">
        <v>0</v>
      </c>
      <c r="F861" s="12">
        <v>4</v>
      </c>
      <c r="G861" s="17">
        <v>1</v>
      </c>
      <c r="H861" s="12">
        <v>0</v>
      </c>
      <c r="M861"/>
    </row>
    <row r="862" spans="1:13">
      <c r="A862" s="44" t="s">
        <v>148</v>
      </c>
      <c r="B862" s="44">
        <v>264192</v>
      </c>
      <c r="C862" s="44" t="s">
        <v>641</v>
      </c>
      <c r="D862" s="11">
        <v>0</v>
      </c>
      <c r="E862" s="12">
        <v>0</v>
      </c>
      <c r="F862" s="12">
        <v>3</v>
      </c>
      <c r="G862" s="17">
        <v>0</v>
      </c>
      <c r="H862" s="12">
        <v>0</v>
      </c>
      <c r="M862"/>
    </row>
    <row r="863" spans="1:13">
      <c r="A863" s="44" t="s">
        <v>155</v>
      </c>
      <c r="B863" s="44">
        <v>61859</v>
      </c>
      <c r="C863" s="44" t="s">
        <v>956</v>
      </c>
      <c r="D863" s="11">
        <v>0</v>
      </c>
      <c r="E863" s="12">
        <v>0</v>
      </c>
      <c r="F863" s="12">
        <v>0</v>
      </c>
      <c r="G863" s="17">
        <v>0</v>
      </c>
      <c r="H863" s="12">
        <v>0</v>
      </c>
      <c r="M863"/>
    </row>
    <row r="864" spans="1:13">
      <c r="A864" s="44" t="s">
        <v>140</v>
      </c>
      <c r="B864" s="44">
        <v>546598</v>
      </c>
      <c r="C864" s="44" t="s">
        <v>1410</v>
      </c>
      <c r="D864" s="11">
        <v>0</v>
      </c>
      <c r="E864" s="12">
        <v>0</v>
      </c>
      <c r="F864" s="12">
        <v>3</v>
      </c>
      <c r="G864" s="17">
        <v>0</v>
      </c>
      <c r="H864" s="12">
        <v>0</v>
      </c>
      <c r="M864"/>
    </row>
    <row r="865" spans="1:13">
      <c r="A865" s="44" t="s">
        <v>3</v>
      </c>
      <c r="B865" s="44">
        <v>62086</v>
      </c>
      <c r="C865" s="44" t="s">
        <v>38</v>
      </c>
      <c r="D865" s="11">
        <v>0</v>
      </c>
      <c r="E865" s="12">
        <v>0</v>
      </c>
      <c r="F865" s="12">
        <v>2</v>
      </c>
      <c r="G865" s="17">
        <v>0</v>
      </c>
      <c r="H865" s="12">
        <v>0</v>
      </c>
      <c r="M865"/>
    </row>
    <row r="866" spans="1:13">
      <c r="A866" s="44" t="s">
        <v>146</v>
      </c>
      <c r="B866" s="44">
        <v>500500</v>
      </c>
      <c r="C866" s="44" t="s">
        <v>544</v>
      </c>
      <c r="D866" s="11">
        <v>0</v>
      </c>
      <c r="E866" s="12">
        <v>0</v>
      </c>
      <c r="F866" s="12">
        <v>5</v>
      </c>
      <c r="G866" s="17">
        <v>0</v>
      </c>
      <c r="H866" s="12">
        <v>0</v>
      </c>
      <c r="M866"/>
    </row>
    <row r="867" spans="1:13">
      <c r="A867" s="44" t="s">
        <v>1140</v>
      </c>
      <c r="B867" s="44">
        <v>523362</v>
      </c>
      <c r="C867" s="44" t="s">
        <v>1411</v>
      </c>
      <c r="D867" s="11">
        <v>1</v>
      </c>
      <c r="E867" s="12">
        <v>0</v>
      </c>
      <c r="F867" s="12">
        <v>2</v>
      </c>
      <c r="G867" s="17">
        <v>4</v>
      </c>
      <c r="H867" s="12">
        <v>2</v>
      </c>
      <c r="M867"/>
    </row>
    <row r="868" spans="1:13">
      <c r="A868" s="44">
        <v>2613051475</v>
      </c>
      <c r="B868" s="44">
        <v>61897</v>
      </c>
      <c r="C868" s="44" t="s">
        <v>920</v>
      </c>
      <c r="D868" s="11">
        <v>0</v>
      </c>
      <c r="E868" s="12">
        <v>0</v>
      </c>
      <c r="F868" s="12">
        <v>0</v>
      </c>
      <c r="G868" s="17">
        <v>0</v>
      </c>
      <c r="H868" s="12">
        <v>0</v>
      </c>
      <c r="M868"/>
    </row>
    <row r="869" spans="1:13">
      <c r="A869" s="44" t="s">
        <v>140</v>
      </c>
      <c r="B869" s="44">
        <v>199121</v>
      </c>
      <c r="C869" s="44" t="s">
        <v>1412</v>
      </c>
      <c r="D869" s="11">
        <v>1</v>
      </c>
      <c r="E869" s="12">
        <v>0</v>
      </c>
      <c r="F869" s="12">
        <v>3</v>
      </c>
      <c r="G869" s="17">
        <v>1</v>
      </c>
      <c r="H869" s="12">
        <v>0</v>
      </c>
      <c r="M869"/>
    </row>
    <row r="870" spans="1:13">
      <c r="A870" s="44" t="s">
        <v>144</v>
      </c>
      <c r="B870" s="44">
        <v>399230</v>
      </c>
      <c r="C870" s="44" t="s">
        <v>228</v>
      </c>
      <c r="D870" s="11">
        <v>0</v>
      </c>
      <c r="E870" s="12">
        <v>0</v>
      </c>
      <c r="F870" s="12">
        <v>0</v>
      </c>
      <c r="G870" s="17">
        <v>0</v>
      </c>
      <c r="H870" s="12">
        <v>0</v>
      </c>
      <c r="M870"/>
    </row>
    <row r="871" spans="1:13">
      <c r="A871" s="44" t="s">
        <v>1140</v>
      </c>
      <c r="B871" s="44">
        <v>532249</v>
      </c>
      <c r="C871" s="44" t="s">
        <v>1413</v>
      </c>
      <c r="D871" s="11">
        <v>1</v>
      </c>
      <c r="E871" s="12">
        <v>0</v>
      </c>
      <c r="F871" s="12">
        <v>2</v>
      </c>
      <c r="G871" s="17">
        <v>3</v>
      </c>
      <c r="H871" s="12">
        <v>1</v>
      </c>
      <c r="M871"/>
    </row>
    <row r="872" spans="1:13">
      <c r="A872" s="44" t="s">
        <v>136</v>
      </c>
      <c r="B872" s="44">
        <v>12305472</v>
      </c>
      <c r="C872" s="44" t="s">
        <v>395</v>
      </c>
      <c r="D872" s="11">
        <v>0</v>
      </c>
      <c r="E872" s="12">
        <v>0</v>
      </c>
      <c r="F872" s="12">
        <v>2</v>
      </c>
      <c r="G872" s="17">
        <v>0</v>
      </c>
      <c r="H872" s="12">
        <v>0</v>
      </c>
      <c r="M872"/>
    </row>
    <row r="873" spans="1:13">
      <c r="A873" s="44" t="s">
        <v>3</v>
      </c>
      <c r="B873" s="44">
        <v>408290</v>
      </c>
      <c r="C873" s="44" t="s">
        <v>1102</v>
      </c>
      <c r="D873" s="11">
        <v>1</v>
      </c>
      <c r="E873" s="12">
        <v>0</v>
      </c>
      <c r="F873" s="12">
        <v>4</v>
      </c>
      <c r="G873" s="17">
        <v>3</v>
      </c>
      <c r="H873" s="12">
        <v>0</v>
      </c>
      <c r="M873"/>
    </row>
    <row r="874" spans="1:13">
      <c r="A874" s="44">
        <v>2613050885</v>
      </c>
      <c r="B874" s="44">
        <v>403576</v>
      </c>
      <c r="C874" s="44" t="s">
        <v>1414</v>
      </c>
      <c r="D874" s="11">
        <v>1</v>
      </c>
      <c r="E874" s="12">
        <v>0</v>
      </c>
      <c r="F874" s="12">
        <v>5</v>
      </c>
      <c r="G874" s="17">
        <v>3</v>
      </c>
      <c r="H874" s="12">
        <v>0</v>
      </c>
      <c r="M874"/>
    </row>
    <row r="875" spans="1:13">
      <c r="A875" s="44">
        <v>2613050885</v>
      </c>
      <c r="B875" s="44">
        <v>527422</v>
      </c>
      <c r="C875" s="44" t="s">
        <v>303</v>
      </c>
      <c r="D875" s="11">
        <v>0</v>
      </c>
      <c r="E875" s="12">
        <v>0</v>
      </c>
      <c r="F875" s="12">
        <v>0</v>
      </c>
      <c r="G875" s="17">
        <v>0</v>
      </c>
      <c r="H875" s="12">
        <v>0</v>
      </c>
      <c r="M875"/>
    </row>
    <row r="876" spans="1:13">
      <c r="A876" s="44" t="s">
        <v>136</v>
      </c>
      <c r="B876" s="44">
        <v>12329399</v>
      </c>
      <c r="C876" s="44" t="s">
        <v>397</v>
      </c>
      <c r="D876" s="11">
        <v>0</v>
      </c>
      <c r="E876" s="12">
        <v>0</v>
      </c>
      <c r="F876" s="12">
        <v>3</v>
      </c>
      <c r="G876" s="17">
        <v>0</v>
      </c>
      <c r="H876" s="12">
        <v>0</v>
      </c>
      <c r="M876"/>
    </row>
    <row r="877" spans="1:13">
      <c r="A877" s="44" t="s">
        <v>156</v>
      </c>
      <c r="B877" s="44">
        <v>540125</v>
      </c>
      <c r="C877" s="44" t="s">
        <v>1415</v>
      </c>
      <c r="D877" s="11">
        <v>1</v>
      </c>
      <c r="E877" s="12">
        <v>0</v>
      </c>
      <c r="F877" s="12">
        <v>1</v>
      </c>
      <c r="G877" s="17">
        <v>3</v>
      </c>
      <c r="H877" s="12">
        <v>2</v>
      </c>
      <c r="M877"/>
    </row>
    <row r="878" spans="1:13">
      <c r="A878" s="44" t="s">
        <v>136</v>
      </c>
      <c r="B878" s="44">
        <v>211532</v>
      </c>
      <c r="C878" s="44" t="s">
        <v>1416</v>
      </c>
      <c r="D878" s="11">
        <v>1</v>
      </c>
      <c r="E878" s="12">
        <v>0</v>
      </c>
      <c r="F878" s="12">
        <v>2</v>
      </c>
      <c r="G878" s="17">
        <v>1</v>
      </c>
      <c r="H878" s="12">
        <v>0</v>
      </c>
      <c r="M878"/>
    </row>
    <row r="879" spans="1:13">
      <c r="A879" s="44" t="s">
        <v>152</v>
      </c>
      <c r="B879" s="44">
        <v>12320664</v>
      </c>
      <c r="C879" s="44" t="s">
        <v>652</v>
      </c>
      <c r="D879" s="11">
        <v>0</v>
      </c>
      <c r="E879" s="12">
        <v>0</v>
      </c>
      <c r="F879" s="12">
        <v>1</v>
      </c>
      <c r="G879" s="17">
        <v>0</v>
      </c>
      <c r="H879" s="12">
        <v>0</v>
      </c>
      <c r="M879"/>
    </row>
    <row r="880" spans="1:13">
      <c r="A880" s="44">
        <v>2613051475</v>
      </c>
      <c r="B880" s="44">
        <v>557861</v>
      </c>
      <c r="C880" s="44" t="s">
        <v>917</v>
      </c>
      <c r="D880" s="11">
        <v>0</v>
      </c>
      <c r="E880" s="12">
        <v>0</v>
      </c>
      <c r="F880" s="12">
        <v>3</v>
      </c>
      <c r="G880" s="17">
        <v>0</v>
      </c>
      <c r="H880" s="12">
        <v>0</v>
      </c>
      <c r="M880"/>
    </row>
    <row r="881" spans="1:13">
      <c r="A881" s="44">
        <v>2613051451</v>
      </c>
      <c r="B881" s="44">
        <v>397362</v>
      </c>
      <c r="C881" s="44" t="s">
        <v>1417</v>
      </c>
      <c r="D881" s="11">
        <v>0</v>
      </c>
      <c r="E881" s="12">
        <v>0</v>
      </c>
      <c r="F881" s="12">
        <v>0</v>
      </c>
      <c r="G881" s="17">
        <v>0</v>
      </c>
      <c r="H881" s="12">
        <v>0</v>
      </c>
      <c r="M881"/>
    </row>
    <row r="882" spans="1:13">
      <c r="A882" s="44" t="s">
        <v>145</v>
      </c>
      <c r="B882" s="44">
        <v>61818</v>
      </c>
      <c r="C882" s="44" t="s">
        <v>520</v>
      </c>
      <c r="D882" s="11">
        <v>0</v>
      </c>
      <c r="E882" s="12">
        <v>0</v>
      </c>
      <c r="F882" s="12">
        <v>3</v>
      </c>
      <c r="G882" s="17">
        <v>0</v>
      </c>
      <c r="H882" s="12">
        <v>0</v>
      </c>
      <c r="M882"/>
    </row>
    <row r="883" spans="1:13">
      <c r="A883" s="44" t="s">
        <v>1140</v>
      </c>
      <c r="B883" s="44">
        <v>574054</v>
      </c>
      <c r="C883" s="44" t="s">
        <v>1418</v>
      </c>
      <c r="D883" s="11">
        <v>1</v>
      </c>
      <c r="E883" s="12">
        <v>0</v>
      </c>
      <c r="F883" s="12">
        <v>1</v>
      </c>
      <c r="G883" s="17">
        <v>1</v>
      </c>
      <c r="H883" s="12">
        <v>0</v>
      </c>
      <c r="M883"/>
    </row>
    <row r="884" spans="1:13">
      <c r="A884" s="44" t="s">
        <v>157</v>
      </c>
      <c r="B884" s="44">
        <v>453016</v>
      </c>
      <c r="C884" s="44" t="s">
        <v>1045</v>
      </c>
      <c r="D884" s="11">
        <v>1</v>
      </c>
      <c r="E884" s="12">
        <v>0</v>
      </c>
      <c r="F884" s="12">
        <v>0</v>
      </c>
      <c r="G884" s="17">
        <v>3</v>
      </c>
      <c r="H884" s="12">
        <v>3</v>
      </c>
      <c r="M884"/>
    </row>
    <row r="885" spans="1:13">
      <c r="A885" s="44" t="s">
        <v>140</v>
      </c>
      <c r="B885" s="44">
        <v>12295896</v>
      </c>
      <c r="C885" s="44" t="s">
        <v>455</v>
      </c>
      <c r="D885" s="11">
        <v>1</v>
      </c>
      <c r="E885" s="12">
        <v>0</v>
      </c>
      <c r="F885" s="12">
        <v>0</v>
      </c>
      <c r="G885" s="17">
        <v>2</v>
      </c>
      <c r="H885" s="12">
        <v>2</v>
      </c>
      <c r="M885"/>
    </row>
    <row r="886" spans="1:13">
      <c r="A886" s="44" t="s">
        <v>136</v>
      </c>
      <c r="B886" s="44">
        <v>67319</v>
      </c>
      <c r="C886" s="44" t="s">
        <v>412</v>
      </c>
      <c r="D886" s="11">
        <v>0</v>
      </c>
      <c r="E886" s="12">
        <v>0</v>
      </c>
      <c r="F886" s="12">
        <v>2</v>
      </c>
      <c r="G886" s="17">
        <v>0</v>
      </c>
      <c r="H886" s="12">
        <v>0</v>
      </c>
      <c r="M886"/>
    </row>
    <row r="887" spans="1:13">
      <c r="A887" s="44" t="s">
        <v>142</v>
      </c>
      <c r="B887" s="44">
        <v>572343</v>
      </c>
      <c r="C887" s="44" t="s">
        <v>1419</v>
      </c>
      <c r="D887" s="11">
        <v>1</v>
      </c>
      <c r="E887" s="12">
        <v>0</v>
      </c>
      <c r="F887" s="12">
        <v>3</v>
      </c>
      <c r="G887" s="17">
        <v>1</v>
      </c>
      <c r="H887" s="12">
        <v>0</v>
      </c>
      <c r="M887"/>
    </row>
    <row r="888" spans="1:13">
      <c r="A888" s="44" t="s">
        <v>142</v>
      </c>
      <c r="B888" s="44">
        <v>537116</v>
      </c>
      <c r="C888" s="44" t="s">
        <v>1420</v>
      </c>
      <c r="D888" s="11">
        <v>1</v>
      </c>
      <c r="E888" s="12">
        <v>0</v>
      </c>
      <c r="F888" s="12">
        <v>5</v>
      </c>
      <c r="G888" s="17">
        <v>2</v>
      </c>
      <c r="H888" s="12">
        <v>0</v>
      </c>
      <c r="M888"/>
    </row>
    <row r="889" spans="1:13">
      <c r="A889" s="44" t="s">
        <v>151</v>
      </c>
      <c r="B889" s="44">
        <v>237411</v>
      </c>
      <c r="C889" s="44" t="s">
        <v>862</v>
      </c>
      <c r="D889" s="11">
        <v>0</v>
      </c>
      <c r="E889" s="12">
        <v>0</v>
      </c>
      <c r="F889" s="12">
        <v>0</v>
      </c>
      <c r="G889" s="17">
        <v>0</v>
      </c>
      <c r="H889" s="12">
        <v>0</v>
      </c>
      <c r="M889"/>
    </row>
    <row r="890" spans="1:13">
      <c r="A890" s="44" t="s">
        <v>152</v>
      </c>
      <c r="B890" s="44">
        <v>126970</v>
      </c>
      <c r="C890" s="44" t="s">
        <v>655</v>
      </c>
      <c r="D890" s="11">
        <v>0</v>
      </c>
      <c r="E890" s="12">
        <v>0</v>
      </c>
      <c r="F890" s="12">
        <v>3</v>
      </c>
      <c r="G890" s="17">
        <v>0</v>
      </c>
      <c r="H890" s="12">
        <v>0</v>
      </c>
      <c r="M890"/>
    </row>
    <row r="891" spans="1:13">
      <c r="A891" s="44" t="s">
        <v>1136</v>
      </c>
      <c r="B891" s="44">
        <v>411018</v>
      </c>
      <c r="C891" s="44" t="s">
        <v>1421</v>
      </c>
      <c r="D891" s="11">
        <v>1</v>
      </c>
      <c r="E891" s="12">
        <v>0</v>
      </c>
      <c r="F891" s="12">
        <v>0</v>
      </c>
      <c r="G891" s="17">
        <v>1</v>
      </c>
      <c r="H891" s="12">
        <v>1</v>
      </c>
      <c r="M891"/>
    </row>
    <row r="892" spans="1:13">
      <c r="A892" s="44">
        <v>2613052584</v>
      </c>
      <c r="B892" s="44">
        <v>12322880</v>
      </c>
      <c r="C892" s="44" t="s">
        <v>573</v>
      </c>
      <c r="D892" s="11">
        <v>1</v>
      </c>
      <c r="E892" s="12">
        <v>0</v>
      </c>
      <c r="F892" s="12">
        <v>0</v>
      </c>
      <c r="G892" s="17">
        <v>1</v>
      </c>
      <c r="H892" s="12">
        <v>1</v>
      </c>
      <c r="M892"/>
    </row>
    <row r="893" spans="1:13">
      <c r="A893" s="44" t="s">
        <v>143</v>
      </c>
      <c r="B893" s="44">
        <v>489481</v>
      </c>
      <c r="C893" s="44" t="s">
        <v>1422</v>
      </c>
      <c r="D893" s="11">
        <v>0</v>
      </c>
      <c r="E893" s="12">
        <v>0</v>
      </c>
      <c r="F893" s="12">
        <v>3</v>
      </c>
      <c r="G893" s="17">
        <v>0</v>
      </c>
      <c r="H893" s="12">
        <v>0</v>
      </c>
      <c r="M893"/>
    </row>
    <row r="894" spans="1:13">
      <c r="A894" s="44" t="s">
        <v>158</v>
      </c>
      <c r="B894" s="44">
        <v>565427</v>
      </c>
      <c r="C894" s="44" t="s">
        <v>177</v>
      </c>
      <c r="D894" s="11">
        <v>1</v>
      </c>
      <c r="E894" s="12">
        <v>0</v>
      </c>
      <c r="F894" s="12">
        <v>3</v>
      </c>
      <c r="G894" s="17">
        <v>1</v>
      </c>
      <c r="H894" s="12">
        <v>0</v>
      </c>
      <c r="M894"/>
    </row>
    <row r="895" spans="1:13">
      <c r="A895" s="44" t="s">
        <v>142</v>
      </c>
      <c r="B895" s="44">
        <v>553531</v>
      </c>
      <c r="C895" s="44" t="s">
        <v>1423</v>
      </c>
      <c r="D895" s="11">
        <v>0</v>
      </c>
      <c r="E895" s="12">
        <v>0</v>
      </c>
      <c r="F895" s="12">
        <v>0</v>
      </c>
      <c r="G895" s="17">
        <v>0</v>
      </c>
      <c r="H895" s="12">
        <v>0</v>
      </c>
      <c r="M895"/>
    </row>
    <row r="896" spans="1:13">
      <c r="A896" s="44" t="s">
        <v>158</v>
      </c>
      <c r="B896" s="44">
        <v>240092</v>
      </c>
      <c r="C896" s="44" t="s">
        <v>1424</v>
      </c>
      <c r="D896" s="11">
        <v>0</v>
      </c>
      <c r="E896" s="12">
        <v>0</v>
      </c>
      <c r="F896" s="12">
        <v>5</v>
      </c>
      <c r="G896" s="17">
        <v>0</v>
      </c>
      <c r="H896" s="12">
        <v>0</v>
      </c>
      <c r="M896"/>
    </row>
    <row r="897" spans="1:13">
      <c r="A897" s="44" t="s">
        <v>155</v>
      </c>
      <c r="B897" s="44">
        <v>12304278</v>
      </c>
      <c r="C897" s="44" t="s">
        <v>922</v>
      </c>
      <c r="D897" s="11">
        <v>0</v>
      </c>
      <c r="E897" s="12">
        <v>0</v>
      </c>
      <c r="F897" s="12">
        <v>1</v>
      </c>
      <c r="G897" s="17">
        <v>0</v>
      </c>
      <c r="H897" s="12">
        <v>0</v>
      </c>
      <c r="M897"/>
    </row>
    <row r="898" spans="1:13">
      <c r="A898" s="44">
        <v>2613051475</v>
      </c>
      <c r="B898" s="44">
        <v>509536</v>
      </c>
      <c r="C898" s="44" t="s">
        <v>907</v>
      </c>
      <c r="D898" s="11">
        <v>0</v>
      </c>
      <c r="E898" s="12">
        <v>0</v>
      </c>
      <c r="F898" s="12">
        <v>0</v>
      </c>
      <c r="G898" s="17">
        <v>0</v>
      </c>
      <c r="H898" s="12">
        <v>0</v>
      </c>
      <c r="M898"/>
    </row>
    <row r="899" spans="1:13">
      <c r="A899" s="44">
        <v>2613050885</v>
      </c>
      <c r="B899" s="44">
        <v>518674</v>
      </c>
      <c r="C899" s="44" t="s">
        <v>1425</v>
      </c>
      <c r="D899" s="11">
        <v>0</v>
      </c>
      <c r="E899" s="12">
        <v>0</v>
      </c>
      <c r="F899" s="12">
        <v>1</v>
      </c>
      <c r="G899" s="17">
        <v>0</v>
      </c>
      <c r="H899" s="12">
        <v>0</v>
      </c>
      <c r="M899"/>
    </row>
    <row r="900" spans="1:13">
      <c r="A900" s="44" t="s">
        <v>143</v>
      </c>
      <c r="B900" s="44">
        <v>570472</v>
      </c>
      <c r="C900" s="44" t="s">
        <v>274</v>
      </c>
      <c r="D900" s="11">
        <v>1</v>
      </c>
      <c r="E900" s="12">
        <v>0</v>
      </c>
      <c r="F900" s="12">
        <v>4</v>
      </c>
      <c r="G900" s="17">
        <v>2</v>
      </c>
      <c r="H900" s="12">
        <v>0</v>
      </c>
      <c r="M900"/>
    </row>
    <row r="901" spans="1:13">
      <c r="A901" s="44">
        <v>2613051475</v>
      </c>
      <c r="B901" s="44">
        <v>275660</v>
      </c>
      <c r="C901" s="44" t="s">
        <v>895</v>
      </c>
      <c r="D901" s="11">
        <v>0</v>
      </c>
      <c r="E901" s="12">
        <v>0</v>
      </c>
      <c r="F901" s="12">
        <v>4</v>
      </c>
      <c r="G901" s="17">
        <v>0</v>
      </c>
      <c r="H901" s="12">
        <v>0</v>
      </c>
      <c r="M901"/>
    </row>
    <row r="902" spans="1:13">
      <c r="A902" s="44" t="s">
        <v>137</v>
      </c>
      <c r="B902" s="44">
        <v>12296045</v>
      </c>
      <c r="C902" s="44" t="s">
        <v>424</v>
      </c>
      <c r="D902" s="11">
        <v>0</v>
      </c>
      <c r="E902" s="12">
        <v>0</v>
      </c>
      <c r="F902" s="12">
        <v>3</v>
      </c>
      <c r="G902" s="17">
        <v>0</v>
      </c>
      <c r="H902" s="12">
        <v>0</v>
      </c>
      <c r="M902"/>
    </row>
    <row r="903" spans="1:13">
      <c r="A903" s="44" t="s">
        <v>150</v>
      </c>
      <c r="B903" s="44">
        <v>67033</v>
      </c>
      <c r="C903" s="44" t="s">
        <v>843</v>
      </c>
      <c r="D903" s="11">
        <v>0</v>
      </c>
      <c r="E903" s="12">
        <v>0</v>
      </c>
      <c r="F903" s="12">
        <v>1</v>
      </c>
      <c r="G903" s="17">
        <v>0</v>
      </c>
      <c r="H903" s="12">
        <v>0</v>
      </c>
      <c r="M903"/>
    </row>
    <row r="904" spans="1:13">
      <c r="A904" s="44" t="s">
        <v>1136</v>
      </c>
      <c r="B904" s="44">
        <v>487986</v>
      </c>
      <c r="C904" s="44" t="s">
        <v>1426</v>
      </c>
      <c r="D904" s="11">
        <v>1</v>
      </c>
      <c r="E904" s="12">
        <v>0</v>
      </c>
      <c r="F904" s="12">
        <v>4</v>
      </c>
      <c r="G904" s="17">
        <v>3</v>
      </c>
      <c r="H904" s="12">
        <v>0</v>
      </c>
      <c r="M904"/>
    </row>
    <row r="905" spans="1:13">
      <c r="A905" s="44" t="s">
        <v>154</v>
      </c>
      <c r="B905" s="44">
        <v>127220</v>
      </c>
      <c r="C905" s="44" t="s">
        <v>737</v>
      </c>
      <c r="D905" s="11">
        <v>0</v>
      </c>
      <c r="E905" s="12">
        <v>0</v>
      </c>
      <c r="F905" s="12">
        <v>2</v>
      </c>
      <c r="G905" s="17">
        <v>0</v>
      </c>
      <c r="H905" s="12">
        <v>0</v>
      </c>
      <c r="M905"/>
    </row>
    <row r="906" spans="1:13">
      <c r="A906" s="44">
        <v>2613050886</v>
      </c>
      <c r="B906" s="44">
        <v>12322371</v>
      </c>
      <c r="C906" s="44" t="s">
        <v>316</v>
      </c>
      <c r="D906" s="11">
        <v>0</v>
      </c>
      <c r="E906" s="12">
        <v>0</v>
      </c>
      <c r="F906" s="12">
        <v>6</v>
      </c>
      <c r="G906" s="17">
        <v>0</v>
      </c>
      <c r="H906" s="12">
        <v>0</v>
      </c>
      <c r="M906"/>
    </row>
    <row r="907" spans="1:13">
      <c r="A907" s="44" t="s">
        <v>136</v>
      </c>
      <c r="B907" s="44">
        <v>505993</v>
      </c>
      <c r="C907" s="44" t="s">
        <v>1427</v>
      </c>
      <c r="D907" s="11">
        <v>1</v>
      </c>
      <c r="E907" s="12">
        <v>0</v>
      </c>
      <c r="F907" s="12">
        <v>10</v>
      </c>
      <c r="G907" s="17">
        <v>10</v>
      </c>
      <c r="H907" s="12">
        <v>0</v>
      </c>
      <c r="M907"/>
    </row>
    <row r="908" spans="1:13">
      <c r="A908" s="44" t="s">
        <v>145</v>
      </c>
      <c r="B908" s="44">
        <v>126972</v>
      </c>
      <c r="C908" s="44" t="s">
        <v>490</v>
      </c>
      <c r="D908" s="11">
        <v>1</v>
      </c>
      <c r="E908" s="12">
        <v>0</v>
      </c>
      <c r="F908" s="12">
        <v>3</v>
      </c>
      <c r="G908" s="17">
        <v>1</v>
      </c>
      <c r="H908" s="12">
        <v>0</v>
      </c>
      <c r="M908"/>
    </row>
    <row r="909" spans="1:13">
      <c r="A909" s="44" t="s">
        <v>147</v>
      </c>
      <c r="B909" s="44">
        <v>199074</v>
      </c>
      <c r="C909" s="44" t="s">
        <v>1428</v>
      </c>
      <c r="D909" s="11">
        <v>1</v>
      </c>
      <c r="E909" s="12">
        <v>0</v>
      </c>
      <c r="F909" s="12">
        <v>0</v>
      </c>
      <c r="G909" s="17">
        <v>1</v>
      </c>
      <c r="H909" s="12">
        <v>1</v>
      </c>
      <c r="M909"/>
    </row>
    <row r="910" spans="1:13">
      <c r="A910" s="44" t="s">
        <v>144</v>
      </c>
      <c r="B910" s="44">
        <v>12305636</v>
      </c>
      <c r="C910" s="44" t="s">
        <v>215</v>
      </c>
      <c r="D910" s="11">
        <v>1</v>
      </c>
      <c r="E910" s="12">
        <v>0</v>
      </c>
      <c r="F910" s="12">
        <v>3</v>
      </c>
      <c r="G910" s="17">
        <v>4</v>
      </c>
      <c r="H910" s="12">
        <v>1</v>
      </c>
      <c r="M910"/>
    </row>
    <row r="911" spans="1:13">
      <c r="A911" s="44">
        <v>2613051475</v>
      </c>
      <c r="B911" s="44">
        <v>62462</v>
      </c>
      <c r="C911" s="44" t="s">
        <v>1429</v>
      </c>
      <c r="D911" s="11">
        <v>0</v>
      </c>
      <c r="E911" s="12">
        <v>0</v>
      </c>
      <c r="F911" s="12">
        <v>1</v>
      </c>
      <c r="G911" s="17">
        <v>0</v>
      </c>
      <c r="H911" s="12">
        <v>0</v>
      </c>
      <c r="M911"/>
    </row>
    <row r="912" spans="1:13">
      <c r="A912" s="44">
        <v>2613051475</v>
      </c>
      <c r="B912" s="44">
        <v>405829</v>
      </c>
      <c r="C912" s="44" t="s">
        <v>1430</v>
      </c>
      <c r="D912" s="11">
        <v>0</v>
      </c>
      <c r="E912" s="12">
        <v>0</v>
      </c>
      <c r="F912" s="12">
        <v>3</v>
      </c>
      <c r="G912" s="17">
        <v>0</v>
      </c>
      <c r="H912" s="12">
        <v>0</v>
      </c>
      <c r="M912"/>
    </row>
    <row r="913" spans="1:13">
      <c r="A913" s="44" t="s">
        <v>148</v>
      </c>
      <c r="B913" s="44">
        <v>182785</v>
      </c>
      <c r="C913" s="44" t="s">
        <v>633</v>
      </c>
      <c r="D913" s="11">
        <v>0</v>
      </c>
      <c r="E913" s="12">
        <v>0</v>
      </c>
      <c r="F913" s="12">
        <v>1</v>
      </c>
      <c r="G913" s="17">
        <v>0</v>
      </c>
      <c r="H913" s="12">
        <v>0</v>
      </c>
      <c r="M913"/>
    </row>
    <row r="914" spans="1:13">
      <c r="A914" s="44" t="s">
        <v>1140</v>
      </c>
      <c r="B914" s="44">
        <v>571265</v>
      </c>
      <c r="C914" s="44" t="s">
        <v>1431</v>
      </c>
      <c r="D914" s="11">
        <v>1</v>
      </c>
      <c r="E914" s="12">
        <v>0</v>
      </c>
      <c r="F914" s="12">
        <v>2</v>
      </c>
      <c r="G914" s="17">
        <v>1</v>
      </c>
      <c r="H914" s="12">
        <v>0</v>
      </c>
      <c r="M914"/>
    </row>
    <row r="915" spans="1:13">
      <c r="A915" s="44" t="s">
        <v>150</v>
      </c>
      <c r="B915" s="44">
        <v>562943</v>
      </c>
      <c r="C915" s="44" t="s">
        <v>838</v>
      </c>
      <c r="D915" s="11">
        <v>1</v>
      </c>
      <c r="E915" s="12">
        <v>0</v>
      </c>
      <c r="F915" s="12">
        <v>3</v>
      </c>
      <c r="G915" s="17">
        <v>3</v>
      </c>
      <c r="H915" s="12">
        <v>0</v>
      </c>
      <c r="M915"/>
    </row>
    <row r="916" spans="1:13">
      <c r="A916" s="44" t="s">
        <v>1140</v>
      </c>
      <c r="B916" s="44">
        <v>353047</v>
      </c>
      <c r="C916" s="44" t="s">
        <v>1432</v>
      </c>
      <c r="D916" s="11">
        <v>0</v>
      </c>
      <c r="E916" s="12">
        <v>0</v>
      </c>
      <c r="F916" s="12">
        <v>1</v>
      </c>
      <c r="G916" s="17">
        <v>0</v>
      </c>
      <c r="H916" s="12">
        <v>0</v>
      </c>
      <c r="M916"/>
    </row>
    <row r="917" spans="1:13">
      <c r="A917" s="44" t="s">
        <v>152</v>
      </c>
      <c r="B917" s="44">
        <v>391817</v>
      </c>
      <c r="C917" s="44" t="s">
        <v>671</v>
      </c>
      <c r="D917" s="11">
        <v>1</v>
      </c>
      <c r="E917" s="12">
        <v>0</v>
      </c>
      <c r="F917" s="12">
        <v>19</v>
      </c>
      <c r="G917" s="17">
        <v>13</v>
      </c>
      <c r="H917" s="12">
        <v>0</v>
      </c>
      <c r="M917"/>
    </row>
    <row r="918" spans="1:13">
      <c r="A918" s="44" t="s">
        <v>153</v>
      </c>
      <c r="B918" s="44">
        <v>61846</v>
      </c>
      <c r="C918" s="44" t="s">
        <v>732</v>
      </c>
      <c r="D918" s="11">
        <v>1</v>
      </c>
      <c r="E918" s="12">
        <v>0</v>
      </c>
      <c r="F918" s="12">
        <v>1</v>
      </c>
      <c r="G918" s="17">
        <v>4</v>
      </c>
      <c r="H918" s="12">
        <v>3</v>
      </c>
      <c r="M918"/>
    </row>
    <row r="919" spans="1:13">
      <c r="A919" s="44" t="s">
        <v>156</v>
      </c>
      <c r="B919" s="44">
        <v>496643</v>
      </c>
      <c r="C919" s="44" t="s">
        <v>1433</v>
      </c>
      <c r="D919" s="11">
        <v>0</v>
      </c>
      <c r="E919" s="12">
        <v>0</v>
      </c>
      <c r="F919" s="12">
        <v>0</v>
      </c>
      <c r="G919" s="17">
        <v>0</v>
      </c>
      <c r="H919" s="12">
        <v>0</v>
      </c>
      <c r="M919"/>
    </row>
    <row r="920" spans="1:13">
      <c r="A920" s="44" t="s">
        <v>148</v>
      </c>
      <c r="B920" s="44">
        <v>124855</v>
      </c>
      <c r="C920" s="44" t="s">
        <v>630</v>
      </c>
      <c r="D920" s="11">
        <v>1</v>
      </c>
      <c r="E920" s="12">
        <v>0</v>
      </c>
      <c r="F920" s="12">
        <v>1</v>
      </c>
      <c r="G920" s="17">
        <v>1</v>
      </c>
      <c r="H920" s="12">
        <v>0</v>
      </c>
      <c r="M920"/>
    </row>
    <row r="921" spans="1:13">
      <c r="A921" s="44" t="s">
        <v>140</v>
      </c>
      <c r="B921" s="44">
        <v>200996</v>
      </c>
      <c r="C921" s="44" t="s">
        <v>463</v>
      </c>
      <c r="D921" s="11">
        <v>1</v>
      </c>
      <c r="E921" s="12">
        <v>0</v>
      </c>
      <c r="F921" s="12">
        <v>58</v>
      </c>
      <c r="G921" s="17">
        <v>51</v>
      </c>
      <c r="H921" s="12">
        <v>0</v>
      </c>
      <c r="M921"/>
    </row>
    <row r="922" spans="1:13">
      <c r="A922" s="44" t="s">
        <v>146</v>
      </c>
      <c r="B922" s="44">
        <v>12323486</v>
      </c>
      <c r="C922" s="44" t="s">
        <v>534</v>
      </c>
      <c r="D922" s="11">
        <v>0</v>
      </c>
      <c r="E922" s="12">
        <v>0</v>
      </c>
      <c r="F922" s="12">
        <v>2</v>
      </c>
      <c r="G922" s="17">
        <v>0</v>
      </c>
      <c r="H922" s="12">
        <v>0</v>
      </c>
      <c r="M922"/>
    </row>
    <row r="923" spans="1:13">
      <c r="A923" s="44" t="s">
        <v>142</v>
      </c>
      <c r="B923" s="44">
        <v>12307587</v>
      </c>
      <c r="C923" s="44" t="s">
        <v>1434</v>
      </c>
      <c r="D923" s="11">
        <v>1</v>
      </c>
      <c r="E923" s="12">
        <v>0</v>
      </c>
      <c r="F923" s="12">
        <v>2</v>
      </c>
      <c r="G923" s="17">
        <v>1</v>
      </c>
      <c r="H923" s="12">
        <v>0</v>
      </c>
      <c r="M923"/>
    </row>
    <row r="924" spans="1:13">
      <c r="A924" s="44" t="s">
        <v>147</v>
      </c>
      <c r="B924" s="44">
        <v>457893</v>
      </c>
      <c r="C924" s="44" t="s">
        <v>613</v>
      </c>
      <c r="D924" s="11">
        <v>0</v>
      </c>
      <c r="E924" s="12">
        <v>0</v>
      </c>
      <c r="F924" s="12">
        <v>1</v>
      </c>
      <c r="G924" s="17">
        <v>0</v>
      </c>
      <c r="H924" s="12">
        <v>0</v>
      </c>
      <c r="M924"/>
    </row>
    <row r="925" spans="1:13">
      <c r="A925" s="44" t="s">
        <v>140</v>
      </c>
      <c r="B925" s="44">
        <v>1777</v>
      </c>
      <c r="C925" s="44" t="s">
        <v>462</v>
      </c>
      <c r="D925" s="11">
        <v>1</v>
      </c>
      <c r="E925" s="12">
        <v>0</v>
      </c>
      <c r="F925" s="12">
        <v>3</v>
      </c>
      <c r="G925" s="17">
        <v>2</v>
      </c>
      <c r="H925" s="12">
        <v>0</v>
      </c>
      <c r="M925"/>
    </row>
    <row r="926" spans="1:13">
      <c r="A926" s="44" t="s">
        <v>154</v>
      </c>
      <c r="B926" s="44">
        <v>489805</v>
      </c>
      <c r="C926" s="44" t="s">
        <v>748</v>
      </c>
      <c r="D926" s="11">
        <v>0</v>
      </c>
      <c r="E926" s="12">
        <v>0</v>
      </c>
      <c r="F926" s="12">
        <v>2</v>
      </c>
      <c r="G926" s="17">
        <v>0</v>
      </c>
      <c r="H926" s="12">
        <v>0</v>
      </c>
      <c r="M926"/>
    </row>
    <row r="927" spans="1:13">
      <c r="A927" s="44" t="s">
        <v>142</v>
      </c>
      <c r="B927" s="44">
        <v>529781</v>
      </c>
      <c r="C927" s="44" t="s">
        <v>363</v>
      </c>
      <c r="D927" s="11">
        <v>1</v>
      </c>
      <c r="E927" s="12">
        <v>0</v>
      </c>
      <c r="F927" s="12">
        <v>5</v>
      </c>
      <c r="G927" s="17">
        <v>2</v>
      </c>
      <c r="H927" s="12">
        <v>0</v>
      </c>
      <c r="M927"/>
    </row>
    <row r="928" spans="1:13">
      <c r="A928" s="44" t="s">
        <v>151</v>
      </c>
      <c r="B928" s="44">
        <v>62320</v>
      </c>
      <c r="C928" s="44" t="s">
        <v>883</v>
      </c>
      <c r="D928" s="11">
        <v>0</v>
      </c>
      <c r="E928" s="12">
        <v>0</v>
      </c>
      <c r="F928" s="12">
        <v>2</v>
      </c>
      <c r="G928" s="17">
        <v>0</v>
      </c>
      <c r="H928" s="12">
        <v>0</v>
      </c>
      <c r="M928"/>
    </row>
    <row r="929" spans="1:13">
      <c r="A929" s="44" t="s">
        <v>147</v>
      </c>
      <c r="B929" s="44">
        <v>243030</v>
      </c>
      <c r="C929" s="44" t="s">
        <v>604</v>
      </c>
      <c r="D929" s="11">
        <v>0</v>
      </c>
      <c r="E929" s="12">
        <v>0</v>
      </c>
      <c r="F929" s="12">
        <v>0</v>
      </c>
      <c r="G929" s="17">
        <v>0</v>
      </c>
      <c r="H929" s="12">
        <v>0</v>
      </c>
      <c r="M929"/>
    </row>
    <row r="930" spans="1:13">
      <c r="A930" s="44" t="s">
        <v>153</v>
      </c>
      <c r="B930" s="44">
        <v>272816</v>
      </c>
      <c r="C930" s="44" t="s">
        <v>1435</v>
      </c>
      <c r="D930" s="11">
        <v>1</v>
      </c>
      <c r="E930" s="12">
        <v>0</v>
      </c>
      <c r="F930" s="12">
        <v>5</v>
      </c>
      <c r="G930" s="17">
        <v>2</v>
      </c>
      <c r="H930" s="12">
        <v>0</v>
      </c>
      <c r="M930"/>
    </row>
    <row r="931" spans="1:13">
      <c r="A931" s="44" t="s">
        <v>149</v>
      </c>
      <c r="B931" s="44">
        <v>245224</v>
      </c>
      <c r="C931" s="44" t="s">
        <v>192</v>
      </c>
      <c r="D931" s="11">
        <v>0</v>
      </c>
      <c r="E931" s="12">
        <v>0</v>
      </c>
      <c r="F931" s="12">
        <v>3</v>
      </c>
      <c r="G931" s="17">
        <v>0</v>
      </c>
      <c r="H931" s="12">
        <v>0</v>
      </c>
      <c r="M931"/>
    </row>
    <row r="932" spans="1:13">
      <c r="A932" s="44">
        <v>2613051043</v>
      </c>
      <c r="B932" s="44">
        <v>12296813</v>
      </c>
      <c r="C932" s="44" t="s">
        <v>438</v>
      </c>
      <c r="D932" s="11">
        <v>0</v>
      </c>
      <c r="E932" s="12">
        <v>0</v>
      </c>
      <c r="F932" s="12">
        <v>0</v>
      </c>
      <c r="G932" s="17">
        <v>0</v>
      </c>
      <c r="H932" s="12">
        <v>0</v>
      </c>
      <c r="M932"/>
    </row>
    <row r="933" spans="1:13">
      <c r="A933" s="44" t="s">
        <v>155</v>
      </c>
      <c r="B933" s="44">
        <v>62079</v>
      </c>
      <c r="C933" s="44" t="s">
        <v>959</v>
      </c>
      <c r="D933" s="11">
        <v>1</v>
      </c>
      <c r="E933" s="12">
        <v>0</v>
      </c>
      <c r="F933" s="12">
        <v>2</v>
      </c>
      <c r="G933" s="17">
        <v>3</v>
      </c>
      <c r="H933" s="12">
        <v>1</v>
      </c>
      <c r="M933"/>
    </row>
    <row r="934" spans="1:13">
      <c r="A934" s="44" t="s">
        <v>136</v>
      </c>
      <c r="B934" s="44">
        <v>523940</v>
      </c>
      <c r="C934" s="44" t="s">
        <v>408</v>
      </c>
      <c r="D934" s="11">
        <v>1</v>
      </c>
      <c r="E934" s="12">
        <v>0</v>
      </c>
      <c r="F934" s="12">
        <v>11</v>
      </c>
      <c r="G934" s="17">
        <v>10</v>
      </c>
      <c r="H934" s="12">
        <v>0</v>
      </c>
      <c r="M934"/>
    </row>
    <row r="935" spans="1:13">
      <c r="A935" s="44" t="s">
        <v>143</v>
      </c>
      <c r="B935" s="44">
        <v>339299</v>
      </c>
      <c r="C935" s="44" t="s">
        <v>1322</v>
      </c>
      <c r="D935" s="11">
        <v>1</v>
      </c>
      <c r="E935" s="12">
        <v>0</v>
      </c>
      <c r="F935" s="12">
        <v>4</v>
      </c>
      <c r="G935" s="17">
        <v>4</v>
      </c>
      <c r="H935" s="12">
        <v>0</v>
      </c>
      <c r="M935"/>
    </row>
    <row r="936" spans="1:13">
      <c r="A936" s="44" t="s">
        <v>145</v>
      </c>
      <c r="B936" s="44">
        <v>211703</v>
      </c>
      <c r="C936" s="44" t="s">
        <v>1436</v>
      </c>
      <c r="D936" s="11">
        <v>0</v>
      </c>
      <c r="E936" s="12">
        <v>0</v>
      </c>
      <c r="F936" s="12">
        <v>3</v>
      </c>
      <c r="G936" s="17">
        <v>0</v>
      </c>
      <c r="H936" s="12">
        <v>0</v>
      </c>
      <c r="M936"/>
    </row>
    <row r="937" spans="1:13">
      <c r="A937" s="44" t="s">
        <v>140</v>
      </c>
      <c r="B937" s="44">
        <v>412499</v>
      </c>
      <c r="C937" s="44" t="s">
        <v>1085</v>
      </c>
      <c r="D937" s="11">
        <v>1</v>
      </c>
      <c r="E937" s="12">
        <v>3</v>
      </c>
      <c r="F937" s="12">
        <v>4</v>
      </c>
      <c r="G937" s="17">
        <v>2</v>
      </c>
      <c r="H937" s="12">
        <v>0</v>
      </c>
      <c r="M937"/>
    </row>
    <row r="938" spans="1:13">
      <c r="A938" s="44" t="s">
        <v>143</v>
      </c>
      <c r="B938" s="44">
        <v>67311</v>
      </c>
      <c r="C938" s="44" t="s">
        <v>1437</v>
      </c>
      <c r="D938" s="11">
        <v>0</v>
      </c>
      <c r="E938" s="12">
        <v>0</v>
      </c>
      <c r="F938" s="12">
        <v>3</v>
      </c>
      <c r="G938" s="17">
        <v>0</v>
      </c>
      <c r="H938" s="12">
        <v>0</v>
      </c>
      <c r="M938"/>
    </row>
    <row r="939" spans="1:13">
      <c r="A939" s="44" t="s">
        <v>1140</v>
      </c>
      <c r="B939" s="44">
        <v>422918</v>
      </c>
      <c r="C939" s="44" t="s">
        <v>1438</v>
      </c>
      <c r="D939" s="11">
        <v>0</v>
      </c>
      <c r="E939" s="12">
        <v>0</v>
      </c>
      <c r="F939" s="12">
        <v>3</v>
      </c>
      <c r="G939" s="17">
        <v>0</v>
      </c>
      <c r="H939" s="12">
        <v>0</v>
      </c>
      <c r="M939"/>
    </row>
    <row r="940" spans="1:13">
      <c r="A940" s="44" t="s">
        <v>140</v>
      </c>
      <c r="B940" s="44">
        <v>556434</v>
      </c>
      <c r="C940" s="44" t="s">
        <v>477</v>
      </c>
      <c r="D940" s="11">
        <v>0</v>
      </c>
      <c r="E940" s="12">
        <v>0</v>
      </c>
      <c r="F940" s="12">
        <v>5</v>
      </c>
      <c r="G940" s="17">
        <v>0</v>
      </c>
      <c r="H940" s="12">
        <v>0</v>
      </c>
      <c r="M940"/>
    </row>
    <row r="941" spans="1:13">
      <c r="A941" s="44" t="s">
        <v>5</v>
      </c>
      <c r="B941" s="44">
        <v>501263</v>
      </c>
      <c r="C941" s="44" t="s">
        <v>99</v>
      </c>
      <c r="D941" s="11">
        <v>0</v>
      </c>
      <c r="E941" s="12">
        <v>0</v>
      </c>
      <c r="F941" s="12">
        <v>1</v>
      </c>
      <c r="G941" s="17">
        <v>0</v>
      </c>
      <c r="H941" s="12">
        <v>0</v>
      </c>
      <c r="M941"/>
    </row>
    <row r="942" spans="1:13">
      <c r="A942" s="44" t="s">
        <v>148</v>
      </c>
      <c r="B942" s="44">
        <v>564795</v>
      </c>
      <c r="C942" s="44" t="s">
        <v>649</v>
      </c>
      <c r="D942" s="11">
        <v>1</v>
      </c>
      <c r="E942" s="12">
        <v>0</v>
      </c>
      <c r="F942" s="12">
        <v>9</v>
      </c>
      <c r="G942" s="17">
        <v>1</v>
      </c>
      <c r="H942" s="12">
        <v>0</v>
      </c>
      <c r="M942"/>
    </row>
    <row r="943" spans="1:13">
      <c r="A943" s="44" t="s">
        <v>4</v>
      </c>
      <c r="B943" s="44">
        <v>229765</v>
      </c>
      <c r="C943" s="44" t="s">
        <v>54</v>
      </c>
      <c r="D943" s="11">
        <v>1</v>
      </c>
      <c r="E943" s="12">
        <v>0</v>
      </c>
      <c r="F943" s="12">
        <v>30</v>
      </c>
      <c r="G943" s="17">
        <v>6</v>
      </c>
      <c r="H943" s="12">
        <v>0</v>
      </c>
      <c r="M943"/>
    </row>
    <row r="944" spans="1:13">
      <c r="A944" s="44" t="s">
        <v>3</v>
      </c>
      <c r="B944" s="44">
        <v>358231</v>
      </c>
      <c r="C944" s="44" t="s">
        <v>27</v>
      </c>
      <c r="D944" s="11">
        <v>0</v>
      </c>
      <c r="E944" s="12">
        <v>0</v>
      </c>
      <c r="F944" s="12">
        <v>3</v>
      </c>
      <c r="G944" s="17">
        <v>0</v>
      </c>
      <c r="H944" s="12">
        <v>0</v>
      </c>
      <c r="M944"/>
    </row>
    <row r="945" spans="1:13">
      <c r="A945" s="44" t="s">
        <v>1140</v>
      </c>
      <c r="B945" s="44">
        <v>499401</v>
      </c>
      <c r="C945" s="44" t="s">
        <v>1439</v>
      </c>
      <c r="D945" s="11">
        <v>0</v>
      </c>
      <c r="E945" s="12">
        <v>0</v>
      </c>
      <c r="F945" s="12">
        <v>1</v>
      </c>
      <c r="G945" s="17">
        <v>0</v>
      </c>
      <c r="H945" s="12">
        <v>0</v>
      </c>
      <c r="M945"/>
    </row>
    <row r="946" spans="1:13">
      <c r="A946" s="44" t="s">
        <v>145</v>
      </c>
      <c r="B946" s="44">
        <v>12312749</v>
      </c>
      <c r="C946" s="44" t="s">
        <v>485</v>
      </c>
      <c r="D946" s="11">
        <v>0</v>
      </c>
      <c r="E946" s="12">
        <v>1</v>
      </c>
      <c r="F946" s="12">
        <v>0</v>
      </c>
      <c r="G946" s="17">
        <v>0</v>
      </c>
      <c r="H946" s="12">
        <v>0</v>
      </c>
      <c r="M946"/>
    </row>
    <row r="947" spans="1:13">
      <c r="A947" s="44" t="s">
        <v>153</v>
      </c>
      <c r="B947" s="44">
        <v>392373</v>
      </c>
      <c r="C947" s="44" t="s">
        <v>728</v>
      </c>
      <c r="D947" s="11">
        <v>1</v>
      </c>
      <c r="E947" s="12">
        <v>0</v>
      </c>
      <c r="F947" s="12">
        <v>3</v>
      </c>
      <c r="G947" s="17">
        <v>1</v>
      </c>
      <c r="H947" s="12">
        <v>0</v>
      </c>
      <c r="M947"/>
    </row>
    <row r="948" spans="1:13">
      <c r="A948" s="44" t="s">
        <v>153</v>
      </c>
      <c r="B948" s="44">
        <v>243536</v>
      </c>
      <c r="C948" s="44" t="s">
        <v>719</v>
      </c>
      <c r="D948" s="11">
        <v>0</v>
      </c>
      <c r="E948" s="12">
        <v>0</v>
      </c>
      <c r="F948" s="12">
        <v>2</v>
      </c>
      <c r="G948" s="17">
        <v>0</v>
      </c>
      <c r="H948" s="12">
        <v>0</v>
      </c>
      <c r="M948"/>
    </row>
    <row r="949" spans="1:13">
      <c r="A949" s="44" t="s">
        <v>149</v>
      </c>
      <c r="B949" s="44">
        <v>532244</v>
      </c>
      <c r="C949" s="44" t="s">
        <v>798</v>
      </c>
      <c r="D949" s="11">
        <v>0</v>
      </c>
      <c r="E949" s="12">
        <v>0</v>
      </c>
      <c r="F949" s="12">
        <v>3</v>
      </c>
      <c r="G949" s="17">
        <v>0</v>
      </c>
      <c r="H949" s="12">
        <v>0</v>
      </c>
      <c r="M949"/>
    </row>
    <row r="950" spans="1:13">
      <c r="A950" s="44" t="s">
        <v>148</v>
      </c>
      <c r="B950" s="44">
        <v>261429</v>
      </c>
      <c r="C950" s="44" t="s">
        <v>638</v>
      </c>
      <c r="D950" s="11">
        <v>0</v>
      </c>
      <c r="E950" s="12">
        <v>0</v>
      </c>
      <c r="F950" s="12">
        <v>1</v>
      </c>
      <c r="G950" s="17">
        <v>0</v>
      </c>
      <c r="H950" s="12">
        <v>0</v>
      </c>
      <c r="M950"/>
    </row>
    <row r="951" spans="1:13">
      <c r="A951" s="44" t="s">
        <v>145</v>
      </c>
      <c r="B951" s="44">
        <v>12322494</v>
      </c>
      <c r="C951" s="44" t="s">
        <v>1102</v>
      </c>
      <c r="D951" s="11">
        <v>0</v>
      </c>
      <c r="E951" s="12">
        <v>0</v>
      </c>
      <c r="F951" s="12">
        <v>0</v>
      </c>
      <c r="G951" s="17">
        <v>0</v>
      </c>
      <c r="H951" s="12">
        <v>0</v>
      </c>
      <c r="M951"/>
    </row>
    <row r="952" spans="1:13">
      <c r="A952" s="44" t="s">
        <v>137</v>
      </c>
      <c r="B952" s="44">
        <v>12295791</v>
      </c>
      <c r="C952" s="44" t="s">
        <v>419</v>
      </c>
      <c r="D952" s="11">
        <v>0</v>
      </c>
      <c r="E952" s="12">
        <v>0</v>
      </c>
      <c r="F952" s="12">
        <v>0</v>
      </c>
      <c r="G952" s="17">
        <v>0</v>
      </c>
      <c r="H952" s="12">
        <v>0</v>
      </c>
      <c r="M952"/>
    </row>
    <row r="953" spans="1:13">
      <c r="A953" s="44" t="s">
        <v>1140</v>
      </c>
      <c r="B953" s="44">
        <v>481538</v>
      </c>
      <c r="C953" s="44" t="s">
        <v>1440</v>
      </c>
      <c r="D953" s="11">
        <v>0</v>
      </c>
      <c r="E953" s="12">
        <v>0</v>
      </c>
      <c r="F953" s="12">
        <v>0</v>
      </c>
      <c r="G953" s="17">
        <v>0</v>
      </c>
      <c r="H953" s="12">
        <v>0</v>
      </c>
      <c r="M953"/>
    </row>
    <row r="954" spans="1:13">
      <c r="A954" s="44" t="s">
        <v>1136</v>
      </c>
      <c r="B954" s="44">
        <v>278296</v>
      </c>
      <c r="C954" s="44" t="s">
        <v>1441</v>
      </c>
      <c r="D954" s="11">
        <v>1</v>
      </c>
      <c r="E954" s="12">
        <v>0</v>
      </c>
      <c r="F954" s="12">
        <v>3</v>
      </c>
      <c r="G954" s="17">
        <v>3</v>
      </c>
      <c r="H954" s="12">
        <v>0</v>
      </c>
      <c r="M954"/>
    </row>
    <row r="955" spans="1:13">
      <c r="A955" s="44" t="s">
        <v>144</v>
      </c>
      <c r="B955" s="44">
        <v>309555</v>
      </c>
      <c r="C955" s="44" t="s">
        <v>224</v>
      </c>
      <c r="D955" s="11">
        <v>0</v>
      </c>
      <c r="E955" s="12">
        <v>0</v>
      </c>
      <c r="F955" s="12">
        <v>5</v>
      </c>
      <c r="G955" s="17">
        <v>0</v>
      </c>
      <c r="H955" s="12">
        <v>0</v>
      </c>
      <c r="M955"/>
    </row>
    <row r="956" spans="1:13">
      <c r="A956" s="44">
        <v>2613050885</v>
      </c>
      <c r="B956" s="44">
        <v>404499</v>
      </c>
      <c r="C956" s="44" t="s">
        <v>291</v>
      </c>
      <c r="D956" s="11">
        <v>0</v>
      </c>
      <c r="E956" s="12">
        <v>0</v>
      </c>
      <c r="F956" s="12">
        <v>1</v>
      </c>
      <c r="G956" s="17">
        <v>0</v>
      </c>
      <c r="H956" s="12">
        <v>0</v>
      </c>
      <c r="M956"/>
    </row>
    <row r="957" spans="1:13">
      <c r="A957" s="44" t="s">
        <v>147</v>
      </c>
      <c r="B957" s="44">
        <v>240133</v>
      </c>
      <c r="C957" s="44" t="s">
        <v>603</v>
      </c>
      <c r="D957" s="11">
        <v>1</v>
      </c>
      <c r="E957" s="12">
        <v>0</v>
      </c>
      <c r="F957" s="12">
        <v>3</v>
      </c>
      <c r="G957" s="17">
        <v>1</v>
      </c>
      <c r="H957" s="12">
        <v>0</v>
      </c>
      <c r="M957"/>
    </row>
    <row r="958" spans="1:13">
      <c r="A958" s="44" t="s">
        <v>149</v>
      </c>
      <c r="B958" s="44">
        <v>385444</v>
      </c>
      <c r="C958" s="44" t="s">
        <v>784</v>
      </c>
      <c r="D958" s="11">
        <v>0</v>
      </c>
      <c r="E958" s="12">
        <v>0</v>
      </c>
      <c r="F958" s="12">
        <v>1</v>
      </c>
      <c r="G958" s="17">
        <v>0</v>
      </c>
      <c r="H958" s="12">
        <v>0</v>
      </c>
      <c r="M958"/>
    </row>
    <row r="959" spans="1:13">
      <c r="A959" s="44" t="s">
        <v>149</v>
      </c>
      <c r="B959" s="44">
        <v>371867</v>
      </c>
      <c r="C959" s="44" t="s">
        <v>783</v>
      </c>
      <c r="D959" s="11">
        <v>0</v>
      </c>
      <c r="E959" s="12">
        <v>0</v>
      </c>
      <c r="F959" s="12">
        <v>4</v>
      </c>
      <c r="G959" s="17">
        <v>0</v>
      </c>
      <c r="H959" s="12">
        <v>0</v>
      </c>
      <c r="M959"/>
    </row>
    <row r="960" spans="1:13">
      <c r="A960" s="44" t="s">
        <v>1140</v>
      </c>
      <c r="B960" s="44">
        <v>311453</v>
      </c>
      <c r="C960" s="44" t="s">
        <v>1442</v>
      </c>
      <c r="D960" s="11">
        <v>0</v>
      </c>
      <c r="E960" s="12">
        <v>0</v>
      </c>
      <c r="F960" s="12">
        <v>1</v>
      </c>
      <c r="G960" s="17">
        <v>0</v>
      </c>
      <c r="H960" s="12">
        <v>0</v>
      </c>
      <c r="M960"/>
    </row>
    <row r="961" spans="1:13">
      <c r="A961" s="44" t="s">
        <v>155</v>
      </c>
      <c r="B961" s="44">
        <v>62074</v>
      </c>
      <c r="C961" s="44" t="s">
        <v>958</v>
      </c>
      <c r="D961" s="11">
        <v>0</v>
      </c>
      <c r="E961" s="12">
        <v>0</v>
      </c>
      <c r="F961" s="12">
        <v>3</v>
      </c>
      <c r="G961" s="17">
        <v>0</v>
      </c>
      <c r="H961" s="12">
        <v>0</v>
      </c>
      <c r="M961"/>
    </row>
    <row r="962" spans="1:13">
      <c r="A962" s="44" t="s">
        <v>146</v>
      </c>
      <c r="B962" s="44">
        <v>12365</v>
      </c>
      <c r="C962" s="44" t="s">
        <v>1443</v>
      </c>
      <c r="D962" s="11">
        <v>0</v>
      </c>
      <c r="E962" s="12">
        <v>0</v>
      </c>
      <c r="F962" s="12">
        <v>3</v>
      </c>
      <c r="G962" s="17">
        <v>0</v>
      </c>
      <c r="H962" s="12">
        <v>0</v>
      </c>
      <c r="M962"/>
    </row>
    <row r="963" spans="1:13">
      <c r="A963" s="44" t="s">
        <v>144</v>
      </c>
      <c r="B963" s="44">
        <v>211686</v>
      </c>
      <c r="C963" s="44" t="s">
        <v>220</v>
      </c>
      <c r="D963" s="11">
        <v>0</v>
      </c>
      <c r="E963" s="12">
        <v>0</v>
      </c>
      <c r="F963" s="12">
        <v>1</v>
      </c>
      <c r="G963" s="17">
        <v>0</v>
      </c>
      <c r="H963" s="12">
        <v>0</v>
      </c>
      <c r="M963"/>
    </row>
    <row r="964" spans="1:13">
      <c r="A964" s="44" t="s">
        <v>151</v>
      </c>
      <c r="B964" s="44">
        <v>272399</v>
      </c>
      <c r="C964" s="44" t="s">
        <v>1444</v>
      </c>
      <c r="D964" s="11">
        <v>1</v>
      </c>
      <c r="E964" s="12">
        <v>0</v>
      </c>
      <c r="F964" s="12">
        <v>1</v>
      </c>
      <c r="G964" s="17">
        <v>1</v>
      </c>
      <c r="H964" s="12">
        <v>0</v>
      </c>
      <c r="M964"/>
    </row>
    <row r="965" spans="1:13">
      <c r="A965" s="44" t="s">
        <v>143</v>
      </c>
      <c r="B965" s="44">
        <v>11484</v>
      </c>
      <c r="C965" s="44" t="s">
        <v>248</v>
      </c>
      <c r="D965" s="11">
        <v>1</v>
      </c>
      <c r="E965" s="12">
        <v>0</v>
      </c>
      <c r="F965" s="12">
        <v>6</v>
      </c>
      <c r="G965" s="17">
        <v>1</v>
      </c>
      <c r="H965" s="12">
        <v>0</v>
      </c>
      <c r="M965"/>
    </row>
    <row r="966" spans="1:13">
      <c r="A966" s="44" t="s">
        <v>5</v>
      </c>
      <c r="B966" s="44">
        <v>12321241</v>
      </c>
      <c r="C966" s="44" t="s">
        <v>79</v>
      </c>
      <c r="D966" s="11">
        <v>1</v>
      </c>
      <c r="E966" s="12">
        <v>2</v>
      </c>
      <c r="F966" s="12">
        <v>33</v>
      </c>
      <c r="G966" s="17">
        <v>26</v>
      </c>
      <c r="H966" s="12">
        <v>0</v>
      </c>
      <c r="M966"/>
    </row>
    <row r="967" spans="1:13">
      <c r="A967" s="44" t="s">
        <v>142</v>
      </c>
      <c r="B967" s="44">
        <v>555323</v>
      </c>
      <c r="C967" s="44" t="s">
        <v>372</v>
      </c>
      <c r="D967" s="11">
        <v>1</v>
      </c>
      <c r="E967" s="12">
        <v>0</v>
      </c>
      <c r="F967" s="12">
        <v>3</v>
      </c>
      <c r="G967" s="17">
        <v>1</v>
      </c>
      <c r="H967" s="12">
        <v>0</v>
      </c>
      <c r="M967"/>
    </row>
    <row r="968" spans="1:13">
      <c r="A968" s="44" t="s">
        <v>147</v>
      </c>
      <c r="B968" s="44">
        <v>127152</v>
      </c>
      <c r="C968" s="44" t="s">
        <v>1445</v>
      </c>
      <c r="D968" s="11">
        <v>0</v>
      </c>
      <c r="E968" s="12">
        <v>0</v>
      </c>
      <c r="F968" s="12">
        <v>1</v>
      </c>
      <c r="G968" s="17">
        <v>0</v>
      </c>
      <c r="H968" s="12">
        <v>0</v>
      </c>
      <c r="M968"/>
    </row>
    <row r="969" spans="1:13">
      <c r="A969" s="44" t="s">
        <v>145</v>
      </c>
      <c r="B969" s="44">
        <v>188445</v>
      </c>
      <c r="C969" s="44" t="s">
        <v>493</v>
      </c>
      <c r="D969" s="11">
        <v>1</v>
      </c>
      <c r="E969" s="12">
        <v>0</v>
      </c>
      <c r="F969" s="12">
        <v>3</v>
      </c>
      <c r="G969" s="17">
        <v>1</v>
      </c>
      <c r="H969" s="12">
        <v>0</v>
      </c>
      <c r="M969"/>
    </row>
    <row r="970" spans="1:13">
      <c r="A970" s="44" t="s">
        <v>4</v>
      </c>
      <c r="B970" s="44">
        <v>12325263</v>
      </c>
      <c r="C970" s="44" t="s">
        <v>48</v>
      </c>
      <c r="D970" s="11">
        <v>1</v>
      </c>
      <c r="E970" s="12">
        <v>0</v>
      </c>
      <c r="F970" s="12">
        <v>7</v>
      </c>
      <c r="G970" s="17">
        <v>5</v>
      </c>
      <c r="H970" s="12">
        <v>0</v>
      </c>
      <c r="M970"/>
    </row>
    <row r="971" spans="1:13">
      <c r="A971" s="44" t="s">
        <v>1140</v>
      </c>
      <c r="B971" s="44">
        <v>7988</v>
      </c>
      <c r="C971" s="44" t="s">
        <v>1446</v>
      </c>
      <c r="D971" s="11">
        <v>1</v>
      </c>
      <c r="E971" s="12">
        <v>0</v>
      </c>
      <c r="F971" s="12">
        <v>6</v>
      </c>
      <c r="G971" s="17">
        <v>3</v>
      </c>
      <c r="H971" s="12">
        <v>0</v>
      </c>
      <c r="M971"/>
    </row>
    <row r="972" spans="1:13">
      <c r="A972" s="44" t="s">
        <v>141</v>
      </c>
      <c r="B972" s="44">
        <v>12299384</v>
      </c>
      <c r="C972" s="44" t="s">
        <v>1447</v>
      </c>
      <c r="D972" s="11">
        <v>0</v>
      </c>
      <c r="E972" s="12">
        <v>0</v>
      </c>
      <c r="F972" s="12">
        <v>0</v>
      </c>
      <c r="G972" s="17">
        <v>0</v>
      </c>
      <c r="H972" s="12">
        <v>0</v>
      </c>
      <c r="M972"/>
    </row>
    <row r="973" spans="1:13">
      <c r="A973" s="44" t="s">
        <v>157</v>
      </c>
      <c r="B973" s="44">
        <v>61900</v>
      </c>
      <c r="C973" s="44" t="s">
        <v>1061</v>
      </c>
      <c r="D973" s="11">
        <v>1</v>
      </c>
      <c r="E973" s="12">
        <v>0</v>
      </c>
      <c r="F973" s="12">
        <v>3</v>
      </c>
      <c r="G973" s="17">
        <v>3</v>
      </c>
      <c r="H973" s="12">
        <v>0</v>
      </c>
      <c r="M973"/>
    </row>
    <row r="974" spans="1:13">
      <c r="A974" s="44">
        <v>2613051451</v>
      </c>
      <c r="B974" s="44">
        <v>357600</v>
      </c>
      <c r="C974" s="44" t="s">
        <v>1448</v>
      </c>
      <c r="D974" s="11">
        <v>0</v>
      </c>
      <c r="E974" s="12">
        <v>0</v>
      </c>
      <c r="F974" s="12">
        <v>4</v>
      </c>
      <c r="G974" s="17">
        <v>0</v>
      </c>
      <c r="H974" s="12">
        <v>0</v>
      </c>
      <c r="M974"/>
    </row>
    <row r="975" spans="1:13">
      <c r="A975" s="44" t="s">
        <v>149</v>
      </c>
      <c r="B975" s="44">
        <v>12295860</v>
      </c>
      <c r="C975" s="44" t="s">
        <v>764</v>
      </c>
      <c r="D975" s="11">
        <v>0</v>
      </c>
      <c r="E975" s="12">
        <v>0</v>
      </c>
      <c r="F975" s="12">
        <v>3</v>
      </c>
      <c r="G975" s="17">
        <v>0</v>
      </c>
      <c r="H975" s="12">
        <v>0</v>
      </c>
      <c r="M975"/>
    </row>
    <row r="976" spans="1:13">
      <c r="A976" s="44" t="s">
        <v>145</v>
      </c>
      <c r="B976" s="44">
        <v>477032</v>
      </c>
      <c r="C976" s="44" t="s">
        <v>512</v>
      </c>
      <c r="D976" s="11">
        <v>1</v>
      </c>
      <c r="E976" s="12">
        <v>0</v>
      </c>
      <c r="F976" s="12">
        <v>2</v>
      </c>
      <c r="G976" s="17">
        <v>1</v>
      </c>
      <c r="H976" s="12">
        <v>0</v>
      </c>
      <c r="M976"/>
    </row>
    <row r="977" spans="1:13">
      <c r="A977" s="44" t="s">
        <v>158</v>
      </c>
      <c r="B977" s="44">
        <v>373926</v>
      </c>
      <c r="C977" s="44" t="s">
        <v>1449</v>
      </c>
      <c r="D977" s="11">
        <v>1</v>
      </c>
      <c r="E977" s="12">
        <v>0</v>
      </c>
      <c r="F977" s="12">
        <v>4</v>
      </c>
      <c r="G977" s="17">
        <v>1</v>
      </c>
      <c r="H977" s="12">
        <v>0</v>
      </c>
      <c r="M977"/>
    </row>
    <row r="978" spans="1:13">
      <c r="A978" s="44" t="s">
        <v>1136</v>
      </c>
      <c r="B978" s="44">
        <v>12323668</v>
      </c>
      <c r="C978" s="44" t="s">
        <v>169</v>
      </c>
      <c r="D978" s="11">
        <v>0</v>
      </c>
      <c r="E978" s="12">
        <v>0</v>
      </c>
      <c r="F978" s="12">
        <v>3</v>
      </c>
      <c r="G978" s="17">
        <v>0</v>
      </c>
      <c r="H978" s="12">
        <v>0</v>
      </c>
      <c r="M978"/>
    </row>
    <row r="979" spans="1:13">
      <c r="A979" s="44" t="s">
        <v>4</v>
      </c>
      <c r="B979" s="44">
        <v>278608</v>
      </c>
      <c r="C979" s="44" t="s">
        <v>55</v>
      </c>
      <c r="D979" s="11">
        <v>0</v>
      </c>
      <c r="E979" s="12">
        <v>1</v>
      </c>
      <c r="F979" s="12">
        <v>2</v>
      </c>
      <c r="G979" s="17">
        <v>0</v>
      </c>
      <c r="H979" s="12">
        <v>0</v>
      </c>
      <c r="M979"/>
    </row>
    <row r="980" spans="1:13">
      <c r="A980" s="44" t="s">
        <v>1140</v>
      </c>
      <c r="B980" s="44">
        <v>545535</v>
      </c>
      <c r="C980" s="44" t="s">
        <v>1450</v>
      </c>
      <c r="D980" s="11">
        <v>0</v>
      </c>
      <c r="E980" s="12">
        <v>0</v>
      </c>
      <c r="F980" s="12">
        <v>0</v>
      </c>
      <c r="G980" s="17">
        <v>0</v>
      </c>
      <c r="H980" s="12">
        <v>0</v>
      </c>
      <c r="M980"/>
    </row>
    <row r="981" spans="1:13">
      <c r="A981" s="44" t="s">
        <v>147</v>
      </c>
      <c r="B981" s="44">
        <v>246734</v>
      </c>
      <c r="C981" s="44" t="s">
        <v>605</v>
      </c>
      <c r="D981" s="11">
        <v>0</v>
      </c>
      <c r="E981" s="12">
        <v>0</v>
      </c>
      <c r="F981" s="12">
        <v>1</v>
      </c>
      <c r="G981" s="17">
        <v>0</v>
      </c>
      <c r="H981" s="12">
        <v>0</v>
      </c>
      <c r="M981"/>
    </row>
    <row r="982" spans="1:13">
      <c r="A982" s="44" t="s">
        <v>148</v>
      </c>
      <c r="B982" s="44">
        <v>436841</v>
      </c>
      <c r="C982" s="44" t="s">
        <v>1451</v>
      </c>
      <c r="D982" s="11">
        <v>1</v>
      </c>
      <c r="E982" s="12">
        <v>0</v>
      </c>
      <c r="F982" s="12">
        <v>5</v>
      </c>
      <c r="G982" s="17">
        <v>1</v>
      </c>
      <c r="H982" s="12">
        <v>0</v>
      </c>
      <c r="M982"/>
    </row>
    <row r="983" spans="1:13">
      <c r="A983" s="44" t="s">
        <v>1140</v>
      </c>
      <c r="B983" s="44">
        <v>188722</v>
      </c>
      <c r="C983" s="44" t="s">
        <v>1452</v>
      </c>
      <c r="D983" s="11">
        <v>0</v>
      </c>
      <c r="E983" s="12">
        <v>0</v>
      </c>
      <c r="F983" s="12">
        <v>6</v>
      </c>
      <c r="G983" s="17">
        <v>0</v>
      </c>
      <c r="H983" s="12">
        <v>0</v>
      </c>
      <c r="M983"/>
    </row>
    <row r="984" spans="1:13">
      <c r="A984" s="44" t="s">
        <v>1136</v>
      </c>
      <c r="B984" s="44">
        <v>458896</v>
      </c>
      <c r="C984" s="44" t="s">
        <v>1453</v>
      </c>
      <c r="D984" s="11">
        <v>1</v>
      </c>
      <c r="E984" s="12">
        <v>0</v>
      </c>
      <c r="F984" s="12">
        <v>4</v>
      </c>
      <c r="G984" s="17">
        <v>4</v>
      </c>
      <c r="H984" s="12">
        <v>0</v>
      </c>
      <c r="M984"/>
    </row>
    <row r="985" spans="1:13">
      <c r="A985" s="44" t="s">
        <v>146</v>
      </c>
      <c r="B985" s="44">
        <v>12322292</v>
      </c>
      <c r="C985" s="44" t="s">
        <v>533</v>
      </c>
      <c r="D985" s="11">
        <v>0</v>
      </c>
      <c r="E985" s="12">
        <v>0</v>
      </c>
      <c r="F985" s="12">
        <v>1</v>
      </c>
      <c r="G985" s="17">
        <v>0</v>
      </c>
      <c r="H985" s="12">
        <v>0</v>
      </c>
      <c r="M985"/>
    </row>
    <row r="986" spans="1:13">
      <c r="A986" s="44" t="s">
        <v>3</v>
      </c>
      <c r="B986" s="44">
        <v>12295626</v>
      </c>
      <c r="C986" s="44" t="s">
        <v>12</v>
      </c>
      <c r="D986" s="11">
        <v>0</v>
      </c>
      <c r="E986" s="12">
        <v>0</v>
      </c>
      <c r="F986" s="12">
        <v>0</v>
      </c>
      <c r="G986" s="17">
        <v>0</v>
      </c>
      <c r="H986" s="12">
        <v>0</v>
      </c>
      <c r="M986"/>
    </row>
    <row r="987" spans="1:13">
      <c r="A987" s="44" t="s">
        <v>3</v>
      </c>
      <c r="B987" s="44">
        <v>525590</v>
      </c>
      <c r="C987" s="44" t="s">
        <v>1103</v>
      </c>
      <c r="D987" s="11">
        <v>1</v>
      </c>
      <c r="E987" s="12">
        <v>0</v>
      </c>
      <c r="F987" s="12">
        <v>4</v>
      </c>
      <c r="G987" s="17">
        <v>3</v>
      </c>
      <c r="H987" s="12">
        <v>0</v>
      </c>
      <c r="M987"/>
    </row>
    <row r="988" spans="1:13">
      <c r="A988" s="44" t="s">
        <v>143</v>
      </c>
      <c r="B988" s="44">
        <v>570748</v>
      </c>
      <c r="C988" s="44" t="s">
        <v>1454</v>
      </c>
      <c r="D988" s="11">
        <v>0</v>
      </c>
      <c r="E988" s="12">
        <v>0</v>
      </c>
      <c r="F988" s="12">
        <v>3</v>
      </c>
      <c r="G988" s="17">
        <v>0</v>
      </c>
      <c r="H988" s="12">
        <v>0</v>
      </c>
      <c r="M988"/>
    </row>
    <row r="989" spans="1:13">
      <c r="A989" s="44" t="s">
        <v>150</v>
      </c>
      <c r="B989" s="44">
        <v>262784</v>
      </c>
      <c r="C989" s="44" t="s">
        <v>817</v>
      </c>
      <c r="D989" s="11">
        <v>1</v>
      </c>
      <c r="E989" s="12">
        <v>0</v>
      </c>
      <c r="F989" s="12">
        <v>6</v>
      </c>
      <c r="G989" s="17">
        <v>1</v>
      </c>
      <c r="H989" s="12">
        <v>0</v>
      </c>
      <c r="M989"/>
    </row>
    <row r="990" spans="1:13">
      <c r="A990" s="44" t="s">
        <v>149</v>
      </c>
      <c r="B990" s="44">
        <v>62165</v>
      </c>
      <c r="C990" s="44" t="s">
        <v>802</v>
      </c>
      <c r="D990" s="11">
        <v>1</v>
      </c>
      <c r="E990" s="12">
        <v>2</v>
      </c>
      <c r="F990" s="12">
        <v>5</v>
      </c>
      <c r="G990" s="17">
        <v>6</v>
      </c>
      <c r="H990" s="12">
        <v>1</v>
      </c>
      <c r="M990"/>
    </row>
    <row r="991" spans="1:13">
      <c r="A991" s="44" t="s">
        <v>3</v>
      </c>
      <c r="B991" s="44">
        <v>523935</v>
      </c>
      <c r="C991" s="44" t="s">
        <v>1104</v>
      </c>
      <c r="D991" s="11">
        <v>1</v>
      </c>
      <c r="E991" s="12">
        <v>0</v>
      </c>
      <c r="F991" s="12">
        <v>1</v>
      </c>
      <c r="G991" s="17">
        <v>1</v>
      </c>
      <c r="H991" s="12">
        <v>0</v>
      </c>
      <c r="M991"/>
    </row>
    <row r="992" spans="1:13">
      <c r="A992" s="44" t="s">
        <v>141</v>
      </c>
      <c r="B992" s="44">
        <v>12299376</v>
      </c>
      <c r="C992" s="44" t="s">
        <v>186</v>
      </c>
      <c r="D992" s="11">
        <v>0</v>
      </c>
      <c r="E992" s="12">
        <v>0</v>
      </c>
      <c r="F992" s="12">
        <v>3</v>
      </c>
      <c r="G992" s="17">
        <v>0</v>
      </c>
      <c r="H992" s="12">
        <v>0</v>
      </c>
      <c r="M992"/>
    </row>
    <row r="993" spans="1:13">
      <c r="A993" s="44" t="s">
        <v>142</v>
      </c>
      <c r="B993" s="44">
        <v>547191</v>
      </c>
      <c r="C993" s="44" t="s">
        <v>368</v>
      </c>
      <c r="D993" s="11">
        <v>1</v>
      </c>
      <c r="E993" s="12">
        <v>0</v>
      </c>
      <c r="F993" s="12">
        <v>6</v>
      </c>
      <c r="G993" s="17">
        <v>5</v>
      </c>
      <c r="H993" s="12">
        <v>0</v>
      </c>
      <c r="M993"/>
    </row>
    <row r="994" spans="1:13">
      <c r="A994" s="44" t="s">
        <v>157</v>
      </c>
      <c r="B994" s="44">
        <v>538088</v>
      </c>
      <c r="C994" s="44" t="s">
        <v>1055</v>
      </c>
      <c r="D994" s="11">
        <v>1</v>
      </c>
      <c r="E994" s="12">
        <v>0</v>
      </c>
      <c r="F994" s="12">
        <v>0</v>
      </c>
      <c r="G994" s="17">
        <v>3</v>
      </c>
      <c r="H994" s="12">
        <v>3</v>
      </c>
      <c r="M994"/>
    </row>
    <row r="995" spans="1:13">
      <c r="A995" s="44" t="s">
        <v>4</v>
      </c>
      <c r="B995" s="44">
        <v>12295542</v>
      </c>
      <c r="C995" s="44" t="s">
        <v>41</v>
      </c>
      <c r="D995" s="11">
        <v>1</v>
      </c>
      <c r="E995" s="12">
        <v>0</v>
      </c>
      <c r="F995" s="12">
        <v>10</v>
      </c>
      <c r="G995" s="17">
        <v>3</v>
      </c>
      <c r="H995" s="12">
        <v>0</v>
      </c>
      <c r="M995"/>
    </row>
    <row r="996" spans="1:13">
      <c r="A996" s="44" t="s">
        <v>5</v>
      </c>
      <c r="B996" s="44">
        <v>514589</v>
      </c>
      <c r="C996" s="44" t="s">
        <v>102</v>
      </c>
      <c r="D996" s="11">
        <v>1</v>
      </c>
      <c r="E996" s="12">
        <v>1</v>
      </c>
      <c r="F996" s="12">
        <v>7</v>
      </c>
      <c r="G996" s="17">
        <v>1</v>
      </c>
      <c r="H996" s="12">
        <v>0</v>
      </c>
      <c r="M996"/>
    </row>
    <row r="997" spans="1:13">
      <c r="A997" s="44" t="s">
        <v>149</v>
      </c>
      <c r="B997" s="44">
        <v>12318696</v>
      </c>
      <c r="C997" s="44" t="s">
        <v>768</v>
      </c>
      <c r="D997" s="11">
        <v>1</v>
      </c>
      <c r="E997" s="12">
        <v>0</v>
      </c>
      <c r="F997" s="12">
        <v>30</v>
      </c>
      <c r="G997" s="17">
        <v>14</v>
      </c>
      <c r="H997" s="12">
        <v>0</v>
      </c>
      <c r="M997"/>
    </row>
    <row r="998" spans="1:13">
      <c r="A998" s="44" t="s">
        <v>1140</v>
      </c>
      <c r="B998" s="44">
        <v>61953</v>
      </c>
      <c r="C998" s="44" t="s">
        <v>1455</v>
      </c>
      <c r="D998" s="11">
        <v>1</v>
      </c>
      <c r="E998" s="12">
        <v>0</v>
      </c>
      <c r="F998" s="12">
        <v>3</v>
      </c>
      <c r="G998" s="17">
        <v>3</v>
      </c>
      <c r="H998" s="12">
        <v>0</v>
      </c>
      <c r="M998"/>
    </row>
    <row r="999" spans="1:13">
      <c r="A999" s="44" t="s">
        <v>141</v>
      </c>
      <c r="B999" s="44">
        <v>12295821</v>
      </c>
      <c r="C999" s="44" t="s">
        <v>179</v>
      </c>
      <c r="D999" s="11">
        <v>0</v>
      </c>
      <c r="E999" s="12">
        <v>0</v>
      </c>
      <c r="F999" s="12">
        <v>0</v>
      </c>
      <c r="G999" s="17">
        <v>0</v>
      </c>
      <c r="H999" s="12">
        <v>0</v>
      </c>
      <c r="M999"/>
    </row>
    <row r="1000" spans="1:13">
      <c r="A1000" s="44" t="s">
        <v>136</v>
      </c>
      <c r="B1000" s="44">
        <v>442473</v>
      </c>
      <c r="C1000" s="44" t="s">
        <v>406</v>
      </c>
      <c r="D1000" s="11">
        <v>1</v>
      </c>
      <c r="E1000" s="12">
        <v>0</v>
      </c>
      <c r="F1000" s="12">
        <v>1</v>
      </c>
      <c r="G1000" s="17">
        <v>10</v>
      </c>
      <c r="H1000" s="12">
        <v>9</v>
      </c>
      <c r="M1000"/>
    </row>
    <row r="1001" spans="1:13">
      <c r="A1001" s="44" t="s">
        <v>140</v>
      </c>
      <c r="B1001" s="44">
        <v>211748</v>
      </c>
      <c r="C1001" s="44" t="s">
        <v>466</v>
      </c>
      <c r="D1001" s="11">
        <v>0</v>
      </c>
      <c r="E1001" s="12">
        <v>0</v>
      </c>
      <c r="F1001" s="12">
        <v>3</v>
      </c>
      <c r="G1001" s="17">
        <v>0</v>
      </c>
      <c r="H1001" s="12">
        <v>0</v>
      </c>
      <c r="M1001"/>
    </row>
    <row r="1002" spans="1:13">
      <c r="A1002" s="44">
        <v>2613050886</v>
      </c>
      <c r="B1002" s="44">
        <v>468701</v>
      </c>
      <c r="C1002" s="44" t="s">
        <v>1456</v>
      </c>
      <c r="D1002" s="11">
        <v>1</v>
      </c>
      <c r="E1002" s="12">
        <v>1</v>
      </c>
      <c r="F1002" s="12">
        <v>4</v>
      </c>
      <c r="G1002" s="17">
        <v>3</v>
      </c>
      <c r="H1002" s="12">
        <v>0</v>
      </c>
      <c r="M1002"/>
    </row>
    <row r="1003" spans="1:13">
      <c r="A1003" s="44">
        <v>2613051043</v>
      </c>
      <c r="B1003" s="44">
        <v>12296824</v>
      </c>
      <c r="C1003" s="44" t="s">
        <v>444</v>
      </c>
      <c r="D1003" s="11">
        <v>0</v>
      </c>
      <c r="E1003" s="12">
        <v>0</v>
      </c>
      <c r="F1003" s="12">
        <v>1</v>
      </c>
      <c r="G1003" s="17">
        <v>0</v>
      </c>
      <c r="H1003" s="12">
        <v>0</v>
      </c>
      <c r="M1003"/>
    </row>
    <row r="1004" spans="1:13">
      <c r="A1004" s="44">
        <v>2613051475</v>
      </c>
      <c r="B1004" s="44">
        <v>252235</v>
      </c>
      <c r="C1004" s="44" t="s">
        <v>174</v>
      </c>
      <c r="D1004" s="11">
        <v>0</v>
      </c>
      <c r="E1004" s="12">
        <v>0</v>
      </c>
      <c r="F1004" s="12">
        <v>2</v>
      </c>
      <c r="G1004" s="17">
        <v>0</v>
      </c>
      <c r="H1004" s="12">
        <v>0</v>
      </c>
      <c r="M1004"/>
    </row>
    <row r="1005" spans="1:13">
      <c r="A1005" s="44" t="s">
        <v>5</v>
      </c>
      <c r="B1005" s="44">
        <v>483240</v>
      </c>
      <c r="C1005" s="44" t="s">
        <v>1105</v>
      </c>
      <c r="D1005" s="11">
        <v>0</v>
      </c>
      <c r="E1005" s="12">
        <v>0</v>
      </c>
      <c r="F1005" s="12">
        <v>3</v>
      </c>
      <c r="G1005" s="17">
        <v>0</v>
      </c>
      <c r="H1005" s="12">
        <v>0</v>
      </c>
      <c r="M1005"/>
    </row>
    <row r="1006" spans="1:13">
      <c r="A1006" s="44" t="s">
        <v>149</v>
      </c>
      <c r="B1006" s="44">
        <v>62052</v>
      </c>
      <c r="C1006" s="44" t="s">
        <v>801</v>
      </c>
      <c r="D1006" s="11">
        <v>0</v>
      </c>
      <c r="E1006" s="12">
        <v>0</v>
      </c>
      <c r="F1006" s="12">
        <v>1</v>
      </c>
      <c r="G1006" s="17">
        <v>0</v>
      </c>
      <c r="H1006" s="12">
        <v>0</v>
      </c>
      <c r="M1006"/>
    </row>
    <row r="1007" spans="1:13">
      <c r="A1007" s="44" t="s">
        <v>1136</v>
      </c>
      <c r="B1007" s="44">
        <v>540749</v>
      </c>
      <c r="C1007" s="44" t="s">
        <v>1457</v>
      </c>
      <c r="D1007" s="11">
        <v>0</v>
      </c>
      <c r="E1007" s="12">
        <v>0</v>
      </c>
      <c r="F1007" s="12">
        <v>0</v>
      </c>
      <c r="G1007" s="17">
        <v>0</v>
      </c>
      <c r="H1007" s="12">
        <v>0</v>
      </c>
      <c r="M1007"/>
    </row>
    <row r="1008" spans="1:13">
      <c r="A1008" s="44" t="s">
        <v>141</v>
      </c>
      <c r="B1008" s="44">
        <v>527203</v>
      </c>
      <c r="C1008" s="44" t="s">
        <v>1458</v>
      </c>
      <c r="D1008" s="11">
        <v>1</v>
      </c>
      <c r="E1008" s="12">
        <v>0</v>
      </c>
      <c r="F1008" s="12">
        <v>1</v>
      </c>
      <c r="G1008" s="17">
        <v>1</v>
      </c>
      <c r="H1008" s="12">
        <v>0</v>
      </c>
      <c r="M1008"/>
    </row>
    <row r="1009" spans="1:13">
      <c r="A1009" s="44" t="s">
        <v>4</v>
      </c>
      <c r="B1009" s="44">
        <v>510053</v>
      </c>
      <c r="C1009" s="44" t="s">
        <v>61</v>
      </c>
      <c r="D1009" s="11">
        <v>0</v>
      </c>
      <c r="E1009" s="12">
        <v>0</v>
      </c>
      <c r="F1009" s="12">
        <v>3</v>
      </c>
      <c r="G1009" s="17">
        <v>0</v>
      </c>
      <c r="H1009" s="12">
        <v>0</v>
      </c>
      <c r="M1009"/>
    </row>
    <row r="1010" spans="1:13">
      <c r="A1010" s="44">
        <v>2613050886</v>
      </c>
      <c r="B1010" s="44">
        <v>571604</v>
      </c>
      <c r="C1010" s="44" t="s">
        <v>1459</v>
      </c>
      <c r="D1010" s="11">
        <v>1</v>
      </c>
      <c r="E1010" s="12">
        <v>0</v>
      </c>
      <c r="F1010" s="12">
        <v>7</v>
      </c>
      <c r="G1010" s="17">
        <v>11</v>
      </c>
      <c r="H1010" s="12">
        <v>4</v>
      </c>
      <c r="M1010"/>
    </row>
    <row r="1011" spans="1:13">
      <c r="A1011" s="44">
        <v>2613051043</v>
      </c>
      <c r="B1011" s="44">
        <v>12296817</v>
      </c>
      <c r="C1011" s="44" t="s">
        <v>441</v>
      </c>
      <c r="D1011" s="11">
        <v>0</v>
      </c>
      <c r="E1011" s="12">
        <v>0</v>
      </c>
      <c r="F1011" s="12">
        <v>0</v>
      </c>
      <c r="G1011" s="17">
        <v>0</v>
      </c>
      <c r="H1011" s="12">
        <v>0</v>
      </c>
      <c r="M1011"/>
    </row>
    <row r="1012" spans="1:13">
      <c r="A1012" s="44">
        <v>2613050885</v>
      </c>
      <c r="B1012" s="44">
        <v>514233</v>
      </c>
      <c r="C1012" s="44" t="s">
        <v>295</v>
      </c>
      <c r="D1012" s="11">
        <v>1</v>
      </c>
      <c r="E1012" s="12">
        <v>0</v>
      </c>
      <c r="F1012" s="12">
        <v>3</v>
      </c>
      <c r="G1012" s="17">
        <v>3</v>
      </c>
      <c r="H1012" s="12">
        <v>0</v>
      </c>
      <c r="M1012"/>
    </row>
    <row r="1013" spans="1:13">
      <c r="A1013" s="44">
        <v>2613052222</v>
      </c>
      <c r="B1013" s="44">
        <v>453185</v>
      </c>
      <c r="C1013" s="44" t="s">
        <v>697</v>
      </c>
      <c r="D1013" s="11">
        <v>1</v>
      </c>
      <c r="E1013" s="12">
        <v>0</v>
      </c>
      <c r="F1013" s="12">
        <v>4</v>
      </c>
      <c r="G1013" s="17">
        <v>3</v>
      </c>
      <c r="H1013" s="12">
        <v>0</v>
      </c>
      <c r="M1013"/>
    </row>
    <row r="1014" spans="1:13">
      <c r="A1014" s="44" t="s">
        <v>141</v>
      </c>
      <c r="B1014" s="44">
        <v>549031</v>
      </c>
      <c r="C1014" s="44" t="s">
        <v>1460</v>
      </c>
      <c r="D1014" s="11">
        <v>0</v>
      </c>
      <c r="E1014" s="12">
        <v>0</v>
      </c>
      <c r="F1014" s="12">
        <v>0</v>
      </c>
      <c r="G1014" s="17">
        <v>0</v>
      </c>
      <c r="H1014" s="12">
        <v>0</v>
      </c>
      <c r="M1014"/>
    </row>
    <row r="1015" spans="1:13">
      <c r="A1015" s="44" t="s">
        <v>156</v>
      </c>
      <c r="B1015" s="44">
        <v>62229</v>
      </c>
      <c r="C1015" s="44" t="s">
        <v>1461</v>
      </c>
      <c r="D1015" s="11">
        <v>1</v>
      </c>
      <c r="E1015" s="12">
        <v>0</v>
      </c>
      <c r="F1015" s="12">
        <v>1</v>
      </c>
      <c r="G1015" s="17">
        <v>1</v>
      </c>
      <c r="H1015" s="12">
        <v>0</v>
      </c>
      <c r="M1015"/>
    </row>
    <row r="1016" spans="1:13">
      <c r="A1016" s="44" t="s">
        <v>154</v>
      </c>
      <c r="B1016" s="44">
        <v>62307</v>
      </c>
      <c r="C1016" s="44" t="s">
        <v>1462</v>
      </c>
      <c r="D1016" s="11">
        <v>1</v>
      </c>
      <c r="E1016" s="12">
        <v>0</v>
      </c>
      <c r="F1016" s="12">
        <v>3</v>
      </c>
      <c r="G1016" s="17">
        <v>1</v>
      </c>
      <c r="H1016" s="12">
        <v>0</v>
      </c>
      <c r="M1016"/>
    </row>
    <row r="1017" spans="1:13">
      <c r="A1017" s="44" t="s">
        <v>142</v>
      </c>
      <c r="B1017" s="44">
        <v>412232</v>
      </c>
      <c r="C1017" s="44" t="s">
        <v>354</v>
      </c>
      <c r="D1017" s="11">
        <v>1</v>
      </c>
      <c r="E1017" s="12">
        <v>0</v>
      </c>
      <c r="F1017" s="12">
        <v>4</v>
      </c>
      <c r="G1017" s="17">
        <v>1</v>
      </c>
      <c r="H1017" s="12">
        <v>0</v>
      </c>
      <c r="M1017"/>
    </row>
    <row r="1018" spans="1:13">
      <c r="A1018" s="44" t="s">
        <v>4</v>
      </c>
      <c r="B1018" s="44">
        <v>12295717</v>
      </c>
      <c r="C1018" s="44" t="s">
        <v>42</v>
      </c>
      <c r="D1018" s="11">
        <v>0</v>
      </c>
      <c r="E1018" s="12">
        <v>0</v>
      </c>
      <c r="F1018" s="12">
        <v>3</v>
      </c>
      <c r="G1018" s="17">
        <v>0</v>
      </c>
      <c r="H1018" s="12">
        <v>0</v>
      </c>
      <c r="M1018"/>
    </row>
    <row r="1019" spans="1:13">
      <c r="A1019" s="44" t="s">
        <v>143</v>
      </c>
      <c r="B1019" s="44">
        <v>562928</v>
      </c>
      <c r="C1019" s="44" t="s">
        <v>273</v>
      </c>
      <c r="D1019" s="11">
        <v>0</v>
      </c>
      <c r="E1019" s="12">
        <v>0</v>
      </c>
      <c r="F1019" s="12">
        <v>2</v>
      </c>
      <c r="G1019" s="17">
        <v>0</v>
      </c>
      <c r="H1019" s="12">
        <v>0</v>
      </c>
      <c r="M1019"/>
    </row>
    <row r="1020" spans="1:13">
      <c r="A1020" s="44" t="s">
        <v>146</v>
      </c>
      <c r="B1020" s="44">
        <v>242231</v>
      </c>
      <c r="C1020" s="44" t="s">
        <v>541</v>
      </c>
      <c r="D1020" s="11">
        <v>0</v>
      </c>
      <c r="E1020" s="12">
        <v>0</v>
      </c>
      <c r="F1020" s="12">
        <v>3</v>
      </c>
      <c r="G1020" s="17">
        <v>0</v>
      </c>
      <c r="H1020" s="12">
        <v>0</v>
      </c>
      <c r="M1020"/>
    </row>
    <row r="1021" spans="1:13">
      <c r="A1021" s="44">
        <v>2613050886</v>
      </c>
      <c r="B1021" s="44">
        <v>512469</v>
      </c>
      <c r="C1021" s="44" t="s">
        <v>327</v>
      </c>
      <c r="D1021" s="11">
        <v>0</v>
      </c>
      <c r="E1021" s="12">
        <v>0</v>
      </c>
      <c r="F1021" s="12">
        <v>0</v>
      </c>
      <c r="G1021" s="17">
        <v>0</v>
      </c>
      <c r="H1021" s="12">
        <v>0</v>
      </c>
      <c r="M1021"/>
    </row>
    <row r="1022" spans="1:13">
      <c r="A1022" s="44" t="s">
        <v>143</v>
      </c>
      <c r="B1022" s="44">
        <v>401367</v>
      </c>
      <c r="C1022" s="44" t="s">
        <v>257</v>
      </c>
      <c r="D1022" s="11">
        <v>1</v>
      </c>
      <c r="E1022" s="12">
        <v>0</v>
      </c>
      <c r="F1022" s="12">
        <v>4</v>
      </c>
      <c r="G1022" s="17">
        <v>2</v>
      </c>
      <c r="H1022" s="12">
        <v>0</v>
      </c>
      <c r="M1022"/>
    </row>
    <row r="1023" spans="1:13">
      <c r="A1023" s="44" t="s">
        <v>155</v>
      </c>
      <c r="B1023" s="44">
        <v>61564</v>
      </c>
      <c r="C1023" s="44" t="s">
        <v>954</v>
      </c>
      <c r="D1023" s="11">
        <v>1</v>
      </c>
      <c r="E1023" s="12">
        <v>0</v>
      </c>
      <c r="F1023" s="12">
        <v>3</v>
      </c>
      <c r="G1023" s="17">
        <v>6</v>
      </c>
      <c r="H1023" s="12">
        <v>3</v>
      </c>
      <c r="M1023"/>
    </row>
    <row r="1024" spans="1:13">
      <c r="A1024" s="44" t="s">
        <v>157</v>
      </c>
      <c r="B1024" s="44">
        <v>61561</v>
      </c>
      <c r="C1024" s="44" t="s">
        <v>1058</v>
      </c>
      <c r="D1024" s="11">
        <v>0</v>
      </c>
      <c r="E1024" s="12">
        <v>1</v>
      </c>
      <c r="F1024" s="12">
        <v>2</v>
      </c>
      <c r="G1024" s="17">
        <v>0</v>
      </c>
      <c r="H1024" s="12">
        <v>0</v>
      </c>
      <c r="M1024"/>
    </row>
    <row r="1025" spans="1:13">
      <c r="A1025" s="44" t="s">
        <v>137</v>
      </c>
      <c r="B1025" s="44">
        <v>12295986</v>
      </c>
      <c r="C1025" s="44" t="s">
        <v>422</v>
      </c>
      <c r="D1025" s="11">
        <v>1</v>
      </c>
      <c r="E1025" s="12">
        <v>0</v>
      </c>
      <c r="F1025" s="12">
        <v>2</v>
      </c>
      <c r="G1025" s="17">
        <v>1</v>
      </c>
      <c r="H1025" s="12">
        <v>0</v>
      </c>
      <c r="M1025"/>
    </row>
    <row r="1026" spans="1:13">
      <c r="A1026" s="44" t="s">
        <v>145</v>
      </c>
      <c r="B1026" s="44">
        <v>12320371</v>
      </c>
      <c r="C1026" s="44" t="s">
        <v>487</v>
      </c>
      <c r="D1026" s="11">
        <v>0</v>
      </c>
      <c r="E1026" s="12">
        <v>0</v>
      </c>
      <c r="F1026" s="12">
        <v>1</v>
      </c>
      <c r="G1026" s="17">
        <v>0</v>
      </c>
      <c r="H1026" s="12">
        <v>0</v>
      </c>
      <c r="M1026"/>
    </row>
    <row r="1027" spans="1:13">
      <c r="A1027" s="44" t="s">
        <v>149</v>
      </c>
      <c r="B1027" s="44">
        <v>244995</v>
      </c>
      <c r="C1027" s="44" t="s">
        <v>774</v>
      </c>
      <c r="D1027" s="11">
        <v>0</v>
      </c>
      <c r="E1027" s="12">
        <v>0</v>
      </c>
      <c r="F1027" s="12">
        <v>3</v>
      </c>
      <c r="G1027" s="17">
        <v>0</v>
      </c>
      <c r="H1027" s="12">
        <v>0</v>
      </c>
      <c r="M1027"/>
    </row>
    <row r="1028" spans="1:13">
      <c r="A1028" s="44" t="s">
        <v>158</v>
      </c>
      <c r="B1028" s="44">
        <v>12330562</v>
      </c>
      <c r="C1028" s="44" t="s">
        <v>1463</v>
      </c>
      <c r="D1028" s="11">
        <v>1</v>
      </c>
      <c r="E1028" s="12">
        <v>0</v>
      </c>
      <c r="F1028" s="12">
        <v>3</v>
      </c>
      <c r="G1028" s="17">
        <v>2</v>
      </c>
      <c r="H1028" s="12">
        <v>0</v>
      </c>
      <c r="M1028"/>
    </row>
    <row r="1029" spans="1:13">
      <c r="A1029" s="44" t="s">
        <v>151</v>
      </c>
      <c r="B1029" s="44">
        <v>224007</v>
      </c>
      <c r="C1029" s="44" t="s">
        <v>861</v>
      </c>
      <c r="D1029" s="11">
        <v>1</v>
      </c>
      <c r="E1029" s="12">
        <v>2</v>
      </c>
      <c r="F1029" s="12">
        <v>2</v>
      </c>
      <c r="G1029" s="17">
        <v>1</v>
      </c>
      <c r="H1029" s="12">
        <v>0</v>
      </c>
      <c r="M1029"/>
    </row>
    <row r="1030" spans="1:13">
      <c r="A1030" s="44" t="s">
        <v>154</v>
      </c>
      <c r="B1030" s="44">
        <v>562050</v>
      </c>
      <c r="C1030" s="44" t="s">
        <v>1464</v>
      </c>
      <c r="D1030" s="11">
        <v>0</v>
      </c>
      <c r="E1030" s="12">
        <v>0</v>
      </c>
      <c r="F1030" s="12">
        <v>0</v>
      </c>
      <c r="G1030" s="17">
        <v>0</v>
      </c>
      <c r="H1030" s="12">
        <v>0</v>
      </c>
      <c r="M1030"/>
    </row>
    <row r="1031" spans="1:13">
      <c r="A1031" s="44" t="s">
        <v>1140</v>
      </c>
      <c r="B1031" s="44">
        <v>61664</v>
      </c>
      <c r="C1031" s="44" t="s">
        <v>1465</v>
      </c>
      <c r="D1031" s="11">
        <v>1</v>
      </c>
      <c r="E1031" s="12">
        <v>0</v>
      </c>
      <c r="F1031" s="12">
        <v>2</v>
      </c>
      <c r="G1031" s="17">
        <v>3</v>
      </c>
      <c r="H1031" s="12">
        <v>1</v>
      </c>
      <c r="M1031"/>
    </row>
    <row r="1032" spans="1:13">
      <c r="A1032" s="44">
        <v>2613050885</v>
      </c>
      <c r="B1032" s="44">
        <v>523919</v>
      </c>
      <c r="C1032" s="44" t="s">
        <v>1466</v>
      </c>
      <c r="D1032" s="11">
        <v>1</v>
      </c>
      <c r="E1032" s="12">
        <v>0</v>
      </c>
      <c r="F1032" s="12">
        <v>4</v>
      </c>
      <c r="G1032" s="17">
        <v>4</v>
      </c>
      <c r="H1032" s="12">
        <v>0</v>
      </c>
      <c r="M1032"/>
    </row>
    <row r="1033" spans="1:13">
      <c r="A1033" s="44" t="s">
        <v>143</v>
      </c>
      <c r="B1033" s="44">
        <v>3135</v>
      </c>
      <c r="C1033" s="44" t="s">
        <v>255</v>
      </c>
      <c r="D1033" s="11">
        <v>0</v>
      </c>
      <c r="E1033" s="12">
        <v>0</v>
      </c>
      <c r="F1033" s="12">
        <v>2</v>
      </c>
      <c r="G1033" s="17">
        <v>0</v>
      </c>
      <c r="H1033" s="12">
        <v>0</v>
      </c>
      <c r="M1033"/>
    </row>
    <row r="1034" spans="1:13">
      <c r="A1034" s="44" t="s">
        <v>4</v>
      </c>
      <c r="B1034" s="44">
        <v>12323463</v>
      </c>
      <c r="C1034" s="44" t="s">
        <v>47</v>
      </c>
      <c r="D1034" s="11">
        <v>1</v>
      </c>
      <c r="E1034" s="12">
        <v>0</v>
      </c>
      <c r="F1034" s="12">
        <v>76</v>
      </c>
      <c r="G1034" s="17">
        <v>15</v>
      </c>
      <c r="H1034" s="12">
        <v>0</v>
      </c>
      <c r="M1034"/>
    </row>
    <row r="1035" spans="1:13">
      <c r="A1035" s="44">
        <v>2613051451</v>
      </c>
      <c r="B1035" s="44">
        <v>12300575</v>
      </c>
      <c r="C1035" s="44" t="s">
        <v>377</v>
      </c>
      <c r="D1035" s="11">
        <v>0</v>
      </c>
      <c r="E1035" s="12">
        <v>0</v>
      </c>
      <c r="F1035" s="12">
        <v>0</v>
      </c>
      <c r="G1035" s="17">
        <v>0</v>
      </c>
      <c r="H1035" s="12">
        <v>0</v>
      </c>
      <c r="M1035"/>
    </row>
    <row r="1036" spans="1:13">
      <c r="A1036" s="44" t="s">
        <v>3</v>
      </c>
      <c r="B1036" s="44">
        <v>524281</v>
      </c>
      <c r="C1036" s="44" t="s">
        <v>32</v>
      </c>
      <c r="D1036" s="11">
        <v>1</v>
      </c>
      <c r="E1036" s="12">
        <v>0</v>
      </c>
      <c r="F1036" s="12">
        <v>0</v>
      </c>
      <c r="G1036" s="17">
        <v>1</v>
      </c>
      <c r="H1036" s="12">
        <v>1</v>
      </c>
      <c r="M1036"/>
    </row>
    <row r="1037" spans="1:13">
      <c r="A1037" s="44" t="s">
        <v>157</v>
      </c>
      <c r="B1037" s="44">
        <v>67028</v>
      </c>
      <c r="C1037" s="44" t="s">
        <v>716</v>
      </c>
      <c r="D1037" s="11">
        <v>1</v>
      </c>
      <c r="E1037" s="12">
        <v>0</v>
      </c>
      <c r="F1037" s="12">
        <v>5</v>
      </c>
      <c r="G1037" s="17">
        <v>3</v>
      </c>
      <c r="H1037" s="12">
        <v>0</v>
      </c>
      <c r="M1037"/>
    </row>
    <row r="1038" spans="1:13">
      <c r="A1038" s="44" t="s">
        <v>150</v>
      </c>
      <c r="B1038" s="44">
        <v>270056</v>
      </c>
      <c r="C1038" s="44" t="s">
        <v>820</v>
      </c>
      <c r="D1038" s="11">
        <v>1</v>
      </c>
      <c r="E1038" s="12">
        <v>0</v>
      </c>
      <c r="F1038" s="12">
        <v>3</v>
      </c>
      <c r="G1038" s="17">
        <v>2</v>
      </c>
      <c r="H1038" s="12">
        <v>0</v>
      </c>
      <c r="M1038"/>
    </row>
    <row r="1039" spans="1:13">
      <c r="A1039" s="44">
        <v>2613051043</v>
      </c>
      <c r="B1039" s="44">
        <v>12296815</v>
      </c>
      <c r="C1039" s="44" t="s">
        <v>439</v>
      </c>
      <c r="D1039" s="11">
        <v>0</v>
      </c>
      <c r="E1039" s="12">
        <v>0</v>
      </c>
      <c r="F1039" s="12">
        <v>1</v>
      </c>
      <c r="G1039" s="17">
        <v>0</v>
      </c>
      <c r="H1039" s="12">
        <v>0</v>
      </c>
      <c r="M1039"/>
    </row>
    <row r="1040" spans="1:13">
      <c r="A1040" s="44">
        <v>2613052584</v>
      </c>
      <c r="B1040" s="44">
        <v>305020</v>
      </c>
      <c r="C1040" s="44" t="s">
        <v>564</v>
      </c>
      <c r="D1040" s="11">
        <v>0</v>
      </c>
      <c r="E1040" s="12">
        <v>0</v>
      </c>
      <c r="F1040" s="12">
        <v>0</v>
      </c>
      <c r="G1040" s="17">
        <v>0</v>
      </c>
      <c r="H1040" s="12">
        <v>0</v>
      </c>
      <c r="M1040"/>
    </row>
    <row r="1041" spans="1:13">
      <c r="A1041" s="44" t="s">
        <v>145</v>
      </c>
      <c r="B1041" s="44">
        <v>556459</v>
      </c>
      <c r="C1041" s="44" t="s">
        <v>519</v>
      </c>
      <c r="D1041" s="11">
        <v>1</v>
      </c>
      <c r="E1041" s="12">
        <v>0</v>
      </c>
      <c r="F1041" s="12">
        <v>3</v>
      </c>
      <c r="G1041" s="17">
        <v>2</v>
      </c>
      <c r="H1041" s="12">
        <v>0</v>
      </c>
      <c r="M1041"/>
    </row>
    <row r="1042" spans="1:13">
      <c r="A1042" s="44" t="s">
        <v>147</v>
      </c>
      <c r="B1042" s="44">
        <v>62130</v>
      </c>
      <c r="C1042" s="44" t="s">
        <v>619</v>
      </c>
      <c r="D1042" s="11">
        <v>1</v>
      </c>
      <c r="E1042" s="12">
        <v>0</v>
      </c>
      <c r="F1042" s="12">
        <v>3</v>
      </c>
      <c r="G1042" s="17">
        <v>1</v>
      </c>
      <c r="H1042" s="12">
        <v>0</v>
      </c>
      <c r="M1042"/>
    </row>
    <row r="1043" spans="1:13">
      <c r="A1043" s="44" t="s">
        <v>144</v>
      </c>
      <c r="B1043" s="44">
        <v>579337</v>
      </c>
      <c r="C1043" s="44" t="s">
        <v>1467</v>
      </c>
      <c r="D1043" s="11">
        <v>1</v>
      </c>
      <c r="E1043" s="12">
        <v>0</v>
      </c>
      <c r="F1043" s="12">
        <v>5</v>
      </c>
      <c r="G1043" s="17">
        <v>3</v>
      </c>
      <c r="H1043" s="12">
        <v>0</v>
      </c>
      <c r="M1043"/>
    </row>
    <row r="1044" spans="1:13">
      <c r="A1044" s="44">
        <v>2613051475</v>
      </c>
      <c r="B1044" s="44">
        <v>328295</v>
      </c>
      <c r="C1044" s="44" t="s">
        <v>898</v>
      </c>
      <c r="D1044" s="11">
        <v>1</v>
      </c>
      <c r="E1044" s="12">
        <v>0</v>
      </c>
      <c r="F1044" s="12">
        <v>2</v>
      </c>
      <c r="G1044" s="17">
        <v>1</v>
      </c>
      <c r="H1044" s="12">
        <v>0</v>
      </c>
      <c r="M1044"/>
    </row>
    <row r="1045" spans="1:13">
      <c r="A1045" s="44" t="s">
        <v>141</v>
      </c>
      <c r="B1045" s="44">
        <v>12299382</v>
      </c>
      <c r="C1045" s="44" t="s">
        <v>1468</v>
      </c>
      <c r="D1045" s="11">
        <v>0</v>
      </c>
      <c r="E1045" s="12">
        <v>0</v>
      </c>
      <c r="F1045" s="12">
        <v>8</v>
      </c>
      <c r="G1045" s="17">
        <v>0</v>
      </c>
      <c r="H1045" s="12">
        <v>0</v>
      </c>
      <c r="M1045"/>
    </row>
    <row r="1046" spans="1:13">
      <c r="A1046" s="44" t="s">
        <v>148</v>
      </c>
      <c r="B1046" s="44">
        <v>243187</v>
      </c>
      <c r="C1046" s="44" t="s">
        <v>1134</v>
      </c>
      <c r="D1046" s="11">
        <v>1</v>
      </c>
      <c r="E1046" s="12">
        <v>0</v>
      </c>
      <c r="F1046" s="12">
        <v>1</v>
      </c>
      <c r="G1046" s="17">
        <v>1</v>
      </c>
      <c r="H1046" s="12">
        <v>0</v>
      </c>
      <c r="M1046"/>
    </row>
    <row r="1047" spans="1:13">
      <c r="A1047" s="44">
        <v>2613050886</v>
      </c>
      <c r="B1047" s="44">
        <v>562457</v>
      </c>
      <c r="C1047" s="44" t="s">
        <v>338</v>
      </c>
      <c r="D1047" s="11">
        <v>0</v>
      </c>
      <c r="E1047" s="12">
        <v>0</v>
      </c>
      <c r="F1047" s="12">
        <v>1</v>
      </c>
      <c r="G1047" s="17">
        <v>0</v>
      </c>
      <c r="H1047" s="12">
        <v>0</v>
      </c>
      <c r="M1047"/>
    </row>
    <row r="1048" spans="1:13">
      <c r="A1048" s="44" t="s">
        <v>5</v>
      </c>
      <c r="B1048" s="44">
        <v>12302808</v>
      </c>
      <c r="C1048" s="44" t="s">
        <v>1106</v>
      </c>
      <c r="D1048" s="11">
        <v>0</v>
      </c>
      <c r="E1048" s="12">
        <v>0</v>
      </c>
      <c r="F1048" s="12">
        <v>3</v>
      </c>
      <c r="G1048" s="17">
        <v>0</v>
      </c>
      <c r="H1048" s="12">
        <v>0</v>
      </c>
      <c r="M1048"/>
    </row>
    <row r="1049" spans="1:13">
      <c r="A1049" s="44" t="s">
        <v>3</v>
      </c>
      <c r="B1049" s="44">
        <v>542823</v>
      </c>
      <c r="C1049" s="44" t="s">
        <v>35</v>
      </c>
      <c r="D1049" s="11">
        <v>1</v>
      </c>
      <c r="E1049" s="12">
        <v>0</v>
      </c>
      <c r="F1049" s="12">
        <v>5</v>
      </c>
      <c r="G1049" s="17">
        <v>3</v>
      </c>
      <c r="H1049" s="12">
        <v>0</v>
      </c>
      <c r="M1049"/>
    </row>
    <row r="1050" spans="1:13">
      <c r="A1050" s="44" t="s">
        <v>153</v>
      </c>
      <c r="B1050" s="44">
        <v>199253</v>
      </c>
      <c r="C1050" s="44" t="s">
        <v>1469</v>
      </c>
      <c r="D1050" s="11">
        <v>0</v>
      </c>
      <c r="E1050" s="12">
        <v>0</v>
      </c>
      <c r="F1050" s="12">
        <v>3</v>
      </c>
      <c r="G1050" s="17">
        <v>0</v>
      </c>
      <c r="H1050" s="12">
        <v>0</v>
      </c>
      <c r="M1050"/>
    </row>
    <row r="1051" spans="1:13">
      <c r="A1051" s="44">
        <v>2613051475</v>
      </c>
      <c r="B1051" s="44">
        <v>476211</v>
      </c>
      <c r="C1051" s="44" t="s">
        <v>905</v>
      </c>
      <c r="D1051" s="11">
        <v>0</v>
      </c>
      <c r="E1051" s="12">
        <v>0</v>
      </c>
      <c r="F1051" s="12">
        <v>0</v>
      </c>
      <c r="G1051" s="17">
        <v>0</v>
      </c>
      <c r="H1051" s="12">
        <v>0</v>
      </c>
      <c r="M1051"/>
    </row>
    <row r="1052" spans="1:13">
      <c r="A1052" s="44" t="s">
        <v>4</v>
      </c>
      <c r="B1052" s="44">
        <v>530345</v>
      </c>
      <c r="C1052" s="44" t="s">
        <v>64</v>
      </c>
      <c r="D1052" s="11">
        <v>0</v>
      </c>
      <c r="E1052" s="12">
        <v>0</v>
      </c>
      <c r="F1052" s="12">
        <v>2</v>
      </c>
      <c r="G1052" s="17">
        <v>0</v>
      </c>
      <c r="H1052" s="12">
        <v>0</v>
      </c>
      <c r="M1052"/>
    </row>
    <row r="1053" spans="1:13">
      <c r="A1053" s="44" t="s">
        <v>148</v>
      </c>
      <c r="B1053" s="44">
        <v>458900</v>
      </c>
      <c r="C1053" s="44" t="s">
        <v>647</v>
      </c>
      <c r="D1053" s="11">
        <v>1</v>
      </c>
      <c r="E1053" s="12">
        <v>0</v>
      </c>
      <c r="F1053" s="12">
        <v>2</v>
      </c>
      <c r="G1053" s="17">
        <v>1</v>
      </c>
      <c r="H1053" s="12">
        <v>0</v>
      </c>
      <c r="M1053"/>
    </row>
    <row r="1054" spans="1:13">
      <c r="A1054" s="44" t="s">
        <v>150</v>
      </c>
      <c r="B1054" s="44">
        <v>283425</v>
      </c>
      <c r="C1054" s="44" t="s">
        <v>822</v>
      </c>
      <c r="D1054" s="11">
        <v>0</v>
      </c>
      <c r="E1054" s="12">
        <v>0</v>
      </c>
      <c r="F1054" s="12">
        <v>1</v>
      </c>
      <c r="G1054" s="17">
        <v>0</v>
      </c>
      <c r="H1054" s="12">
        <v>0</v>
      </c>
      <c r="M1054"/>
    </row>
    <row r="1055" spans="1:13">
      <c r="A1055" s="44">
        <v>2613051451</v>
      </c>
      <c r="B1055" s="44">
        <v>402298</v>
      </c>
      <c r="C1055" s="44" t="s">
        <v>1470</v>
      </c>
      <c r="D1055" s="11">
        <v>1</v>
      </c>
      <c r="E1055" s="12">
        <v>0</v>
      </c>
      <c r="F1055" s="12">
        <v>8</v>
      </c>
      <c r="G1055" s="17">
        <v>1</v>
      </c>
      <c r="H1055" s="12">
        <v>0</v>
      </c>
      <c r="M1055"/>
    </row>
    <row r="1056" spans="1:13">
      <c r="A1056" s="44" t="s">
        <v>156</v>
      </c>
      <c r="B1056" s="44">
        <v>384508</v>
      </c>
      <c r="C1056" s="44" t="s">
        <v>989</v>
      </c>
      <c r="D1056" s="11">
        <v>0</v>
      </c>
      <c r="E1056" s="12">
        <v>0</v>
      </c>
      <c r="F1056" s="12">
        <v>4</v>
      </c>
      <c r="G1056" s="17">
        <v>0</v>
      </c>
      <c r="H1056" s="12">
        <v>0</v>
      </c>
      <c r="M1056"/>
    </row>
    <row r="1057" spans="1:13">
      <c r="A1057" s="44" t="s">
        <v>140</v>
      </c>
      <c r="B1057" s="44">
        <v>211660</v>
      </c>
      <c r="C1057" s="44" t="s">
        <v>465</v>
      </c>
      <c r="D1057" s="11">
        <v>1</v>
      </c>
      <c r="E1057" s="12">
        <v>0</v>
      </c>
      <c r="F1057" s="12">
        <v>5</v>
      </c>
      <c r="G1057" s="17">
        <v>1</v>
      </c>
      <c r="H1057" s="12">
        <v>0</v>
      </c>
      <c r="M1057"/>
    </row>
    <row r="1058" spans="1:13">
      <c r="A1058" s="44">
        <v>2613050885</v>
      </c>
      <c r="B1058" s="44">
        <v>512770</v>
      </c>
      <c r="C1058" s="44" t="s">
        <v>1471</v>
      </c>
      <c r="D1058" s="11">
        <v>0</v>
      </c>
      <c r="E1058" s="12">
        <v>0</v>
      </c>
      <c r="F1058" s="12">
        <v>1</v>
      </c>
      <c r="G1058" s="17">
        <v>0</v>
      </c>
      <c r="H1058" s="12">
        <v>0</v>
      </c>
      <c r="M1058"/>
    </row>
    <row r="1059" spans="1:13">
      <c r="A1059" s="44" t="s">
        <v>141</v>
      </c>
      <c r="B1059" s="44">
        <v>476239</v>
      </c>
      <c r="C1059" s="44" t="s">
        <v>203</v>
      </c>
      <c r="D1059" s="11">
        <v>0</v>
      </c>
      <c r="E1059" s="12">
        <v>0</v>
      </c>
      <c r="F1059" s="12">
        <v>0</v>
      </c>
      <c r="G1059" s="17">
        <v>0</v>
      </c>
      <c r="H1059" s="12">
        <v>0</v>
      </c>
      <c r="M1059"/>
    </row>
    <row r="1060" spans="1:13">
      <c r="A1060" s="44" t="s">
        <v>149</v>
      </c>
      <c r="B1060" s="44">
        <v>222817</v>
      </c>
      <c r="C1060" s="44" t="s">
        <v>771</v>
      </c>
      <c r="D1060" s="11">
        <v>1</v>
      </c>
      <c r="E1060" s="12">
        <v>0</v>
      </c>
      <c r="F1060" s="12">
        <v>55</v>
      </c>
      <c r="G1060" s="17">
        <v>40</v>
      </c>
      <c r="H1060" s="12">
        <v>0</v>
      </c>
      <c r="M1060"/>
    </row>
    <row r="1061" spans="1:13">
      <c r="A1061" s="44" t="s">
        <v>153</v>
      </c>
      <c r="B1061" s="44">
        <v>475859</v>
      </c>
      <c r="C1061" s="44" t="s">
        <v>729</v>
      </c>
      <c r="D1061" s="11">
        <v>0</v>
      </c>
      <c r="E1061" s="12">
        <v>0</v>
      </c>
      <c r="F1061" s="12">
        <v>3</v>
      </c>
      <c r="G1061" s="17">
        <v>0</v>
      </c>
      <c r="H1061" s="12">
        <v>0</v>
      </c>
      <c r="M1061"/>
    </row>
    <row r="1062" spans="1:13">
      <c r="A1062" s="44" t="s">
        <v>155</v>
      </c>
      <c r="B1062" s="44">
        <v>282319</v>
      </c>
      <c r="C1062" s="44" t="s">
        <v>936</v>
      </c>
      <c r="D1062" s="11">
        <v>1</v>
      </c>
      <c r="E1062" s="12">
        <v>0</v>
      </c>
      <c r="F1062" s="12">
        <v>3</v>
      </c>
      <c r="G1062" s="17">
        <v>3</v>
      </c>
      <c r="H1062" s="12">
        <v>0</v>
      </c>
      <c r="M1062"/>
    </row>
    <row r="1063" spans="1:13">
      <c r="A1063" s="44" t="s">
        <v>144</v>
      </c>
      <c r="B1063" s="44">
        <v>2815</v>
      </c>
      <c r="C1063" s="44" t="s">
        <v>223</v>
      </c>
      <c r="D1063" s="11">
        <v>1</v>
      </c>
      <c r="E1063" s="12">
        <v>0</v>
      </c>
      <c r="F1063" s="12">
        <v>1</v>
      </c>
      <c r="G1063" s="17">
        <v>1</v>
      </c>
      <c r="H1063" s="12">
        <v>0</v>
      </c>
      <c r="M1063"/>
    </row>
    <row r="1064" spans="1:13">
      <c r="A1064" s="44" t="s">
        <v>140</v>
      </c>
      <c r="B1064" s="44">
        <v>265677</v>
      </c>
      <c r="C1064" s="44" t="s">
        <v>469</v>
      </c>
      <c r="D1064" s="11">
        <v>0</v>
      </c>
      <c r="E1064" s="12">
        <v>0</v>
      </c>
      <c r="F1064" s="12">
        <v>0</v>
      </c>
      <c r="G1064" s="17">
        <v>0</v>
      </c>
      <c r="H1064" s="12">
        <v>0</v>
      </c>
      <c r="M1064"/>
    </row>
    <row r="1065" spans="1:13">
      <c r="A1065" s="44" t="s">
        <v>155</v>
      </c>
      <c r="B1065" s="44">
        <v>261870</v>
      </c>
      <c r="C1065" s="44" t="s">
        <v>934</v>
      </c>
      <c r="D1065" s="11">
        <v>0</v>
      </c>
      <c r="E1065" s="12">
        <v>0</v>
      </c>
      <c r="F1065" s="12">
        <v>3</v>
      </c>
      <c r="G1065" s="17">
        <v>0</v>
      </c>
      <c r="H1065" s="12">
        <v>0</v>
      </c>
      <c r="M1065"/>
    </row>
    <row r="1066" spans="1:13">
      <c r="A1066" s="44" t="s">
        <v>154</v>
      </c>
      <c r="B1066" s="44">
        <v>576113</v>
      </c>
      <c r="C1066" s="44" t="s">
        <v>755</v>
      </c>
      <c r="D1066" s="11">
        <v>0</v>
      </c>
      <c r="E1066" s="12">
        <v>0</v>
      </c>
      <c r="F1066" s="12">
        <v>3</v>
      </c>
      <c r="G1066" s="17">
        <v>0</v>
      </c>
      <c r="H1066" s="12">
        <v>0</v>
      </c>
      <c r="M1066"/>
    </row>
    <row r="1067" spans="1:13">
      <c r="A1067" s="44" t="s">
        <v>137</v>
      </c>
      <c r="B1067" s="44">
        <v>12296327</v>
      </c>
      <c r="C1067" s="44" t="s">
        <v>1472</v>
      </c>
      <c r="D1067" s="11">
        <v>0</v>
      </c>
      <c r="E1067" s="12">
        <v>0</v>
      </c>
      <c r="F1067" s="12">
        <v>0</v>
      </c>
      <c r="G1067" s="17">
        <v>0</v>
      </c>
      <c r="H1067" s="12">
        <v>0</v>
      </c>
      <c r="M1067"/>
    </row>
    <row r="1068" spans="1:13">
      <c r="A1068" s="44" t="s">
        <v>1140</v>
      </c>
      <c r="B1068" s="44">
        <v>413177</v>
      </c>
      <c r="C1068" s="44" t="s">
        <v>1473</v>
      </c>
      <c r="D1068" s="11">
        <v>0</v>
      </c>
      <c r="E1068" s="12">
        <v>0</v>
      </c>
      <c r="F1068" s="12">
        <v>2</v>
      </c>
      <c r="G1068" s="17">
        <v>0</v>
      </c>
      <c r="H1068" s="12">
        <v>0</v>
      </c>
      <c r="M1068"/>
    </row>
    <row r="1069" spans="1:13">
      <c r="A1069" s="44" t="s">
        <v>153</v>
      </c>
      <c r="B1069" s="44">
        <v>527199</v>
      </c>
      <c r="C1069" s="44" t="s">
        <v>731</v>
      </c>
      <c r="D1069" s="11">
        <v>1</v>
      </c>
      <c r="E1069" s="12">
        <v>0</v>
      </c>
      <c r="F1069" s="12">
        <v>1</v>
      </c>
      <c r="G1069" s="17">
        <v>1</v>
      </c>
      <c r="H1069" s="12">
        <v>0</v>
      </c>
      <c r="M1069"/>
    </row>
    <row r="1070" spans="1:13">
      <c r="A1070" s="44" t="s">
        <v>150</v>
      </c>
      <c r="B1070" s="44">
        <v>214353</v>
      </c>
      <c r="C1070" s="44" t="s">
        <v>810</v>
      </c>
      <c r="D1070" s="11">
        <v>0</v>
      </c>
      <c r="E1070" s="12">
        <v>0</v>
      </c>
      <c r="F1070" s="12">
        <v>0</v>
      </c>
      <c r="G1070" s="17">
        <v>0</v>
      </c>
      <c r="H1070" s="12">
        <v>0</v>
      </c>
      <c r="M1070"/>
    </row>
    <row r="1071" spans="1:13">
      <c r="A1071" s="44" t="s">
        <v>157</v>
      </c>
      <c r="B1071" s="44">
        <v>494952</v>
      </c>
      <c r="C1071" s="44" t="s">
        <v>1047</v>
      </c>
      <c r="D1071" s="11">
        <v>0</v>
      </c>
      <c r="E1071" s="12">
        <v>0</v>
      </c>
      <c r="F1071" s="12">
        <v>3</v>
      </c>
      <c r="G1071" s="17">
        <v>0</v>
      </c>
      <c r="H1071" s="12">
        <v>0</v>
      </c>
      <c r="M1071"/>
    </row>
    <row r="1072" spans="1:13">
      <c r="A1072" s="44" t="s">
        <v>1140</v>
      </c>
      <c r="B1072" s="44">
        <v>385480</v>
      </c>
      <c r="C1072" s="44" t="s">
        <v>1474</v>
      </c>
      <c r="D1072" s="11">
        <v>1</v>
      </c>
      <c r="E1072" s="12">
        <v>0</v>
      </c>
      <c r="F1072" s="12">
        <v>3</v>
      </c>
      <c r="G1072" s="17">
        <v>2</v>
      </c>
      <c r="H1072" s="12">
        <v>0</v>
      </c>
      <c r="M1072"/>
    </row>
    <row r="1073" spans="1:13">
      <c r="A1073" s="44">
        <v>2613050885</v>
      </c>
      <c r="B1073" s="44">
        <v>211677</v>
      </c>
      <c r="C1073" s="44" t="s">
        <v>1475</v>
      </c>
      <c r="D1073" s="11">
        <v>0</v>
      </c>
      <c r="E1073" s="12">
        <v>0</v>
      </c>
      <c r="F1073" s="12">
        <v>0</v>
      </c>
      <c r="G1073" s="17">
        <v>0</v>
      </c>
      <c r="H1073" s="12">
        <v>0</v>
      </c>
      <c r="M1073"/>
    </row>
    <row r="1074" spans="1:13">
      <c r="A1074" s="44" t="s">
        <v>5</v>
      </c>
      <c r="B1074" s="44">
        <v>342829</v>
      </c>
      <c r="C1074" s="44" t="s">
        <v>1107</v>
      </c>
      <c r="D1074" s="11">
        <v>0</v>
      </c>
      <c r="E1074" s="12">
        <v>0</v>
      </c>
      <c r="F1074" s="12">
        <v>4</v>
      </c>
      <c r="G1074" s="17">
        <v>0</v>
      </c>
      <c r="H1074" s="12">
        <v>0</v>
      </c>
      <c r="M1074"/>
    </row>
    <row r="1075" spans="1:13">
      <c r="A1075" s="44" t="s">
        <v>142</v>
      </c>
      <c r="B1075" s="44">
        <v>12300221</v>
      </c>
      <c r="C1075" s="44" t="s">
        <v>343</v>
      </c>
      <c r="D1075" s="11">
        <v>1</v>
      </c>
      <c r="E1075" s="12">
        <v>0</v>
      </c>
      <c r="F1075" s="12">
        <v>3</v>
      </c>
      <c r="G1075" s="17">
        <v>4</v>
      </c>
      <c r="H1075" s="12">
        <v>1</v>
      </c>
      <c r="M1075"/>
    </row>
    <row r="1076" spans="1:13">
      <c r="A1076" s="44" t="s">
        <v>145</v>
      </c>
      <c r="B1076" s="44">
        <v>548338</v>
      </c>
      <c r="C1076" s="44" t="s">
        <v>518</v>
      </c>
      <c r="D1076" s="11">
        <v>0</v>
      </c>
      <c r="E1076" s="12">
        <v>0</v>
      </c>
      <c r="F1076" s="12">
        <v>3</v>
      </c>
      <c r="G1076" s="17">
        <v>0</v>
      </c>
      <c r="H1076" s="12">
        <v>0</v>
      </c>
      <c r="M1076"/>
    </row>
    <row r="1077" spans="1:13">
      <c r="A1077" s="44" t="s">
        <v>147</v>
      </c>
      <c r="B1077" s="44">
        <v>127187</v>
      </c>
      <c r="C1077" s="44" t="s">
        <v>1476</v>
      </c>
      <c r="D1077" s="11">
        <v>1</v>
      </c>
      <c r="E1077" s="12">
        <v>0</v>
      </c>
      <c r="F1077" s="12">
        <v>1</v>
      </c>
      <c r="G1077" s="17">
        <v>1</v>
      </c>
      <c r="H1077" s="12">
        <v>0</v>
      </c>
      <c r="M1077"/>
    </row>
    <row r="1078" spans="1:13">
      <c r="A1078" s="44" t="s">
        <v>4</v>
      </c>
      <c r="B1078" s="44">
        <v>12322483</v>
      </c>
      <c r="C1078" s="44" t="s">
        <v>46</v>
      </c>
      <c r="D1078" s="11">
        <v>1</v>
      </c>
      <c r="E1078" s="12">
        <v>0</v>
      </c>
      <c r="F1078" s="12">
        <v>5</v>
      </c>
      <c r="G1078" s="17">
        <v>5</v>
      </c>
      <c r="H1078" s="12">
        <v>0</v>
      </c>
      <c r="M1078"/>
    </row>
    <row r="1079" spans="1:13">
      <c r="A1079" s="44">
        <v>2613051475</v>
      </c>
      <c r="B1079" s="44">
        <v>274154</v>
      </c>
      <c r="C1079" s="44" t="s">
        <v>894</v>
      </c>
      <c r="D1079" s="11">
        <v>0</v>
      </c>
      <c r="E1079" s="12">
        <v>0</v>
      </c>
      <c r="F1079" s="12">
        <v>3</v>
      </c>
      <c r="G1079" s="17">
        <v>0</v>
      </c>
      <c r="H1079" s="12">
        <v>0</v>
      </c>
      <c r="M1079"/>
    </row>
    <row r="1080" spans="1:13">
      <c r="A1080" s="44" t="s">
        <v>4</v>
      </c>
      <c r="B1080" s="44">
        <v>12295887</v>
      </c>
      <c r="C1080" s="44" t="s">
        <v>43</v>
      </c>
      <c r="D1080" s="11">
        <v>1</v>
      </c>
      <c r="E1080" s="12">
        <v>0</v>
      </c>
      <c r="F1080" s="12">
        <v>5</v>
      </c>
      <c r="G1080" s="17">
        <v>5</v>
      </c>
      <c r="H1080" s="12">
        <v>0</v>
      </c>
      <c r="M1080"/>
    </row>
    <row r="1081" spans="1:13">
      <c r="A1081" s="44" t="s">
        <v>155</v>
      </c>
      <c r="B1081" s="44">
        <v>366683</v>
      </c>
      <c r="C1081" s="44" t="s">
        <v>939</v>
      </c>
      <c r="D1081" s="11">
        <v>0</v>
      </c>
      <c r="E1081" s="12">
        <v>0</v>
      </c>
      <c r="F1081" s="12">
        <v>3</v>
      </c>
      <c r="G1081" s="17">
        <v>0</v>
      </c>
      <c r="H1081" s="12">
        <v>0</v>
      </c>
      <c r="M1081"/>
    </row>
    <row r="1082" spans="1:13">
      <c r="A1082" s="44" t="s">
        <v>144</v>
      </c>
      <c r="B1082" s="44">
        <v>524127</v>
      </c>
      <c r="C1082" s="44" t="s">
        <v>1477</v>
      </c>
      <c r="D1082" s="11">
        <v>0</v>
      </c>
      <c r="E1082" s="12">
        <v>0</v>
      </c>
      <c r="F1082" s="12">
        <v>0</v>
      </c>
      <c r="G1082" s="17">
        <v>0</v>
      </c>
      <c r="H1082" s="12">
        <v>0</v>
      </c>
      <c r="M1082"/>
    </row>
    <row r="1083" spans="1:13">
      <c r="A1083" s="44" t="s">
        <v>1140</v>
      </c>
      <c r="B1083" s="44">
        <v>240043</v>
      </c>
      <c r="C1083" s="44" t="s">
        <v>1478</v>
      </c>
      <c r="D1083" s="11">
        <v>1</v>
      </c>
      <c r="E1083" s="12">
        <v>0</v>
      </c>
      <c r="F1083" s="12">
        <v>8</v>
      </c>
      <c r="G1083" s="17">
        <v>2</v>
      </c>
      <c r="H1083" s="12">
        <v>0</v>
      </c>
      <c r="M1083"/>
    </row>
    <row r="1084" spans="1:13">
      <c r="A1084" s="44" t="s">
        <v>149</v>
      </c>
      <c r="B1084" s="44">
        <v>390771</v>
      </c>
      <c r="C1084" s="44" t="s">
        <v>786</v>
      </c>
      <c r="D1084" s="11">
        <v>0</v>
      </c>
      <c r="E1084" s="12">
        <v>0</v>
      </c>
      <c r="F1084" s="12">
        <v>1</v>
      </c>
      <c r="G1084" s="17">
        <v>0</v>
      </c>
      <c r="H1084" s="12">
        <v>0</v>
      </c>
      <c r="M1084"/>
    </row>
    <row r="1085" spans="1:13">
      <c r="A1085" s="44" t="s">
        <v>149</v>
      </c>
      <c r="B1085" s="44">
        <v>404090</v>
      </c>
      <c r="C1085" s="44" t="s">
        <v>789</v>
      </c>
      <c r="D1085" s="11">
        <v>1</v>
      </c>
      <c r="E1085" s="12">
        <v>3</v>
      </c>
      <c r="F1085" s="12">
        <v>0</v>
      </c>
      <c r="G1085" s="17">
        <v>3</v>
      </c>
      <c r="H1085" s="12">
        <v>3</v>
      </c>
      <c r="M1085"/>
    </row>
    <row r="1086" spans="1:13">
      <c r="A1086" s="44" t="s">
        <v>146</v>
      </c>
      <c r="B1086" s="44">
        <v>405188</v>
      </c>
      <c r="C1086" s="44" t="s">
        <v>1479</v>
      </c>
      <c r="D1086" s="11">
        <v>0</v>
      </c>
      <c r="E1086" s="12">
        <v>1</v>
      </c>
      <c r="F1086" s="12">
        <v>4</v>
      </c>
      <c r="G1086" s="17">
        <v>0</v>
      </c>
      <c r="H1086" s="12">
        <v>0</v>
      </c>
      <c r="M1086"/>
    </row>
    <row r="1087" spans="1:13">
      <c r="A1087" s="44" t="s">
        <v>149</v>
      </c>
      <c r="B1087" s="44">
        <v>2772</v>
      </c>
      <c r="C1087" s="44" t="s">
        <v>776</v>
      </c>
      <c r="D1087" s="11">
        <v>1</v>
      </c>
      <c r="E1087" s="12">
        <v>0</v>
      </c>
      <c r="F1087" s="12">
        <v>1</v>
      </c>
      <c r="G1087" s="17">
        <v>1</v>
      </c>
      <c r="H1087" s="12">
        <v>0</v>
      </c>
      <c r="M1087"/>
    </row>
    <row r="1088" spans="1:13">
      <c r="A1088" s="44" t="s">
        <v>136</v>
      </c>
      <c r="B1088" s="44">
        <v>352910</v>
      </c>
      <c r="C1088" s="44" t="s">
        <v>1480</v>
      </c>
      <c r="D1088" s="11">
        <v>0</v>
      </c>
      <c r="E1088" s="12">
        <v>0</v>
      </c>
      <c r="F1088" s="12">
        <v>4</v>
      </c>
      <c r="G1088" s="17">
        <v>0</v>
      </c>
      <c r="H1088" s="12">
        <v>0</v>
      </c>
      <c r="M1088"/>
    </row>
    <row r="1089" spans="1:13">
      <c r="A1089" s="44" t="s">
        <v>5</v>
      </c>
      <c r="B1089" s="44">
        <v>481857</v>
      </c>
      <c r="C1089" s="44" t="s">
        <v>96</v>
      </c>
      <c r="D1089" s="11">
        <v>0</v>
      </c>
      <c r="E1089" s="12">
        <v>0</v>
      </c>
      <c r="F1089" s="12">
        <v>3</v>
      </c>
      <c r="G1089" s="17">
        <v>0</v>
      </c>
      <c r="H1089" s="12">
        <v>0</v>
      </c>
      <c r="M1089"/>
    </row>
    <row r="1090" spans="1:13">
      <c r="A1090" s="44" t="s">
        <v>155</v>
      </c>
      <c r="B1090" s="44">
        <v>282322</v>
      </c>
      <c r="C1090" s="44" t="s">
        <v>937</v>
      </c>
      <c r="D1090" s="11">
        <v>1</v>
      </c>
      <c r="E1090" s="12">
        <v>0</v>
      </c>
      <c r="F1090" s="12">
        <v>4</v>
      </c>
      <c r="G1090" s="17">
        <v>3</v>
      </c>
      <c r="H1090" s="12">
        <v>0</v>
      </c>
      <c r="M1090"/>
    </row>
    <row r="1091" spans="1:13">
      <c r="A1091" s="44" t="s">
        <v>146</v>
      </c>
      <c r="B1091" s="44">
        <v>63897</v>
      </c>
      <c r="C1091" s="44" t="s">
        <v>1481</v>
      </c>
      <c r="D1091" s="11">
        <v>0</v>
      </c>
      <c r="E1091" s="12">
        <v>0</v>
      </c>
      <c r="F1091" s="12">
        <v>5</v>
      </c>
      <c r="G1091" s="17">
        <v>0</v>
      </c>
      <c r="H1091" s="12">
        <v>0</v>
      </c>
      <c r="M1091"/>
    </row>
    <row r="1092" spans="1:13">
      <c r="A1092" s="44" t="s">
        <v>149</v>
      </c>
      <c r="B1092" s="44">
        <v>385457</v>
      </c>
      <c r="C1092" s="44" t="s">
        <v>785</v>
      </c>
      <c r="D1092" s="11">
        <v>1</v>
      </c>
      <c r="E1092" s="12">
        <v>0</v>
      </c>
      <c r="F1092" s="12">
        <v>4</v>
      </c>
      <c r="G1092" s="17">
        <v>4</v>
      </c>
      <c r="H1092" s="12">
        <v>0</v>
      </c>
      <c r="M1092"/>
    </row>
    <row r="1093" spans="1:13">
      <c r="A1093" s="44" t="s">
        <v>150</v>
      </c>
      <c r="B1093" s="44">
        <v>12325045</v>
      </c>
      <c r="C1093" s="44" t="s">
        <v>808</v>
      </c>
      <c r="D1093" s="11">
        <v>0</v>
      </c>
      <c r="E1093" s="12">
        <v>0</v>
      </c>
      <c r="F1093" s="12">
        <v>0</v>
      </c>
      <c r="G1093" s="17">
        <v>0</v>
      </c>
      <c r="H1093" s="12">
        <v>0</v>
      </c>
      <c r="M1093"/>
    </row>
    <row r="1094" spans="1:13">
      <c r="A1094" s="44" t="s">
        <v>153</v>
      </c>
      <c r="B1094" s="44">
        <v>67321</v>
      </c>
      <c r="C1094" s="44" t="s">
        <v>733</v>
      </c>
      <c r="D1094" s="11">
        <v>1</v>
      </c>
      <c r="E1094" s="12">
        <v>0</v>
      </c>
      <c r="F1094" s="12">
        <v>1</v>
      </c>
      <c r="G1094" s="17">
        <v>5</v>
      </c>
      <c r="H1094" s="12">
        <v>4</v>
      </c>
      <c r="M1094"/>
    </row>
    <row r="1095" spans="1:13">
      <c r="A1095" s="44" t="s">
        <v>153</v>
      </c>
      <c r="B1095" s="44">
        <v>249761</v>
      </c>
      <c r="C1095" s="44" t="s">
        <v>720</v>
      </c>
      <c r="D1095" s="11">
        <v>1</v>
      </c>
      <c r="E1095" s="12">
        <v>0</v>
      </c>
      <c r="F1095" s="12">
        <v>1</v>
      </c>
      <c r="G1095" s="17">
        <v>4</v>
      </c>
      <c r="H1095" s="12">
        <v>3</v>
      </c>
      <c r="M1095"/>
    </row>
    <row r="1096" spans="1:13">
      <c r="A1096" s="44">
        <v>2613051043</v>
      </c>
      <c r="B1096" s="44">
        <v>12297174</v>
      </c>
      <c r="C1096" s="44" t="s">
        <v>448</v>
      </c>
      <c r="D1096" s="11">
        <v>0</v>
      </c>
      <c r="E1096" s="12">
        <v>0</v>
      </c>
      <c r="F1096" s="12">
        <v>0</v>
      </c>
      <c r="G1096" s="17">
        <v>0</v>
      </c>
      <c r="H1096" s="12">
        <v>0</v>
      </c>
      <c r="M1096"/>
    </row>
    <row r="1097" spans="1:13">
      <c r="A1097" s="44" t="s">
        <v>150</v>
      </c>
      <c r="B1097" s="44">
        <v>366695</v>
      </c>
      <c r="C1097" s="44" t="s">
        <v>827</v>
      </c>
      <c r="D1097" s="11">
        <v>1</v>
      </c>
      <c r="E1097" s="12">
        <v>0</v>
      </c>
      <c r="F1097" s="12">
        <v>5</v>
      </c>
      <c r="G1097" s="17">
        <v>11</v>
      </c>
      <c r="H1097" s="12">
        <v>6</v>
      </c>
    </row>
    <row r="1098" spans="1:13">
      <c r="A1098" s="44" t="s">
        <v>137</v>
      </c>
      <c r="B1098" s="44">
        <v>12323426</v>
      </c>
      <c r="C1098" s="44" t="s">
        <v>1482</v>
      </c>
      <c r="D1098" s="11">
        <v>0</v>
      </c>
      <c r="E1098" s="12">
        <v>0</v>
      </c>
      <c r="F1098" s="12">
        <v>1</v>
      </c>
      <c r="G1098" s="17">
        <v>0</v>
      </c>
      <c r="H1098" s="12">
        <v>0</v>
      </c>
    </row>
    <row r="1099" spans="1:13">
      <c r="A1099" s="44">
        <v>2613050885</v>
      </c>
      <c r="B1099" s="44">
        <v>115236</v>
      </c>
      <c r="C1099" s="44" t="s">
        <v>1483</v>
      </c>
      <c r="D1099" s="11">
        <v>1</v>
      </c>
      <c r="E1099" s="12">
        <v>1</v>
      </c>
      <c r="F1099" s="12">
        <v>2</v>
      </c>
      <c r="G1099" s="17">
        <v>7</v>
      </c>
      <c r="H1099" s="12">
        <v>5</v>
      </c>
    </row>
    <row r="1100" spans="1:13">
      <c r="A1100" s="44" t="s">
        <v>5</v>
      </c>
      <c r="B1100" s="44">
        <v>562953</v>
      </c>
      <c r="C1100" s="44" t="s">
        <v>110</v>
      </c>
      <c r="D1100" s="11">
        <v>1</v>
      </c>
      <c r="E1100" s="12">
        <v>0</v>
      </c>
      <c r="F1100" s="12">
        <v>1</v>
      </c>
      <c r="G1100" s="17">
        <v>2</v>
      </c>
      <c r="H1100" s="12">
        <v>1</v>
      </c>
    </row>
    <row r="1101" spans="1:13">
      <c r="A1101" s="44" t="s">
        <v>154</v>
      </c>
      <c r="B1101" s="44">
        <v>311868</v>
      </c>
      <c r="C1101" s="44" t="s">
        <v>744</v>
      </c>
      <c r="D1101" s="11">
        <v>0</v>
      </c>
      <c r="E1101" s="12">
        <v>0</v>
      </c>
      <c r="F1101" s="12">
        <v>3</v>
      </c>
      <c r="G1101" s="17">
        <v>0</v>
      </c>
      <c r="H1101" s="12">
        <v>0</v>
      </c>
    </row>
    <row r="1102" spans="1:13">
      <c r="A1102" s="44" t="s">
        <v>157</v>
      </c>
      <c r="B1102" s="44">
        <v>470054</v>
      </c>
      <c r="C1102" s="44" t="s">
        <v>1046</v>
      </c>
      <c r="D1102" s="11">
        <v>0</v>
      </c>
      <c r="E1102" s="12">
        <v>0</v>
      </c>
      <c r="F1102" s="12">
        <v>0</v>
      </c>
      <c r="G1102" s="17">
        <v>0</v>
      </c>
      <c r="H1102" s="12">
        <v>0</v>
      </c>
    </row>
    <row r="1103" spans="1:13">
      <c r="A1103" s="44" t="s">
        <v>157</v>
      </c>
      <c r="B1103" s="44">
        <v>62205</v>
      </c>
      <c r="C1103" s="44" t="s">
        <v>1484</v>
      </c>
      <c r="D1103" s="11">
        <v>1</v>
      </c>
      <c r="E1103" s="12">
        <v>4</v>
      </c>
      <c r="F1103" s="12">
        <v>8</v>
      </c>
      <c r="G1103" s="17">
        <v>1</v>
      </c>
      <c r="H1103" s="12">
        <v>0</v>
      </c>
    </row>
    <row r="1104" spans="1:13">
      <c r="A1104" s="44" t="s">
        <v>4</v>
      </c>
      <c r="B1104" s="44">
        <v>523430</v>
      </c>
      <c r="C1104" s="44" t="s">
        <v>62</v>
      </c>
      <c r="D1104" s="11">
        <v>0</v>
      </c>
      <c r="E1104" s="12">
        <v>0</v>
      </c>
      <c r="F1104" s="12">
        <v>0</v>
      </c>
      <c r="G1104" s="17">
        <v>0</v>
      </c>
      <c r="H1104" s="12">
        <v>0</v>
      </c>
    </row>
    <row r="1105" spans="1:8">
      <c r="A1105" s="44" t="s">
        <v>157</v>
      </c>
      <c r="B1105" s="44">
        <v>525586</v>
      </c>
      <c r="C1105" s="44" t="s">
        <v>1050</v>
      </c>
      <c r="D1105" s="11">
        <v>1</v>
      </c>
      <c r="E1105" s="12">
        <v>0</v>
      </c>
      <c r="F1105" s="12">
        <v>1</v>
      </c>
      <c r="G1105" s="17">
        <v>3</v>
      </c>
      <c r="H1105" s="12">
        <v>2</v>
      </c>
    </row>
    <row r="1106" spans="1:8">
      <c r="A1106" s="44" t="s">
        <v>157</v>
      </c>
      <c r="B1106" s="44">
        <v>366549</v>
      </c>
      <c r="C1106" s="44" t="s">
        <v>1288</v>
      </c>
      <c r="D1106" s="11">
        <v>1</v>
      </c>
      <c r="E1106" s="12">
        <v>2</v>
      </c>
      <c r="F1106" s="12">
        <v>8</v>
      </c>
      <c r="G1106" s="17">
        <v>2</v>
      </c>
      <c r="H1106" s="12">
        <v>0</v>
      </c>
    </row>
    <row r="1107" spans="1:8">
      <c r="A1107" s="44" t="s">
        <v>158</v>
      </c>
      <c r="B1107" s="44">
        <v>240104</v>
      </c>
      <c r="C1107" s="44" t="s">
        <v>175</v>
      </c>
      <c r="D1107" s="11">
        <v>0</v>
      </c>
      <c r="E1107" s="12">
        <v>0</v>
      </c>
      <c r="F1107" s="12">
        <v>4</v>
      </c>
      <c r="G1107" s="17">
        <v>0</v>
      </c>
      <c r="H1107" s="12">
        <v>0</v>
      </c>
    </row>
    <row r="1108" spans="1:8">
      <c r="A1108" s="44" t="s">
        <v>154</v>
      </c>
      <c r="B1108" s="44">
        <v>532284</v>
      </c>
      <c r="C1108" s="44" t="s">
        <v>752</v>
      </c>
      <c r="D1108" s="11">
        <v>0</v>
      </c>
      <c r="E1108" s="12">
        <v>0</v>
      </c>
      <c r="F1108" s="12">
        <v>3</v>
      </c>
      <c r="G1108" s="17">
        <v>0</v>
      </c>
      <c r="H1108" s="12">
        <v>0</v>
      </c>
    </row>
    <row r="1109" spans="1:8">
      <c r="A1109" s="44" t="s">
        <v>4</v>
      </c>
      <c r="B1109" s="44">
        <v>345691</v>
      </c>
      <c r="C1109" s="44" t="s">
        <v>1108</v>
      </c>
      <c r="D1109" s="11">
        <v>0</v>
      </c>
      <c r="E1109" s="12">
        <v>0</v>
      </c>
      <c r="F1109" s="12">
        <v>3</v>
      </c>
      <c r="G1109" s="17">
        <v>0</v>
      </c>
      <c r="H1109" s="12">
        <v>0</v>
      </c>
    </row>
    <row r="1110" spans="1:8">
      <c r="A1110" s="44" t="s">
        <v>1140</v>
      </c>
      <c r="B1110" s="44">
        <v>2827</v>
      </c>
      <c r="C1110" s="44" t="s">
        <v>160</v>
      </c>
      <c r="D1110" s="11">
        <v>1</v>
      </c>
      <c r="E1110" s="12">
        <v>0</v>
      </c>
      <c r="F1110" s="12">
        <v>3</v>
      </c>
      <c r="G1110" s="17">
        <v>3</v>
      </c>
      <c r="H1110" s="12">
        <v>0</v>
      </c>
    </row>
    <row r="1111" spans="1:8">
      <c r="A1111" s="44">
        <v>2613050885</v>
      </c>
      <c r="B1111" s="44">
        <v>529245</v>
      </c>
      <c r="C1111" s="44" t="s">
        <v>1485</v>
      </c>
      <c r="D1111" s="11">
        <v>1</v>
      </c>
      <c r="E1111" s="12">
        <v>0</v>
      </c>
      <c r="F1111" s="12">
        <v>1</v>
      </c>
      <c r="G1111" s="17">
        <v>3</v>
      </c>
      <c r="H1111" s="12">
        <v>2</v>
      </c>
    </row>
    <row r="1112" spans="1:8">
      <c r="A1112" s="44" t="s">
        <v>156</v>
      </c>
      <c r="B1112" s="44">
        <v>62378</v>
      </c>
      <c r="C1112" s="44" t="s">
        <v>1006</v>
      </c>
      <c r="D1112" s="11">
        <v>0</v>
      </c>
      <c r="E1112" s="12">
        <v>0</v>
      </c>
      <c r="F1112" s="12">
        <v>3</v>
      </c>
      <c r="G1112" s="17">
        <v>0</v>
      </c>
      <c r="H1112" s="12">
        <v>0</v>
      </c>
    </row>
    <row r="1113" spans="1:8">
      <c r="A1113" s="44" t="s">
        <v>142</v>
      </c>
      <c r="B1113" s="44">
        <v>547188</v>
      </c>
      <c r="C1113" s="44" t="s">
        <v>1486</v>
      </c>
      <c r="D1113" s="11">
        <v>1</v>
      </c>
      <c r="E1113" s="12">
        <v>0</v>
      </c>
      <c r="F1113" s="12">
        <v>3</v>
      </c>
      <c r="G1113" s="17">
        <v>6</v>
      </c>
      <c r="H1113" s="12">
        <v>3</v>
      </c>
    </row>
    <row r="1114" spans="1:8">
      <c r="A1114" s="44" t="s">
        <v>136</v>
      </c>
      <c r="B1114" s="44">
        <v>402496</v>
      </c>
      <c r="C1114" s="44" t="s">
        <v>404</v>
      </c>
      <c r="D1114" s="11">
        <v>0</v>
      </c>
      <c r="E1114" s="12">
        <v>0</v>
      </c>
      <c r="F1114" s="12">
        <v>5</v>
      </c>
      <c r="G1114" s="17">
        <v>0</v>
      </c>
      <c r="H1114" s="12">
        <v>0</v>
      </c>
    </row>
    <row r="1115" spans="1:8">
      <c r="A1115" s="44" t="s">
        <v>3</v>
      </c>
      <c r="B1115" s="44">
        <v>549259</v>
      </c>
      <c r="C1115" s="44" t="s">
        <v>36</v>
      </c>
      <c r="D1115" s="11">
        <v>0</v>
      </c>
      <c r="E1115" s="12">
        <v>0</v>
      </c>
      <c r="F1115" s="12">
        <v>0</v>
      </c>
      <c r="G1115" s="17">
        <v>0</v>
      </c>
      <c r="H1115" s="12">
        <v>0</v>
      </c>
    </row>
    <row r="1116" spans="1:8">
      <c r="A1116" s="44" t="s">
        <v>149</v>
      </c>
      <c r="B1116" s="44">
        <v>12295189</v>
      </c>
      <c r="C1116" s="44" t="s">
        <v>763</v>
      </c>
      <c r="D1116" s="11">
        <v>0</v>
      </c>
      <c r="E1116" s="12">
        <v>0</v>
      </c>
      <c r="F1116" s="12">
        <v>0</v>
      </c>
      <c r="G1116" s="17">
        <v>0</v>
      </c>
      <c r="H1116" s="12">
        <v>0</v>
      </c>
    </row>
    <row r="1117" spans="1:8">
      <c r="A1117" s="44" t="s">
        <v>3</v>
      </c>
      <c r="B1117" s="44">
        <v>12324647</v>
      </c>
      <c r="C1117" s="44" t="s">
        <v>1109</v>
      </c>
      <c r="D1117" s="11">
        <v>1</v>
      </c>
      <c r="E1117" s="12">
        <v>0</v>
      </c>
      <c r="F1117" s="12">
        <v>3</v>
      </c>
      <c r="G1117" s="17">
        <v>3</v>
      </c>
      <c r="H1117" s="12">
        <v>0</v>
      </c>
    </row>
    <row r="1118" spans="1:8">
      <c r="A1118" s="44">
        <v>2613050885</v>
      </c>
      <c r="B1118" s="44">
        <v>514319</v>
      </c>
      <c r="C1118" s="44" t="s">
        <v>296</v>
      </c>
      <c r="D1118" s="11">
        <v>1</v>
      </c>
      <c r="E1118" s="12">
        <v>0</v>
      </c>
      <c r="F1118" s="12">
        <v>0</v>
      </c>
      <c r="G1118" s="17">
        <v>2</v>
      </c>
      <c r="H1118" s="12">
        <v>2</v>
      </c>
    </row>
    <row r="1119" spans="1:8">
      <c r="A1119" s="44" t="s">
        <v>157</v>
      </c>
      <c r="B1119" s="44">
        <v>275621</v>
      </c>
      <c r="C1119" s="44" t="s">
        <v>1032</v>
      </c>
      <c r="D1119" s="11">
        <v>0</v>
      </c>
      <c r="E1119" s="12">
        <v>0</v>
      </c>
      <c r="F1119" s="12">
        <v>1</v>
      </c>
      <c r="G1119" s="17">
        <v>0</v>
      </c>
      <c r="H1119" s="12">
        <v>0</v>
      </c>
    </row>
    <row r="1120" spans="1:8">
      <c r="A1120" s="44">
        <v>2613051475</v>
      </c>
      <c r="B1120" s="44">
        <v>533931</v>
      </c>
      <c r="C1120" s="44" t="s">
        <v>913</v>
      </c>
      <c r="D1120" s="11">
        <v>0</v>
      </c>
      <c r="E1120" s="12">
        <v>0</v>
      </c>
      <c r="F1120" s="12">
        <v>0</v>
      </c>
      <c r="G1120" s="17">
        <v>0</v>
      </c>
      <c r="H1120" s="12">
        <v>0</v>
      </c>
    </row>
    <row r="1121" spans="1:8">
      <c r="A1121" s="44" t="s">
        <v>4</v>
      </c>
      <c r="B1121" s="44">
        <v>529249</v>
      </c>
      <c r="C1121" s="44" t="s">
        <v>63</v>
      </c>
      <c r="D1121" s="11">
        <v>1</v>
      </c>
      <c r="E1121" s="12">
        <v>0</v>
      </c>
      <c r="F1121" s="12">
        <v>6</v>
      </c>
      <c r="G1121" s="17">
        <v>2</v>
      </c>
      <c r="H1121" s="12">
        <v>0</v>
      </c>
    </row>
    <row r="1122" spans="1:8">
      <c r="A1122" s="44" t="s">
        <v>1140</v>
      </c>
      <c r="B1122" s="44">
        <v>468202</v>
      </c>
      <c r="C1122" s="44" t="s">
        <v>1487</v>
      </c>
      <c r="D1122" s="11">
        <v>1</v>
      </c>
      <c r="E1122" s="12">
        <v>0</v>
      </c>
      <c r="F1122" s="12">
        <v>1</v>
      </c>
      <c r="G1122" s="17">
        <v>1</v>
      </c>
      <c r="H1122" s="12">
        <v>0</v>
      </c>
    </row>
    <row r="1123" spans="1:8">
      <c r="A1123" s="44" t="s">
        <v>1136</v>
      </c>
      <c r="B1123" s="44">
        <v>325627</v>
      </c>
      <c r="C1123" s="44" t="s">
        <v>1488</v>
      </c>
      <c r="D1123" s="11">
        <v>0</v>
      </c>
      <c r="E1123" s="12">
        <v>0</v>
      </c>
      <c r="F1123" s="12">
        <v>0</v>
      </c>
      <c r="G1123" s="17">
        <v>0</v>
      </c>
      <c r="H1123" s="12">
        <v>0</v>
      </c>
    </row>
    <row r="1124" spans="1:8">
      <c r="A1124" s="44" t="s">
        <v>154</v>
      </c>
      <c r="B1124" s="44">
        <v>264010</v>
      </c>
      <c r="C1124" s="44" t="s">
        <v>741</v>
      </c>
      <c r="D1124" s="11">
        <v>0</v>
      </c>
      <c r="E1124" s="12">
        <v>0</v>
      </c>
      <c r="F1124" s="12">
        <v>3</v>
      </c>
      <c r="G1124" s="17">
        <v>0</v>
      </c>
      <c r="H1124" s="12">
        <v>0</v>
      </c>
    </row>
    <row r="1125" spans="1:8">
      <c r="A1125" s="44">
        <v>2613050886</v>
      </c>
      <c r="B1125" s="44">
        <v>519950</v>
      </c>
      <c r="C1125" s="44" t="s">
        <v>330</v>
      </c>
      <c r="D1125" s="11">
        <v>0</v>
      </c>
      <c r="E1125" s="12">
        <v>0</v>
      </c>
      <c r="F1125" s="12">
        <v>0</v>
      </c>
      <c r="G1125" s="17">
        <v>0</v>
      </c>
      <c r="H1125" s="12">
        <v>0</v>
      </c>
    </row>
    <row r="1126" spans="1:8">
      <c r="A1126" s="44">
        <v>2613051475</v>
      </c>
      <c r="B1126" s="44">
        <v>280640</v>
      </c>
      <c r="C1126" s="44" t="s">
        <v>97</v>
      </c>
      <c r="D1126" s="11">
        <v>0</v>
      </c>
      <c r="E1126" s="12">
        <v>0</v>
      </c>
      <c r="F1126" s="12">
        <v>0</v>
      </c>
      <c r="G1126" s="17">
        <v>0</v>
      </c>
      <c r="H1126" s="12">
        <v>0</v>
      </c>
    </row>
    <row r="1127" spans="1:8">
      <c r="A1127" s="44" t="s">
        <v>152</v>
      </c>
      <c r="B1127" s="44">
        <v>233903</v>
      </c>
      <c r="C1127" s="44" t="s">
        <v>1405</v>
      </c>
      <c r="D1127" s="11">
        <v>0</v>
      </c>
      <c r="E1127" s="12">
        <v>0</v>
      </c>
      <c r="F1127" s="12">
        <v>1</v>
      </c>
      <c r="G1127" s="17">
        <v>0</v>
      </c>
      <c r="H1127" s="12">
        <v>0</v>
      </c>
    </row>
    <row r="1128" spans="1:8">
      <c r="A1128" s="44">
        <v>2613051475</v>
      </c>
      <c r="B1128" s="44">
        <v>63863</v>
      </c>
      <c r="C1128" s="44" t="s">
        <v>921</v>
      </c>
      <c r="D1128" s="11">
        <v>0</v>
      </c>
      <c r="E1128" s="12">
        <v>0</v>
      </c>
      <c r="F1128" s="12">
        <v>2</v>
      </c>
      <c r="G1128" s="17">
        <v>0</v>
      </c>
      <c r="H1128" s="12">
        <v>0</v>
      </c>
    </row>
    <row r="1129" spans="1:8">
      <c r="A1129" s="44" t="s">
        <v>153</v>
      </c>
      <c r="B1129" s="44">
        <v>211822</v>
      </c>
      <c r="C1129" s="44" t="s">
        <v>1489</v>
      </c>
      <c r="D1129" s="11">
        <v>0</v>
      </c>
      <c r="E1129" s="12">
        <v>0</v>
      </c>
      <c r="F1129" s="12">
        <v>3</v>
      </c>
      <c r="G1129" s="17">
        <v>0</v>
      </c>
      <c r="H1129" s="12">
        <v>0</v>
      </c>
    </row>
    <row r="1130" spans="1:8">
      <c r="A1130" s="44" t="s">
        <v>153</v>
      </c>
      <c r="B1130" s="44">
        <v>211823</v>
      </c>
      <c r="C1130" s="44" t="s">
        <v>714</v>
      </c>
      <c r="D1130" s="11">
        <v>0</v>
      </c>
      <c r="E1130" s="12">
        <v>0</v>
      </c>
      <c r="F1130" s="12">
        <v>1</v>
      </c>
      <c r="G1130" s="17">
        <v>0</v>
      </c>
      <c r="H1130" s="12">
        <v>0</v>
      </c>
    </row>
    <row r="1131" spans="1:8">
      <c r="A1131" s="44">
        <v>2613051043</v>
      </c>
      <c r="B1131" s="44">
        <v>12327273</v>
      </c>
      <c r="C1131" s="44" t="s">
        <v>1490</v>
      </c>
      <c r="D1131" s="11">
        <v>0</v>
      </c>
      <c r="E1131" s="12">
        <v>0</v>
      </c>
      <c r="F1131" s="12">
        <v>0</v>
      </c>
      <c r="G1131" s="17">
        <v>0</v>
      </c>
      <c r="H1131" s="12">
        <v>0</v>
      </c>
    </row>
    <row r="1132" spans="1:8">
      <c r="A1132" s="44" t="s">
        <v>147</v>
      </c>
      <c r="B1132" s="44">
        <v>61876</v>
      </c>
      <c r="C1132" s="44" t="s">
        <v>1491</v>
      </c>
      <c r="D1132" s="11">
        <v>1</v>
      </c>
      <c r="E1132" s="12">
        <v>0</v>
      </c>
      <c r="F1132" s="12">
        <v>3</v>
      </c>
      <c r="G1132" s="17">
        <v>2</v>
      </c>
      <c r="H1132" s="12">
        <v>0</v>
      </c>
    </row>
    <row r="1133" spans="1:8">
      <c r="A1133" s="44">
        <v>2613051451</v>
      </c>
      <c r="B1133" s="44">
        <v>402461</v>
      </c>
      <c r="C1133" s="44" t="s">
        <v>388</v>
      </c>
      <c r="D1133" s="11">
        <v>1</v>
      </c>
      <c r="E1133" s="12">
        <v>0</v>
      </c>
      <c r="F1133" s="12">
        <v>3</v>
      </c>
      <c r="G1133" s="17">
        <v>1</v>
      </c>
      <c r="H1133" s="12">
        <v>0</v>
      </c>
    </row>
    <row r="1134" spans="1:8">
      <c r="A1134" s="44" t="s">
        <v>137</v>
      </c>
      <c r="B1134" s="44">
        <v>12295801</v>
      </c>
      <c r="C1134" s="44" t="s">
        <v>420</v>
      </c>
      <c r="D1134" s="11">
        <v>0</v>
      </c>
      <c r="E1134" s="12">
        <v>0</v>
      </c>
      <c r="F1134" s="12">
        <v>0</v>
      </c>
      <c r="G1134" s="17">
        <v>0</v>
      </c>
      <c r="H1134" s="12">
        <v>0</v>
      </c>
    </row>
    <row r="1135" spans="1:8">
      <c r="A1135" s="44" t="s">
        <v>1136</v>
      </c>
      <c r="B1135" s="44">
        <v>357286</v>
      </c>
      <c r="C1135" s="44" t="s">
        <v>1492</v>
      </c>
      <c r="D1135" s="11">
        <v>1</v>
      </c>
      <c r="E1135" s="12">
        <v>0</v>
      </c>
      <c r="F1135" s="12">
        <v>12</v>
      </c>
      <c r="G1135" s="17">
        <v>6</v>
      </c>
      <c r="H1135" s="12">
        <v>0</v>
      </c>
    </row>
    <row r="1136" spans="1:8">
      <c r="A1136" s="44">
        <v>2613050886</v>
      </c>
      <c r="B1136" s="44">
        <v>313780</v>
      </c>
      <c r="C1136" s="44" t="s">
        <v>1493</v>
      </c>
      <c r="D1136" s="11">
        <v>0</v>
      </c>
      <c r="E1136" s="12">
        <v>0</v>
      </c>
      <c r="F1136" s="12">
        <v>2</v>
      </c>
      <c r="G1136" s="17">
        <v>0</v>
      </c>
      <c r="H1136" s="12">
        <v>0</v>
      </c>
    </row>
    <row r="1137" spans="1:8">
      <c r="A1137" s="44" t="s">
        <v>155</v>
      </c>
      <c r="B1137" s="44">
        <v>61490</v>
      </c>
      <c r="C1137" s="44" t="s">
        <v>1494</v>
      </c>
      <c r="D1137" s="11">
        <v>0</v>
      </c>
      <c r="E1137" s="12">
        <v>0</v>
      </c>
      <c r="F1137" s="12">
        <v>0</v>
      </c>
      <c r="G1137" s="17">
        <v>0</v>
      </c>
      <c r="H1137" s="12">
        <v>0</v>
      </c>
    </row>
    <row r="1138" spans="1:8">
      <c r="A1138" s="44" t="s">
        <v>157</v>
      </c>
      <c r="B1138" s="44">
        <v>62003</v>
      </c>
      <c r="C1138" s="44" t="s">
        <v>1495</v>
      </c>
      <c r="D1138" s="11">
        <v>0</v>
      </c>
      <c r="E1138" s="12">
        <v>0</v>
      </c>
      <c r="F1138" s="12">
        <v>3</v>
      </c>
      <c r="G1138" s="17">
        <v>0</v>
      </c>
      <c r="H1138" s="12">
        <v>0</v>
      </c>
    </row>
    <row r="1139" spans="1:8">
      <c r="A1139" s="44">
        <v>2613050885</v>
      </c>
      <c r="B1139" s="44">
        <v>566515</v>
      </c>
      <c r="C1139" s="44" t="s">
        <v>1496</v>
      </c>
      <c r="D1139" s="11">
        <v>0</v>
      </c>
      <c r="E1139" s="12">
        <v>0</v>
      </c>
      <c r="F1139" s="12">
        <v>0</v>
      </c>
      <c r="G1139" s="17">
        <v>0</v>
      </c>
      <c r="H1139" s="12">
        <v>0</v>
      </c>
    </row>
    <row r="1140" spans="1:8">
      <c r="A1140" s="44" t="s">
        <v>152</v>
      </c>
      <c r="B1140" s="44">
        <v>334990</v>
      </c>
      <c r="C1140" s="44" t="s">
        <v>668</v>
      </c>
      <c r="D1140" s="11">
        <v>0</v>
      </c>
      <c r="E1140" s="12">
        <v>0</v>
      </c>
      <c r="F1140" s="12">
        <v>1</v>
      </c>
      <c r="G1140" s="17">
        <v>0</v>
      </c>
      <c r="H1140" s="12">
        <v>0</v>
      </c>
    </row>
    <row r="1141" spans="1:8">
      <c r="A1141" s="44" t="s">
        <v>144</v>
      </c>
      <c r="B1141" s="44">
        <v>516280</v>
      </c>
      <c r="C1141" s="44" t="s">
        <v>236</v>
      </c>
      <c r="D1141" s="11">
        <v>1</v>
      </c>
      <c r="E1141" s="12">
        <v>0</v>
      </c>
      <c r="F1141" s="12">
        <v>5</v>
      </c>
      <c r="G1141" s="17">
        <v>6</v>
      </c>
      <c r="H1141" s="12">
        <v>1</v>
      </c>
    </row>
    <row r="1142" spans="1:8">
      <c r="A1142" s="44">
        <v>2613051412</v>
      </c>
      <c r="B1142" s="44">
        <v>539295</v>
      </c>
      <c r="C1142" s="44" t="s">
        <v>564</v>
      </c>
      <c r="D1142" s="11">
        <v>1</v>
      </c>
      <c r="E1142" s="12">
        <v>0</v>
      </c>
      <c r="F1142" s="12">
        <v>0</v>
      </c>
      <c r="G1142" s="17">
        <v>2</v>
      </c>
      <c r="H1142" s="12">
        <v>2</v>
      </c>
    </row>
    <row r="1143" spans="1:8">
      <c r="A1143" s="44" t="s">
        <v>144</v>
      </c>
      <c r="B1143" s="44">
        <v>366741</v>
      </c>
      <c r="C1143" s="44" t="s">
        <v>225</v>
      </c>
      <c r="D1143" s="11">
        <v>0</v>
      </c>
      <c r="E1143" s="12">
        <v>0</v>
      </c>
      <c r="F1143" s="12">
        <v>2</v>
      </c>
      <c r="G1143" s="17">
        <v>0</v>
      </c>
      <c r="H1143" s="12">
        <v>0</v>
      </c>
    </row>
    <row r="1144" spans="1:8">
      <c r="A1144" s="44" t="s">
        <v>142</v>
      </c>
      <c r="B1144" s="44">
        <v>557542</v>
      </c>
      <c r="C1144" s="44" t="s">
        <v>1497</v>
      </c>
      <c r="D1144" s="11">
        <v>0</v>
      </c>
      <c r="E1144" s="12">
        <v>0</v>
      </c>
      <c r="F1144" s="12">
        <v>1</v>
      </c>
      <c r="G1144" s="17">
        <v>0</v>
      </c>
      <c r="H1144" s="12">
        <v>0</v>
      </c>
    </row>
    <row r="1145" spans="1:8">
      <c r="A1145" s="44" t="s">
        <v>140</v>
      </c>
      <c r="B1145" s="44">
        <v>12321883</v>
      </c>
      <c r="C1145" s="44" t="s">
        <v>1498</v>
      </c>
      <c r="D1145" s="11">
        <v>0</v>
      </c>
      <c r="E1145" s="12">
        <v>0</v>
      </c>
      <c r="F1145" s="12">
        <v>3</v>
      </c>
      <c r="G1145" s="17">
        <v>0</v>
      </c>
      <c r="H1145" s="12">
        <v>0</v>
      </c>
    </row>
    <row r="1146" spans="1:8">
      <c r="A1146" s="44" t="s">
        <v>4</v>
      </c>
      <c r="B1146" s="44">
        <v>246732</v>
      </c>
      <c r="C1146" s="44" t="s">
        <v>1110</v>
      </c>
      <c r="D1146" s="11">
        <v>0</v>
      </c>
      <c r="E1146" s="12">
        <v>0</v>
      </c>
      <c r="F1146" s="12">
        <v>1</v>
      </c>
      <c r="G1146" s="17">
        <v>0</v>
      </c>
      <c r="H1146" s="12">
        <v>0</v>
      </c>
    </row>
    <row r="1147" spans="1:8">
      <c r="A1147" s="44" t="s">
        <v>1136</v>
      </c>
      <c r="B1147" s="44">
        <v>12329048</v>
      </c>
      <c r="C1147" s="44" t="s">
        <v>170</v>
      </c>
      <c r="D1147" s="11">
        <v>0</v>
      </c>
      <c r="E1147" s="12">
        <v>0</v>
      </c>
      <c r="F1147" s="12">
        <v>1</v>
      </c>
      <c r="G1147" s="17">
        <v>0</v>
      </c>
      <c r="H1147" s="12">
        <v>0</v>
      </c>
    </row>
    <row r="1148" spans="1:8">
      <c r="A1148" s="44" t="s">
        <v>152</v>
      </c>
      <c r="B1148" s="44">
        <v>396792</v>
      </c>
      <c r="C1148" s="44" t="s">
        <v>1499</v>
      </c>
      <c r="D1148" s="11">
        <v>1</v>
      </c>
      <c r="E1148" s="12">
        <v>0</v>
      </c>
      <c r="F1148" s="12">
        <v>1</v>
      </c>
      <c r="G1148" s="17">
        <v>7</v>
      </c>
      <c r="H1148" s="12">
        <v>6</v>
      </c>
    </row>
    <row r="1149" spans="1:8">
      <c r="A1149" s="44" t="s">
        <v>1140</v>
      </c>
      <c r="B1149" s="44">
        <v>513182</v>
      </c>
      <c r="C1149" s="44" t="s">
        <v>1500</v>
      </c>
      <c r="D1149" s="11">
        <v>1</v>
      </c>
      <c r="E1149" s="12">
        <v>0</v>
      </c>
      <c r="F1149" s="12">
        <v>3</v>
      </c>
      <c r="G1149" s="17">
        <v>4</v>
      </c>
      <c r="H1149" s="12">
        <v>1</v>
      </c>
    </row>
    <row r="1150" spans="1:8">
      <c r="A1150" s="44" t="s">
        <v>3</v>
      </c>
      <c r="B1150" s="44">
        <v>491288</v>
      </c>
      <c r="C1150" s="44" t="s">
        <v>28</v>
      </c>
      <c r="D1150" s="11">
        <v>1</v>
      </c>
      <c r="E1150" s="12">
        <v>0</v>
      </c>
      <c r="F1150" s="12">
        <v>3</v>
      </c>
      <c r="G1150" s="17">
        <v>3</v>
      </c>
      <c r="H1150" s="12">
        <v>0</v>
      </c>
    </row>
    <row r="1151" spans="1:8">
      <c r="A1151" s="44" t="s">
        <v>153</v>
      </c>
      <c r="B1151" s="44">
        <v>357346</v>
      </c>
      <c r="C1151" s="44" t="s">
        <v>1501</v>
      </c>
      <c r="D1151" s="11">
        <v>0</v>
      </c>
      <c r="E1151" s="12">
        <v>0</v>
      </c>
      <c r="F1151" s="12">
        <v>0</v>
      </c>
      <c r="G1151" s="17">
        <v>0</v>
      </c>
      <c r="H1151" s="12">
        <v>0</v>
      </c>
    </row>
    <row r="1152" spans="1:8">
      <c r="A1152" s="44" t="s">
        <v>150</v>
      </c>
      <c r="B1152" s="44">
        <v>342581</v>
      </c>
      <c r="C1152" s="44" t="s">
        <v>1502</v>
      </c>
      <c r="D1152" s="11">
        <v>0</v>
      </c>
      <c r="E1152" s="12">
        <v>0</v>
      </c>
      <c r="F1152" s="12">
        <v>1</v>
      </c>
      <c r="G1152" s="17">
        <v>0</v>
      </c>
      <c r="H1152" s="12">
        <v>0</v>
      </c>
    </row>
    <row r="1153" spans="1:8">
      <c r="A1153" s="44" t="s">
        <v>156</v>
      </c>
      <c r="B1153" s="44">
        <v>107295</v>
      </c>
      <c r="C1153" s="44" t="s">
        <v>1503</v>
      </c>
      <c r="D1153" s="11">
        <v>0</v>
      </c>
      <c r="E1153" s="12">
        <v>0</v>
      </c>
      <c r="F1153" s="12">
        <v>3</v>
      </c>
      <c r="G1153" s="17">
        <v>0</v>
      </c>
      <c r="H1153" s="12">
        <v>0</v>
      </c>
    </row>
    <row r="1154" spans="1:8">
      <c r="A1154" s="44">
        <v>2613052222</v>
      </c>
      <c r="B1154" s="44">
        <v>452054</v>
      </c>
      <c r="C1154" s="44" t="s">
        <v>1504</v>
      </c>
      <c r="D1154" s="11">
        <v>0</v>
      </c>
      <c r="E1154" s="12">
        <v>0</v>
      </c>
      <c r="F1154" s="12">
        <v>1</v>
      </c>
      <c r="G1154" s="17">
        <v>0</v>
      </c>
      <c r="H1154" s="12">
        <v>0</v>
      </c>
    </row>
    <row r="1155" spans="1:8">
      <c r="A1155" s="44">
        <v>2613052584</v>
      </c>
      <c r="B1155" s="44">
        <v>12295728</v>
      </c>
      <c r="C1155" s="44" t="s">
        <v>569</v>
      </c>
      <c r="D1155" s="11">
        <v>0</v>
      </c>
      <c r="E1155" s="12">
        <v>0</v>
      </c>
      <c r="F1155" s="12">
        <v>1</v>
      </c>
      <c r="G1155" s="17">
        <v>0</v>
      </c>
      <c r="H1155" s="12">
        <v>0</v>
      </c>
    </row>
    <row r="1156" spans="1:8">
      <c r="A1156" s="44" t="s">
        <v>157</v>
      </c>
      <c r="B1156" s="44">
        <v>61661</v>
      </c>
      <c r="C1156" s="44" t="s">
        <v>1059</v>
      </c>
      <c r="D1156" s="11">
        <v>0</v>
      </c>
      <c r="E1156" s="12">
        <v>0</v>
      </c>
      <c r="F1156" s="12">
        <v>0</v>
      </c>
      <c r="G1156" s="17">
        <v>0</v>
      </c>
      <c r="H1156" s="12">
        <v>0</v>
      </c>
    </row>
    <row r="1157" spans="1:8">
      <c r="A1157" s="44" t="s">
        <v>157</v>
      </c>
      <c r="B1157" s="44">
        <v>440906</v>
      </c>
      <c r="C1157" s="44" t="s">
        <v>1044</v>
      </c>
      <c r="D1157" s="11">
        <v>0</v>
      </c>
      <c r="E1157" s="12">
        <v>0</v>
      </c>
      <c r="F1157" s="12">
        <v>0</v>
      </c>
      <c r="G1157" s="17">
        <v>0</v>
      </c>
      <c r="H1157" s="12">
        <v>0</v>
      </c>
    </row>
    <row r="1158" spans="1:8">
      <c r="A1158" s="44">
        <v>2613050886</v>
      </c>
      <c r="B1158" s="44">
        <v>561473</v>
      </c>
      <c r="C1158" s="44" t="s">
        <v>1503</v>
      </c>
      <c r="D1158" s="11">
        <v>1</v>
      </c>
      <c r="E1158" s="12">
        <v>0</v>
      </c>
      <c r="F1158" s="12">
        <v>1</v>
      </c>
      <c r="G1158" s="17">
        <v>1</v>
      </c>
      <c r="H1158" s="12">
        <v>0</v>
      </c>
    </row>
    <row r="1159" spans="1:8">
      <c r="A1159" s="44">
        <v>2613052222</v>
      </c>
      <c r="B1159" s="44">
        <v>266549</v>
      </c>
      <c r="C1159" s="44" t="s">
        <v>692</v>
      </c>
      <c r="D1159" s="11">
        <v>1</v>
      </c>
      <c r="E1159" s="12">
        <v>0</v>
      </c>
      <c r="F1159" s="12">
        <v>1</v>
      </c>
      <c r="G1159" s="17">
        <v>2</v>
      </c>
      <c r="H1159" s="12">
        <v>1</v>
      </c>
    </row>
    <row r="1160" spans="1:8">
      <c r="A1160" s="44">
        <v>2613051475</v>
      </c>
      <c r="B1160" s="44">
        <v>62270</v>
      </c>
      <c r="C1160" s="44" t="s">
        <v>1147</v>
      </c>
      <c r="D1160" s="11">
        <v>1</v>
      </c>
      <c r="E1160" s="12">
        <v>0</v>
      </c>
      <c r="F1160" s="12">
        <v>4</v>
      </c>
      <c r="G1160" s="17">
        <v>1</v>
      </c>
      <c r="H1160" s="12">
        <v>0</v>
      </c>
    </row>
    <row r="1161" spans="1:8">
      <c r="A1161" s="44">
        <v>2613052222</v>
      </c>
      <c r="B1161" s="44">
        <v>535185</v>
      </c>
      <c r="C1161" s="44" t="s">
        <v>700</v>
      </c>
      <c r="D1161" s="11">
        <v>0</v>
      </c>
      <c r="E1161" s="12">
        <v>0</v>
      </c>
      <c r="F1161" s="12">
        <v>0</v>
      </c>
      <c r="G1161" s="17">
        <v>0</v>
      </c>
      <c r="H1161" s="12">
        <v>0</v>
      </c>
    </row>
    <row r="1162" spans="1:8">
      <c r="A1162" s="44" t="s">
        <v>137</v>
      </c>
      <c r="B1162" s="44">
        <v>12296303</v>
      </c>
      <c r="C1162" s="44" t="s">
        <v>1505</v>
      </c>
      <c r="D1162" s="11">
        <v>0</v>
      </c>
      <c r="E1162" s="12">
        <v>0</v>
      </c>
      <c r="F1162" s="12">
        <v>3</v>
      </c>
      <c r="G1162" s="17">
        <v>0</v>
      </c>
      <c r="H1162" s="12">
        <v>0</v>
      </c>
    </row>
    <row r="1163" spans="1:8">
      <c r="A1163" s="44" t="s">
        <v>149</v>
      </c>
      <c r="B1163" s="44">
        <v>481887</v>
      </c>
      <c r="C1163" s="44" t="s">
        <v>795</v>
      </c>
      <c r="D1163" s="11">
        <v>0</v>
      </c>
      <c r="E1163" s="12">
        <v>0</v>
      </c>
      <c r="F1163" s="12">
        <v>1</v>
      </c>
      <c r="G1163" s="17">
        <v>0</v>
      </c>
      <c r="H1163" s="12">
        <v>0</v>
      </c>
    </row>
    <row r="1164" spans="1:8">
      <c r="A1164" s="44" t="s">
        <v>158</v>
      </c>
      <c r="B1164" s="44">
        <v>236374</v>
      </c>
      <c r="C1164" s="44" t="s">
        <v>1506</v>
      </c>
      <c r="D1164" s="11">
        <v>1</v>
      </c>
      <c r="E1164" s="12">
        <v>0</v>
      </c>
      <c r="F1164" s="12">
        <v>5</v>
      </c>
      <c r="G1164" s="17">
        <v>2</v>
      </c>
      <c r="H1164" s="12">
        <v>0</v>
      </c>
    </row>
    <row r="1165" spans="1:8">
      <c r="A1165" s="44" t="s">
        <v>141</v>
      </c>
      <c r="B1165" s="44">
        <v>12299378</v>
      </c>
      <c r="C1165" s="44" t="s">
        <v>1507</v>
      </c>
      <c r="D1165" s="11">
        <v>0</v>
      </c>
      <c r="E1165" s="12">
        <v>0</v>
      </c>
      <c r="F1165" s="12">
        <v>6</v>
      </c>
      <c r="G1165" s="17">
        <v>0</v>
      </c>
      <c r="H1165" s="12">
        <v>0</v>
      </c>
    </row>
    <row r="1166" spans="1:8">
      <c r="A1166" s="44" t="s">
        <v>144</v>
      </c>
      <c r="B1166" s="44">
        <v>516651</v>
      </c>
      <c r="C1166" s="44" t="s">
        <v>238</v>
      </c>
      <c r="D1166" s="11">
        <v>0</v>
      </c>
      <c r="E1166" s="12">
        <v>0</v>
      </c>
      <c r="F1166" s="12">
        <v>0</v>
      </c>
      <c r="G1166" s="17">
        <v>0</v>
      </c>
      <c r="H1166" s="12">
        <v>0</v>
      </c>
    </row>
    <row r="1167" spans="1:8">
      <c r="A1167" s="44" t="s">
        <v>144</v>
      </c>
      <c r="B1167" s="44">
        <v>9707</v>
      </c>
      <c r="C1167" s="44" t="s">
        <v>1242</v>
      </c>
      <c r="D1167" s="11">
        <v>0</v>
      </c>
      <c r="E1167" s="12">
        <v>0</v>
      </c>
      <c r="F1167" s="12">
        <v>0</v>
      </c>
      <c r="G1167" s="17">
        <v>0</v>
      </c>
      <c r="H1167" s="12">
        <v>0</v>
      </c>
    </row>
    <row r="1168" spans="1:8">
      <c r="A1168" s="44" t="s">
        <v>143</v>
      </c>
      <c r="B1168" s="44">
        <v>570466</v>
      </c>
      <c r="C1168" s="44" t="s">
        <v>1508</v>
      </c>
      <c r="D1168" s="11">
        <v>1</v>
      </c>
      <c r="E1168" s="12">
        <v>0</v>
      </c>
      <c r="F1168" s="12">
        <v>3</v>
      </c>
      <c r="G1168" s="17">
        <v>1</v>
      </c>
      <c r="H1168" s="12">
        <v>0</v>
      </c>
    </row>
    <row r="1169" spans="1:8">
      <c r="A1169" s="44" t="s">
        <v>152</v>
      </c>
      <c r="B1169" s="44">
        <v>240123</v>
      </c>
      <c r="C1169" s="44" t="s">
        <v>660</v>
      </c>
      <c r="D1169" s="11">
        <v>0</v>
      </c>
      <c r="E1169" s="12">
        <v>0</v>
      </c>
      <c r="F1169" s="12">
        <v>0</v>
      </c>
      <c r="G1169" s="17">
        <v>0</v>
      </c>
      <c r="H1169" s="12">
        <v>0</v>
      </c>
    </row>
    <row r="1170" spans="1:8">
      <c r="A1170" s="44" t="s">
        <v>4</v>
      </c>
      <c r="B1170" s="44">
        <v>560814</v>
      </c>
      <c r="C1170" s="44" t="s">
        <v>66</v>
      </c>
      <c r="D1170" s="11">
        <v>0</v>
      </c>
      <c r="E1170" s="12">
        <v>0</v>
      </c>
      <c r="F1170" s="12">
        <v>5</v>
      </c>
      <c r="G1170" s="17">
        <v>0</v>
      </c>
      <c r="H1170" s="12">
        <v>0</v>
      </c>
    </row>
    <row r="1171" spans="1:8">
      <c r="A1171" s="44" t="s">
        <v>136</v>
      </c>
      <c r="B1171" s="44">
        <v>439306</v>
      </c>
      <c r="C1171" s="44" t="s">
        <v>1509</v>
      </c>
      <c r="D1171" s="11">
        <v>0</v>
      </c>
      <c r="E1171" s="12">
        <v>0</v>
      </c>
      <c r="F1171" s="12">
        <v>1</v>
      </c>
      <c r="G1171" s="17">
        <v>0</v>
      </c>
      <c r="H1171" s="12">
        <v>0</v>
      </c>
    </row>
    <row r="1172" spans="1:8">
      <c r="A1172" s="44" t="s">
        <v>143</v>
      </c>
      <c r="B1172" s="44">
        <v>570754</v>
      </c>
      <c r="C1172" s="44" t="s">
        <v>276</v>
      </c>
      <c r="D1172" s="11">
        <v>1</v>
      </c>
      <c r="E1172" s="12">
        <v>0</v>
      </c>
      <c r="F1172" s="12">
        <v>4</v>
      </c>
      <c r="G1172" s="17">
        <v>2</v>
      </c>
      <c r="H1172" s="12">
        <v>0</v>
      </c>
    </row>
    <row r="1173" spans="1:8">
      <c r="A1173" s="44" t="s">
        <v>1140</v>
      </c>
      <c r="B1173" s="44">
        <v>406768</v>
      </c>
      <c r="C1173" s="44" t="s">
        <v>1510</v>
      </c>
      <c r="D1173" s="11">
        <v>1</v>
      </c>
      <c r="E1173" s="12">
        <v>0</v>
      </c>
      <c r="F1173" s="12">
        <v>3</v>
      </c>
      <c r="G1173" s="17">
        <v>2</v>
      </c>
      <c r="H1173" s="12">
        <v>0</v>
      </c>
    </row>
    <row r="1174" spans="1:8">
      <c r="A1174" s="44" t="s">
        <v>151</v>
      </c>
      <c r="B1174" s="44">
        <v>2722</v>
      </c>
      <c r="C1174" s="44" t="s">
        <v>866</v>
      </c>
      <c r="D1174" s="11">
        <v>0</v>
      </c>
      <c r="E1174" s="12">
        <v>0</v>
      </c>
      <c r="F1174" s="12">
        <v>1</v>
      </c>
      <c r="G1174" s="17">
        <v>0</v>
      </c>
      <c r="H1174" s="12">
        <v>0</v>
      </c>
    </row>
    <row r="1175" spans="1:8">
      <c r="A1175" s="44" t="s">
        <v>153</v>
      </c>
      <c r="B1175" s="44">
        <v>366777</v>
      </c>
      <c r="C1175" s="44" t="s">
        <v>1511</v>
      </c>
      <c r="D1175" s="11">
        <v>0</v>
      </c>
      <c r="E1175" s="12">
        <v>0</v>
      </c>
      <c r="F1175" s="12">
        <v>1</v>
      </c>
      <c r="G1175" s="17">
        <v>0</v>
      </c>
      <c r="H1175" s="12">
        <v>0</v>
      </c>
    </row>
    <row r="1176" spans="1:8">
      <c r="A1176" s="44">
        <v>2613051475</v>
      </c>
      <c r="B1176" s="44">
        <v>246748</v>
      </c>
      <c r="C1176" s="44" t="s">
        <v>890</v>
      </c>
      <c r="D1176" s="11">
        <v>0</v>
      </c>
      <c r="E1176" s="12">
        <v>0</v>
      </c>
      <c r="F1176" s="12">
        <v>0</v>
      </c>
      <c r="G1176" s="17">
        <v>0</v>
      </c>
      <c r="H1176" s="12">
        <v>0</v>
      </c>
    </row>
    <row r="1177" spans="1:8">
      <c r="A1177" s="44" t="s">
        <v>3</v>
      </c>
      <c r="B1177" s="44">
        <v>1661</v>
      </c>
      <c r="C1177" s="44" t="s">
        <v>22</v>
      </c>
      <c r="D1177" s="11">
        <v>0</v>
      </c>
      <c r="E1177" s="12">
        <v>0</v>
      </c>
      <c r="F1177" s="12">
        <v>6</v>
      </c>
      <c r="G1177" s="17">
        <v>0</v>
      </c>
      <c r="H1177" s="12">
        <v>0</v>
      </c>
    </row>
    <row r="1178" spans="1:8">
      <c r="A1178" s="44" t="s">
        <v>153</v>
      </c>
      <c r="B1178" s="44">
        <v>62325</v>
      </c>
      <c r="C1178" s="44" t="s">
        <v>1512</v>
      </c>
      <c r="D1178" s="11">
        <v>1</v>
      </c>
      <c r="E1178" s="12">
        <v>0</v>
      </c>
      <c r="F1178" s="12">
        <v>0</v>
      </c>
      <c r="G1178" s="17">
        <v>23</v>
      </c>
      <c r="H1178" s="12">
        <v>23</v>
      </c>
    </row>
    <row r="1179" spans="1:8">
      <c r="A1179" s="44" t="s">
        <v>158</v>
      </c>
      <c r="B1179" s="44">
        <v>211621</v>
      </c>
      <c r="C1179" s="44" t="s">
        <v>1513</v>
      </c>
      <c r="D1179" s="11">
        <v>1</v>
      </c>
      <c r="E1179" s="12">
        <v>0</v>
      </c>
      <c r="F1179" s="12">
        <v>3</v>
      </c>
      <c r="G1179" s="17">
        <v>1</v>
      </c>
      <c r="H1179" s="12">
        <v>0</v>
      </c>
    </row>
    <row r="1180" spans="1:8">
      <c r="A1180" s="44" t="s">
        <v>151</v>
      </c>
      <c r="B1180" s="44">
        <v>126742</v>
      </c>
      <c r="C1180" s="44" t="s">
        <v>857</v>
      </c>
      <c r="D1180" s="11">
        <v>0</v>
      </c>
      <c r="E1180" s="12">
        <v>0</v>
      </c>
      <c r="F1180" s="12">
        <v>5</v>
      </c>
      <c r="G1180" s="17">
        <v>0</v>
      </c>
      <c r="H1180" s="12">
        <v>0</v>
      </c>
    </row>
    <row r="1181" spans="1:8">
      <c r="A1181" s="44" t="s">
        <v>156</v>
      </c>
      <c r="B1181" s="44">
        <v>458950</v>
      </c>
      <c r="C1181" s="44" t="s">
        <v>993</v>
      </c>
      <c r="D1181" s="11">
        <v>0</v>
      </c>
      <c r="E1181" s="12">
        <v>0</v>
      </c>
      <c r="F1181" s="12">
        <v>1</v>
      </c>
      <c r="G1181" s="17">
        <v>0</v>
      </c>
      <c r="H1181" s="12">
        <v>0</v>
      </c>
    </row>
    <row r="1182" spans="1:8">
      <c r="A1182" s="44" t="s">
        <v>146</v>
      </c>
      <c r="B1182" s="44">
        <v>12300486</v>
      </c>
      <c r="C1182" s="44" t="s">
        <v>525</v>
      </c>
      <c r="D1182" s="11">
        <v>1</v>
      </c>
      <c r="E1182" s="12">
        <v>0</v>
      </c>
      <c r="F1182" s="12">
        <v>3</v>
      </c>
      <c r="G1182" s="17">
        <v>5</v>
      </c>
      <c r="H1182" s="12">
        <v>2</v>
      </c>
    </row>
    <row r="1183" spans="1:8">
      <c r="A1183" s="44">
        <v>2613051475</v>
      </c>
      <c r="B1183" s="44">
        <v>251808</v>
      </c>
      <c r="C1183" s="44" t="s">
        <v>1514</v>
      </c>
      <c r="D1183" s="11">
        <v>0</v>
      </c>
      <c r="E1183" s="12">
        <v>0</v>
      </c>
      <c r="F1183" s="12">
        <v>0</v>
      </c>
      <c r="G1183" s="17">
        <v>0</v>
      </c>
      <c r="H1183" s="12">
        <v>0</v>
      </c>
    </row>
    <row r="1184" spans="1:8">
      <c r="A1184" s="44" t="s">
        <v>156</v>
      </c>
      <c r="B1184" s="44">
        <v>222814</v>
      </c>
      <c r="C1184" s="44" t="s">
        <v>1515</v>
      </c>
      <c r="D1184" s="11">
        <v>1</v>
      </c>
      <c r="E1184" s="12">
        <v>0</v>
      </c>
      <c r="F1184" s="12">
        <v>4</v>
      </c>
      <c r="G1184" s="17">
        <v>4</v>
      </c>
      <c r="H1184" s="12">
        <v>0</v>
      </c>
    </row>
    <row r="1185" spans="1:8">
      <c r="A1185" s="44" t="s">
        <v>3</v>
      </c>
      <c r="B1185" s="44">
        <v>519286</v>
      </c>
      <c r="C1185" s="44" t="s">
        <v>1111</v>
      </c>
      <c r="D1185" s="11">
        <v>0</v>
      </c>
      <c r="E1185" s="12">
        <v>0</v>
      </c>
      <c r="F1185" s="12">
        <v>3</v>
      </c>
      <c r="G1185" s="17">
        <v>0</v>
      </c>
      <c r="H1185" s="12">
        <v>0</v>
      </c>
    </row>
    <row r="1186" spans="1:8">
      <c r="A1186" s="44" t="s">
        <v>142</v>
      </c>
      <c r="B1186" s="44">
        <v>211662</v>
      </c>
      <c r="C1186" s="44" t="s">
        <v>183</v>
      </c>
      <c r="D1186" s="11">
        <v>0</v>
      </c>
      <c r="E1186" s="12">
        <v>1</v>
      </c>
      <c r="F1186" s="12">
        <v>1</v>
      </c>
      <c r="G1186" s="17">
        <v>0</v>
      </c>
      <c r="H1186" s="12">
        <v>0</v>
      </c>
    </row>
    <row r="1187" spans="1:8">
      <c r="A1187" s="44" t="s">
        <v>147</v>
      </c>
      <c r="B1187" s="44">
        <v>12319354</v>
      </c>
      <c r="C1187" s="44" t="s">
        <v>594</v>
      </c>
      <c r="D1187" s="11">
        <v>0</v>
      </c>
      <c r="E1187" s="12">
        <v>0</v>
      </c>
      <c r="F1187" s="12">
        <v>3</v>
      </c>
      <c r="G1187" s="17">
        <v>0</v>
      </c>
      <c r="H1187" s="12">
        <v>0</v>
      </c>
    </row>
    <row r="1188" spans="1:8">
      <c r="A1188" s="44">
        <v>2613050886</v>
      </c>
      <c r="B1188" s="44">
        <v>569708</v>
      </c>
      <c r="C1188" s="44" t="s">
        <v>339</v>
      </c>
      <c r="D1188" s="11">
        <v>0</v>
      </c>
      <c r="E1188" s="12">
        <v>0</v>
      </c>
      <c r="F1188" s="12">
        <v>0</v>
      </c>
      <c r="G1188" s="17">
        <v>0</v>
      </c>
      <c r="H1188" s="12">
        <v>0</v>
      </c>
    </row>
    <row r="1189" spans="1:8">
      <c r="A1189" s="44" t="s">
        <v>1140</v>
      </c>
      <c r="B1189" s="44">
        <v>229932</v>
      </c>
      <c r="C1189" s="44" t="s">
        <v>1516</v>
      </c>
      <c r="D1189" s="11">
        <v>1</v>
      </c>
      <c r="E1189" s="12">
        <v>0</v>
      </c>
      <c r="F1189" s="12">
        <v>1</v>
      </c>
      <c r="G1189" s="17">
        <v>2</v>
      </c>
      <c r="H1189" s="12">
        <v>1</v>
      </c>
    </row>
    <row r="1190" spans="1:8">
      <c r="A1190" s="44" t="s">
        <v>156</v>
      </c>
      <c r="B1190" s="44">
        <v>188114</v>
      </c>
      <c r="C1190" s="44" t="s">
        <v>976</v>
      </c>
      <c r="D1190" s="11">
        <v>1</v>
      </c>
      <c r="E1190" s="12">
        <v>0</v>
      </c>
      <c r="F1190" s="12">
        <v>12</v>
      </c>
      <c r="G1190" s="17">
        <v>2</v>
      </c>
      <c r="H1190" s="12">
        <v>0</v>
      </c>
    </row>
    <row r="1191" spans="1:8">
      <c r="A1191" s="44" t="s">
        <v>149</v>
      </c>
      <c r="B1191" s="44">
        <v>308936</v>
      </c>
      <c r="C1191" s="44" t="s">
        <v>779</v>
      </c>
      <c r="D1191" s="11">
        <v>0</v>
      </c>
      <c r="E1191" s="12">
        <v>0</v>
      </c>
      <c r="F1191" s="12">
        <v>3</v>
      </c>
      <c r="G1191" s="17">
        <v>0</v>
      </c>
      <c r="H1191" s="12">
        <v>0</v>
      </c>
    </row>
    <row r="1192" spans="1:8">
      <c r="A1192" s="44" t="s">
        <v>153</v>
      </c>
      <c r="B1192" s="44">
        <v>231115</v>
      </c>
      <c r="C1192" s="44" t="s">
        <v>1517</v>
      </c>
      <c r="D1192" s="11">
        <v>1</v>
      </c>
      <c r="E1192" s="12">
        <v>0</v>
      </c>
      <c r="F1192" s="12">
        <v>3</v>
      </c>
      <c r="G1192" s="17">
        <v>1</v>
      </c>
      <c r="H1192" s="12">
        <v>0</v>
      </c>
    </row>
    <row r="1193" spans="1:8">
      <c r="A1193" s="44" t="s">
        <v>1136</v>
      </c>
      <c r="B1193" s="44">
        <v>383700</v>
      </c>
      <c r="C1193" s="44" t="s">
        <v>1518</v>
      </c>
      <c r="D1193" s="11">
        <v>1</v>
      </c>
      <c r="E1193" s="12">
        <v>0</v>
      </c>
      <c r="F1193" s="12">
        <v>3</v>
      </c>
      <c r="G1193" s="17">
        <v>1</v>
      </c>
      <c r="H1193" s="12">
        <v>0</v>
      </c>
    </row>
    <row r="1194" spans="1:8">
      <c r="A1194" s="44" t="s">
        <v>143</v>
      </c>
      <c r="B1194" s="44">
        <v>12301709</v>
      </c>
      <c r="C1194" s="44" t="s">
        <v>250</v>
      </c>
      <c r="D1194" s="11">
        <v>1</v>
      </c>
      <c r="E1194" s="12">
        <v>0</v>
      </c>
      <c r="F1194" s="12">
        <v>3</v>
      </c>
      <c r="G1194" s="17">
        <v>1</v>
      </c>
      <c r="H1194" s="12">
        <v>0</v>
      </c>
    </row>
    <row r="1195" spans="1:8">
      <c r="A1195" s="44" t="s">
        <v>147</v>
      </c>
      <c r="B1195" s="44">
        <v>12320506</v>
      </c>
      <c r="C1195" s="44" t="s">
        <v>595</v>
      </c>
      <c r="D1195" s="11">
        <v>1</v>
      </c>
      <c r="E1195" s="12">
        <v>0</v>
      </c>
      <c r="F1195" s="12">
        <v>2</v>
      </c>
      <c r="G1195" s="17">
        <v>1</v>
      </c>
      <c r="H1195" s="12">
        <v>0</v>
      </c>
    </row>
    <row r="1196" spans="1:8">
      <c r="A1196" s="44" t="s">
        <v>147</v>
      </c>
      <c r="B1196" s="44">
        <v>541001</v>
      </c>
      <c r="C1196" s="44" t="s">
        <v>615</v>
      </c>
      <c r="D1196" s="11">
        <v>1</v>
      </c>
      <c r="E1196" s="12">
        <v>0</v>
      </c>
      <c r="F1196" s="12">
        <v>5</v>
      </c>
      <c r="G1196" s="17">
        <v>3</v>
      </c>
      <c r="H1196" s="12">
        <v>0</v>
      </c>
    </row>
    <row r="1197" spans="1:8">
      <c r="A1197" s="44" t="s">
        <v>3</v>
      </c>
      <c r="B1197" s="44">
        <v>385575</v>
      </c>
      <c r="C1197" s="44" t="s">
        <v>1112</v>
      </c>
      <c r="D1197" s="11">
        <v>0</v>
      </c>
      <c r="E1197" s="12">
        <v>0</v>
      </c>
      <c r="F1197" s="12">
        <v>0</v>
      </c>
      <c r="G1197" s="17">
        <v>0</v>
      </c>
      <c r="H1197" s="12">
        <v>0</v>
      </c>
    </row>
    <row r="1198" spans="1:8">
      <c r="A1198" s="44">
        <v>2613051475</v>
      </c>
      <c r="B1198" s="44">
        <v>330571</v>
      </c>
      <c r="C1198" s="44" t="s">
        <v>899</v>
      </c>
      <c r="D1198" s="11">
        <v>0</v>
      </c>
      <c r="E1198" s="12">
        <v>0</v>
      </c>
      <c r="F1198" s="12">
        <v>1</v>
      </c>
      <c r="G1198" s="17">
        <v>0</v>
      </c>
      <c r="H1198" s="12">
        <v>0</v>
      </c>
    </row>
    <row r="1199" spans="1:8">
      <c r="A1199" s="44" t="s">
        <v>156</v>
      </c>
      <c r="B1199" s="44">
        <v>295027</v>
      </c>
      <c r="C1199" s="44" t="s">
        <v>982</v>
      </c>
      <c r="D1199" s="11">
        <v>0</v>
      </c>
      <c r="E1199" s="12">
        <v>0</v>
      </c>
      <c r="F1199" s="12">
        <v>1</v>
      </c>
      <c r="G1199" s="17">
        <v>0</v>
      </c>
      <c r="H1199" s="12">
        <v>0</v>
      </c>
    </row>
    <row r="1200" spans="1:8">
      <c r="A1200" s="44" t="s">
        <v>142</v>
      </c>
      <c r="B1200" s="44">
        <v>400027</v>
      </c>
      <c r="C1200" s="44" t="s">
        <v>353</v>
      </c>
      <c r="D1200" s="11">
        <v>1</v>
      </c>
      <c r="E1200" s="12">
        <v>0</v>
      </c>
      <c r="F1200" s="12">
        <v>0</v>
      </c>
      <c r="G1200" s="17">
        <v>3</v>
      </c>
      <c r="H1200" s="12">
        <v>3</v>
      </c>
    </row>
    <row r="1201" spans="1:8">
      <c r="A1201" s="44" t="s">
        <v>1136</v>
      </c>
      <c r="B1201" s="44">
        <v>12295842</v>
      </c>
      <c r="C1201" s="44" t="s">
        <v>1519</v>
      </c>
      <c r="D1201" s="11">
        <v>1</v>
      </c>
      <c r="E1201" s="12">
        <v>0</v>
      </c>
      <c r="F1201" s="12">
        <v>11</v>
      </c>
      <c r="G1201" s="17">
        <v>9</v>
      </c>
      <c r="H1201" s="12">
        <v>0</v>
      </c>
    </row>
    <row r="1202" spans="1:8">
      <c r="A1202" s="44" t="s">
        <v>140</v>
      </c>
      <c r="B1202" s="44">
        <v>392044</v>
      </c>
      <c r="C1202" s="44" t="s">
        <v>471</v>
      </c>
      <c r="D1202" s="11">
        <v>1</v>
      </c>
      <c r="E1202" s="12">
        <v>0</v>
      </c>
      <c r="F1202" s="12">
        <v>0</v>
      </c>
      <c r="G1202" s="17">
        <v>4</v>
      </c>
      <c r="H1202" s="12">
        <v>4</v>
      </c>
    </row>
    <row r="1203" spans="1:8">
      <c r="A1203" s="44" t="s">
        <v>157</v>
      </c>
      <c r="B1203" s="44">
        <v>328661</v>
      </c>
      <c r="C1203" s="44" t="s">
        <v>1038</v>
      </c>
      <c r="D1203" s="11">
        <v>0</v>
      </c>
      <c r="E1203" s="12">
        <v>0</v>
      </c>
      <c r="F1203" s="12">
        <v>0</v>
      </c>
      <c r="G1203" s="17">
        <v>0</v>
      </c>
      <c r="H1203" s="12">
        <v>0</v>
      </c>
    </row>
    <row r="1204" spans="1:8">
      <c r="A1204" s="44" t="s">
        <v>152</v>
      </c>
      <c r="B1204" s="44">
        <v>342246</v>
      </c>
      <c r="C1204" s="44" t="s">
        <v>669</v>
      </c>
      <c r="D1204" s="11">
        <v>1</v>
      </c>
      <c r="E1204" s="12">
        <v>0</v>
      </c>
      <c r="F1204" s="12">
        <v>10</v>
      </c>
      <c r="G1204" s="17">
        <v>9</v>
      </c>
      <c r="H1204" s="12">
        <v>0</v>
      </c>
    </row>
    <row r="1205" spans="1:8">
      <c r="A1205" s="44" t="s">
        <v>136</v>
      </c>
      <c r="B1205" s="44">
        <v>63886</v>
      </c>
      <c r="C1205" s="44" t="s">
        <v>1272</v>
      </c>
      <c r="D1205" s="11">
        <v>0</v>
      </c>
      <c r="E1205" s="12">
        <v>0</v>
      </c>
      <c r="F1205" s="12">
        <v>1</v>
      </c>
      <c r="G1205" s="17">
        <v>0</v>
      </c>
      <c r="H1205" s="12">
        <v>0</v>
      </c>
    </row>
    <row r="1206" spans="1:8">
      <c r="A1206" s="44" t="s">
        <v>142</v>
      </c>
      <c r="B1206" s="44">
        <v>538731</v>
      </c>
      <c r="C1206" s="44" t="s">
        <v>1520</v>
      </c>
      <c r="D1206" s="11">
        <v>1</v>
      </c>
      <c r="E1206" s="12">
        <v>0</v>
      </c>
      <c r="F1206" s="12">
        <v>12</v>
      </c>
      <c r="G1206" s="17">
        <v>5</v>
      </c>
      <c r="H1206" s="12">
        <v>0</v>
      </c>
    </row>
    <row r="1207" spans="1:8">
      <c r="A1207" s="44" t="s">
        <v>154</v>
      </c>
      <c r="B1207" s="44">
        <v>530400</v>
      </c>
      <c r="C1207" s="44" t="s">
        <v>751</v>
      </c>
      <c r="D1207" s="11">
        <v>0</v>
      </c>
      <c r="E1207" s="12">
        <v>0</v>
      </c>
      <c r="F1207" s="12">
        <v>1</v>
      </c>
      <c r="G1207" s="17">
        <v>0</v>
      </c>
      <c r="H1207" s="12">
        <v>0</v>
      </c>
    </row>
    <row r="1208" spans="1:8">
      <c r="A1208" s="44" t="s">
        <v>144</v>
      </c>
      <c r="B1208" s="44">
        <v>2845</v>
      </c>
      <c r="C1208" s="44" t="s">
        <v>1521</v>
      </c>
      <c r="D1208" s="11">
        <v>1</v>
      </c>
      <c r="E1208" s="12">
        <v>0</v>
      </c>
      <c r="F1208" s="12">
        <v>1</v>
      </c>
      <c r="G1208" s="17">
        <v>1</v>
      </c>
      <c r="H1208" s="12">
        <v>0</v>
      </c>
    </row>
    <row r="1209" spans="1:8">
      <c r="A1209" s="44" t="s">
        <v>154</v>
      </c>
      <c r="B1209" s="44">
        <v>579774</v>
      </c>
      <c r="C1209" s="44" t="s">
        <v>1522</v>
      </c>
      <c r="D1209" s="11">
        <v>0</v>
      </c>
      <c r="E1209" s="12">
        <v>0</v>
      </c>
      <c r="F1209" s="12">
        <v>0</v>
      </c>
      <c r="G1209" s="17">
        <v>0</v>
      </c>
      <c r="H1209" s="12">
        <v>0</v>
      </c>
    </row>
    <row r="1210" spans="1:8">
      <c r="A1210" s="44" t="s">
        <v>143</v>
      </c>
      <c r="B1210" s="44">
        <v>570685</v>
      </c>
      <c r="C1210" s="44" t="s">
        <v>275</v>
      </c>
      <c r="D1210" s="11">
        <v>1</v>
      </c>
      <c r="E1210" s="12">
        <v>0</v>
      </c>
      <c r="F1210" s="12">
        <v>2</v>
      </c>
      <c r="G1210" s="17">
        <v>1</v>
      </c>
      <c r="H1210" s="12">
        <v>0</v>
      </c>
    </row>
    <row r="1211" spans="1:8">
      <c r="A1211" s="44" t="s">
        <v>158</v>
      </c>
      <c r="B1211" s="44">
        <v>540514</v>
      </c>
      <c r="C1211" s="44" t="s">
        <v>1523</v>
      </c>
      <c r="D1211" s="11">
        <v>0</v>
      </c>
      <c r="E1211" s="12">
        <v>0</v>
      </c>
      <c r="F1211" s="12">
        <v>5</v>
      </c>
      <c r="G1211" s="17">
        <v>0</v>
      </c>
      <c r="H1211" s="12">
        <v>0</v>
      </c>
    </row>
    <row r="1212" spans="1:8">
      <c r="A1212" s="44">
        <v>2613052222</v>
      </c>
      <c r="B1212" s="44">
        <v>237458</v>
      </c>
      <c r="C1212" s="44" t="s">
        <v>690</v>
      </c>
      <c r="D1212" s="11">
        <v>1</v>
      </c>
      <c r="E1212" s="12">
        <v>0</v>
      </c>
      <c r="F1212" s="12">
        <v>9</v>
      </c>
      <c r="G1212" s="17">
        <v>2</v>
      </c>
      <c r="H1212" s="12">
        <v>0</v>
      </c>
    </row>
    <row r="1213" spans="1:8">
      <c r="A1213" s="44" t="s">
        <v>153</v>
      </c>
      <c r="B1213" s="44">
        <v>229775</v>
      </c>
      <c r="C1213" s="44" t="s">
        <v>716</v>
      </c>
      <c r="D1213" s="11">
        <v>1</v>
      </c>
      <c r="E1213" s="12">
        <v>0</v>
      </c>
      <c r="F1213" s="12">
        <v>3</v>
      </c>
      <c r="G1213" s="17">
        <v>3</v>
      </c>
      <c r="H1213" s="12">
        <v>0</v>
      </c>
    </row>
    <row r="1214" spans="1:8">
      <c r="A1214" s="44" t="s">
        <v>141</v>
      </c>
      <c r="B1214" s="44">
        <v>12319319</v>
      </c>
      <c r="C1214" s="44" t="s">
        <v>189</v>
      </c>
      <c r="D1214" s="11">
        <v>0</v>
      </c>
      <c r="E1214" s="12">
        <v>0</v>
      </c>
      <c r="F1214" s="12">
        <v>1</v>
      </c>
      <c r="G1214" s="17">
        <v>0</v>
      </c>
      <c r="H1214" s="12">
        <v>0</v>
      </c>
    </row>
    <row r="1215" spans="1:8">
      <c r="A1215" s="44" t="s">
        <v>150</v>
      </c>
      <c r="B1215" s="44">
        <v>12325132</v>
      </c>
      <c r="C1215" s="44" t="s">
        <v>809</v>
      </c>
      <c r="D1215" s="11">
        <v>0</v>
      </c>
      <c r="E1215" s="12">
        <v>0</v>
      </c>
      <c r="F1215" s="12">
        <v>2</v>
      </c>
      <c r="G1215" s="17">
        <v>0</v>
      </c>
      <c r="H1215" s="12">
        <v>0</v>
      </c>
    </row>
    <row r="1216" spans="1:8">
      <c r="A1216" s="44" t="s">
        <v>5</v>
      </c>
      <c r="B1216" s="44">
        <v>569298</v>
      </c>
      <c r="C1216" s="44" t="s">
        <v>111</v>
      </c>
      <c r="D1216" s="11">
        <v>1</v>
      </c>
      <c r="E1216" s="12">
        <v>0</v>
      </c>
      <c r="F1216" s="12">
        <v>3</v>
      </c>
      <c r="G1216" s="17">
        <v>5</v>
      </c>
      <c r="H1216" s="12">
        <v>2</v>
      </c>
    </row>
    <row r="1217" spans="1:8">
      <c r="A1217" s="44" t="s">
        <v>140</v>
      </c>
      <c r="B1217" s="44">
        <v>408081</v>
      </c>
      <c r="C1217" s="44" t="s">
        <v>473</v>
      </c>
      <c r="D1217" s="11">
        <v>0</v>
      </c>
      <c r="E1217" s="12">
        <v>0</v>
      </c>
      <c r="F1217" s="12">
        <v>1</v>
      </c>
      <c r="G1217" s="17">
        <v>0</v>
      </c>
      <c r="H1217" s="12">
        <v>0</v>
      </c>
    </row>
    <row r="1218" spans="1:8">
      <c r="A1218" s="44" t="s">
        <v>143</v>
      </c>
      <c r="B1218" s="44">
        <v>545397</v>
      </c>
      <c r="C1218" s="44" t="s">
        <v>1154</v>
      </c>
      <c r="D1218" s="11">
        <v>0</v>
      </c>
      <c r="E1218" s="12">
        <v>0</v>
      </c>
      <c r="F1218" s="12">
        <v>3</v>
      </c>
      <c r="G1218" s="17">
        <v>0</v>
      </c>
      <c r="H1218" s="12">
        <v>0</v>
      </c>
    </row>
    <row r="1219" spans="1:8">
      <c r="A1219" s="44">
        <v>2613051412</v>
      </c>
      <c r="B1219" s="44">
        <v>407415</v>
      </c>
      <c r="C1219" s="44" t="s">
        <v>1524</v>
      </c>
      <c r="D1219" s="11">
        <v>1</v>
      </c>
      <c r="E1219" s="12">
        <v>0</v>
      </c>
      <c r="F1219" s="12">
        <v>3</v>
      </c>
      <c r="G1219" s="17">
        <v>1</v>
      </c>
      <c r="H1219" s="12">
        <v>0</v>
      </c>
    </row>
    <row r="1220" spans="1:8">
      <c r="A1220" s="44" t="s">
        <v>4</v>
      </c>
      <c r="B1220" s="44">
        <v>199217</v>
      </c>
      <c r="C1220" s="44" t="s">
        <v>1113</v>
      </c>
      <c r="D1220" s="11">
        <v>1</v>
      </c>
      <c r="E1220" s="12">
        <v>0</v>
      </c>
      <c r="F1220" s="12">
        <v>9</v>
      </c>
      <c r="G1220" s="17">
        <v>13</v>
      </c>
      <c r="H1220" s="12">
        <v>4</v>
      </c>
    </row>
    <row r="1221" spans="1:8">
      <c r="A1221" s="44" t="s">
        <v>153</v>
      </c>
      <c r="B1221" s="44">
        <v>357812</v>
      </c>
      <c r="C1221" s="44" t="s">
        <v>726</v>
      </c>
      <c r="D1221" s="11">
        <v>1</v>
      </c>
      <c r="E1221" s="12">
        <v>0</v>
      </c>
      <c r="F1221" s="12">
        <v>3</v>
      </c>
      <c r="G1221" s="17">
        <v>3</v>
      </c>
      <c r="H1221" s="12">
        <v>0</v>
      </c>
    </row>
    <row r="1222" spans="1:8">
      <c r="A1222" s="44" t="s">
        <v>157</v>
      </c>
      <c r="B1222" s="44">
        <v>293971</v>
      </c>
      <c r="C1222" s="44" t="s">
        <v>1035</v>
      </c>
      <c r="D1222" s="11">
        <v>0</v>
      </c>
      <c r="E1222" s="12">
        <v>0</v>
      </c>
      <c r="F1222" s="12">
        <v>1</v>
      </c>
      <c r="G1222" s="17">
        <v>0</v>
      </c>
      <c r="H1222" s="12">
        <v>0</v>
      </c>
    </row>
    <row r="1223" spans="1:8">
      <c r="A1223" s="44" t="s">
        <v>154</v>
      </c>
      <c r="B1223" s="44">
        <v>12320250</v>
      </c>
      <c r="C1223" s="44" t="s">
        <v>1525</v>
      </c>
      <c r="D1223" s="11">
        <v>0</v>
      </c>
      <c r="E1223" s="12">
        <v>0</v>
      </c>
      <c r="F1223" s="12">
        <v>1</v>
      </c>
      <c r="G1223" s="17">
        <v>0</v>
      </c>
      <c r="H1223" s="12">
        <v>0</v>
      </c>
    </row>
    <row r="1224" spans="1:8">
      <c r="A1224" s="44" t="s">
        <v>149</v>
      </c>
      <c r="B1224" s="44">
        <v>288799</v>
      </c>
      <c r="C1224" s="44" t="s">
        <v>777</v>
      </c>
      <c r="D1224" s="11">
        <v>0</v>
      </c>
      <c r="E1224" s="12">
        <v>0</v>
      </c>
      <c r="F1224" s="12">
        <v>0</v>
      </c>
      <c r="G1224" s="17">
        <v>0</v>
      </c>
      <c r="H1224" s="12">
        <v>0</v>
      </c>
    </row>
    <row r="1225" spans="1:8">
      <c r="A1225" s="44" t="s">
        <v>144</v>
      </c>
      <c r="B1225" s="44">
        <v>555965</v>
      </c>
      <c r="C1225" s="44" t="s">
        <v>1526</v>
      </c>
      <c r="D1225" s="11">
        <v>1</v>
      </c>
      <c r="E1225" s="12">
        <v>0</v>
      </c>
      <c r="F1225" s="12">
        <v>6</v>
      </c>
      <c r="G1225" s="17">
        <v>5</v>
      </c>
      <c r="H1225" s="12">
        <v>0</v>
      </c>
    </row>
    <row r="1226" spans="1:8">
      <c r="A1226" s="44" t="s">
        <v>150</v>
      </c>
      <c r="B1226" s="44">
        <v>246053</v>
      </c>
      <c r="C1226" s="44" t="s">
        <v>814</v>
      </c>
      <c r="D1226" s="11">
        <v>0</v>
      </c>
      <c r="E1226" s="12">
        <v>0</v>
      </c>
      <c r="F1226" s="12">
        <v>0</v>
      </c>
      <c r="G1226" s="17">
        <v>0</v>
      </c>
      <c r="H1226" s="12">
        <v>0</v>
      </c>
    </row>
    <row r="1227" spans="1:8">
      <c r="A1227" s="44" t="s">
        <v>157</v>
      </c>
      <c r="B1227" s="44">
        <v>390</v>
      </c>
      <c r="C1227" s="44" t="s">
        <v>1043</v>
      </c>
      <c r="D1227" s="11">
        <v>1</v>
      </c>
      <c r="E1227" s="12">
        <v>0</v>
      </c>
      <c r="F1227" s="12">
        <v>17</v>
      </c>
      <c r="G1227" s="17">
        <v>2</v>
      </c>
      <c r="H1227" s="12">
        <v>0</v>
      </c>
    </row>
    <row r="1228" spans="1:8">
      <c r="A1228" s="44" t="s">
        <v>146</v>
      </c>
      <c r="B1228" s="44">
        <v>240721</v>
      </c>
      <c r="C1228" s="44" t="s">
        <v>540</v>
      </c>
      <c r="D1228" s="11">
        <v>1</v>
      </c>
      <c r="E1228" s="12">
        <v>0</v>
      </c>
      <c r="F1228" s="12">
        <v>4</v>
      </c>
      <c r="G1228" s="17">
        <v>4</v>
      </c>
      <c r="H1228" s="12">
        <v>0</v>
      </c>
    </row>
    <row r="1229" spans="1:8">
      <c r="A1229" s="44" t="s">
        <v>1140</v>
      </c>
      <c r="B1229" s="44">
        <v>311393</v>
      </c>
      <c r="C1229" s="44" t="s">
        <v>1527</v>
      </c>
      <c r="D1229" s="11">
        <v>1</v>
      </c>
      <c r="E1229" s="12">
        <v>0</v>
      </c>
      <c r="F1229" s="12">
        <v>6</v>
      </c>
      <c r="G1229" s="17">
        <v>6</v>
      </c>
      <c r="H1229" s="12">
        <v>0</v>
      </c>
    </row>
    <row r="1230" spans="1:8">
      <c r="A1230" s="44" t="s">
        <v>152</v>
      </c>
      <c r="B1230" s="44">
        <v>478865</v>
      </c>
      <c r="C1230" s="44" t="s">
        <v>1528</v>
      </c>
      <c r="D1230" s="11">
        <v>0</v>
      </c>
      <c r="E1230" s="12">
        <v>0</v>
      </c>
      <c r="F1230" s="12">
        <v>0</v>
      </c>
      <c r="G1230" s="17">
        <v>0</v>
      </c>
      <c r="H1230" s="12">
        <v>0</v>
      </c>
    </row>
    <row r="1231" spans="1:8">
      <c r="A1231" s="44" t="s">
        <v>148</v>
      </c>
      <c r="B1231" s="44">
        <v>253772</v>
      </c>
      <c r="C1231" s="44" t="s">
        <v>637</v>
      </c>
      <c r="D1231" s="11">
        <v>0</v>
      </c>
      <c r="E1231" s="12">
        <v>0</v>
      </c>
      <c r="F1231" s="12">
        <v>3</v>
      </c>
      <c r="G1231" s="17">
        <v>0</v>
      </c>
      <c r="H1231" s="12">
        <v>0</v>
      </c>
    </row>
    <row r="1232" spans="1:8">
      <c r="A1232" s="44" t="s">
        <v>144</v>
      </c>
      <c r="B1232" s="44">
        <v>516570</v>
      </c>
      <c r="C1232" s="44" t="s">
        <v>237</v>
      </c>
      <c r="D1232" s="11">
        <v>0</v>
      </c>
      <c r="E1232" s="12">
        <v>0</v>
      </c>
      <c r="F1232" s="12">
        <v>5</v>
      </c>
      <c r="G1232" s="17">
        <v>0</v>
      </c>
      <c r="H1232" s="12">
        <v>0</v>
      </c>
    </row>
    <row r="1233" spans="1:8">
      <c r="A1233" s="44" t="s">
        <v>157</v>
      </c>
      <c r="B1233" s="44">
        <v>531869</v>
      </c>
      <c r="C1233" s="44" t="s">
        <v>1529</v>
      </c>
      <c r="D1233" s="11">
        <v>0</v>
      </c>
      <c r="E1233" s="12">
        <v>0</v>
      </c>
      <c r="F1233" s="12">
        <v>0</v>
      </c>
      <c r="G1233" s="17">
        <v>0</v>
      </c>
      <c r="H1233" s="12">
        <v>0</v>
      </c>
    </row>
    <row r="1234" spans="1:8">
      <c r="A1234" s="44" t="s">
        <v>152</v>
      </c>
      <c r="B1234" s="44">
        <v>199156</v>
      </c>
      <c r="C1234" s="44" t="s">
        <v>658</v>
      </c>
      <c r="D1234" s="11">
        <v>1</v>
      </c>
      <c r="E1234" s="12">
        <v>1</v>
      </c>
      <c r="F1234" s="12">
        <v>78</v>
      </c>
      <c r="G1234" s="17">
        <v>51</v>
      </c>
      <c r="H1234" s="12">
        <v>0</v>
      </c>
    </row>
    <row r="1235" spans="1:8">
      <c r="A1235" s="44" t="s">
        <v>149</v>
      </c>
      <c r="B1235" s="44">
        <v>238925</v>
      </c>
      <c r="C1235" s="44" t="s">
        <v>772</v>
      </c>
      <c r="D1235" s="11">
        <v>0</v>
      </c>
      <c r="E1235" s="12">
        <v>0</v>
      </c>
      <c r="F1235" s="12">
        <v>3</v>
      </c>
      <c r="G1235" s="17">
        <v>0</v>
      </c>
      <c r="H1235" s="12">
        <v>0</v>
      </c>
    </row>
    <row r="1236" spans="1:8">
      <c r="A1236" s="44" t="s">
        <v>3</v>
      </c>
      <c r="B1236" s="44">
        <v>12295592</v>
      </c>
      <c r="C1236" s="44" t="s">
        <v>11</v>
      </c>
      <c r="D1236" s="11">
        <v>1</v>
      </c>
      <c r="E1236" s="12">
        <v>0</v>
      </c>
      <c r="F1236" s="12">
        <v>22</v>
      </c>
      <c r="G1236" s="17">
        <v>1</v>
      </c>
      <c r="H1236" s="12">
        <v>0</v>
      </c>
    </row>
    <row r="1237" spans="1:8">
      <c r="A1237" s="44">
        <v>2613051412</v>
      </c>
      <c r="B1237" s="44">
        <v>12321946</v>
      </c>
      <c r="C1237" s="44" t="s">
        <v>1530</v>
      </c>
      <c r="D1237" s="11">
        <v>0</v>
      </c>
      <c r="E1237" s="12">
        <v>0</v>
      </c>
      <c r="F1237" s="12">
        <v>0</v>
      </c>
      <c r="G1237" s="17">
        <v>0</v>
      </c>
      <c r="H1237" s="12">
        <v>0</v>
      </c>
    </row>
    <row r="1238" spans="1:8">
      <c r="A1238" s="44" t="s">
        <v>143</v>
      </c>
      <c r="B1238" s="44">
        <v>241320</v>
      </c>
      <c r="C1238" s="44" t="s">
        <v>1531</v>
      </c>
      <c r="D1238" s="11">
        <v>0</v>
      </c>
      <c r="E1238" s="12">
        <v>0</v>
      </c>
      <c r="F1238" s="12">
        <v>0</v>
      </c>
      <c r="G1238" s="17">
        <v>0</v>
      </c>
      <c r="H1238" s="12">
        <v>0</v>
      </c>
    </row>
    <row r="1239" spans="1:8">
      <c r="A1239" s="44" t="s">
        <v>154</v>
      </c>
      <c r="B1239" s="44">
        <v>12296482</v>
      </c>
      <c r="C1239" s="44" t="s">
        <v>735</v>
      </c>
      <c r="D1239" s="11">
        <v>0</v>
      </c>
      <c r="E1239" s="12">
        <v>0</v>
      </c>
      <c r="F1239" s="12">
        <v>2</v>
      </c>
      <c r="G1239" s="17">
        <v>0</v>
      </c>
      <c r="H1239" s="12">
        <v>0</v>
      </c>
    </row>
    <row r="1240" spans="1:8">
      <c r="A1240" s="44" t="s">
        <v>153</v>
      </c>
      <c r="B1240" s="44">
        <v>199257</v>
      </c>
      <c r="C1240" s="44" t="s">
        <v>711</v>
      </c>
      <c r="D1240" s="11">
        <v>1</v>
      </c>
      <c r="E1240" s="12">
        <v>0</v>
      </c>
      <c r="F1240" s="12">
        <v>3</v>
      </c>
      <c r="G1240" s="17">
        <v>3</v>
      </c>
      <c r="H1240" s="12">
        <v>0</v>
      </c>
    </row>
    <row r="1241" spans="1:8">
      <c r="A1241" s="44">
        <v>2613051412</v>
      </c>
      <c r="B1241" s="44">
        <v>336564</v>
      </c>
      <c r="C1241" s="44" t="s">
        <v>557</v>
      </c>
      <c r="D1241" s="11">
        <v>0</v>
      </c>
      <c r="E1241" s="12">
        <v>0</v>
      </c>
      <c r="F1241" s="12">
        <v>1</v>
      </c>
      <c r="G1241" s="17">
        <v>0</v>
      </c>
      <c r="H1241" s="12">
        <v>0</v>
      </c>
    </row>
    <row r="1242" spans="1:8">
      <c r="A1242" s="44" t="s">
        <v>151</v>
      </c>
      <c r="B1242" s="44">
        <v>565681</v>
      </c>
      <c r="C1242" s="44" t="s">
        <v>246</v>
      </c>
      <c r="D1242" s="11">
        <v>0</v>
      </c>
      <c r="E1242" s="12">
        <v>0</v>
      </c>
      <c r="F1242" s="12">
        <v>3</v>
      </c>
      <c r="G1242" s="17">
        <v>0</v>
      </c>
      <c r="H1242" s="12">
        <v>0</v>
      </c>
    </row>
    <row r="1243" spans="1:8">
      <c r="A1243" s="44">
        <v>2613052222</v>
      </c>
      <c r="B1243" s="44">
        <v>199033</v>
      </c>
      <c r="C1243" s="44" t="s">
        <v>1532</v>
      </c>
      <c r="D1243" s="11">
        <v>1</v>
      </c>
      <c r="E1243" s="12">
        <v>0</v>
      </c>
      <c r="F1243" s="12">
        <v>0</v>
      </c>
      <c r="G1243" s="17">
        <v>12</v>
      </c>
      <c r="H1243" s="12">
        <v>12</v>
      </c>
    </row>
    <row r="1244" spans="1:8">
      <c r="A1244" s="44">
        <v>2613051412</v>
      </c>
      <c r="B1244" s="44">
        <v>12323855</v>
      </c>
      <c r="C1244" s="44" t="s">
        <v>550</v>
      </c>
      <c r="D1244" s="11">
        <v>0</v>
      </c>
      <c r="E1244" s="12">
        <v>0</v>
      </c>
      <c r="F1244" s="12">
        <v>0</v>
      </c>
      <c r="G1244" s="17">
        <v>0</v>
      </c>
      <c r="H1244" s="12">
        <v>0</v>
      </c>
    </row>
    <row r="1245" spans="1:8">
      <c r="A1245" s="44" t="s">
        <v>3</v>
      </c>
      <c r="B1245" s="44">
        <v>287403</v>
      </c>
      <c r="C1245" s="44" t="s">
        <v>24</v>
      </c>
      <c r="D1245" s="11">
        <v>1</v>
      </c>
      <c r="E1245" s="12">
        <v>0</v>
      </c>
      <c r="F1245" s="12">
        <v>4</v>
      </c>
      <c r="G1245" s="17">
        <v>3</v>
      </c>
      <c r="H1245" s="12">
        <v>0</v>
      </c>
    </row>
    <row r="1246" spans="1:8">
      <c r="A1246" s="44" t="s">
        <v>3</v>
      </c>
      <c r="B1246" s="44">
        <v>486638</v>
      </c>
      <c r="C1246" s="44" t="s">
        <v>1114</v>
      </c>
      <c r="D1246" s="11">
        <v>0</v>
      </c>
      <c r="E1246" s="12">
        <v>0</v>
      </c>
      <c r="F1246" s="12">
        <v>1</v>
      </c>
      <c r="G1246" s="17">
        <v>0</v>
      </c>
      <c r="H1246" s="12">
        <v>0</v>
      </c>
    </row>
    <row r="1247" spans="1:8">
      <c r="A1247" s="44" t="s">
        <v>142</v>
      </c>
      <c r="B1247" s="44">
        <v>458986</v>
      </c>
      <c r="C1247" s="44" t="s">
        <v>1533</v>
      </c>
      <c r="D1247" s="11">
        <v>1</v>
      </c>
      <c r="E1247" s="12">
        <v>0</v>
      </c>
      <c r="F1247" s="12">
        <v>1</v>
      </c>
      <c r="G1247" s="17">
        <v>1</v>
      </c>
      <c r="H1247" s="12">
        <v>0</v>
      </c>
    </row>
    <row r="1248" spans="1:8">
      <c r="A1248" s="44" t="s">
        <v>140</v>
      </c>
      <c r="B1248" s="44">
        <v>407654</v>
      </c>
      <c r="C1248" s="44" t="s">
        <v>472</v>
      </c>
      <c r="D1248" s="11">
        <v>0</v>
      </c>
      <c r="E1248" s="12">
        <v>0</v>
      </c>
      <c r="F1248" s="12">
        <v>0</v>
      </c>
      <c r="G1248" s="17">
        <v>0</v>
      </c>
      <c r="H1248" s="12">
        <v>0</v>
      </c>
    </row>
    <row r="1249" spans="1:8">
      <c r="A1249" s="44" t="s">
        <v>4</v>
      </c>
      <c r="B1249" s="44">
        <v>195514</v>
      </c>
      <c r="C1249" s="44" t="s">
        <v>1115</v>
      </c>
      <c r="D1249" s="11">
        <v>1</v>
      </c>
      <c r="E1249" s="12">
        <v>0</v>
      </c>
      <c r="F1249" s="12">
        <v>5</v>
      </c>
      <c r="G1249" s="17">
        <v>5</v>
      </c>
      <c r="H1249" s="12">
        <v>0</v>
      </c>
    </row>
    <row r="1250" spans="1:8">
      <c r="A1250" s="44" t="s">
        <v>142</v>
      </c>
      <c r="B1250" s="44">
        <v>547197</v>
      </c>
      <c r="C1250" s="44" t="s">
        <v>369</v>
      </c>
      <c r="D1250" s="11">
        <v>1</v>
      </c>
      <c r="E1250" s="12">
        <v>0</v>
      </c>
      <c r="F1250" s="12">
        <v>3</v>
      </c>
      <c r="G1250" s="17">
        <v>2</v>
      </c>
      <c r="H1250" s="12">
        <v>0</v>
      </c>
    </row>
    <row r="1251" spans="1:8">
      <c r="A1251" s="44" t="s">
        <v>141</v>
      </c>
      <c r="B1251" s="44">
        <v>347687</v>
      </c>
      <c r="C1251" s="44" t="s">
        <v>1534</v>
      </c>
      <c r="D1251" s="11">
        <v>0</v>
      </c>
      <c r="E1251" s="12">
        <v>0</v>
      </c>
      <c r="F1251" s="12">
        <v>8</v>
      </c>
      <c r="G1251" s="17">
        <v>0</v>
      </c>
      <c r="H1251" s="12">
        <v>0</v>
      </c>
    </row>
    <row r="1252" spans="1:8">
      <c r="A1252" s="44" t="s">
        <v>140</v>
      </c>
      <c r="B1252" s="44">
        <v>199082</v>
      </c>
      <c r="C1252" s="44" t="s">
        <v>1535</v>
      </c>
      <c r="D1252" s="11">
        <v>0</v>
      </c>
      <c r="E1252" s="12">
        <v>0</v>
      </c>
      <c r="F1252" s="12">
        <v>2</v>
      </c>
      <c r="G1252" s="17">
        <v>0</v>
      </c>
      <c r="H1252" s="12">
        <v>0</v>
      </c>
    </row>
    <row r="1253" spans="1:8">
      <c r="A1253" s="44" t="s">
        <v>153</v>
      </c>
      <c r="B1253" s="44">
        <v>277093</v>
      </c>
      <c r="C1253" s="44" t="s">
        <v>721</v>
      </c>
      <c r="D1253" s="11">
        <v>0</v>
      </c>
      <c r="E1253" s="12">
        <v>0</v>
      </c>
      <c r="F1253" s="12">
        <v>4</v>
      </c>
      <c r="G1253" s="17">
        <v>0</v>
      </c>
      <c r="H1253" s="12">
        <v>0</v>
      </c>
    </row>
    <row r="1254" spans="1:8">
      <c r="A1254" s="44" t="s">
        <v>146</v>
      </c>
      <c r="B1254" s="44">
        <v>61917</v>
      </c>
      <c r="C1254" s="44" t="s">
        <v>1536</v>
      </c>
      <c r="D1254" s="11">
        <v>1</v>
      </c>
      <c r="E1254" s="12">
        <v>0</v>
      </c>
      <c r="F1254" s="12">
        <v>9</v>
      </c>
      <c r="G1254" s="17">
        <v>5</v>
      </c>
      <c r="H1254" s="12">
        <v>0</v>
      </c>
    </row>
    <row r="1255" spans="1:8">
      <c r="A1255" s="44" t="s">
        <v>152</v>
      </c>
      <c r="B1255" s="44">
        <v>535514</v>
      </c>
      <c r="C1255" s="44" t="s">
        <v>1537</v>
      </c>
      <c r="D1255" s="11">
        <v>1</v>
      </c>
      <c r="E1255" s="12">
        <v>1</v>
      </c>
      <c r="F1255" s="12">
        <v>0</v>
      </c>
      <c r="G1255" s="17">
        <v>3</v>
      </c>
      <c r="H1255" s="12">
        <v>3</v>
      </c>
    </row>
    <row r="1256" spans="1:8">
      <c r="A1256" s="44" t="s">
        <v>155</v>
      </c>
      <c r="B1256" s="44">
        <v>61788</v>
      </c>
      <c r="C1256" s="44" t="s">
        <v>1538</v>
      </c>
      <c r="D1256" s="11">
        <v>0</v>
      </c>
      <c r="E1256" s="12">
        <v>0</v>
      </c>
      <c r="F1256" s="12">
        <v>0</v>
      </c>
      <c r="G1256" s="17">
        <v>0</v>
      </c>
      <c r="H1256" s="12">
        <v>0</v>
      </c>
    </row>
    <row r="1257" spans="1:8">
      <c r="A1257" s="44" t="s">
        <v>5</v>
      </c>
      <c r="B1257" s="44">
        <v>530334</v>
      </c>
      <c r="C1257" s="44" t="s">
        <v>105</v>
      </c>
      <c r="D1257" s="11">
        <v>1</v>
      </c>
      <c r="E1257" s="12">
        <v>0</v>
      </c>
      <c r="F1257" s="12">
        <v>4</v>
      </c>
      <c r="G1257" s="17">
        <v>1</v>
      </c>
      <c r="H1257" s="12">
        <v>0</v>
      </c>
    </row>
    <row r="1258" spans="1:8">
      <c r="A1258" s="44" t="s">
        <v>156</v>
      </c>
      <c r="B1258" s="44">
        <v>404185</v>
      </c>
      <c r="C1258" s="44" t="s">
        <v>987</v>
      </c>
      <c r="D1258" s="11">
        <v>0</v>
      </c>
      <c r="E1258" s="12">
        <v>0</v>
      </c>
      <c r="F1258" s="12">
        <v>0</v>
      </c>
      <c r="G1258" s="17">
        <v>0</v>
      </c>
      <c r="H1258" s="12">
        <v>0</v>
      </c>
    </row>
    <row r="1259" spans="1:8">
      <c r="A1259" s="44" t="s">
        <v>142</v>
      </c>
      <c r="B1259" s="44">
        <v>62403</v>
      </c>
      <c r="C1259" s="44" t="s">
        <v>1539</v>
      </c>
      <c r="D1259" s="11">
        <v>1</v>
      </c>
      <c r="E1259" s="12">
        <v>0</v>
      </c>
      <c r="F1259" s="12">
        <v>2</v>
      </c>
      <c r="G1259" s="17">
        <v>1</v>
      </c>
      <c r="H1259" s="12">
        <v>0</v>
      </c>
    </row>
    <row r="1260" spans="1:8">
      <c r="A1260" s="44" t="s">
        <v>157</v>
      </c>
      <c r="B1260" s="44">
        <v>12314920</v>
      </c>
      <c r="C1260" s="44" t="s">
        <v>159</v>
      </c>
      <c r="D1260" s="11">
        <v>1</v>
      </c>
      <c r="E1260" s="12">
        <v>0</v>
      </c>
      <c r="F1260" s="12">
        <v>4</v>
      </c>
      <c r="G1260" s="17">
        <v>3</v>
      </c>
      <c r="H1260" s="12">
        <v>0</v>
      </c>
    </row>
    <row r="1261" spans="1:8">
      <c r="A1261" s="44" t="s">
        <v>156</v>
      </c>
      <c r="B1261" s="44">
        <v>281759</v>
      </c>
      <c r="C1261" s="44" t="s">
        <v>1540</v>
      </c>
      <c r="D1261" s="11">
        <v>1</v>
      </c>
      <c r="E1261" s="12">
        <v>0</v>
      </c>
      <c r="F1261" s="12">
        <v>4</v>
      </c>
      <c r="G1261" s="17">
        <v>1</v>
      </c>
      <c r="H1261" s="12">
        <v>0</v>
      </c>
    </row>
    <row r="1262" spans="1:8">
      <c r="A1262" s="44" t="s">
        <v>145</v>
      </c>
      <c r="B1262" s="44">
        <v>12320367</v>
      </c>
      <c r="C1262" s="44" t="s">
        <v>486</v>
      </c>
      <c r="D1262" s="11">
        <v>0</v>
      </c>
      <c r="E1262" s="12">
        <v>0</v>
      </c>
      <c r="F1262" s="12">
        <v>3</v>
      </c>
      <c r="G1262" s="17">
        <v>0</v>
      </c>
      <c r="H1262" s="12">
        <v>0</v>
      </c>
    </row>
    <row r="1263" spans="1:8">
      <c r="A1263" s="44" t="s">
        <v>5</v>
      </c>
      <c r="B1263" s="44">
        <v>199020</v>
      </c>
      <c r="C1263" s="44" t="s">
        <v>89</v>
      </c>
      <c r="D1263" s="11">
        <v>1</v>
      </c>
      <c r="E1263" s="12">
        <v>0</v>
      </c>
      <c r="F1263" s="12">
        <v>1</v>
      </c>
      <c r="G1263" s="17">
        <v>1</v>
      </c>
      <c r="H1263" s="12">
        <v>0</v>
      </c>
    </row>
    <row r="1264" spans="1:8">
      <c r="A1264" s="44" t="s">
        <v>1136</v>
      </c>
      <c r="B1264" s="44">
        <v>12327841</v>
      </c>
      <c r="C1264" s="44" t="s">
        <v>1541</v>
      </c>
      <c r="D1264" s="11">
        <v>1</v>
      </c>
      <c r="E1264" s="12">
        <v>0</v>
      </c>
      <c r="F1264" s="12">
        <v>3</v>
      </c>
      <c r="G1264" s="17">
        <v>1</v>
      </c>
      <c r="H1264" s="12">
        <v>0</v>
      </c>
    </row>
    <row r="1265" spans="1:8">
      <c r="A1265" s="44">
        <v>2613051451</v>
      </c>
      <c r="B1265" s="44">
        <v>12300880</v>
      </c>
      <c r="C1265" s="44" t="s">
        <v>378</v>
      </c>
      <c r="D1265" s="11">
        <v>1</v>
      </c>
      <c r="E1265" s="12">
        <v>0</v>
      </c>
      <c r="F1265" s="12">
        <v>3</v>
      </c>
      <c r="G1265" s="17">
        <v>2</v>
      </c>
      <c r="H1265" s="12">
        <v>0</v>
      </c>
    </row>
    <row r="1266" spans="1:8">
      <c r="A1266" s="44" t="s">
        <v>157</v>
      </c>
      <c r="B1266" s="44">
        <v>350476</v>
      </c>
      <c r="C1266" s="44" t="s">
        <v>1042</v>
      </c>
      <c r="D1266" s="11">
        <v>0</v>
      </c>
      <c r="E1266" s="12">
        <v>0</v>
      </c>
      <c r="F1266" s="12">
        <v>0</v>
      </c>
      <c r="G1266" s="17">
        <v>0</v>
      </c>
      <c r="H1266" s="12">
        <v>0</v>
      </c>
    </row>
    <row r="1267" spans="1:8">
      <c r="A1267" s="44" t="s">
        <v>157</v>
      </c>
      <c r="B1267" s="44">
        <v>12304208</v>
      </c>
      <c r="C1267" s="44" t="s">
        <v>1021</v>
      </c>
      <c r="D1267" s="11">
        <v>0</v>
      </c>
      <c r="E1267" s="12">
        <v>0</v>
      </c>
      <c r="F1267" s="12">
        <v>1</v>
      </c>
      <c r="G1267" s="17">
        <v>0</v>
      </c>
      <c r="H1267" s="12">
        <v>0</v>
      </c>
    </row>
    <row r="1268" spans="1:8">
      <c r="A1268" s="44" t="s">
        <v>145</v>
      </c>
      <c r="B1268" s="44">
        <v>496200</v>
      </c>
      <c r="C1268" s="44" t="s">
        <v>1542</v>
      </c>
      <c r="D1268" s="11">
        <v>0</v>
      </c>
      <c r="E1268" s="12">
        <v>1</v>
      </c>
      <c r="F1268" s="12">
        <v>3</v>
      </c>
      <c r="G1268" s="17">
        <v>0</v>
      </c>
      <c r="H1268" s="12">
        <v>0</v>
      </c>
    </row>
    <row r="1269" spans="1:8">
      <c r="A1269" s="44" t="s">
        <v>145</v>
      </c>
      <c r="B1269" s="44">
        <v>256637</v>
      </c>
      <c r="C1269" s="44" t="s">
        <v>1543</v>
      </c>
      <c r="D1269" s="11">
        <v>0</v>
      </c>
      <c r="E1269" s="12">
        <v>0</v>
      </c>
      <c r="F1269" s="12">
        <v>3</v>
      </c>
      <c r="G1269" s="17">
        <v>0</v>
      </c>
      <c r="H1269" s="12">
        <v>0</v>
      </c>
    </row>
    <row r="1270" spans="1:8">
      <c r="A1270" s="44" t="s">
        <v>149</v>
      </c>
      <c r="B1270" s="44">
        <v>344674</v>
      </c>
      <c r="C1270" s="44" t="s">
        <v>1544</v>
      </c>
      <c r="D1270" s="11">
        <v>0</v>
      </c>
      <c r="E1270" s="12">
        <v>0</v>
      </c>
      <c r="F1270" s="12">
        <v>0</v>
      </c>
      <c r="G1270" s="17">
        <v>0</v>
      </c>
      <c r="H1270" s="12">
        <v>0</v>
      </c>
    </row>
    <row r="1271" spans="1:8">
      <c r="A1271" s="44" t="s">
        <v>158</v>
      </c>
      <c r="B1271" s="44">
        <v>343974</v>
      </c>
      <c r="C1271" s="44" t="s">
        <v>1545</v>
      </c>
      <c r="D1271" s="11">
        <v>1</v>
      </c>
      <c r="E1271" s="12">
        <v>0</v>
      </c>
      <c r="F1271" s="12">
        <v>2</v>
      </c>
      <c r="G1271" s="17">
        <v>1</v>
      </c>
      <c r="H1271" s="12">
        <v>0</v>
      </c>
    </row>
    <row r="1272" spans="1:8">
      <c r="A1272" s="44" t="s">
        <v>3</v>
      </c>
      <c r="B1272" s="44">
        <v>240048</v>
      </c>
      <c r="C1272" s="44" t="s">
        <v>1116</v>
      </c>
      <c r="D1272" s="11">
        <v>1</v>
      </c>
      <c r="E1272" s="12">
        <v>0</v>
      </c>
      <c r="F1272" s="12">
        <v>7</v>
      </c>
      <c r="G1272" s="17">
        <v>4</v>
      </c>
      <c r="H1272" s="12">
        <v>0</v>
      </c>
    </row>
    <row r="1273" spans="1:8">
      <c r="A1273" s="44" t="s">
        <v>157</v>
      </c>
      <c r="B1273" s="44">
        <v>240416</v>
      </c>
      <c r="C1273" s="44" t="s">
        <v>1028</v>
      </c>
      <c r="D1273" s="11">
        <v>1</v>
      </c>
      <c r="E1273" s="12">
        <v>0</v>
      </c>
      <c r="F1273" s="12">
        <v>3</v>
      </c>
      <c r="G1273" s="17">
        <v>3</v>
      </c>
      <c r="H1273" s="12">
        <v>0</v>
      </c>
    </row>
    <row r="1274" spans="1:8">
      <c r="A1274" s="44" t="s">
        <v>156</v>
      </c>
      <c r="B1274" s="44">
        <v>12304884</v>
      </c>
      <c r="C1274" s="44" t="s">
        <v>971</v>
      </c>
      <c r="D1274" s="11">
        <v>0</v>
      </c>
      <c r="E1274" s="12">
        <v>0</v>
      </c>
      <c r="F1274" s="12">
        <v>3</v>
      </c>
      <c r="G1274" s="17">
        <v>0</v>
      </c>
      <c r="H1274" s="12">
        <v>0</v>
      </c>
    </row>
    <row r="1275" spans="1:8">
      <c r="A1275" s="44" t="s">
        <v>154</v>
      </c>
      <c r="B1275" s="44">
        <v>509473</v>
      </c>
      <c r="C1275" s="44" t="s">
        <v>749</v>
      </c>
      <c r="D1275" s="11">
        <v>0</v>
      </c>
      <c r="E1275" s="12">
        <v>0</v>
      </c>
      <c r="F1275" s="12">
        <v>0</v>
      </c>
      <c r="G1275" s="17">
        <v>0</v>
      </c>
      <c r="H1275" s="12">
        <v>0</v>
      </c>
    </row>
    <row r="1276" spans="1:8">
      <c r="A1276" s="44">
        <v>2613050886</v>
      </c>
      <c r="B1276" s="44">
        <v>12296204</v>
      </c>
      <c r="C1276" s="44" t="s">
        <v>314</v>
      </c>
      <c r="D1276" s="11">
        <v>0</v>
      </c>
      <c r="E1276" s="12">
        <v>0</v>
      </c>
      <c r="F1276" s="12">
        <v>1</v>
      </c>
      <c r="G1276" s="17">
        <v>0</v>
      </c>
      <c r="H1276" s="12">
        <v>0</v>
      </c>
    </row>
    <row r="1277" spans="1:8">
      <c r="A1277" s="44" t="s">
        <v>154</v>
      </c>
      <c r="B1277" s="44">
        <v>312931</v>
      </c>
      <c r="C1277" s="44" t="s">
        <v>745</v>
      </c>
      <c r="D1277" s="11">
        <v>1</v>
      </c>
      <c r="E1277" s="12">
        <v>0</v>
      </c>
      <c r="F1277" s="12">
        <v>1</v>
      </c>
      <c r="G1277" s="17">
        <v>1</v>
      </c>
      <c r="H1277" s="12">
        <v>0</v>
      </c>
    </row>
    <row r="1278" spans="1:8">
      <c r="A1278" s="44">
        <v>2613050886</v>
      </c>
      <c r="B1278" s="44">
        <v>511938</v>
      </c>
      <c r="C1278" s="44" t="s">
        <v>1546</v>
      </c>
      <c r="D1278" s="11">
        <v>0</v>
      </c>
      <c r="E1278" s="12">
        <v>0</v>
      </c>
      <c r="F1278" s="12">
        <v>3</v>
      </c>
      <c r="G1278" s="17">
        <v>0</v>
      </c>
      <c r="H1278" s="12">
        <v>0</v>
      </c>
    </row>
    <row r="1279" spans="1:8">
      <c r="A1279" s="44" t="s">
        <v>153</v>
      </c>
      <c r="B1279" s="44">
        <v>545391</v>
      </c>
      <c r="C1279" s="44" t="s">
        <v>1547</v>
      </c>
      <c r="D1279" s="11">
        <v>1</v>
      </c>
      <c r="E1279" s="12">
        <v>3</v>
      </c>
      <c r="F1279" s="12">
        <v>3</v>
      </c>
      <c r="G1279" s="17">
        <v>4</v>
      </c>
      <c r="H1279" s="12">
        <v>1</v>
      </c>
    </row>
    <row r="1280" spans="1:8">
      <c r="A1280" s="44" t="s">
        <v>1136</v>
      </c>
      <c r="B1280" s="44">
        <v>344532</v>
      </c>
      <c r="C1280" s="44" t="s">
        <v>1548</v>
      </c>
      <c r="D1280" s="11">
        <v>1</v>
      </c>
      <c r="E1280" s="12">
        <v>0</v>
      </c>
      <c r="F1280" s="12">
        <v>1</v>
      </c>
      <c r="G1280" s="17">
        <v>3</v>
      </c>
      <c r="H1280" s="12">
        <v>2</v>
      </c>
    </row>
    <row r="1281" spans="1:8">
      <c r="A1281" s="44" t="s">
        <v>153</v>
      </c>
      <c r="B1281" s="44">
        <v>3088</v>
      </c>
      <c r="C1281" s="44" t="s">
        <v>723</v>
      </c>
      <c r="D1281" s="11">
        <v>0</v>
      </c>
      <c r="E1281" s="12">
        <v>0</v>
      </c>
      <c r="F1281" s="12">
        <v>0</v>
      </c>
      <c r="G1281" s="17">
        <v>0</v>
      </c>
      <c r="H1281" s="12">
        <v>0</v>
      </c>
    </row>
    <row r="1282" spans="1:8">
      <c r="A1282" s="44" t="s">
        <v>150</v>
      </c>
      <c r="B1282" s="44">
        <v>274521</v>
      </c>
      <c r="C1282" s="44" t="s">
        <v>821</v>
      </c>
      <c r="D1282" s="11">
        <v>0</v>
      </c>
      <c r="E1282" s="12">
        <v>0</v>
      </c>
      <c r="F1282" s="12">
        <v>0</v>
      </c>
      <c r="G1282" s="17">
        <v>0</v>
      </c>
      <c r="H1282" s="12">
        <v>0</v>
      </c>
    </row>
    <row r="1283" spans="1:8">
      <c r="A1283" s="44" t="s">
        <v>143</v>
      </c>
      <c r="B1283" s="44">
        <v>468349</v>
      </c>
      <c r="C1283" s="44" t="s">
        <v>265</v>
      </c>
      <c r="D1283" s="11">
        <v>1</v>
      </c>
      <c r="E1283" s="12">
        <v>0</v>
      </c>
      <c r="F1283" s="12">
        <v>1</v>
      </c>
      <c r="G1283" s="17">
        <v>2</v>
      </c>
      <c r="H1283" s="12">
        <v>1</v>
      </c>
    </row>
    <row r="1284" spans="1:8">
      <c r="A1284" s="44" t="s">
        <v>142</v>
      </c>
      <c r="B1284" s="44">
        <v>514871</v>
      </c>
      <c r="C1284" s="44" t="s">
        <v>358</v>
      </c>
      <c r="D1284" s="11">
        <v>1</v>
      </c>
      <c r="E1284" s="12">
        <v>0</v>
      </c>
      <c r="F1284" s="12">
        <v>3</v>
      </c>
      <c r="G1284" s="17">
        <v>2</v>
      </c>
      <c r="H1284" s="12">
        <v>0</v>
      </c>
    </row>
    <row r="1285" spans="1:8">
      <c r="A1285" s="44" t="s">
        <v>5</v>
      </c>
      <c r="B1285" s="44">
        <v>546446</v>
      </c>
      <c r="C1285" s="44" t="s">
        <v>108</v>
      </c>
      <c r="D1285" s="11">
        <v>0</v>
      </c>
      <c r="E1285" s="12">
        <v>0</v>
      </c>
      <c r="F1285" s="12">
        <v>3</v>
      </c>
      <c r="G1285" s="17">
        <v>0</v>
      </c>
      <c r="H1285" s="12">
        <v>0</v>
      </c>
    </row>
    <row r="1286" spans="1:8">
      <c r="A1286" s="44" t="s">
        <v>152</v>
      </c>
      <c r="B1286" s="44">
        <v>544831</v>
      </c>
      <c r="C1286" s="44" t="s">
        <v>1549</v>
      </c>
      <c r="D1286" s="11">
        <v>1</v>
      </c>
      <c r="E1286" s="12">
        <v>1</v>
      </c>
      <c r="F1286" s="12">
        <v>110</v>
      </c>
      <c r="G1286" s="17">
        <v>49</v>
      </c>
      <c r="H1286" s="12">
        <v>0</v>
      </c>
    </row>
    <row r="1287" spans="1:8">
      <c r="A1287" s="44" t="s">
        <v>1140</v>
      </c>
      <c r="B1287" s="44">
        <v>364537</v>
      </c>
      <c r="C1287" s="44" t="s">
        <v>1550</v>
      </c>
      <c r="D1287" s="11">
        <v>0</v>
      </c>
      <c r="E1287" s="12">
        <v>0</v>
      </c>
      <c r="F1287" s="12">
        <v>4</v>
      </c>
      <c r="G1287" s="17">
        <v>0</v>
      </c>
      <c r="H1287" s="12">
        <v>0</v>
      </c>
    </row>
    <row r="1288" spans="1:8">
      <c r="A1288" s="44" t="s">
        <v>151</v>
      </c>
      <c r="B1288" s="44">
        <v>339315</v>
      </c>
      <c r="C1288" s="44" t="s">
        <v>868</v>
      </c>
      <c r="D1288" s="11">
        <v>0</v>
      </c>
      <c r="E1288" s="12">
        <v>0</v>
      </c>
      <c r="F1288" s="12">
        <v>3</v>
      </c>
      <c r="G1288" s="17">
        <v>0</v>
      </c>
      <c r="H1288" s="12">
        <v>0</v>
      </c>
    </row>
    <row r="1289" spans="1:8">
      <c r="A1289" s="44" t="s">
        <v>154</v>
      </c>
      <c r="B1289" s="44">
        <v>575012</v>
      </c>
      <c r="C1289" s="44" t="s">
        <v>754</v>
      </c>
      <c r="D1289" s="11">
        <v>1</v>
      </c>
      <c r="E1289" s="12">
        <v>0</v>
      </c>
      <c r="F1289" s="12">
        <v>27</v>
      </c>
      <c r="G1289" s="17">
        <v>14</v>
      </c>
      <c r="H1289" s="12">
        <v>0</v>
      </c>
    </row>
    <row r="1290" spans="1:8">
      <c r="A1290" s="44">
        <v>2613051412</v>
      </c>
      <c r="B1290" s="44">
        <v>545500</v>
      </c>
      <c r="C1290" s="44" t="s">
        <v>565</v>
      </c>
      <c r="D1290" s="11">
        <v>1</v>
      </c>
      <c r="E1290" s="12">
        <v>0</v>
      </c>
      <c r="F1290" s="12">
        <v>10</v>
      </c>
      <c r="G1290" s="17">
        <v>7</v>
      </c>
      <c r="H1290" s="12">
        <v>0</v>
      </c>
    </row>
    <row r="1291" spans="1:8">
      <c r="A1291" s="44" t="s">
        <v>155</v>
      </c>
      <c r="B1291" s="44">
        <v>12304225</v>
      </c>
      <c r="C1291" s="44" t="s">
        <v>83</v>
      </c>
      <c r="D1291" s="11">
        <v>0</v>
      </c>
      <c r="E1291" s="12">
        <v>0</v>
      </c>
      <c r="F1291" s="12">
        <v>0</v>
      </c>
      <c r="G1291" s="17">
        <v>0</v>
      </c>
      <c r="H1291" s="12">
        <v>0</v>
      </c>
    </row>
    <row r="1292" spans="1:8">
      <c r="A1292" s="44" t="s">
        <v>150</v>
      </c>
      <c r="B1292" s="44">
        <v>63851</v>
      </c>
      <c r="C1292" s="44" t="s">
        <v>842</v>
      </c>
      <c r="D1292" s="11">
        <v>1</v>
      </c>
      <c r="E1292" s="12">
        <v>0</v>
      </c>
      <c r="F1292" s="12">
        <v>26</v>
      </c>
      <c r="G1292" s="17">
        <v>17</v>
      </c>
      <c r="H1292" s="12">
        <v>0</v>
      </c>
    </row>
    <row r="1293" spans="1:8">
      <c r="A1293" s="44" t="s">
        <v>151</v>
      </c>
      <c r="B1293" s="44">
        <v>61890</v>
      </c>
      <c r="C1293" s="44" t="s">
        <v>881</v>
      </c>
      <c r="D1293" s="11">
        <v>1</v>
      </c>
      <c r="E1293" s="12">
        <v>0</v>
      </c>
      <c r="F1293" s="12">
        <v>0</v>
      </c>
      <c r="G1293" s="17">
        <v>1</v>
      </c>
      <c r="H1293" s="12">
        <v>1</v>
      </c>
    </row>
    <row r="1294" spans="1:8">
      <c r="A1294" s="44" t="s">
        <v>143</v>
      </c>
      <c r="B1294" s="44">
        <v>126926</v>
      </c>
      <c r="C1294" s="44" t="s">
        <v>252</v>
      </c>
      <c r="D1294" s="11">
        <v>1</v>
      </c>
      <c r="E1294" s="12">
        <v>2</v>
      </c>
      <c r="F1294" s="12">
        <v>3</v>
      </c>
      <c r="G1294" s="17">
        <v>4</v>
      </c>
      <c r="H1294" s="12">
        <v>1</v>
      </c>
    </row>
    <row r="1295" spans="1:8">
      <c r="A1295" s="44" t="s">
        <v>147</v>
      </c>
      <c r="B1295" s="44">
        <v>336129</v>
      </c>
      <c r="C1295" s="44" t="s">
        <v>610</v>
      </c>
      <c r="D1295" s="11">
        <v>1</v>
      </c>
      <c r="E1295" s="12">
        <v>0</v>
      </c>
      <c r="F1295" s="12">
        <v>15</v>
      </c>
      <c r="G1295" s="17">
        <v>6</v>
      </c>
      <c r="H1295" s="12">
        <v>0</v>
      </c>
    </row>
    <row r="1296" spans="1:8">
      <c r="A1296" s="44" t="s">
        <v>157</v>
      </c>
      <c r="B1296" s="44">
        <v>61892</v>
      </c>
      <c r="C1296" s="44" t="s">
        <v>218</v>
      </c>
      <c r="D1296" s="11">
        <v>0</v>
      </c>
      <c r="E1296" s="12">
        <v>0</v>
      </c>
      <c r="F1296" s="12">
        <v>3</v>
      </c>
      <c r="G1296" s="17">
        <v>0</v>
      </c>
      <c r="H1296" s="12">
        <v>0</v>
      </c>
    </row>
    <row r="1297" spans="1:8">
      <c r="A1297" s="44" t="s">
        <v>141</v>
      </c>
      <c r="B1297" s="44">
        <v>12295864</v>
      </c>
      <c r="C1297" s="44" t="s">
        <v>181</v>
      </c>
      <c r="D1297" s="11">
        <v>1</v>
      </c>
      <c r="E1297" s="12">
        <v>0</v>
      </c>
      <c r="F1297" s="12">
        <v>4</v>
      </c>
      <c r="G1297" s="17">
        <v>1</v>
      </c>
      <c r="H1297" s="12">
        <v>0</v>
      </c>
    </row>
    <row r="1298" spans="1:8">
      <c r="A1298" s="44" t="s">
        <v>145</v>
      </c>
      <c r="B1298" s="44">
        <v>404929</v>
      </c>
      <c r="C1298" s="44" t="s">
        <v>508</v>
      </c>
      <c r="D1298" s="11">
        <v>0</v>
      </c>
      <c r="E1298" s="12">
        <v>0</v>
      </c>
      <c r="F1298" s="12">
        <v>3</v>
      </c>
      <c r="G1298" s="17">
        <v>0</v>
      </c>
      <c r="H1298" s="12">
        <v>0</v>
      </c>
    </row>
    <row r="1299" spans="1:8">
      <c r="A1299" s="44" t="s">
        <v>148</v>
      </c>
      <c r="B1299" s="44">
        <v>211739</v>
      </c>
      <c r="C1299" s="44" t="s">
        <v>1551</v>
      </c>
      <c r="D1299" s="11">
        <v>0</v>
      </c>
      <c r="E1299" s="12">
        <v>0</v>
      </c>
      <c r="F1299" s="12">
        <v>1</v>
      </c>
      <c r="G1299" s="17">
        <v>0</v>
      </c>
      <c r="H1299" s="12">
        <v>0</v>
      </c>
    </row>
    <row r="1300" spans="1:8">
      <c r="A1300" s="44" t="s">
        <v>150</v>
      </c>
      <c r="B1300" s="44">
        <v>260298</v>
      </c>
      <c r="C1300" s="44" t="s">
        <v>816</v>
      </c>
      <c r="D1300" s="11">
        <v>1</v>
      </c>
      <c r="E1300" s="12">
        <v>0</v>
      </c>
      <c r="F1300" s="12">
        <v>3</v>
      </c>
      <c r="G1300" s="17">
        <v>1</v>
      </c>
      <c r="H1300" s="12">
        <v>0</v>
      </c>
    </row>
    <row r="1301" spans="1:8">
      <c r="A1301" s="44" t="s">
        <v>1140</v>
      </c>
      <c r="B1301" s="44">
        <v>61526</v>
      </c>
      <c r="C1301" s="44" t="s">
        <v>1552</v>
      </c>
      <c r="D1301" s="11">
        <v>1</v>
      </c>
      <c r="E1301" s="12">
        <v>0</v>
      </c>
      <c r="F1301" s="12">
        <v>23</v>
      </c>
      <c r="G1301" s="17">
        <v>10</v>
      </c>
      <c r="H1301" s="12">
        <v>0</v>
      </c>
    </row>
    <row r="1302" spans="1:8">
      <c r="A1302" s="44">
        <v>2613051043</v>
      </c>
      <c r="B1302" s="44">
        <v>12327271</v>
      </c>
      <c r="C1302" s="44" t="s">
        <v>1553</v>
      </c>
      <c r="D1302" s="11">
        <v>0</v>
      </c>
      <c r="E1302" s="12">
        <v>0</v>
      </c>
      <c r="F1302" s="12">
        <v>0</v>
      </c>
      <c r="G1302" s="17">
        <v>0</v>
      </c>
      <c r="H1302" s="12">
        <v>0</v>
      </c>
    </row>
    <row r="1303" spans="1:8">
      <c r="A1303" s="44" t="s">
        <v>154</v>
      </c>
      <c r="B1303" s="44">
        <v>458917</v>
      </c>
      <c r="C1303" s="44" t="s">
        <v>1554</v>
      </c>
      <c r="D1303" s="11">
        <v>0</v>
      </c>
      <c r="E1303" s="12">
        <v>0</v>
      </c>
      <c r="F1303" s="12">
        <v>1</v>
      </c>
      <c r="G1303" s="17">
        <v>0</v>
      </c>
      <c r="H1303" s="12">
        <v>0</v>
      </c>
    </row>
    <row r="1304" spans="1:8">
      <c r="A1304" s="44" t="s">
        <v>157</v>
      </c>
      <c r="B1304" s="44">
        <v>127542</v>
      </c>
      <c r="C1304" s="44" t="s">
        <v>1026</v>
      </c>
      <c r="D1304" s="11">
        <v>0</v>
      </c>
      <c r="E1304" s="12">
        <v>0</v>
      </c>
      <c r="F1304" s="12">
        <v>4</v>
      </c>
      <c r="G1304" s="17">
        <v>0</v>
      </c>
      <c r="H1304" s="12">
        <v>0</v>
      </c>
    </row>
    <row r="1305" spans="1:8">
      <c r="A1305" s="44" t="s">
        <v>141</v>
      </c>
      <c r="B1305" s="44">
        <v>12295813</v>
      </c>
      <c r="C1305" s="44" t="s">
        <v>178</v>
      </c>
      <c r="D1305" s="11">
        <v>0</v>
      </c>
      <c r="E1305" s="12">
        <v>0</v>
      </c>
      <c r="F1305" s="12">
        <v>1</v>
      </c>
      <c r="G1305" s="17">
        <v>0</v>
      </c>
      <c r="H1305" s="12">
        <v>0</v>
      </c>
    </row>
    <row r="1306" spans="1:8">
      <c r="A1306" s="44" t="s">
        <v>5</v>
      </c>
      <c r="B1306" s="44">
        <v>12321230</v>
      </c>
      <c r="C1306" s="44" t="s">
        <v>78</v>
      </c>
      <c r="D1306" s="11">
        <v>1</v>
      </c>
      <c r="E1306" s="12">
        <v>0</v>
      </c>
      <c r="F1306" s="12">
        <v>6</v>
      </c>
      <c r="G1306" s="17">
        <v>8</v>
      </c>
      <c r="H1306" s="12">
        <v>2</v>
      </c>
    </row>
    <row r="1307" spans="1:8">
      <c r="A1307" s="44" t="s">
        <v>156</v>
      </c>
      <c r="B1307" s="44">
        <v>257042</v>
      </c>
      <c r="C1307" s="44" t="s">
        <v>979</v>
      </c>
      <c r="D1307" s="11">
        <v>0</v>
      </c>
      <c r="E1307" s="12">
        <v>0</v>
      </c>
      <c r="F1307" s="12">
        <v>0</v>
      </c>
      <c r="G1307" s="17">
        <v>0</v>
      </c>
      <c r="H1307" s="12">
        <v>0</v>
      </c>
    </row>
    <row r="1308" spans="1:8">
      <c r="A1308" s="44">
        <v>2613052222</v>
      </c>
      <c r="B1308" s="44">
        <v>340429</v>
      </c>
      <c r="C1308" s="44" t="s">
        <v>694</v>
      </c>
      <c r="D1308" s="11">
        <v>0</v>
      </c>
      <c r="E1308" s="12">
        <v>0</v>
      </c>
      <c r="F1308" s="12">
        <v>0</v>
      </c>
      <c r="G1308" s="17">
        <v>0</v>
      </c>
      <c r="H1308" s="12">
        <v>0</v>
      </c>
    </row>
    <row r="1309" spans="1:8">
      <c r="A1309" s="44" t="s">
        <v>144</v>
      </c>
      <c r="B1309" s="44">
        <v>512404</v>
      </c>
      <c r="C1309" s="44" t="s">
        <v>232</v>
      </c>
      <c r="D1309" s="11">
        <v>1</v>
      </c>
      <c r="E1309" s="12">
        <v>0</v>
      </c>
      <c r="F1309" s="12">
        <v>5</v>
      </c>
      <c r="G1309" s="17">
        <v>2</v>
      </c>
      <c r="H1309" s="12">
        <v>0</v>
      </c>
    </row>
    <row r="1310" spans="1:8">
      <c r="A1310" s="44" t="s">
        <v>141</v>
      </c>
      <c r="B1310" s="44">
        <v>515338</v>
      </c>
      <c r="C1310" s="44" t="s">
        <v>1555</v>
      </c>
      <c r="D1310" s="11">
        <v>1</v>
      </c>
      <c r="E1310" s="12">
        <v>0</v>
      </c>
      <c r="F1310" s="12">
        <v>30</v>
      </c>
      <c r="G1310" s="17">
        <v>1</v>
      </c>
      <c r="H1310" s="12">
        <v>0</v>
      </c>
    </row>
    <row r="1311" spans="1:8">
      <c r="A1311" s="44" t="s">
        <v>4</v>
      </c>
      <c r="B1311" s="44">
        <v>126952</v>
      </c>
      <c r="C1311" s="44" t="s">
        <v>1117</v>
      </c>
      <c r="D1311" s="11">
        <v>1</v>
      </c>
      <c r="E1311" s="12">
        <v>0</v>
      </c>
      <c r="F1311" s="12">
        <v>10</v>
      </c>
      <c r="G1311" s="17">
        <v>5</v>
      </c>
      <c r="H1311" s="12">
        <v>0</v>
      </c>
    </row>
    <row r="1312" spans="1:8">
      <c r="A1312" s="44">
        <v>2613052584</v>
      </c>
      <c r="B1312" s="44">
        <v>475081</v>
      </c>
      <c r="C1312" s="44" t="s">
        <v>589</v>
      </c>
      <c r="D1312" s="11">
        <v>1</v>
      </c>
      <c r="E1312" s="12">
        <v>0</v>
      </c>
      <c r="F1312" s="12">
        <v>0</v>
      </c>
      <c r="G1312" s="17">
        <v>4</v>
      </c>
      <c r="H1312" s="12">
        <v>4</v>
      </c>
    </row>
    <row r="1313" spans="1:8">
      <c r="A1313" s="44" t="s">
        <v>145</v>
      </c>
      <c r="B1313" s="44">
        <v>399087</v>
      </c>
      <c r="C1313" s="44" t="s">
        <v>505</v>
      </c>
      <c r="D1313" s="11">
        <v>1</v>
      </c>
      <c r="E1313" s="12">
        <v>0</v>
      </c>
      <c r="F1313" s="12">
        <v>3</v>
      </c>
      <c r="G1313" s="17">
        <v>1</v>
      </c>
      <c r="H1313" s="12">
        <v>0</v>
      </c>
    </row>
    <row r="1314" spans="1:8">
      <c r="A1314" s="44" t="s">
        <v>5</v>
      </c>
      <c r="B1314" s="44">
        <v>240084</v>
      </c>
      <c r="C1314" s="44" t="s">
        <v>1118</v>
      </c>
      <c r="D1314" s="11">
        <v>0</v>
      </c>
      <c r="E1314" s="12">
        <v>0</v>
      </c>
      <c r="F1314" s="12">
        <v>4</v>
      </c>
      <c r="G1314" s="17">
        <v>0</v>
      </c>
      <c r="H1314" s="12">
        <v>0</v>
      </c>
    </row>
    <row r="1315" spans="1:8">
      <c r="A1315" s="44" t="s">
        <v>145</v>
      </c>
      <c r="B1315" s="44">
        <v>186394</v>
      </c>
      <c r="C1315" s="44" t="s">
        <v>491</v>
      </c>
      <c r="D1315" s="11">
        <v>1</v>
      </c>
      <c r="E1315" s="12">
        <v>0</v>
      </c>
      <c r="F1315" s="12">
        <v>3</v>
      </c>
      <c r="G1315" s="17">
        <v>5</v>
      </c>
      <c r="H1315" s="12">
        <v>2</v>
      </c>
    </row>
    <row r="1316" spans="1:8">
      <c r="A1316" s="44">
        <v>2613051412</v>
      </c>
      <c r="B1316" s="44">
        <v>12322496</v>
      </c>
      <c r="C1316" s="44" t="s">
        <v>92</v>
      </c>
      <c r="D1316" s="11">
        <v>0</v>
      </c>
      <c r="E1316" s="12">
        <v>0</v>
      </c>
      <c r="F1316" s="12">
        <v>0</v>
      </c>
      <c r="G1316" s="17">
        <v>0</v>
      </c>
      <c r="H1316" s="12">
        <v>0</v>
      </c>
    </row>
    <row r="1317" spans="1:8">
      <c r="A1317" s="44" t="s">
        <v>158</v>
      </c>
      <c r="B1317" s="44">
        <v>489157</v>
      </c>
      <c r="C1317" s="44" t="s">
        <v>1556</v>
      </c>
      <c r="D1317" s="11">
        <v>1</v>
      </c>
      <c r="E1317" s="12">
        <v>0</v>
      </c>
      <c r="F1317" s="12">
        <v>3</v>
      </c>
      <c r="G1317" s="17">
        <v>1</v>
      </c>
      <c r="H1317" s="12">
        <v>0</v>
      </c>
    </row>
    <row r="1318" spans="1:8">
      <c r="A1318" s="44" t="s">
        <v>147</v>
      </c>
      <c r="B1318" s="44">
        <v>12304720</v>
      </c>
      <c r="C1318" s="44" t="s">
        <v>1557</v>
      </c>
      <c r="D1318" s="11">
        <v>0</v>
      </c>
      <c r="E1318" s="12">
        <v>0</v>
      </c>
      <c r="F1318" s="12">
        <v>0</v>
      </c>
      <c r="G1318" s="17">
        <v>0</v>
      </c>
      <c r="H1318" s="12">
        <v>0</v>
      </c>
    </row>
    <row r="1319" spans="1:8">
      <c r="A1319" s="44">
        <v>2613051412</v>
      </c>
      <c r="B1319" s="44">
        <v>344173</v>
      </c>
      <c r="C1319" s="44" t="s">
        <v>1417</v>
      </c>
      <c r="D1319" s="11">
        <v>1</v>
      </c>
      <c r="E1319" s="12">
        <v>0</v>
      </c>
      <c r="F1319" s="12">
        <v>16</v>
      </c>
      <c r="G1319" s="17">
        <v>7</v>
      </c>
      <c r="H1319" s="12">
        <v>0</v>
      </c>
    </row>
    <row r="1320" spans="1:8">
      <c r="A1320" s="44">
        <v>2613051412</v>
      </c>
      <c r="B1320" s="44">
        <v>547922</v>
      </c>
      <c r="C1320" s="44" t="s">
        <v>567</v>
      </c>
      <c r="D1320" s="11">
        <v>1</v>
      </c>
      <c r="E1320" s="12">
        <v>0</v>
      </c>
      <c r="F1320" s="12">
        <v>4</v>
      </c>
      <c r="G1320" s="17">
        <v>3</v>
      </c>
      <c r="H1320" s="12">
        <v>0</v>
      </c>
    </row>
    <row r="1321" spans="1:8">
      <c r="A1321" s="44">
        <v>2613051412</v>
      </c>
      <c r="B1321" s="44">
        <v>12314331</v>
      </c>
      <c r="C1321" s="44" t="s">
        <v>1558</v>
      </c>
      <c r="D1321" s="11">
        <v>1</v>
      </c>
      <c r="E1321" s="12">
        <v>0</v>
      </c>
      <c r="F1321" s="12">
        <v>3</v>
      </c>
      <c r="G1321" s="17">
        <v>1</v>
      </c>
      <c r="H1321" s="12">
        <v>0</v>
      </c>
    </row>
    <row r="1322" spans="1:8">
      <c r="A1322" s="44" t="s">
        <v>149</v>
      </c>
      <c r="B1322" s="44">
        <v>62206</v>
      </c>
      <c r="C1322" s="44" t="s">
        <v>249</v>
      </c>
      <c r="D1322" s="11">
        <v>0</v>
      </c>
      <c r="E1322" s="12">
        <v>0</v>
      </c>
      <c r="F1322" s="12">
        <v>0</v>
      </c>
      <c r="G1322" s="17">
        <v>0</v>
      </c>
      <c r="H1322" s="12">
        <v>0</v>
      </c>
    </row>
    <row r="1323" spans="1:8">
      <c r="A1323" s="44" t="s">
        <v>3</v>
      </c>
      <c r="B1323" s="44">
        <v>416191</v>
      </c>
      <c r="C1323" s="44" t="s">
        <v>1119</v>
      </c>
      <c r="D1323" s="11">
        <v>0</v>
      </c>
      <c r="E1323" s="12">
        <v>0</v>
      </c>
      <c r="F1323" s="12">
        <v>3</v>
      </c>
      <c r="G1323" s="17">
        <v>0</v>
      </c>
      <c r="H1323" s="12">
        <v>0</v>
      </c>
    </row>
    <row r="1324" spans="1:8">
      <c r="A1324" s="44" t="s">
        <v>142</v>
      </c>
      <c r="B1324" s="44">
        <v>277306</v>
      </c>
      <c r="C1324" s="44" t="s">
        <v>351</v>
      </c>
      <c r="D1324" s="11">
        <v>1</v>
      </c>
      <c r="E1324" s="12">
        <v>0</v>
      </c>
      <c r="F1324" s="12">
        <v>1</v>
      </c>
      <c r="G1324" s="17">
        <v>1</v>
      </c>
      <c r="H1324" s="12">
        <v>0</v>
      </c>
    </row>
    <row r="1325" spans="1:8">
      <c r="A1325" s="44" t="s">
        <v>158</v>
      </c>
      <c r="B1325" s="44">
        <v>391846</v>
      </c>
      <c r="C1325" s="44" t="s">
        <v>1559</v>
      </c>
      <c r="D1325" s="11">
        <v>0</v>
      </c>
      <c r="E1325" s="12">
        <v>0</v>
      </c>
      <c r="F1325" s="12">
        <v>2</v>
      </c>
      <c r="G1325" s="17">
        <v>0</v>
      </c>
      <c r="H1325" s="12">
        <v>0</v>
      </c>
    </row>
    <row r="1326" spans="1:8">
      <c r="A1326" s="44">
        <v>2613050886</v>
      </c>
      <c r="B1326" s="44">
        <v>12322396</v>
      </c>
      <c r="C1326" s="44" t="s">
        <v>317</v>
      </c>
      <c r="D1326" s="11">
        <v>1</v>
      </c>
      <c r="E1326" s="12">
        <v>0</v>
      </c>
      <c r="F1326" s="12">
        <v>5</v>
      </c>
      <c r="G1326" s="17">
        <v>5</v>
      </c>
      <c r="H1326" s="12">
        <v>0</v>
      </c>
    </row>
    <row r="1327" spans="1:8">
      <c r="A1327" s="44" t="s">
        <v>3</v>
      </c>
      <c r="B1327" s="44">
        <v>530058</v>
      </c>
      <c r="C1327" s="44" t="s">
        <v>33</v>
      </c>
      <c r="D1327" s="11">
        <v>1</v>
      </c>
      <c r="E1327" s="12">
        <v>0</v>
      </c>
      <c r="F1327" s="12">
        <v>2</v>
      </c>
      <c r="G1327" s="17">
        <v>3</v>
      </c>
      <c r="H1327" s="12">
        <v>1</v>
      </c>
    </row>
    <row r="1328" spans="1:8">
      <c r="A1328" s="44" t="s">
        <v>150</v>
      </c>
      <c r="B1328" s="44">
        <v>61933</v>
      </c>
      <c r="C1328" s="44" t="s">
        <v>1560</v>
      </c>
      <c r="D1328" s="11">
        <v>1</v>
      </c>
      <c r="E1328" s="12">
        <v>0</v>
      </c>
      <c r="F1328" s="12">
        <v>32</v>
      </c>
      <c r="G1328" s="17">
        <v>16</v>
      </c>
      <c r="H1328" s="12">
        <v>0</v>
      </c>
    </row>
    <row r="1329" spans="1:8">
      <c r="A1329" s="44" t="s">
        <v>141</v>
      </c>
      <c r="B1329" s="44">
        <v>473619</v>
      </c>
      <c r="C1329" s="44" t="s">
        <v>1561</v>
      </c>
      <c r="D1329" s="11">
        <v>0</v>
      </c>
      <c r="E1329" s="12">
        <v>0</v>
      </c>
      <c r="F1329" s="12">
        <v>0</v>
      </c>
      <c r="G1329" s="17">
        <v>0</v>
      </c>
      <c r="H1329" s="12">
        <v>0</v>
      </c>
    </row>
    <row r="1330" spans="1:8">
      <c r="A1330" s="44">
        <v>2613052222</v>
      </c>
      <c r="B1330" s="44">
        <v>457463</v>
      </c>
      <c r="C1330" s="44" t="s">
        <v>1562</v>
      </c>
      <c r="D1330" s="11">
        <v>0</v>
      </c>
      <c r="E1330" s="12">
        <v>0</v>
      </c>
      <c r="F1330" s="12">
        <v>1</v>
      </c>
      <c r="G1330" s="17">
        <v>0</v>
      </c>
      <c r="H1330" s="12">
        <v>0</v>
      </c>
    </row>
    <row r="1331" spans="1:8">
      <c r="A1331" s="44" t="s">
        <v>155</v>
      </c>
      <c r="B1331" s="44">
        <v>126916</v>
      </c>
      <c r="C1331" s="44" t="s">
        <v>928</v>
      </c>
      <c r="D1331" s="11">
        <v>1</v>
      </c>
      <c r="E1331" s="12">
        <v>1</v>
      </c>
      <c r="F1331" s="12">
        <v>3</v>
      </c>
      <c r="G1331" s="17">
        <v>7</v>
      </c>
      <c r="H1331" s="12">
        <v>4</v>
      </c>
    </row>
    <row r="1332" spans="1:8">
      <c r="A1332" s="44">
        <v>2613051043</v>
      </c>
      <c r="B1332" s="44">
        <v>12297040</v>
      </c>
      <c r="C1332" s="44" t="s">
        <v>1563</v>
      </c>
      <c r="D1332" s="11">
        <v>0</v>
      </c>
      <c r="E1332" s="12">
        <v>0</v>
      </c>
      <c r="F1332" s="12">
        <v>0</v>
      </c>
      <c r="G1332" s="17">
        <v>0</v>
      </c>
      <c r="H1332" s="12">
        <v>0</v>
      </c>
    </row>
    <row r="1333" spans="1:8">
      <c r="A1333" s="44" t="s">
        <v>136</v>
      </c>
      <c r="B1333" s="44">
        <v>533367</v>
      </c>
      <c r="C1333" s="44" t="s">
        <v>1564</v>
      </c>
      <c r="D1333" s="11">
        <v>0</v>
      </c>
      <c r="E1333" s="12">
        <v>0</v>
      </c>
      <c r="F1333" s="12">
        <v>2</v>
      </c>
      <c r="G1333" s="17">
        <v>0</v>
      </c>
      <c r="H1333" s="12">
        <v>0</v>
      </c>
    </row>
    <row r="1334" spans="1:8">
      <c r="A1334" s="44">
        <v>2613052222</v>
      </c>
      <c r="B1334" s="44">
        <v>347151</v>
      </c>
      <c r="C1334" s="44" t="s">
        <v>695</v>
      </c>
      <c r="D1334" s="11">
        <v>1</v>
      </c>
      <c r="E1334" s="12">
        <v>0</v>
      </c>
      <c r="F1334" s="12">
        <v>17</v>
      </c>
      <c r="G1334" s="17">
        <v>1</v>
      </c>
      <c r="H1334" s="12">
        <v>0</v>
      </c>
    </row>
    <row r="1335" spans="1:8">
      <c r="A1335" s="44">
        <v>2613050885</v>
      </c>
      <c r="B1335" s="44">
        <v>523859</v>
      </c>
      <c r="C1335" s="44" t="s">
        <v>1565</v>
      </c>
      <c r="D1335" s="11">
        <v>1</v>
      </c>
      <c r="E1335" s="12">
        <v>0</v>
      </c>
      <c r="F1335" s="12">
        <v>1</v>
      </c>
      <c r="G1335" s="17">
        <v>3</v>
      </c>
      <c r="H1335" s="12">
        <v>2</v>
      </c>
    </row>
    <row r="1336" spans="1:8">
      <c r="A1336" s="44" t="s">
        <v>155</v>
      </c>
      <c r="B1336" s="44">
        <v>62423</v>
      </c>
      <c r="C1336" s="44" t="s">
        <v>1566</v>
      </c>
      <c r="D1336" s="11">
        <v>1</v>
      </c>
      <c r="E1336" s="12">
        <v>0</v>
      </c>
      <c r="F1336" s="12">
        <v>44</v>
      </c>
      <c r="G1336" s="17">
        <v>20</v>
      </c>
      <c r="H1336" s="12">
        <v>0</v>
      </c>
    </row>
    <row r="1337" spans="1:8">
      <c r="A1337" s="44" t="s">
        <v>148</v>
      </c>
      <c r="B1337" s="44">
        <v>62449</v>
      </c>
      <c r="C1337" s="44" t="s">
        <v>1567</v>
      </c>
      <c r="D1337" s="11">
        <v>1</v>
      </c>
      <c r="E1337" s="12">
        <v>0</v>
      </c>
      <c r="F1337" s="12">
        <v>3</v>
      </c>
      <c r="G1337" s="17">
        <v>1</v>
      </c>
      <c r="H1337" s="12">
        <v>0</v>
      </c>
    </row>
    <row r="1338" spans="1:8">
      <c r="A1338" s="44" t="s">
        <v>141</v>
      </c>
      <c r="B1338" s="44">
        <v>541322</v>
      </c>
      <c r="C1338" s="44" t="s">
        <v>1342</v>
      </c>
      <c r="D1338" s="11">
        <v>0</v>
      </c>
      <c r="E1338" s="12">
        <v>0</v>
      </c>
      <c r="F1338" s="12">
        <v>7</v>
      </c>
      <c r="G1338" s="17">
        <v>0</v>
      </c>
      <c r="H1338" s="12">
        <v>0</v>
      </c>
    </row>
    <row r="1339" spans="1:8">
      <c r="A1339" s="44" t="s">
        <v>148</v>
      </c>
      <c r="B1339" s="44">
        <v>410986</v>
      </c>
      <c r="C1339" s="44" t="s">
        <v>645</v>
      </c>
      <c r="D1339" s="11">
        <v>1</v>
      </c>
      <c r="E1339" s="12">
        <v>0</v>
      </c>
      <c r="F1339" s="12">
        <v>1</v>
      </c>
      <c r="G1339" s="17">
        <v>2</v>
      </c>
      <c r="H1339" s="12">
        <v>1</v>
      </c>
    </row>
    <row r="1340" spans="1:8">
      <c r="A1340" s="44">
        <v>2613050885</v>
      </c>
      <c r="B1340" s="44">
        <v>356600</v>
      </c>
      <c r="C1340" s="44" t="s">
        <v>286</v>
      </c>
      <c r="D1340" s="11">
        <v>1</v>
      </c>
      <c r="E1340" s="12">
        <v>0</v>
      </c>
      <c r="F1340" s="12">
        <v>1</v>
      </c>
      <c r="G1340" s="17">
        <v>3</v>
      </c>
      <c r="H1340" s="12">
        <v>2</v>
      </c>
    </row>
    <row r="1341" spans="1:8">
      <c r="A1341" s="44" t="s">
        <v>154</v>
      </c>
      <c r="B1341" s="44">
        <v>538191</v>
      </c>
      <c r="C1341" s="44" t="s">
        <v>1568</v>
      </c>
      <c r="D1341" s="11">
        <v>0</v>
      </c>
      <c r="E1341" s="12">
        <v>0</v>
      </c>
      <c r="F1341" s="12">
        <v>1</v>
      </c>
      <c r="G1341" s="17">
        <v>0</v>
      </c>
      <c r="H1341" s="12">
        <v>0</v>
      </c>
    </row>
    <row r="1342" spans="1:8">
      <c r="A1342" s="44">
        <v>2613050885</v>
      </c>
      <c r="B1342" s="44">
        <v>341164</v>
      </c>
      <c r="C1342" s="44" t="s">
        <v>285</v>
      </c>
      <c r="D1342" s="11">
        <v>1</v>
      </c>
      <c r="E1342" s="12">
        <v>0</v>
      </c>
      <c r="F1342" s="12">
        <v>3</v>
      </c>
      <c r="G1342" s="17">
        <v>3</v>
      </c>
      <c r="H1342" s="12">
        <v>0</v>
      </c>
    </row>
    <row r="1343" spans="1:8">
      <c r="A1343" s="44" t="s">
        <v>149</v>
      </c>
      <c r="B1343" s="44">
        <v>453810</v>
      </c>
      <c r="C1343" s="44" t="s">
        <v>792</v>
      </c>
      <c r="D1343" s="11">
        <v>1</v>
      </c>
      <c r="E1343" s="12">
        <v>0</v>
      </c>
      <c r="F1343" s="12">
        <v>3</v>
      </c>
      <c r="G1343" s="17">
        <v>1</v>
      </c>
      <c r="H1343" s="12">
        <v>0</v>
      </c>
    </row>
    <row r="1344" spans="1:8">
      <c r="A1344" s="44" t="s">
        <v>1140</v>
      </c>
      <c r="B1344" s="44">
        <v>532583</v>
      </c>
      <c r="C1344" s="44" t="s">
        <v>1569</v>
      </c>
      <c r="D1344" s="11">
        <v>0</v>
      </c>
      <c r="E1344" s="12">
        <v>0</v>
      </c>
      <c r="F1344" s="12">
        <v>2</v>
      </c>
      <c r="G1344" s="17">
        <v>0</v>
      </c>
      <c r="H1344" s="12">
        <v>0</v>
      </c>
    </row>
    <row r="1345" spans="1:8">
      <c r="A1345" s="44">
        <v>2613051412</v>
      </c>
      <c r="B1345" s="44">
        <v>12322024</v>
      </c>
      <c r="C1345" s="44" t="s">
        <v>1570</v>
      </c>
      <c r="D1345" s="11">
        <v>1</v>
      </c>
      <c r="E1345" s="12">
        <v>0</v>
      </c>
      <c r="F1345" s="12">
        <v>2</v>
      </c>
      <c r="G1345" s="17">
        <v>1</v>
      </c>
      <c r="H1345" s="12">
        <v>0</v>
      </c>
    </row>
    <row r="1346" spans="1:8">
      <c r="A1346" s="44">
        <v>2613051412</v>
      </c>
      <c r="B1346" s="44">
        <v>490023</v>
      </c>
      <c r="C1346" s="44" t="s">
        <v>1571</v>
      </c>
      <c r="D1346" s="11">
        <v>0</v>
      </c>
      <c r="E1346" s="12">
        <v>0</v>
      </c>
      <c r="F1346" s="12">
        <v>5</v>
      </c>
      <c r="G1346" s="17">
        <v>0</v>
      </c>
      <c r="H1346" s="12">
        <v>0</v>
      </c>
    </row>
    <row r="1347" spans="1:8">
      <c r="A1347" s="44" t="s">
        <v>149</v>
      </c>
      <c r="B1347" s="44">
        <v>404283</v>
      </c>
      <c r="C1347" s="44" t="s">
        <v>790</v>
      </c>
      <c r="D1347" s="11">
        <v>0</v>
      </c>
      <c r="E1347" s="12">
        <v>0</v>
      </c>
      <c r="F1347" s="12">
        <v>1</v>
      </c>
      <c r="G1347" s="17">
        <v>0</v>
      </c>
      <c r="H1347" s="12">
        <v>0</v>
      </c>
    </row>
    <row r="1348" spans="1:8">
      <c r="A1348" s="44" t="s">
        <v>1140</v>
      </c>
      <c r="B1348" s="44">
        <v>240378</v>
      </c>
      <c r="C1348" s="44" t="s">
        <v>1572</v>
      </c>
      <c r="D1348" s="11">
        <v>1</v>
      </c>
      <c r="E1348" s="12">
        <v>0</v>
      </c>
      <c r="F1348" s="12">
        <v>2</v>
      </c>
      <c r="G1348" s="17">
        <v>2</v>
      </c>
      <c r="H1348" s="12">
        <v>0</v>
      </c>
    </row>
    <row r="1349" spans="1:8">
      <c r="A1349" s="44" t="s">
        <v>148</v>
      </c>
      <c r="B1349" s="44">
        <v>61996</v>
      </c>
      <c r="C1349" s="44" t="s">
        <v>650</v>
      </c>
      <c r="D1349" s="11">
        <v>1</v>
      </c>
      <c r="E1349" s="12">
        <v>0</v>
      </c>
      <c r="F1349" s="12">
        <v>4</v>
      </c>
      <c r="G1349" s="17">
        <v>1</v>
      </c>
      <c r="H1349" s="12">
        <v>0</v>
      </c>
    </row>
    <row r="1350" spans="1:8">
      <c r="A1350" s="44">
        <v>2613051451</v>
      </c>
      <c r="B1350" s="44">
        <v>570313</v>
      </c>
      <c r="C1350" s="44" t="s">
        <v>389</v>
      </c>
      <c r="D1350" s="11">
        <v>0</v>
      </c>
      <c r="E1350" s="12">
        <v>0</v>
      </c>
      <c r="F1350" s="12">
        <v>4</v>
      </c>
      <c r="G1350" s="17">
        <v>0</v>
      </c>
      <c r="H1350" s="12">
        <v>0</v>
      </c>
    </row>
    <row r="1351" spans="1:8">
      <c r="A1351" s="44" t="s">
        <v>150</v>
      </c>
      <c r="B1351" s="44">
        <v>466676</v>
      </c>
      <c r="C1351" s="44" t="s">
        <v>830</v>
      </c>
      <c r="D1351" s="11">
        <v>1</v>
      </c>
      <c r="E1351" s="12">
        <v>0</v>
      </c>
      <c r="F1351" s="12">
        <v>1</v>
      </c>
      <c r="G1351" s="17">
        <v>1</v>
      </c>
      <c r="H1351" s="12">
        <v>0</v>
      </c>
    </row>
    <row r="1352" spans="1:8">
      <c r="A1352" s="44" t="s">
        <v>4</v>
      </c>
      <c r="B1352" s="44">
        <v>12322237</v>
      </c>
      <c r="C1352" s="44" t="s">
        <v>45</v>
      </c>
      <c r="D1352" s="11">
        <v>0</v>
      </c>
      <c r="E1352" s="12">
        <v>0</v>
      </c>
      <c r="F1352" s="12">
        <v>1</v>
      </c>
      <c r="G1352" s="17">
        <v>0</v>
      </c>
      <c r="H1352" s="12">
        <v>0</v>
      </c>
    </row>
    <row r="1353" spans="1:8">
      <c r="A1353" s="44">
        <v>2613052584</v>
      </c>
      <c r="B1353" s="44">
        <v>12322870</v>
      </c>
      <c r="C1353" s="44" t="s">
        <v>572</v>
      </c>
      <c r="D1353" s="11">
        <v>0</v>
      </c>
      <c r="E1353" s="12">
        <v>0</v>
      </c>
      <c r="F1353" s="12">
        <v>0</v>
      </c>
      <c r="G1353" s="17">
        <v>0</v>
      </c>
      <c r="H1353" s="12">
        <v>0</v>
      </c>
    </row>
    <row r="1354" spans="1:8">
      <c r="A1354" s="44" t="s">
        <v>4</v>
      </c>
      <c r="B1354" s="44">
        <v>563095</v>
      </c>
      <c r="C1354" s="44" t="s">
        <v>67</v>
      </c>
      <c r="D1354" s="11">
        <v>1</v>
      </c>
      <c r="E1354" s="12">
        <v>0</v>
      </c>
      <c r="F1354" s="12">
        <v>3</v>
      </c>
      <c r="G1354" s="17">
        <v>3</v>
      </c>
      <c r="H1354" s="12">
        <v>0</v>
      </c>
    </row>
    <row r="1355" spans="1:8">
      <c r="A1355" s="44" t="s">
        <v>143</v>
      </c>
      <c r="B1355" s="44">
        <v>62119</v>
      </c>
      <c r="C1355" s="44" t="s">
        <v>1401</v>
      </c>
      <c r="D1355" s="11">
        <v>1</v>
      </c>
      <c r="E1355" s="12">
        <v>0</v>
      </c>
      <c r="F1355" s="12">
        <v>0</v>
      </c>
      <c r="G1355" s="17">
        <v>2</v>
      </c>
      <c r="H1355" s="12">
        <v>2</v>
      </c>
    </row>
    <row r="1356" spans="1:8">
      <c r="A1356" s="44" t="s">
        <v>153</v>
      </c>
      <c r="B1356" s="44">
        <v>574426</v>
      </c>
      <c r="C1356" s="44" t="s">
        <v>1573</v>
      </c>
      <c r="D1356" s="11">
        <v>0</v>
      </c>
      <c r="E1356" s="12">
        <v>0</v>
      </c>
      <c r="F1356" s="12">
        <v>1</v>
      </c>
      <c r="G1356" s="17">
        <v>0</v>
      </c>
      <c r="H1356" s="12">
        <v>0</v>
      </c>
    </row>
    <row r="1357" spans="1:8">
      <c r="A1357" s="44" t="s">
        <v>152</v>
      </c>
      <c r="B1357" s="44">
        <v>246348</v>
      </c>
      <c r="C1357" s="44" t="s">
        <v>662</v>
      </c>
      <c r="D1357" s="11">
        <v>0</v>
      </c>
      <c r="E1357" s="12">
        <v>0</v>
      </c>
      <c r="F1357" s="12">
        <v>2</v>
      </c>
      <c r="G1357" s="17">
        <v>0</v>
      </c>
      <c r="H1357" s="12">
        <v>0</v>
      </c>
    </row>
    <row r="1358" spans="1:8">
      <c r="A1358" s="44" t="s">
        <v>150</v>
      </c>
      <c r="B1358" s="44">
        <v>293932</v>
      </c>
      <c r="C1358" s="44" t="s">
        <v>823</v>
      </c>
      <c r="D1358" s="11">
        <v>0</v>
      </c>
      <c r="E1358" s="12">
        <v>2</v>
      </c>
      <c r="F1358" s="12">
        <v>4</v>
      </c>
      <c r="G1358" s="17">
        <v>0</v>
      </c>
      <c r="H1358" s="12">
        <v>0</v>
      </c>
    </row>
    <row r="1359" spans="1:8">
      <c r="A1359" s="44">
        <v>2613051412</v>
      </c>
      <c r="B1359" s="44">
        <v>522982</v>
      </c>
      <c r="C1359" s="44" t="s">
        <v>562</v>
      </c>
      <c r="D1359" s="11">
        <v>0</v>
      </c>
      <c r="E1359" s="12">
        <v>0</v>
      </c>
      <c r="F1359" s="12">
        <v>4</v>
      </c>
      <c r="G1359" s="17">
        <v>0</v>
      </c>
      <c r="H1359" s="12">
        <v>0</v>
      </c>
    </row>
    <row r="1360" spans="1:8">
      <c r="A1360" s="44" t="s">
        <v>146</v>
      </c>
      <c r="B1360" s="44">
        <v>494998</v>
      </c>
      <c r="C1360" s="44" t="s">
        <v>543</v>
      </c>
      <c r="D1360" s="11">
        <v>0</v>
      </c>
      <c r="E1360" s="12">
        <v>0</v>
      </c>
      <c r="F1360" s="12">
        <v>5</v>
      </c>
      <c r="G1360" s="17">
        <v>0</v>
      </c>
      <c r="H1360" s="12">
        <v>0</v>
      </c>
    </row>
    <row r="1361" spans="1:8">
      <c r="A1361" s="44" t="s">
        <v>3</v>
      </c>
      <c r="B1361" s="44">
        <v>501643</v>
      </c>
      <c r="C1361" s="44" t="s">
        <v>29</v>
      </c>
      <c r="D1361" s="11">
        <v>0</v>
      </c>
      <c r="E1361" s="12">
        <v>0</v>
      </c>
      <c r="F1361" s="12">
        <v>4</v>
      </c>
      <c r="G1361" s="17">
        <v>0</v>
      </c>
      <c r="H1361" s="12">
        <v>0</v>
      </c>
    </row>
    <row r="1362" spans="1:8">
      <c r="A1362" s="44" t="s">
        <v>4</v>
      </c>
      <c r="B1362" s="44">
        <v>503866</v>
      </c>
      <c r="C1362" s="44" t="s">
        <v>60</v>
      </c>
      <c r="D1362" s="11">
        <v>1</v>
      </c>
      <c r="E1362" s="12">
        <v>0</v>
      </c>
      <c r="F1362" s="12">
        <v>7</v>
      </c>
      <c r="G1362" s="17">
        <v>3</v>
      </c>
      <c r="H1362" s="12">
        <v>0</v>
      </c>
    </row>
    <row r="1363" spans="1:8">
      <c r="A1363" s="44" t="s">
        <v>144</v>
      </c>
      <c r="B1363" s="44">
        <v>551630</v>
      </c>
      <c r="C1363" s="44" t="s">
        <v>242</v>
      </c>
      <c r="D1363" s="11">
        <v>0</v>
      </c>
      <c r="E1363" s="12">
        <v>0</v>
      </c>
      <c r="F1363" s="12">
        <v>3</v>
      </c>
      <c r="G1363" s="17">
        <v>0</v>
      </c>
      <c r="H1363" s="12">
        <v>0</v>
      </c>
    </row>
    <row r="1364" spans="1:8">
      <c r="A1364" s="44" t="s">
        <v>146</v>
      </c>
      <c r="B1364" s="44">
        <v>12321239</v>
      </c>
      <c r="C1364" s="44" t="s">
        <v>1574</v>
      </c>
      <c r="D1364" s="11">
        <v>1</v>
      </c>
      <c r="E1364" s="12">
        <v>0</v>
      </c>
      <c r="F1364" s="12">
        <v>25</v>
      </c>
      <c r="G1364" s="17">
        <v>3</v>
      </c>
      <c r="H1364" s="12">
        <v>0</v>
      </c>
    </row>
    <row r="1365" spans="1:8">
      <c r="A1365" s="44" t="s">
        <v>154</v>
      </c>
      <c r="B1365" s="44">
        <v>12300470</v>
      </c>
      <c r="C1365" s="44" t="s">
        <v>736</v>
      </c>
      <c r="D1365" s="11">
        <v>1</v>
      </c>
      <c r="E1365" s="12">
        <v>0</v>
      </c>
      <c r="F1365" s="12">
        <v>6</v>
      </c>
      <c r="G1365" s="17">
        <v>1</v>
      </c>
      <c r="H1365" s="12">
        <v>0</v>
      </c>
    </row>
    <row r="1366" spans="1:8">
      <c r="A1366" s="44" t="s">
        <v>153</v>
      </c>
      <c r="B1366" s="44">
        <v>61841</v>
      </c>
      <c r="C1366" s="44" t="s">
        <v>1575</v>
      </c>
      <c r="D1366" s="11">
        <v>0</v>
      </c>
      <c r="E1366" s="12">
        <v>0</v>
      </c>
      <c r="F1366" s="12">
        <v>4</v>
      </c>
      <c r="G1366" s="17">
        <v>0</v>
      </c>
      <c r="H1366" s="12">
        <v>0</v>
      </c>
    </row>
    <row r="1367" spans="1:8">
      <c r="A1367" s="44" t="s">
        <v>156</v>
      </c>
      <c r="B1367" s="44">
        <v>191791</v>
      </c>
      <c r="C1367" s="44" t="s">
        <v>1576</v>
      </c>
      <c r="D1367" s="11">
        <v>1</v>
      </c>
      <c r="E1367" s="12">
        <v>0</v>
      </c>
      <c r="F1367" s="12">
        <v>42</v>
      </c>
      <c r="G1367" s="17">
        <v>25</v>
      </c>
      <c r="H1367" s="12">
        <v>0</v>
      </c>
    </row>
    <row r="1368" spans="1:8">
      <c r="A1368" s="44" t="s">
        <v>144</v>
      </c>
      <c r="B1368" s="44">
        <v>12296292</v>
      </c>
      <c r="C1368" s="44" t="s">
        <v>211</v>
      </c>
      <c r="D1368" s="11">
        <v>0</v>
      </c>
      <c r="E1368" s="12">
        <v>0</v>
      </c>
      <c r="F1368" s="12">
        <v>0</v>
      </c>
      <c r="G1368" s="17">
        <v>0</v>
      </c>
      <c r="H1368" s="12">
        <v>0</v>
      </c>
    </row>
    <row r="1369" spans="1:8">
      <c r="A1369" s="44">
        <v>2613052584</v>
      </c>
      <c r="B1369" s="44">
        <v>348418</v>
      </c>
      <c r="C1369" s="44" t="s">
        <v>587</v>
      </c>
      <c r="D1369" s="11">
        <v>1</v>
      </c>
      <c r="E1369" s="12">
        <v>0</v>
      </c>
      <c r="F1369" s="12">
        <v>3</v>
      </c>
      <c r="G1369" s="17">
        <v>1</v>
      </c>
      <c r="H1369" s="12">
        <v>0</v>
      </c>
    </row>
    <row r="1370" spans="1:8">
      <c r="A1370" s="44" t="s">
        <v>158</v>
      </c>
      <c r="B1370" s="44">
        <v>12319847</v>
      </c>
      <c r="C1370" s="44" t="s">
        <v>1577</v>
      </c>
      <c r="D1370" s="11">
        <v>1</v>
      </c>
      <c r="E1370" s="12">
        <v>0</v>
      </c>
      <c r="F1370" s="12">
        <v>6</v>
      </c>
      <c r="G1370" s="17">
        <v>2</v>
      </c>
      <c r="H1370" s="12">
        <v>0</v>
      </c>
    </row>
    <row r="1371" spans="1:8">
      <c r="A1371" s="44" t="s">
        <v>149</v>
      </c>
      <c r="B1371" s="44">
        <v>308739</v>
      </c>
      <c r="C1371" s="44" t="s">
        <v>778</v>
      </c>
      <c r="D1371" s="11">
        <v>0</v>
      </c>
      <c r="E1371" s="12">
        <v>0</v>
      </c>
      <c r="F1371" s="12">
        <v>1</v>
      </c>
      <c r="G1371" s="17">
        <v>0</v>
      </c>
      <c r="H1371" s="12">
        <v>0</v>
      </c>
    </row>
    <row r="1372" spans="1:8">
      <c r="A1372" s="44" t="s">
        <v>149</v>
      </c>
      <c r="B1372" s="44">
        <v>115501</v>
      </c>
      <c r="C1372" s="44" t="s">
        <v>762</v>
      </c>
      <c r="D1372" s="11">
        <v>0</v>
      </c>
      <c r="E1372" s="12">
        <v>0</v>
      </c>
      <c r="F1372" s="12">
        <v>1</v>
      </c>
      <c r="G1372" s="17">
        <v>0</v>
      </c>
      <c r="H1372" s="12">
        <v>0</v>
      </c>
    </row>
    <row r="1373" spans="1:8">
      <c r="A1373" s="44" t="s">
        <v>156</v>
      </c>
      <c r="B1373" s="44">
        <v>489150</v>
      </c>
      <c r="C1373" s="44" t="s">
        <v>996</v>
      </c>
      <c r="D1373" s="11">
        <v>0</v>
      </c>
      <c r="E1373" s="12">
        <v>0</v>
      </c>
      <c r="F1373" s="12">
        <v>1</v>
      </c>
      <c r="G1373" s="17">
        <v>0</v>
      </c>
      <c r="H1373" s="12">
        <v>0</v>
      </c>
    </row>
    <row r="1374" spans="1:8">
      <c r="A1374" s="44" t="s">
        <v>140</v>
      </c>
      <c r="B1374" s="44">
        <v>385492</v>
      </c>
      <c r="C1374" s="44" t="s">
        <v>470</v>
      </c>
      <c r="D1374" s="11">
        <v>1</v>
      </c>
      <c r="E1374" s="12">
        <v>0</v>
      </c>
      <c r="F1374" s="12">
        <v>1</v>
      </c>
      <c r="G1374" s="17">
        <v>1</v>
      </c>
      <c r="H1374" s="12">
        <v>0</v>
      </c>
    </row>
    <row r="1375" spans="1:8">
      <c r="A1375" s="44">
        <v>2613050885</v>
      </c>
      <c r="B1375" s="44">
        <v>62277</v>
      </c>
      <c r="C1375" s="44" t="s">
        <v>312</v>
      </c>
      <c r="D1375" s="11">
        <v>1</v>
      </c>
      <c r="E1375" s="12">
        <v>1</v>
      </c>
      <c r="F1375" s="12">
        <v>15</v>
      </c>
      <c r="G1375" s="17">
        <v>30</v>
      </c>
      <c r="H1375" s="12">
        <v>15</v>
      </c>
    </row>
    <row r="1376" spans="1:8">
      <c r="A1376" s="44" t="s">
        <v>142</v>
      </c>
      <c r="B1376" s="44">
        <v>547291</v>
      </c>
      <c r="C1376" s="44" t="s">
        <v>371</v>
      </c>
      <c r="D1376" s="11">
        <v>1</v>
      </c>
      <c r="E1376" s="12">
        <v>0</v>
      </c>
      <c r="F1376" s="12">
        <v>2</v>
      </c>
      <c r="G1376" s="17">
        <v>5</v>
      </c>
      <c r="H1376" s="12">
        <v>3</v>
      </c>
    </row>
    <row r="1377" spans="1:8">
      <c r="A1377" s="44" t="s">
        <v>145</v>
      </c>
      <c r="B1377" s="44">
        <v>452333</v>
      </c>
      <c r="C1377" s="44" t="s">
        <v>510</v>
      </c>
      <c r="D1377" s="11">
        <v>0</v>
      </c>
      <c r="E1377" s="12">
        <v>0</v>
      </c>
      <c r="F1377" s="12">
        <v>3</v>
      </c>
      <c r="G1377" s="17">
        <v>0</v>
      </c>
      <c r="H1377" s="12">
        <v>0</v>
      </c>
    </row>
    <row r="1378" spans="1:8">
      <c r="A1378" s="44" t="s">
        <v>1136</v>
      </c>
      <c r="B1378" s="44">
        <v>345394</v>
      </c>
      <c r="C1378" s="44" t="s">
        <v>1578</v>
      </c>
      <c r="D1378" s="11">
        <v>0</v>
      </c>
      <c r="E1378" s="12">
        <v>0</v>
      </c>
      <c r="F1378" s="12">
        <v>2</v>
      </c>
      <c r="G1378" s="17">
        <v>0</v>
      </c>
      <c r="H1378" s="12">
        <v>0</v>
      </c>
    </row>
    <row r="1379" spans="1:8">
      <c r="A1379" s="44" t="s">
        <v>143</v>
      </c>
      <c r="B1379" s="44">
        <v>489935</v>
      </c>
      <c r="C1379" s="44" t="s">
        <v>1579</v>
      </c>
      <c r="D1379" s="11">
        <v>0</v>
      </c>
      <c r="E1379" s="12">
        <v>0</v>
      </c>
      <c r="F1379" s="12">
        <v>0</v>
      </c>
      <c r="G1379" s="17">
        <v>0</v>
      </c>
      <c r="H1379" s="12">
        <v>0</v>
      </c>
    </row>
    <row r="1380" spans="1:8">
      <c r="A1380" s="44" t="s">
        <v>143</v>
      </c>
      <c r="B1380" s="44">
        <v>414586</v>
      </c>
      <c r="C1380" s="44" t="s">
        <v>261</v>
      </c>
      <c r="D1380" s="11">
        <v>0</v>
      </c>
      <c r="E1380" s="12">
        <v>0</v>
      </c>
      <c r="F1380" s="12">
        <v>4</v>
      </c>
      <c r="G1380" s="17">
        <v>0</v>
      </c>
      <c r="H1380" s="12">
        <v>0</v>
      </c>
    </row>
    <row r="1381" spans="1:8">
      <c r="A1381" s="44">
        <v>2613050886</v>
      </c>
      <c r="B1381" s="44">
        <v>516126</v>
      </c>
      <c r="C1381" s="44" t="s">
        <v>1580</v>
      </c>
      <c r="D1381" s="11">
        <v>1</v>
      </c>
      <c r="E1381" s="12">
        <v>0</v>
      </c>
      <c r="F1381" s="12">
        <v>2</v>
      </c>
      <c r="G1381" s="17">
        <v>2</v>
      </c>
      <c r="H1381" s="12">
        <v>0</v>
      </c>
    </row>
    <row r="1382" spans="1:8">
      <c r="A1382" s="44" t="s">
        <v>143</v>
      </c>
      <c r="B1382" s="44">
        <v>524858</v>
      </c>
      <c r="C1382" s="44" t="s">
        <v>270</v>
      </c>
      <c r="D1382" s="11">
        <v>1</v>
      </c>
      <c r="E1382" s="12">
        <v>0</v>
      </c>
      <c r="F1382" s="12">
        <v>4</v>
      </c>
      <c r="G1382" s="17">
        <v>1</v>
      </c>
      <c r="H1382" s="12">
        <v>0</v>
      </c>
    </row>
    <row r="1383" spans="1:8">
      <c r="A1383" s="44" t="s">
        <v>147</v>
      </c>
      <c r="B1383" s="44">
        <v>199072</v>
      </c>
      <c r="C1383" s="44" t="s">
        <v>599</v>
      </c>
      <c r="D1383" s="11">
        <v>1</v>
      </c>
      <c r="E1383" s="12">
        <v>0</v>
      </c>
      <c r="F1383" s="12">
        <v>5</v>
      </c>
      <c r="G1383" s="17">
        <v>3</v>
      </c>
      <c r="H1383" s="12">
        <v>0</v>
      </c>
    </row>
    <row r="1384" spans="1:8">
      <c r="A1384" s="44" t="s">
        <v>157</v>
      </c>
      <c r="B1384" s="44">
        <v>346894</v>
      </c>
      <c r="C1384" s="44" t="s">
        <v>1041</v>
      </c>
      <c r="D1384" s="11">
        <v>0</v>
      </c>
      <c r="E1384" s="12">
        <v>0</v>
      </c>
      <c r="F1384" s="12">
        <v>0</v>
      </c>
      <c r="G1384" s="17">
        <v>0</v>
      </c>
      <c r="H1384" s="12">
        <v>0</v>
      </c>
    </row>
    <row r="1385" spans="1:8">
      <c r="A1385" s="44" t="s">
        <v>155</v>
      </c>
      <c r="B1385" s="44">
        <v>292486</v>
      </c>
      <c r="C1385" s="44" t="s">
        <v>1581</v>
      </c>
      <c r="D1385" s="11">
        <v>1</v>
      </c>
      <c r="E1385" s="12">
        <v>0</v>
      </c>
      <c r="F1385" s="12">
        <v>6</v>
      </c>
      <c r="G1385" s="17">
        <v>6</v>
      </c>
      <c r="H1385" s="12">
        <v>0</v>
      </c>
    </row>
    <row r="1386" spans="1:8">
      <c r="A1386" s="44" t="s">
        <v>150</v>
      </c>
      <c r="B1386" s="44">
        <v>246587</v>
      </c>
      <c r="C1386" s="44" t="s">
        <v>815</v>
      </c>
      <c r="D1386" s="11">
        <v>0</v>
      </c>
      <c r="E1386" s="12">
        <v>0</v>
      </c>
      <c r="F1386" s="12">
        <v>2</v>
      </c>
      <c r="G1386" s="17">
        <v>0</v>
      </c>
      <c r="H1386" s="12">
        <v>0</v>
      </c>
    </row>
    <row r="1387" spans="1:8">
      <c r="A1387" s="44" t="s">
        <v>151</v>
      </c>
      <c r="B1387" s="44">
        <v>63853</v>
      </c>
      <c r="C1387" s="44" t="s">
        <v>1582</v>
      </c>
      <c r="D1387" s="11">
        <v>1</v>
      </c>
      <c r="E1387" s="12">
        <v>0</v>
      </c>
      <c r="F1387" s="12">
        <v>0</v>
      </c>
      <c r="G1387" s="17">
        <v>2</v>
      </c>
      <c r="H1387" s="12">
        <v>2</v>
      </c>
    </row>
    <row r="1388" spans="1:8">
      <c r="A1388" s="44" t="s">
        <v>1136</v>
      </c>
      <c r="B1388" s="44">
        <v>366718</v>
      </c>
      <c r="C1388" s="44" t="s">
        <v>1583</v>
      </c>
      <c r="D1388" s="11">
        <v>1</v>
      </c>
      <c r="E1388" s="12">
        <v>0</v>
      </c>
      <c r="F1388" s="12">
        <v>18</v>
      </c>
      <c r="G1388" s="17">
        <v>9</v>
      </c>
      <c r="H1388" s="12">
        <v>0</v>
      </c>
    </row>
    <row r="1389" spans="1:8">
      <c r="A1389" s="44" t="s">
        <v>151</v>
      </c>
      <c r="B1389" s="44">
        <v>107291</v>
      </c>
      <c r="C1389" s="44" t="s">
        <v>847</v>
      </c>
      <c r="D1389" s="11">
        <v>1</v>
      </c>
      <c r="E1389" s="12">
        <v>0</v>
      </c>
      <c r="F1389" s="12">
        <v>12</v>
      </c>
      <c r="G1389" s="17">
        <v>15</v>
      </c>
      <c r="H1389" s="12">
        <v>3</v>
      </c>
    </row>
    <row r="1390" spans="1:8">
      <c r="A1390" s="44" t="s">
        <v>150</v>
      </c>
      <c r="B1390" s="44">
        <v>237428</v>
      </c>
      <c r="C1390" s="44" t="s">
        <v>813</v>
      </c>
      <c r="D1390" s="11">
        <v>0</v>
      </c>
      <c r="E1390" s="12">
        <v>0</v>
      </c>
      <c r="F1390" s="12">
        <v>0</v>
      </c>
      <c r="G1390" s="17">
        <v>0</v>
      </c>
      <c r="H1390" s="12">
        <v>0</v>
      </c>
    </row>
    <row r="1391" spans="1:8">
      <c r="A1391" s="44" t="s">
        <v>156</v>
      </c>
      <c r="B1391" s="44">
        <v>202378</v>
      </c>
      <c r="C1391" s="44" t="s">
        <v>945</v>
      </c>
      <c r="D1391" s="11">
        <v>1</v>
      </c>
      <c r="E1391" s="12">
        <v>0</v>
      </c>
      <c r="F1391" s="12">
        <v>3</v>
      </c>
      <c r="G1391" s="17">
        <v>1</v>
      </c>
      <c r="H1391" s="12">
        <v>0</v>
      </c>
    </row>
    <row r="1392" spans="1:8">
      <c r="A1392" s="44" t="s">
        <v>145</v>
      </c>
      <c r="B1392" s="44">
        <v>211583</v>
      </c>
      <c r="C1392" s="44" t="s">
        <v>496</v>
      </c>
      <c r="D1392" s="11">
        <v>0</v>
      </c>
      <c r="E1392" s="12">
        <v>0</v>
      </c>
      <c r="F1392" s="12">
        <v>1</v>
      </c>
      <c r="G1392" s="17">
        <v>0</v>
      </c>
      <c r="H1392" s="12">
        <v>0</v>
      </c>
    </row>
    <row r="1393" spans="1:8">
      <c r="A1393" s="44" t="s">
        <v>157</v>
      </c>
      <c r="B1393" s="44">
        <v>282970</v>
      </c>
      <c r="C1393" s="44" t="s">
        <v>1033</v>
      </c>
      <c r="D1393" s="11">
        <v>0</v>
      </c>
      <c r="E1393" s="12">
        <v>0</v>
      </c>
      <c r="F1393" s="12">
        <v>3</v>
      </c>
      <c r="G1393" s="17">
        <v>0</v>
      </c>
      <c r="H1393" s="12">
        <v>0</v>
      </c>
    </row>
    <row r="1394" spans="1:8">
      <c r="A1394" s="44" t="s">
        <v>156</v>
      </c>
      <c r="B1394" s="44">
        <v>12318489</v>
      </c>
      <c r="C1394" s="44" t="s">
        <v>972</v>
      </c>
      <c r="D1394" s="11">
        <v>1</v>
      </c>
      <c r="E1394" s="12">
        <v>0</v>
      </c>
      <c r="F1394" s="12">
        <v>84</v>
      </c>
      <c r="G1394" s="17">
        <v>67</v>
      </c>
      <c r="H1394" s="12">
        <v>0</v>
      </c>
    </row>
    <row r="1395" spans="1:8">
      <c r="A1395" s="44" t="s">
        <v>140</v>
      </c>
      <c r="B1395" s="44">
        <v>12300839</v>
      </c>
      <c r="C1395" s="44" t="s">
        <v>1584</v>
      </c>
      <c r="D1395" s="11">
        <v>1</v>
      </c>
      <c r="E1395" s="12">
        <v>0</v>
      </c>
      <c r="F1395" s="12">
        <v>3</v>
      </c>
      <c r="G1395" s="17">
        <v>1</v>
      </c>
      <c r="H1395" s="12">
        <v>0</v>
      </c>
    </row>
    <row r="1396" spans="1:8">
      <c r="A1396" s="44">
        <v>2613051451</v>
      </c>
      <c r="B1396" s="44">
        <v>12324291</v>
      </c>
      <c r="C1396" s="44" t="s">
        <v>383</v>
      </c>
      <c r="D1396" s="11">
        <v>0</v>
      </c>
      <c r="E1396" s="12">
        <v>0</v>
      </c>
      <c r="F1396" s="12">
        <v>0</v>
      </c>
      <c r="G1396" s="17">
        <v>0</v>
      </c>
      <c r="H1396" s="12">
        <v>0</v>
      </c>
    </row>
    <row r="1397" spans="1:8">
      <c r="A1397" s="44" t="s">
        <v>153</v>
      </c>
      <c r="B1397" s="44">
        <v>7567</v>
      </c>
      <c r="C1397" s="44" t="s">
        <v>1541</v>
      </c>
      <c r="D1397" s="11">
        <v>0</v>
      </c>
      <c r="E1397" s="12">
        <v>0</v>
      </c>
      <c r="F1397" s="12">
        <v>1</v>
      </c>
      <c r="G1397" s="17">
        <v>0</v>
      </c>
      <c r="H1397" s="12">
        <v>0</v>
      </c>
    </row>
    <row r="1398" spans="1:8">
      <c r="A1398" s="44" t="s">
        <v>149</v>
      </c>
      <c r="B1398" s="44">
        <v>274080</v>
      </c>
      <c r="C1398" s="44" t="s">
        <v>775</v>
      </c>
      <c r="D1398" s="11">
        <v>0</v>
      </c>
      <c r="E1398" s="12">
        <v>0</v>
      </c>
      <c r="F1398" s="12">
        <v>3</v>
      </c>
      <c r="G1398" s="17">
        <v>0</v>
      </c>
      <c r="H1398" s="12">
        <v>0</v>
      </c>
    </row>
    <row r="1399" spans="1:8">
      <c r="A1399" s="44" t="s">
        <v>157</v>
      </c>
      <c r="B1399" s="44">
        <v>548291</v>
      </c>
      <c r="C1399" s="44" t="s">
        <v>1056</v>
      </c>
      <c r="D1399" s="11">
        <v>0</v>
      </c>
      <c r="E1399" s="12">
        <v>0</v>
      </c>
      <c r="F1399" s="12">
        <v>3</v>
      </c>
      <c r="G1399" s="17">
        <v>0</v>
      </c>
      <c r="H1399" s="12">
        <v>0</v>
      </c>
    </row>
    <row r="1400" spans="1:8">
      <c r="A1400" s="44" t="s">
        <v>144</v>
      </c>
      <c r="B1400" s="44">
        <v>515755</v>
      </c>
      <c r="C1400" s="44" t="s">
        <v>234</v>
      </c>
      <c r="D1400" s="11">
        <v>0</v>
      </c>
      <c r="E1400" s="12">
        <v>0</v>
      </c>
      <c r="F1400" s="12">
        <v>1</v>
      </c>
      <c r="G1400" s="17">
        <v>0</v>
      </c>
      <c r="H1400" s="12">
        <v>0</v>
      </c>
    </row>
    <row r="1401" spans="1:8">
      <c r="A1401" s="44" t="s">
        <v>158</v>
      </c>
      <c r="B1401" s="44">
        <v>12322493</v>
      </c>
      <c r="C1401" s="44" t="s">
        <v>1585</v>
      </c>
      <c r="D1401" s="11">
        <v>1</v>
      </c>
      <c r="E1401" s="12">
        <v>0</v>
      </c>
      <c r="F1401" s="12">
        <v>6</v>
      </c>
      <c r="G1401" s="17">
        <v>7</v>
      </c>
      <c r="H1401" s="12">
        <v>1</v>
      </c>
    </row>
    <row r="1402" spans="1:8">
      <c r="A1402" s="44" t="s">
        <v>146</v>
      </c>
      <c r="B1402" s="44">
        <v>12322473</v>
      </c>
      <c r="C1402" s="44" t="s">
        <v>1586</v>
      </c>
      <c r="D1402" s="11">
        <v>0</v>
      </c>
      <c r="E1402" s="12">
        <v>0</v>
      </c>
      <c r="F1402" s="12">
        <v>4</v>
      </c>
      <c r="G1402" s="17">
        <v>0</v>
      </c>
      <c r="H1402" s="12">
        <v>0</v>
      </c>
    </row>
    <row r="1403" spans="1:8">
      <c r="A1403" s="44" t="s">
        <v>1136</v>
      </c>
      <c r="B1403" s="44">
        <v>61800</v>
      </c>
      <c r="C1403" s="44" t="s">
        <v>1587</v>
      </c>
      <c r="D1403" s="11">
        <v>1</v>
      </c>
      <c r="E1403" s="12">
        <v>0</v>
      </c>
      <c r="F1403" s="12">
        <v>15</v>
      </c>
      <c r="G1403" s="17">
        <v>7</v>
      </c>
      <c r="H1403" s="12">
        <v>0</v>
      </c>
    </row>
    <row r="1404" spans="1:8">
      <c r="A1404" s="44" t="s">
        <v>153</v>
      </c>
      <c r="B1404" s="44">
        <v>13547</v>
      </c>
      <c r="C1404" s="44" t="s">
        <v>710</v>
      </c>
      <c r="D1404" s="11">
        <v>1</v>
      </c>
      <c r="E1404" s="12">
        <v>0</v>
      </c>
      <c r="F1404" s="12">
        <v>3</v>
      </c>
      <c r="G1404" s="17">
        <v>4</v>
      </c>
      <c r="H1404" s="12">
        <v>1</v>
      </c>
    </row>
    <row r="1405" spans="1:8">
      <c r="A1405" s="44" t="s">
        <v>1140</v>
      </c>
      <c r="B1405" s="44">
        <v>331841</v>
      </c>
      <c r="C1405" s="44" t="s">
        <v>1588</v>
      </c>
      <c r="D1405" s="11">
        <v>1</v>
      </c>
      <c r="E1405" s="12">
        <v>0</v>
      </c>
      <c r="F1405" s="12">
        <v>1</v>
      </c>
      <c r="G1405" s="17">
        <v>3</v>
      </c>
      <c r="H1405" s="12">
        <v>2</v>
      </c>
    </row>
    <row r="1406" spans="1:8">
      <c r="A1406" s="44" t="s">
        <v>137</v>
      </c>
      <c r="B1406" s="44">
        <v>12296252</v>
      </c>
      <c r="C1406" s="44" t="s">
        <v>430</v>
      </c>
      <c r="D1406" s="11">
        <v>1</v>
      </c>
      <c r="E1406" s="12">
        <v>0</v>
      </c>
      <c r="F1406" s="12">
        <v>7</v>
      </c>
      <c r="G1406" s="17">
        <v>27</v>
      </c>
      <c r="H1406" s="12">
        <v>20</v>
      </c>
    </row>
    <row r="1407" spans="1:8">
      <c r="A1407" s="44" t="s">
        <v>4</v>
      </c>
      <c r="B1407" s="44">
        <v>503354</v>
      </c>
      <c r="C1407" s="44" t="s">
        <v>58</v>
      </c>
      <c r="D1407" s="11">
        <v>1</v>
      </c>
      <c r="E1407" s="12">
        <v>0</v>
      </c>
      <c r="F1407" s="12">
        <v>5</v>
      </c>
      <c r="G1407" s="17">
        <v>5</v>
      </c>
      <c r="H1407" s="12">
        <v>0</v>
      </c>
    </row>
    <row r="1408" spans="1:8">
      <c r="A1408" s="44" t="s">
        <v>141</v>
      </c>
      <c r="B1408" s="44">
        <v>12296084</v>
      </c>
      <c r="C1408" s="44" t="s">
        <v>1357</v>
      </c>
      <c r="D1408" s="11">
        <v>0</v>
      </c>
      <c r="E1408" s="12">
        <v>0</v>
      </c>
      <c r="F1408" s="12">
        <v>2</v>
      </c>
      <c r="G1408" s="17">
        <v>0</v>
      </c>
      <c r="H1408" s="12">
        <v>0</v>
      </c>
    </row>
    <row r="1409" spans="1:8">
      <c r="A1409" s="44" t="s">
        <v>156</v>
      </c>
      <c r="B1409" s="44">
        <v>342631</v>
      </c>
      <c r="C1409" s="44" t="s">
        <v>172</v>
      </c>
      <c r="D1409" s="11">
        <v>1</v>
      </c>
      <c r="E1409" s="12">
        <v>0</v>
      </c>
      <c r="F1409" s="12">
        <v>0</v>
      </c>
      <c r="G1409" s="17">
        <v>1</v>
      </c>
      <c r="H1409" s="12">
        <v>1</v>
      </c>
    </row>
    <row r="1410" spans="1:8">
      <c r="A1410" s="44" t="s">
        <v>5</v>
      </c>
      <c r="B1410" s="44">
        <v>12327316</v>
      </c>
      <c r="C1410" s="44" t="s">
        <v>82</v>
      </c>
      <c r="D1410" s="11">
        <v>0</v>
      </c>
      <c r="E1410" s="12">
        <v>0</v>
      </c>
      <c r="F1410" s="12">
        <v>1</v>
      </c>
      <c r="G1410" s="17">
        <v>0</v>
      </c>
      <c r="H1410" s="12">
        <v>0</v>
      </c>
    </row>
    <row r="1411" spans="1:8">
      <c r="A1411" s="44" t="s">
        <v>142</v>
      </c>
      <c r="B1411" s="44">
        <v>532034</v>
      </c>
      <c r="C1411" s="44" t="s">
        <v>364</v>
      </c>
      <c r="D1411" s="11">
        <v>1</v>
      </c>
      <c r="E1411" s="12">
        <v>0</v>
      </c>
      <c r="F1411" s="12">
        <v>1</v>
      </c>
      <c r="G1411" s="17">
        <v>1</v>
      </c>
      <c r="H1411" s="12">
        <v>0</v>
      </c>
    </row>
    <row r="1412" spans="1:8">
      <c r="A1412" s="44" t="s">
        <v>143</v>
      </c>
      <c r="B1412" s="44">
        <v>370055</v>
      </c>
      <c r="C1412" s="44" t="s">
        <v>1589</v>
      </c>
      <c r="D1412" s="11">
        <v>1</v>
      </c>
      <c r="E1412" s="12">
        <v>0</v>
      </c>
      <c r="F1412" s="12">
        <v>4</v>
      </c>
      <c r="G1412" s="17">
        <v>2</v>
      </c>
      <c r="H1412" s="12">
        <v>0</v>
      </c>
    </row>
    <row r="1413" spans="1:8">
      <c r="A1413" s="44">
        <v>2613052222</v>
      </c>
      <c r="B1413" s="44">
        <v>199317</v>
      </c>
      <c r="C1413" s="44" t="s">
        <v>688</v>
      </c>
      <c r="D1413" s="11">
        <v>0</v>
      </c>
      <c r="E1413" s="12">
        <v>0</v>
      </c>
      <c r="F1413" s="12">
        <v>0</v>
      </c>
      <c r="G1413" s="17">
        <v>0</v>
      </c>
      <c r="H1413" s="12">
        <v>0</v>
      </c>
    </row>
    <row r="1414" spans="1:8">
      <c r="A1414" s="44" t="s">
        <v>151</v>
      </c>
      <c r="B1414" s="44">
        <v>370031</v>
      </c>
      <c r="C1414" s="44" t="s">
        <v>1590</v>
      </c>
      <c r="D1414" s="11">
        <v>1</v>
      </c>
      <c r="E1414" s="12">
        <v>0</v>
      </c>
      <c r="F1414" s="12">
        <v>3</v>
      </c>
      <c r="G1414" s="17">
        <v>1</v>
      </c>
      <c r="H1414" s="12">
        <v>0</v>
      </c>
    </row>
    <row r="1415" spans="1:8">
      <c r="A1415" s="44" t="s">
        <v>144</v>
      </c>
      <c r="B1415" s="44">
        <v>240734</v>
      </c>
      <c r="C1415" s="44" t="s">
        <v>221</v>
      </c>
      <c r="D1415" s="11">
        <v>0</v>
      </c>
      <c r="E1415" s="12">
        <v>0</v>
      </c>
      <c r="F1415" s="12">
        <v>2</v>
      </c>
      <c r="G1415" s="17">
        <v>0</v>
      </c>
      <c r="H1415" s="12">
        <v>0</v>
      </c>
    </row>
    <row r="1416" spans="1:8">
      <c r="A1416" s="44" t="s">
        <v>148</v>
      </c>
      <c r="B1416" s="44">
        <v>12328320</v>
      </c>
      <c r="C1416" s="44" t="s">
        <v>1172</v>
      </c>
      <c r="D1416" s="11">
        <v>1</v>
      </c>
      <c r="E1416" s="12">
        <v>0</v>
      </c>
      <c r="F1416" s="12">
        <v>1</v>
      </c>
      <c r="G1416" s="17">
        <v>1</v>
      </c>
      <c r="H1416" s="12">
        <v>0</v>
      </c>
    </row>
    <row r="1417" spans="1:8">
      <c r="A1417" s="44">
        <v>2613050885</v>
      </c>
      <c r="B1417" s="44">
        <v>12325673</v>
      </c>
      <c r="C1417" s="44" t="s">
        <v>280</v>
      </c>
      <c r="D1417" s="11">
        <v>1</v>
      </c>
      <c r="E1417" s="12">
        <v>0</v>
      </c>
      <c r="F1417" s="12">
        <v>3</v>
      </c>
      <c r="G1417" s="17">
        <v>3</v>
      </c>
      <c r="H1417" s="12">
        <v>0</v>
      </c>
    </row>
    <row r="1418" spans="1:8">
      <c r="A1418" s="44" t="s">
        <v>141</v>
      </c>
      <c r="B1418" s="44">
        <v>527188</v>
      </c>
      <c r="C1418" s="44" t="s">
        <v>204</v>
      </c>
      <c r="D1418" s="11">
        <v>0</v>
      </c>
      <c r="E1418" s="12">
        <v>0</v>
      </c>
      <c r="F1418" s="12">
        <v>3</v>
      </c>
      <c r="G1418" s="17">
        <v>0</v>
      </c>
      <c r="H1418" s="12">
        <v>0</v>
      </c>
    </row>
    <row r="1419" spans="1:8">
      <c r="A1419" s="44" t="s">
        <v>142</v>
      </c>
      <c r="B1419" s="44">
        <v>572380</v>
      </c>
      <c r="C1419" s="44" t="s">
        <v>375</v>
      </c>
      <c r="D1419" s="11">
        <v>1</v>
      </c>
      <c r="E1419" s="12">
        <v>0</v>
      </c>
      <c r="F1419" s="12">
        <v>1</v>
      </c>
      <c r="G1419" s="17">
        <v>1</v>
      </c>
      <c r="H1419" s="12">
        <v>0</v>
      </c>
    </row>
    <row r="1420" spans="1:8">
      <c r="A1420" s="44" t="s">
        <v>153</v>
      </c>
      <c r="B1420" s="44">
        <v>222820</v>
      </c>
      <c r="C1420" s="44" t="s">
        <v>1591</v>
      </c>
      <c r="D1420" s="11">
        <v>0</v>
      </c>
      <c r="E1420" s="12">
        <v>0</v>
      </c>
      <c r="F1420" s="12">
        <v>1</v>
      </c>
      <c r="G1420" s="17">
        <v>0</v>
      </c>
      <c r="H1420" s="12">
        <v>0</v>
      </c>
    </row>
    <row r="1421" spans="1:8">
      <c r="A1421" s="44">
        <v>2613051412</v>
      </c>
      <c r="B1421" s="44">
        <v>10342</v>
      </c>
      <c r="C1421" s="44" t="s">
        <v>1592</v>
      </c>
      <c r="D1421" s="11">
        <v>1</v>
      </c>
      <c r="E1421" s="12">
        <v>0</v>
      </c>
      <c r="F1421" s="12">
        <v>0</v>
      </c>
      <c r="G1421" s="17">
        <v>1</v>
      </c>
      <c r="H1421" s="12">
        <v>1</v>
      </c>
    </row>
    <row r="1422" spans="1:8">
      <c r="A1422" s="44" t="s">
        <v>143</v>
      </c>
      <c r="B1422" s="44">
        <v>415949</v>
      </c>
      <c r="C1422" s="44" t="s">
        <v>262</v>
      </c>
      <c r="D1422" s="11">
        <v>1</v>
      </c>
      <c r="E1422" s="12">
        <v>0</v>
      </c>
      <c r="F1422" s="12">
        <v>15</v>
      </c>
      <c r="G1422" s="17">
        <v>26</v>
      </c>
      <c r="H1422" s="12">
        <v>11</v>
      </c>
    </row>
    <row r="1423" spans="1:8">
      <c r="A1423" s="44" t="s">
        <v>3</v>
      </c>
      <c r="B1423" s="44">
        <v>368809</v>
      </c>
      <c r="C1423" s="44" t="s">
        <v>1120</v>
      </c>
      <c r="D1423" s="11">
        <v>0</v>
      </c>
      <c r="E1423" s="12">
        <v>0</v>
      </c>
      <c r="F1423" s="12">
        <v>1</v>
      </c>
      <c r="G1423" s="17">
        <v>0</v>
      </c>
      <c r="H1423" s="12">
        <v>0</v>
      </c>
    </row>
    <row r="1424" spans="1:8">
      <c r="A1424" s="44" t="s">
        <v>136</v>
      </c>
      <c r="B1424" s="44">
        <v>12327177</v>
      </c>
      <c r="C1424" s="44" t="s">
        <v>396</v>
      </c>
      <c r="D1424" s="11">
        <v>0</v>
      </c>
      <c r="E1424" s="12">
        <v>0</v>
      </c>
      <c r="F1424" s="12">
        <v>4</v>
      </c>
      <c r="G1424" s="17">
        <v>0</v>
      </c>
      <c r="H1424" s="12">
        <v>0</v>
      </c>
    </row>
    <row r="1425" spans="1:8">
      <c r="A1425" s="44" t="s">
        <v>145</v>
      </c>
      <c r="B1425" s="44">
        <v>9808</v>
      </c>
      <c r="C1425" s="44" t="s">
        <v>523</v>
      </c>
      <c r="D1425" s="11">
        <v>0</v>
      </c>
      <c r="E1425" s="12">
        <v>0</v>
      </c>
      <c r="F1425" s="12">
        <v>4</v>
      </c>
      <c r="G1425" s="17">
        <v>0</v>
      </c>
      <c r="H1425" s="12">
        <v>0</v>
      </c>
    </row>
    <row r="1426" spans="1:8">
      <c r="A1426" s="44" t="s">
        <v>149</v>
      </c>
      <c r="B1426" s="44">
        <v>126913</v>
      </c>
      <c r="C1426" s="44" t="s">
        <v>1593</v>
      </c>
      <c r="D1426" s="11">
        <v>0</v>
      </c>
      <c r="E1426" s="12">
        <v>0</v>
      </c>
      <c r="F1426" s="12">
        <v>3</v>
      </c>
      <c r="G1426" s="17">
        <v>0</v>
      </c>
      <c r="H1426" s="12">
        <v>0</v>
      </c>
    </row>
    <row r="1427" spans="1:8">
      <c r="A1427" s="44" t="s">
        <v>153</v>
      </c>
      <c r="B1427" s="44">
        <v>199037</v>
      </c>
      <c r="C1427" s="44" t="s">
        <v>1594</v>
      </c>
      <c r="D1427" s="11">
        <v>1</v>
      </c>
      <c r="E1427" s="12">
        <v>0</v>
      </c>
      <c r="F1427" s="12">
        <v>3</v>
      </c>
      <c r="G1427" s="17">
        <v>1</v>
      </c>
      <c r="H1427" s="12">
        <v>0</v>
      </c>
    </row>
    <row r="1428" spans="1:8">
      <c r="A1428" s="44" t="s">
        <v>146</v>
      </c>
      <c r="B1428" s="44">
        <v>12321233</v>
      </c>
      <c r="C1428" s="44" t="s">
        <v>530</v>
      </c>
      <c r="D1428" s="11">
        <v>0</v>
      </c>
      <c r="E1428" s="12">
        <v>0</v>
      </c>
      <c r="F1428" s="12">
        <v>0</v>
      </c>
      <c r="G1428" s="17">
        <v>0</v>
      </c>
      <c r="H1428" s="12">
        <v>0</v>
      </c>
    </row>
    <row r="1429" spans="1:8">
      <c r="A1429" s="44" t="s">
        <v>142</v>
      </c>
      <c r="B1429" s="44">
        <v>521830</v>
      </c>
      <c r="C1429" s="44" t="s">
        <v>1595</v>
      </c>
      <c r="D1429" s="11">
        <v>1</v>
      </c>
      <c r="E1429" s="12">
        <v>0</v>
      </c>
      <c r="F1429" s="12">
        <v>4</v>
      </c>
      <c r="G1429" s="17">
        <v>3</v>
      </c>
      <c r="H1429" s="12">
        <v>0</v>
      </c>
    </row>
    <row r="1430" spans="1:8">
      <c r="A1430" s="44" t="s">
        <v>143</v>
      </c>
      <c r="B1430" s="44">
        <v>408617</v>
      </c>
      <c r="C1430" s="44" t="s">
        <v>1596</v>
      </c>
      <c r="D1430" s="11">
        <v>1</v>
      </c>
      <c r="E1430" s="12">
        <v>0</v>
      </c>
      <c r="F1430" s="12">
        <v>3</v>
      </c>
      <c r="G1430" s="17">
        <v>3</v>
      </c>
      <c r="H1430" s="12">
        <v>0</v>
      </c>
    </row>
    <row r="1431" spans="1:8">
      <c r="A1431" s="44" t="s">
        <v>153</v>
      </c>
      <c r="B1431" s="44">
        <v>231182</v>
      </c>
      <c r="C1431" s="44" t="s">
        <v>1597</v>
      </c>
      <c r="D1431" s="11">
        <v>1</v>
      </c>
      <c r="E1431" s="12">
        <v>0</v>
      </c>
      <c r="F1431" s="12">
        <v>0</v>
      </c>
      <c r="G1431" s="17">
        <v>5</v>
      </c>
      <c r="H1431" s="12">
        <v>5</v>
      </c>
    </row>
    <row r="1432" spans="1:8">
      <c r="A1432" s="44" t="s">
        <v>1140</v>
      </c>
      <c r="B1432" s="44">
        <v>11201</v>
      </c>
      <c r="C1432" s="44" t="s">
        <v>1598</v>
      </c>
      <c r="D1432" s="11">
        <v>0</v>
      </c>
      <c r="E1432" s="12">
        <v>0</v>
      </c>
      <c r="F1432" s="12">
        <v>0</v>
      </c>
      <c r="G1432" s="17">
        <v>0</v>
      </c>
      <c r="H1432" s="12">
        <v>0</v>
      </c>
    </row>
    <row r="1433" spans="1:8">
      <c r="A1433" s="44" t="s">
        <v>151</v>
      </c>
      <c r="B1433" s="44">
        <v>458948</v>
      </c>
      <c r="C1433" s="44" t="s">
        <v>1599</v>
      </c>
      <c r="D1433" s="11">
        <v>0</v>
      </c>
      <c r="E1433" s="12">
        <v>0</v>
      </c>
      <c r="F1433" s="12">
        <v>1</v>
      </c>
      <c r="G1433" s="17">
        <v>0</v>
      </c>
      <c r="H1433" s="12">
        <v>0</v>
      </c>
    </row>
    <row r="1434" spans="1:8">
      <c r="A1434" s="44" t="s">
        <v>148</v>
      </c>
      <c r="B1434" s="44">
        <v>3576</v>
      </c>
      <c r="C1434" s="44" t="s">
        <v>1405</v>
      </c>
      <c r="D1434" s="11">
        <v>1</v>
      </c>
      <c r="E1434" s="12">
        <v>0</v>
      </c>
      <c r="F1434" s="12">
        <v>1</v>
      </c>
      <c r="G1434" s="17">
        <v>2</v>
      </c>
      <c r="H1434" s="12">
        <v>1</v>
      </c>
    </row>
    <row r="1435" spans="1:8">
      <c r="A1435" s="44" t="s">
        <v>155</v>
      </c>
      <c r="B1435" s="44">
        <v>61860</v>
      </c>
      <c r="C1435" s="44" t="s">
        <v>1600</v>
      </c>
      <c r="D1435" s="11">
        <v>1</v>
      </c>
      <c r="E1435" s="12">
        <v>3</v>
      </c>
      <c r="F1435" s="12">
        <v>3</v>
      </c>
      <c r="G1435" s="17">
        <v>2</v>
      </c>
      <c r="H1435" s="12">
        <v>0</v>
      </c>
    </row>
    <row r="1436" spans="1:8">
      <c r="A1436" s="44" t="s">
        <v>153</v>
      </c>
      <c r="B1436" s="44">
        <v>291861</v>
      </c>
      <c r="C1436" s="44" t="s">
        <v>722</v>
      </c>
      <c r="D1436" s="11">
        <v>1</v>
      </c>
      <c r="E1436" s="12">
        <v>0</v>
      </c>
      <c r="F1436" s="12">
        <v>8</v>
      </c>
      <c r="G1436" s="17">
        <v>2</v>
      </c>
      <c r="H1436" s="12">
        <v>0</v>
      </c>
    </row>
    <row r="1437" spans="1:8">
      <c r="A1437" s="44">
        <v>2613050885</v>
      </c>
      <c r="B1437" s="44">
        <v>548910</v>
      </c>
      <c r="C1437" s="44" t="s">
        <v>1601</v>
      </c>
      <c r="D1437" s="11">
        <v>1</v>
      </c>
      <c r="E1437" s="12">
        <v>0</v>
      </c>
      <c r="F1437" s="12">
        <v>4</v>
      </c>
      <c r="G1437" s="17">
        <v>3</v>
      </c>
      <c r="H1437" s="12">
        <v>0</v>
      </c>
    </row>
    <row r="1438" spans="1:8">
      <c r="A1438" s="44" t="s">
        <v>1136</v>
      </c>
      <c r="B1438" s="44">
        <v>418829</v>
      </c>
      <c r="C1438" s="44" t="s">
        <v>1602</v>
      </c>
      <c r="D1438" s="11">
        <v>1</v>
      </c>
      <c r="E1438" s="12">
        <v>0</v>
      </c>
      <c r="F1438" s="12">
        <v>1</v>
      </c>
      <c r="G1438" s="17">
        <v>1</v>
      </c>
      <c r="H1438" s="12">
        <v>0</v>
      </c>
    </row>
    <row r="1439" spans="1:8">
      <c r="A1439" s="44" t="s">
        <v>145</v>
      </c>
      <c r="B1439" s="44">
        <v>61814</v>
      </c>
      <c r="C1439" s="44" t="s">
        <v>1603</v>
      </c>
      <c r="D1439" s="11">
        <v>0</v>
      </c>
      <c r="E1439" s="12">
        <v>0</v>
      </c>
      <c r="F1439" s="12">
        <v>3</v>
      </c>
      <c r="G1439" s="17">
        <v>0</v>
      </c>
      <c r="H1439" s="12">
        <v>0</v>
      </c>
    </row>
    <row r="1440" spans="1:8">
      <c r="A1440" s="44">
        <v>2613051412</v>
      </c>
      <c r="B1440" s="44">
        <v>576041</v>
      </c>
      <c r="C1440" s="44" t="s">
        <v>568</v>
      </c>
      <c r="D1440" s="11">
        <v>1</v>
      </c>
      <c r="E1440" s="12">
        <v>0</v>
      </c>
      <c r="F1440" s="12">
        <v>3</v>
      </c>
      <c r="G1440" s="17">
        <v>2</v>
      </c>
      <c r="H1440" s="12">
        <v>0</v>
      </c>
    </row>
    <row r="1441" spans="1:8">
      <c r="A1441" s="44">
        <v>2613050886</v>
      </c>
      <c r="B1441" s="44">
        <v>283130</v>
      </c>
      <c r="C1441" s="44" t="s">
        <v>321</v>
      </c>
      <c r="D1441" s="11">
        <v>0</v>
      </c>
      <c r="E1441" s="12">
        <v>0</v>
      </c>
      <c r="F1441" s="12">
        <v>3</v>
      </c>
      <c r="G1441" s="17">
        <v>0</v>
      </c>
      <c r="H1441" s="12">
        <v>0</v>
      </c>
    </row>
    <row r="1442" spans="1:8">
      <c r="A1442" s="44" t="s">
        <v>151</v>
      </c>
      <c r="B1442" s="44">
        <v>195909</v>
      </c>
      <c r="C1442" s="44" t="s">
        <v>859</v>
      </c>
      <c r="D1442" s="11">
        <v>0</v>
      </c>
      <c r="E1442" s="12">
        <v>0</v>
      </c>
      <c r="F1442" s="12">
        <v>4</v>
      </c>
      <c r="G1442" s="17">
        <v>0</v>
      </c>
      <c r="H1442" s="12">
        <v>0</v>
      </c>
    </row>
    <row r="1443" spans="1:8">
      <c r="A1443" s="44">
        <v>2613051043</v>
      </c>
      <c r="B1443" s="44">
        <v>12296819</v>
      </c>
      <c r="C1443" s="44" t="s">
        <v>442</v>
      </c>
      <c r="D1443" s="11">
        <v>0</v>
      </c>
      <c r="E1443" s="12">
        <v>0</v>
      </c>
      <c r="F1443" s="12">
        <v>0</v>
      </c>
      <c r="G1443" s="17">
        <v>0</v>
      </c>
      <c r="H1443" s="12">
        <v>0</v>
      </c>
    </row>
    <row r="1444" spans="1:8">
      <c r="A1444" s="44" t="s">
        <v>5</v>
      </c>
      <c r="B1444" s="44">
        <v>12295536</v>
      </c>
      <c r="C1444" s="44" t="s">
        <v>75</v>
      </c>
      <c r="D1444" s="11">
        <v>0</v>
      </c>
      <c r="E1444" s="12">
        <v>0</v>
      </c>
      <c r="F1444" s="12">
        <v>1</v>
      </c>
      <c r="G1444" s="17">
        <v>0</v>
      </c>
      <c r="H1444" s="12">
        <v>0</v>
      </c>
    </row>
    <row r="1445" spans="1:8">
      <c r="A1445" s="44">
        <v>2613051412</v>
      </c>
      <c r="B1445" s="44">
        <v>12326605</v>
      </c>
      <c r="C1445" s="44" t="s">
        <v>552</v>
      </c>
      <c r="D1445" s="11">
        <v>1</v>
      </c>
      <c r="E1445" s="12">
        <v>0</v>
      </c>
      <c r="F1445" s="12">
        <v>3</v>
      </c>
      <c r="G1445" s="17">
        <v>2</v>
      </c>
      <c r="H1445" s="12">
        <v>0</v>
      </c>
    </row>
    <row r="1446" spans="1:8">
      <c r="A1446" s="44" t="s">
        <v>3</v>
      </c>
      <c r="B1446" s="44">
        <v>524283</v>
      </c>
      <c r="C1446" s="44" t="s">
        <v>1121</v>
      </c>
      <c r="D1446" s="11">
        <v>0</v>
      </c>
      <c r="E1446" s="12">
        <v>0</v>
      </c>
      <c r="F1446" s="12">
        <v>3</v>
      </c>
      <c r="G1446" s="17">
        <v>0</v>
      </c>
      <c r="H1446" s="12">
        <v>0</v>
      </c>
    </row>
    <row r="1447" spans="1:8">
      <c r="A1447" s="44" t="s">
        <v>151</v>
      </c>
      <c r="B1447" s="44">
        <v>12325413</v>
      </c>
      <c r="C1447" s="44" t="s">
        <v>854</v>
      </c>
      <c r="D1447" s="11">
        <v>0</v>
      </c>
      <c r="E1447" s="12">
        <v>0</v>
      </c>
      <c r="F1447" s="12">
        <v>3</v>
      </c>
      <c r="G1447" s="17">
        <v>0</v>
      </c>
      <c r="H1447" s="12">
        <v>0</v>
      </c>
    </row>
    <row r="1448" spans="1:8">
      <c r="A1448" s="44">
        <v>2613051412</v>
      </c>
      <c r="B1448" s="44">
        <v>211575</v>
      </c>
      <c r="C1448" s="44" t="s">
        <v>1604</v>
      </c>
      <c r="D1448" s="11">
        <v>1</v>
      </c>
      <c r="E1448" s="12">
        <v>0</v>
      </c>
      <c r="F1448" s="12">
        <v>0</v>
      </c>
      <c r="G1448" s="17">
        <v>1</v>
      </c>
      <c r="H1448" s="12">
        <v>1</v>
      </c>
    </row>
    <row r="1449" spans="1:8">
      <c r="A1449" s="44" t="s">
        <v>1136</v>
      </c>
      <c r="B1449" s="44">
        <v>370215</v>
      </c>
      <c r="C1449" s="44" t="s">
        <v>1605</v>
      </c>
      <c r="D1449" s="11">
        <v>0</v>
      </c>
      <c r="E1449" s="12">
        <v>0</v>
      </c>
      <c r="F1449" s="12">
        <v>2</v>
      </c>
      <c r="G1449" s="17">
        <v>0</v>
      </c>
      <c r="H1449" s="12">
        <v>0</v>
      </c>
    </row>
    <row r="1450" spans="1:8">
      <c r="A1450" s="44" t="s">
        <v>137</v>
      </c>
      <c r="B1450" s="44">
        <v>12296078</v>
      </c>
      <c r="C1450" s="44" t="s">
        <v>1606</v>
      </c>
      <c r="D1450" s="11">
        <v>0</v>
      </c>
      <c r="E1450" s="12">
        <v>0</v>
      </c>
      <c r="F1450" s="12">
        <v>7</v>
      </c>
      <c r="G1450" s="17">
        <v>0</v>
      </c>
      <c r="H1450" s="12">
        <v>0</v>
      </c>
    </row>
    <row r="1451" spans="1:8">
      <c r="A1451" s="44">
        <v>2613052222</v>
      </c>
      <c r="B1451" s="44">
        <v>199061</v>
      </c>
      <c r="C1451" s="44" t="s">
        <v>687</v>
      </c>
      <c r="D1451" s="11">
        <v>0</v>
      </c>
      <c r="E1451" s="12">
        <v>0</v>
      </c>
      <c r="F1451" s="12">
        <v>2</v>
      </c>
      <c r="G1451" s="17">
        <v>0</v>
      </c>
      <c r="H1451" s="12">
        <v>0</v>
      </c>
    </row>
    <row r="1452" spans="1:8">
      <c r="A1452" s="44" t="s">
        <v>157</v>
      </c>
      <c r="B1452" s="44">
        <v>366677</v>
      </c>
      <c r="C1452" s="44" t="s">
        <v>1607</v>
      </c>
      <c r="D1452" s="11">
        <v>1</v>
      </c>
      <c r="E1452" s="12">
        <v>0</v>
      </c>
      <c r="F1452" s="12">
        <v>4</v>
      </c>
      <c r="G1452" s="17">
        <v>5</v>
      </c>
      <c r="H1452" s="12">
        <v>1</v>
      </c>
    </row>
    <row r="1453" spans="1:8">
      <c r="A1453" s="44">
        <v>2613051475</v>
      </c>
      <c r="B1453" s="44">
        <v>512441</v>
      </c>
      <c r="C1453" s="44" t="s">
        <v>908</v>
      </c>
      <c r="D1453" s="11">
        <v>0</v>
      </c>
      <c r="E1453" s="12">
        <v>0</v>
      </c>
      <c r="F1453" s="12">
        <v>4</v>
      </c>
      <c r="G1453" s="17">
        <v>0</v>
      </c>
      <c r="H1453" s="12">
        <v>0</v>
      </c>
    </row>
    <row r="1454" spans="1:8">
      <c r="A1454" s="44" t="s">
        <v>147</v>
      </c>
      <c r="B1454" s="44">
        <v>578664</v>
      </c>
      <c r="C1454" s="44" t="s">
        <v>618</v>
      </c>
      <c r="D1454" s="11">
        <v>1</v>
      </c>
      <c r="E1454" s="12">
        <v>0</v>
      </c>
      <c r="F1454" s="12">
        <v>1</v>
      </c>
      <c r="G1454" s="17">
        <v>1</v>
      </c>
      <c r="H1454" s="12">
        <v>0</v>
      </c>
    </row>
    <row r="1455" spans="1:8">
      <c r="A1455" s="44">
        <v>2613050886</v>
      </c>
      <c r="B1455" s="44">
        <v>537323</v>
      </c>
      <c r="C1455" s="44" t="s">
        <v>335</v>
      </c>
      <c r="D1455" s="11">
        <v>1</v>
      </c>
      <c r="E1455" s="12">
        <v>0</v>
      </c>
      <c r="F1455" s="12">
        <v>1</v>
      </c>
      <c r="G1455" s="17">
        <v>1</v>
      </c>
      <c r="H1455" s="12">
        <v>0</v>
      </c>
    </row>
    <row r="1456" spans="1:8">
      <c r="A1456" s="44" t="s">
        <v>155</v>
      </c>
      <c r="B1456" s="44">
        <v>61924</v>
      </c>
      <c r="C1456" s="44" t="s">
        <v>957</v>
      </c>
      <c r="D1456" s="11">
        <v>0</v>
      </c>
      <c r="E1456" s="12">
        <v>0</v>
      </c>
      <c r="F1456" s="12">
        <v>0</v>
      </c>
      <c r="G1456" s="17">
        <v>0</v>
      </c>
      <c r="H1456" s="12">
        <v>0</v>
      </c>
    </row>
    <row r="1457" spans="1:8">
      <c r="A1457" s="44" t="s">
        <v>143</v>
      </c>
      <c r="B1457" s="44">
        <v>407149</v>
      </c>
      <c r="C1457" s="44" t="s">
        <v>259</v>
      </c>
      <c r="D1457" s="11">
        <v>1</v>
      </c>
      <c r="E1457" s="12">
        <v>0</v>
      </c>
      <c r="F1457" s="12">
        <v>3</v>
      </c>
      <c r="G1457" s="17">
        <v>1</v>
      </c>
      <c r="H1457" s="12">
        <v>0</v>
      </c>
    </row>
    <row r="1458" spans="1:8">
      <c r="A1458" s="44">
        <v>2613051475</v>
      </c>
      <c r="B1458" s="44">
        <v>501084</v>
      </c>
      <c r="C1458" s="44" t="s">
        <v>906</v>
      </c>
      <c r="D1458" s="11">
        <v>0</v>
      </c>
      <c r="E1458" s="12">
        <v>0</v>
      </c>
      <c r="F1458" s="12">
        <v>0</v>
      </c>
      <c r="G1458" s="17">
        <v>0</v>
      </c>
      <c r="H1458" s="12">
        <v>0</v>
      </c>
    </row>
    <row r="1459" spans="1:8">
      <c r="A1459" s="44">
        <v>2613051412</v>
      </c>
      <c r="B1459" s="44">
        <v>12328412</v>
      </c>
      <c r="C1459" s="44" t="s">
        <v>554</v>
      </c>
      <c r="D1459" s="11">
        <v>0</v>
      </c>
      <c r="E1459" s="12">
        <v>1</v>
      </c>
      <c r="F1459" s="12">
        <v>2</v>
      </c>
      <c r="G1459" s="17">
        <v>0</v>
      </c>
      <c r="H1459" s="12">
        <v>0</v>
      </c>
    </row>
    <row r="1460" spans="1:8">
      <c r="A1460" s="44" t="s">
        <v>148</v>
      </c>
      <c r="B1460" s="44">
        <v>404926</v>
      </c>
      <c r="C1460" s="44" t="s">
        <v>644</v>
      </c>
      <c r="D1460" s="11">
        <v>0</v>
      </c>
      <c r="E1460" s="12">
        <v>0</v>
      </c>
      <c r="F1460" s="12">
        <v>1</v>
      </c>
      <c r="G1460" s="17">
        <v>0</v>
      </c>
      <c r="H1460" s="12">
        <v>0</v>
      </c>
    </row>
    <row r="1461" spans="1:8">
      <c r="A1461" s="44" t="s">
        <v>146</v>
      </c>
      <c r="B1461" s="44">
        <v>12322214</v>
      </c>
      <c r="C1461" s="44" t="s">
        <v>532</v>
      </c>
      <c r="D1461" s="11">
        <v>0</v>
      </c>
      <c r="E1461" s="12">
        <v>0</v>
      </c>
      <c r="F1461" s="12">
        <v>1</v>
      </c>
      <c r="G1461" s="17">
        <v>0</v>
      </c>
      <c r="H1461" s="12">
        <v>0</v>
      </c>
    </row>
    <row r="1462" spans="1:8">
      <c r="A1462" s="44" t="s">
        <v>137</v>
      </c>
      <c r="B1462" s="44">
        <v>12296266</v>
      </c>
      <c r="C1462" s="44" t="s">
        <v>431</v>
      </c>
      <c r="D1462" s="11">
        <v>1</v>
      </c>
      <c r="E1462" s="12">
        <v>0</v>
      </c>
      <c r="F1462" s="12">
        <v>2</v>
      </c>
      <c r="G1462" s="17">
        <v>11</v>
      </c>
      <c r="H1462" s="12">
        <v>9</v>
      </c>
    </row>
    <row r="1463" spans="1:8">
      <c r="A1463" s="44" t="s">
        <v>153</v>
      </c>
      <c r="B1463" s="44">
        <v>314806</v>
      </c>
      <c r="C1463" s="44" t="s">
        <v>1608</v>
      </c>
      <c r="D1463" s="11">
        <v>1</v>
      </c>
      <c r="E1463" s="12">
        <v>0</v>
      </c>
      <c r="F1463" s="12">
        <v>1</v>
      </c>
      <c r="G1463" s="17">
        <v>1</v>
      </c>
      <c r="H1463" s="12">
        <v>0</v>
      </c>
    </row>
    <row r="1464" spans="1:8">
      <c r="A1464" s="44" t="s">
        <v>154</v>
      </c>
      <c r="B1464" s="44">
        <v>3060</v>
      </c>
      <c r="C1464" s="44" t="s">
        <v>743</v>
      </c>
      <c r="D1464" s="11">
        <v>1</v>
      </c>
      <c r="E1464" s="12">
        <v>0</v>
      </c>
      <c r="F1464" s="12">
        <v>4</v>
      </c>
      <c r="G1464" s="17">
        <v>6</v>
      </c>
      <c r="H1464" s="12">
        <v>2</v>
      </c>
    </row>
    <row r="1465" spans="1:8">
      <c r="A1465" s="44">
        <v>2613051475</v>
      </c>
      <c r="B1465" s="44">
        <v>61579</v>
      </c>
      <c r="C1465" s="44" t="s">
        <v>919</v>
      </c>
      <c r="D1465" s="11">
        <v>1</v>
      </c>
      <c r="E1465" s="12">
        <v>0</v>
      </c>
      <c r="F1465" s="12">
        <v>4</v>
      </c>
      <c r="G1465" s="17">
        <v>1</v>
      </c>
      <c r="H1465" s="12">
        <v>0</v>
      </c>
    </row>
    <row r="1466" spans="1:8">
      <c r="A1466" s="44">
        <v>2613051412</v>
      </c>
      <c r="B1466" s="44">
        <v>465620</v>
      </c>
      <c r="C1466" s="44" t="s">
        <v>1609</v>
      </c>
      <c r="D1466" s="11">
        <v>1</v>
      </c>
      <c r="E1466" s="12">
        <v>0</v>
      </c>
      <c r="F1466" s="12">
        <v>5</v>
      </c>
      <c r="G1466" s="17">
        <v>2</v>
      </c>
      <c r="H1466" s="12">
        <v>0</v>
      </c>
    </row>
    <row r="1467" spans="1:8">
      <c r="A1467" s="44" t="s">
        <v>147</v>
      </c>
      <c r="B1467" s="44">
        <v>422725</v>
      </c>
      <c r="C1467" s="44" t="s">
        <v>612</v>
      </c>
      <c r="D1467" s="11">
        <v>0</v>
      </c>
      <c r="E1467" s="12">
        <v>0</v>
      </c>
      <c r="F1467" s="12">
        <v>1</v>
      </c>
      <c r="G1467" s="17">
        <v>0</v>
      </c>
      <c r="H1467" s="12">
        <v>0</v>
      </c>
    </row>
    <row r="1468" spans="1:8">
      <c r="A1468" s="44">
        <v>2613051451</v>
      </c>
      <c r="B1468" s="44">
        <v>493400</v>
      </c>
      <c r="C1468" s="44" t="s">
        <v>1610</v>
      </c>
      <c r="D1468" s="11">
        <v>0</v>
      </c>
      <c r="E1468" s="12">
        <v>0</v>
      </c>
      <c r="F1468" s="12">
        <v>0</v>
      </c>
      <c r="G1468" s="17">
        <v>0</v>
      </c>
      <c r="H1468" s="12">
        <v>0</v>
      </c>
    </row>
    <row r="1469" spans="1:8">
      <c r="A1469" s="44" t="s">
        <v>1140</v>
      </c>
      <c r="B1469" s="44">
        <v>517666</v>
      </c>
      <c r="C1469" s="44" t="s">
        <v>165</v>
      </c>
      <c r="D1469" s="11">
        <v>0</v>
      </c>
      <c r="E1469" s="12">
        <v>0</v>
      </c>
      <c r="F1469" s="12">
        <v>1</v>
      </c>
      <c r="G1469" s="17">
        <v>0</v>
      </c>
      <c r="H1469" s="12">
        <v>0</v>
      </c>
    </row>
    <row r="1470" spans="1:8">
      <c r="A1470" s="44" t="s">
        <v>151</v>
      </c>
      <c r="B1470" s="44">
        <v>244905</v>
      </c>
      <c r="C1470" s="44" t="s">
        <v>864</v>
      </c>
      <c r="D1470" s="11">
        <v>0</v>
      </c>
      <c r="E1470" s="12">
        <v>0</v>
      </c>
      <c r="F1470" s="12">
        <v>0</v>
      </c>
      <c r="G1470" s="17">
        <v>0</v>
      </c>
      <c r="H1470" s="12">
        <v>0</v>
      </c>
    </row>
    <row r="1471" spans="1:8">
      <c r="A1471" s="44" t="s">
        <v>154</v>
      </c>
      <c r="B1471" s="44">
        <v>544812</v>
      </c>
      <c r="C1471" s="44" t="s">
        <v>753</v>
      </c>
      <c r="D1471" s="11">
        <v>0</v>
      </c>
      <c r="E1471" s="12">
        <v>0</v>
      </c>
      <c r="F1471" s="12">
        <v>2</v>
      </c>
      <c r="G1471" s="17">
        <v>0</v>
      </c>
      <c r="H1471" s="12">
        <v>0</v>
      </c>
    </row>
    <row r="1472" spans="1:8">
      <c r="A1472" s="44" t="s">
        <v>143</v>
      </c>
      <c r="B1472" s="44">
        <v>12301184</v>
      </c>
      <c r="C1472" s="44" t="s">
        <v>1611</v>
      </c>
      <c r="D1472" s="11">
        <v>1</v>
      </c>
      <c r="E1472" s="12">
        <v>0</v>
      </c>
      <c r="F1472" s="12">
        <v>3</v>
      </c>
      <c r="G1472" s="17">
        <v>2</v>
      </c>
      <c r="H1472" s="12">
        <v>0</v>
      </c>
    </row>
    <row r="1473" spans="1:8">
      <c r="A1473" s="44" t="s">
        <v>146</v>
      </c>
      <c r="B1473" s="44">
        <v>12296347</v>
      </c>
      <c r="C1473" s="44" t="s">
        <v>1612</v>
      </c>
      <c r="D1473" s="11">
        <v>0</v>
      </c>
      <c r="E1473" s="12">
        <v>0</v>
      </c>
      <c r="F1473" s="12">
        <v>2</v>
      </c>
      <c r="G1473" s="17">
        <v>0</v>
      </c>
      <c r="H1473" s="12">
        <v>0</v>
      </c>
    </row>
    <row r="1474" spans="1:8">
      <c r="A1474" s="44" t="s">
        <v>141</v>
      </c>
      <c r="B1474" s="44">
        <v>12299381</v>
      </c>
      <c r="C1474" s="44" t="s">
        <v>187</v>
      </c>
      <c r="D1474" s="11">
        <v>0</v>
      </c>
      <c r="E1474" s="12">
        <v>0</v>
      </c>
      <c r="F1474" s="12">
        <v>0</v>
      </c>
      <c r="G1474" s="17">
        <v>0</v>
      </c>
      <c r="H1474" s="12">
        <v>0</v>
      </c>
    </row>
    <row r="1475" spans="1:8">
      <c r="A1475" s="44" t="s">
        <v>157</v>
      </c>
      <c r="B1475" s="44">
        <v>62004</v>
      </c>
      <c r="C1475" s="44" t="s">
        <v>1613</v>
      </c>
      <c r="D1475" s="11">
        <v>1</v>
      </c>
      <c r="E1475" s="12">
        <v>0</v>
      </c>
      <c r="F1475" s="12">
        <v>2</v>
      </c>
      <c r="G1475" s="17">
        <v>3</v>
      </c>
      <c r="H1475" s="12">
        <v>1</v>
      </c>
    </row>
    <row r="1476" spans="1:8">
      <c r="A1476" s="44" t="s">
        <v>140</v>
      </c>
      <c r="B1476" s="44">
        <v>62337</v>
      </c>
      <c r="C1476" s="44" t="s">
        <v>478</v>
      </c>
      <c r="D1476" s="11">
        <v>0</v>
      </c>
      <c r="E1476" s="12">
        <v>0</v>
      </c>
      <c r="F1476" s="12">
        <v>0</v>
      </c>
      <c r="G1476" s="17">
        <v>0</v>
      </c>
      <c r="H1476" s="12">
        <v>0</v>
      </c>
    </row>
    <row r="1477" spans="1:8">
      <c r="A1477" s="44" t="s">
        <v>153</v>
      </c>
      <c r="B1477" s="44">
        <v>199290</v>
      </c>
      <c r="C1477" s="44" t="s">
        <v>1614</v>
      </c>
      <c r="D1477" s="11">
        <v>0</v>
      </c>
      <c r="E1477" s="12">
        <v>0</v>
      </c>
      <c r="F1477" s="12">
        <v>15</v>
      </c>
      <c r="G1477" s="17">
        <v>0</v>
      </c>
      <c r="H1477" s="12">
        <v>0</v>
      </c>
    </row>
    <row r="1478" spans="1:8">
      <c r="A1478" s="44" t="s">
        <v>150</v>
      </c>
      <c r="B1478" s="44">
        <v>61937</v>
      </c>
      <c r="C1478" s="44" t="s">
        <v>840</v>
      </c>
      <c r="D1478" s="11">
        <v>1</v>
      </c>
      <c r="E1478" s="12">
        <v>0</v>
      </c>
      <c r="F1478" s="12">
        <v>9</v>
      </c>
      <c r="G1478" s="17">
        <v>10</v>
      </c>
      <c r="H1478" s="12">
        <v>1</v>
      </c>
    </row>
    <row r="1479" spans="1:8">
      <c r="A1479" s="44" t="s">
        <v>146</v>
      </c>
      <c r="B1479" s="44">
        <v>13387</v>
      </c>
      <c r="C1479" s="44" t="s">
        <v>1615</v>
      </c>
      <c r="D1479" s="11">
        <v>1</v>
      </c>
      <c r="E1479" s="12">
        <v>0</v>
      </c>
      <c r="F1479" s="12">
        <v>3</v>
      </c>
      <c r="G1479" s="17">
        <v>5</v>
      </c>
      <c r="H1479" s="12">
        <v>2</v>
      </c>
    </row>
    <row r="1480" spans="1:8">
      <c r="A1480" s="44">
        <v>2613051451</v>
      </c>
      <c r="B1480" s="44">
        <v>368553</v>
      </c>
      <c r="C1480" s="44" t="s">
        <v>1616</v>
      </c>
      <c r="D1480" s="11">
        <v>1</v>
      </c>
      <c r="E1480" s="12">
        <v>0</v>
      </c>
      <c r="F1480" s="12">
        <v>2</v>
      </c>
      <c r="G1480" s="17">
        <v>1</v>
      </c>
      <c r="H1480" s="12">
        <v>0</v>
      </c>
    </row>
    <row r="1481" spans="1:8">
      <c r="A1481" s="44" t="s">
        <v>143</v>
      </c>
      <c r="B1481" s="44">
        <v>560095</v>
      </c>
      <c r="C1481" s="44" t="s">
        <v>272</v>
      </c>
      <c r="D1481" s="11">
        <v>1</v>
      </c>
      <c r="E1481" s="12">
        <v>0</v>
      </c>
      <c r="F1481" s="12">
        <v>4</v>
      </c>
      <c r="G1481" s="17">
        <v>2</v>
      </c>
      <c r="H1481" s="12">
        <v>0</v>
      </c>
    </row>
    <row r="1482" spans="1:8">
      <c r="A1482" s="44" t="s">
        <v>143</v>
      </c>
      <c r="B1482" s="44">
        <v>407121</v>
      </c>
      <c r="C1482" s="44" t="s">
        <v>258</v>
      </c>
      <c r="D1482" s="11">
        <v>1</v>
      </c>
      <c r="E1482" s="12">
        <v>0</v>
      </c>
      <c r="F1482" s="12">
        <v>4</v>
      </c>
      <c r="G1482" s="17">
        <v>1</v>
      </c>
      <c r="H1482" s="12">
        <v>0</v>
      </c>
    </row>
    <row r="1483" spans="1:8">
      <c r="A1483" s="44" t="s">
        <v>144</v>
      </c>
      <c r="B1483" s="44">
        <v>392253</v>
      </c>
      <c r="C1483" s="44" t="s">
        <v>173</v>
      </c>
      <c r="D1483" s="11">
        <v>0</v>
      </c>
      <c r="E1483" s="12">
        <v>0</v>
      </c>
      <c r="F1483" s="12">
        <v>3</v>
      </c>
      <c r="G1483" s="17">
        <v>0</v>
      </c>
      <c r="H1483" s="12">
        <v>0</v>
      </c>
    </row>
    <row r="1484" spans="1:8">
      <c r="A1484" s="44">
        <v>2613050885</v>
      </c>
      <c r="B1484" s="44">
        <v>512798</v>
      </c>
      <c r="C1484" s="44" t="s">
        <v>294</v>
      </c>
      <c r="D1484" s="11">
        <v>0</v>
      </c>
      <c r="E1484" s="12">
        <v>0</v>
      </c>
      <c r="F1484" s="12">
        <v>3</v>
      </c>
      <c r="G1484" s="17">
        <v>0</v>
      </c>
      <c r="H1484" s="12">
        <v>0</v>
      </c>
    </row>
    <row r="1485" spans="1:8">
      <c r="A1485" s="44" t="s">
        <v>145</v>
      </c>
      <c r="B1485" s="44">
        <v>12321973</v>
      </c>
      <c r="C1485" s="44" t="s">
        <v>489</v>
      </c>
      <c r="D1485" s="11">
        <v>0</v>
      </c>
      <c r="E1485" s="12">
        <v>0</v>
      </c>
      <c r="F1485" s="12">
        <v>0</v>
      </c>
      <c r="G1485" s="17">
        <v>0</v>
      </c>
      <c r="H1485" s="12">
        <v>0</v>
      </c>
    </row>
    <row r="1486" spans="1:8">
      <c r="A1486" s="44" t="s">
        <v>157</v>
      </c>
      <c r="B1486" s="44">
        <v>281440</v>
      </c>
      <c r="C1486" s="44" t="s">
        <v>1617</v>
      </c>
      <c r="D1486" s="11">
        <v>0</v>
      </c>
      <c r="E1486" s="12">
        <v>0</v>
      </c>
      <c r="F1486" s="12">
        <v>0</v>
      </c>
      <c r="G1486" s="17">
        <v>0</v>
      </c>
      <c r="H1486" s="12">
        <v>0</v>
      </c>
    </row>
    <row r="1487" spans="1:8">
      <c r="A1487" s="44" t="s">
        <v>147</v>
      </c>
      <c r="B1487" s="44">
        <v>400338</v>
      </c>
      <c r="C1487" s="44" t="s">
        <v>611</v>
      </c>
      <c r="D1487" s="11">
        <v>1</v>
      </c>
      <c r="E1487" s="12">
        <v>0</v>
      </c>
      <c r="F1487" s="12">
        <v>3</v>
      </c>
      <c r="G1487" s="17">
        <v>2</v>
      </c>
      <c r="H1487" s="12">
        <v>0</v>
      </c>
    </row>
    <row r="1488" spans="1:8">
      <c r="A1488" s="44">
        <v>2613052222</v>
      </c>
      <c r="B1488" s="44">
        <v>492045</v>
      </c>
      <c r="C1488" s="44" t="s">
        <v>1618</v>
      </c>
      <c r="D1488" s="11">
        <v>1</v>
      </c>
      <c r="E1488" s="12">
        <v>0</v>
      </c>
      <c r="F1488" s="12">
        <v>2</v>
      </c>
      <c r="G1488" s="17">
        <v>1</v>
      </c>
      <c r="H1488" s="12">
        <v>0</v>
      </c>
    </row>
    <row r="1489" spans="1:8">
      <c r="A1489" s="44">
        <v>2613051475</v>
      </c>
      <c r="B1489" s="44">
        <v>286026</v>
      </c>
      <c r="C1489" s="44" t="s">
        <v>897</v>
      </c>
      <c r="D1489" s="11">
        <v>0</v>
      </c>
      <c r="E1489" s="12">
        <v>0</v>
      </c>
      <c r="F1489" s="12">
        <v>3</v>
      </c>
      <c r="G1489" s="17">
        <v>0</v>
      </c>
      <c r="H1489" s="12">
        <v>0</v>
      </c>
    </row>
    <row r="1490" spans="1:8">
      <c r="A1490" s="44">
        <v>2613050885</v>
      </c>
      <c r="B1490" s="44">
        <v>532798</v>
      </c>
      <c r="C1490" s="44" t="s">
        <v>306</v>
      </c>
      <c r="D1490" s="11">
        <v>0</v>
      </c>
      <c r="E1490" s="12">
        <v>0</v>
      </c>
      <c r="F1490" s="12">
        <v>0</v>
      </c>
      <c r="G1490" s="17">
        <v>0</v>
      </c>
      <c r="H1490" s="12">
        <v>0</v>
      </c>
    </row>
    <row r="1491" spans="1:8">
      <c r="A1491" s="44" t="s">
        <v>1140</v>
      </c>
      <c r="B1491" s="44">
        <v>544599</v>
      </c>
      <c r="C1491" s="44" t="s">
        <v>1619</v>
      </c>
      <c r="D1491" s="11">
        <v>1</v>
      </c>
      <c r="E1491" s="12">
        <v>0</v>
      </c>
      <c r="F1491" s="12">
        <v>1</v>
      </c>
      <c r="G1491" s="17">
        <v>1</v>
      </c>
      <c r="H1491" s="12">
        <v>0</v>
      </c>
    </row>
    <row r="1492" spans="1:8">
      <c r="A1492" s="44" t="s">
        <v>156</v>
      </c>
      <c r="B1492" s="44">
        <v>348868</v>
      </c>
      <c r="C1492" s="44" t="s">
        <v>1620</v>
      </c>
      <c r="D1492" s="11">
        <v>0</v>
      </c>
      <c r="E1492" s="12">
        <v>0</v>
      </c>
      <c r="F1492" s="12">
        <v>0</v>
      </c>
      <c r="G1492" s="17">
        <v>0</v>
      </c>
      <c r="H1492" s="12">
        <v>0</v>
      </c>
    </row>
    <row r="1493" spans="1:8">
      <c r="A1493" s="44" t="s">
        <v>148</v>
      </c>
      <c r="B1493" s="44">
        <v>538252</v>
      </c>
      <c r="C1493" s="44" t="s">
        <v>1621</v>
      </c>
      <c r="D1493" s="11">
        <v>0</v>
      </c>
      <c r="E1493" s="12">
        <v>0</v>
      </c>
      <c r="F1493" s="12">
        <v>1</v>
      </c>
      <c r="G1493" s="17">
        <v>0</v>
      </c>
      <c r="H1493" s="12">
        <v>0</v>
      </c>
    </row>
    <row r="1494" spans="1:8">
      <c r="A1494" s="44" t="s">
        <v>5</v>
      </c>
      <c r="B1494" s="44">
        <v>401031</v>
      </c>
      <c r="C1494" s="44" t="s">
        <v>94</v>
      </c>
      <c r="D1494" s="11">
        <v>0</v>
      </c>
      <c r="E1494" s="12">
        <v>0</v>
      </c>
      <c r="F1494" s="12">
        <v>4</v>
      </c>
      <c r="G1494" s="17">
        <v>0</v>
      </c>
      <c r="H1494" s="12">
        <v>0</v>
      </c>
    </row>
    <row r="1495" spans="1:8">
      <c r="A1495" s="44" t="s">
        <v>141</v>
      </c>
      <c r="B1495" s="44">
        <v>12295831</v>
      </c>
      <c r="C1495" s="44" t="s">
        <v>1556</v>
      </c>
      <c r="D1495" s="11">
        <v>1</v>
      </c>
      <c r="E1495" s="12">
        <v>0</v>
      </c>
      <c r="F1495" s="12">
        <v>1</v>
      </c>
      <c r="G1495" s="17">
        <v>1</v>
      </c>
      <c r="H1495" s="12">
        <v>0</v>
      </c>
    </row>
    <row r="1496" spans="1:8">
      <c r="A1496" s="44" t="s">
        <v>140</v>
      </c>
      <c r="B1496" s="44">
        <v>12322462</v>
      </c>
      <c r="C1496" s="44" t="s">
        <v>1622</v>
      </c>
      <c r="D1496" s="11">
        <v>0</v>
      </c>
      <c r="E1496" s="12">
        <v>0</v>
      </c>
      <c r="F1496" s="12">
        <v>1</v>
      </c>
      <c r="G1496" s="17">
        <v>0</v>
      </c>
      <c r="H1496" s="12">
        <v>0</v>
      </c>
    </row>
    <row r="1497" spans="1:8">
      <c r="A1497" s="44">
        <v>2613052584</v>
      </c>
      <c r="B1497" s="44">
        <v>12320360</v>
      </c>
      <c r="C1497" s="44" t="s">
        <v>571</v>
      </c>
      <c r="D1497" s="11">
        <v>0</v>
      </c>
      <c r="E1497" s="12">
        <v>0</v>
      </c>
      <c r="F1497" s="12">
        <v>0</v>
      </c>
      <c r="G1497" s="17">
        <v>0</v>
      </c>
      <c r="H1497" s="12">
        <v>0</v>
      </c>
    </row>
    <row r="1498" spans="1:8">
      <c r="A1498" s="44" t="s">
        <v>156</v>
      </c>
      <c r="B1498" s="44">
        <v>63850</v>
      </c>
      <c r="C1498" s="44" t="s">
        <v>1623</v>
      </c>
      <c r="D1498" s="11">
        <v>1</v>
      </c>
      <c r="E1498" s="12">
        <v>0</v>
      </c>
      <c r="F1498" s="12">
        <v>5</v>
      </c>
      <c r="G1498" s="17">
        <v>5</v>
      </c>
      <c r="H1498" s="12">
        <v>0</v>
      </c>
    </row>
    <row r="1499" spans="1:8">
      <c r="A1499" s="44">
        <v>2613052584</v>
      </c>
      <c r="B1499" s="44">
        <v>299881</v>
      </c>
      <c r="C1499" s="44" t="s">
        <v>582</v>
      </c>
      <c r="D1499" s="11">
        <v>0</v>
      </c>
      <c r="E1499" s="12">
        <v>0</v>
      </c>
      <c r="F1499" s="12">
        <v>0</v>
      </c>
      <c r="G1499" s="17">
        <v>0</v>
      </c>
      <c r="H1499" s="12">
        <v>0</v>
      </c>
    </row>
    <row r="1500" spans="1:8">
      <c r="A1500" s="44" t="s">
        <v>149</v>
      </c>
      <c r="B1500" s="44">
        <v>12332159</v>
      </c>
      <c r="C1500" s="44" t="s">
        <v>1624</v>
      </c>
      <c r="D1500" s="11">
        <v>0</v>
      </c>
      <c r="E1500" s="12">
        <v>0</v>
      </c>
      <c r="F1500" s="12">
        <v>3</v>
      </c>
      <c r="G1500" s="17">
        <v>0</v>
      </c>
      <c r="H1500" s="12">
        <v>0</v>
      </c>
    </row>
    <row r="1501" spans="1:8">
      <c r="A1501" s="44" t="s">
        <v>155</v>
      </c>
      <c r="B1501" s="44">
        <v>12331996</v>
      </c>
      <c r="C1501" s="44" t="s">
        <v>927</v>
      </c>
      <c r="D1501" s="11">
        <v>1</v>
      </c>
      <c r="E1501" s="12">
        <v>0</v>
      </c>
      <c r="F1501" s="12">
        <v>3</v>
      </c>
      <c r="G1501" s="17">
        <v>5</v>
      </c>
      <c r="H1501" s="12">
        <v>2</v>
      </c>
    </row>
    <row r="1502" spans="1:8">
      <c r="A1502" s="44" t="s">
        <v>149</v>
      </c>
      <c r="B1502" s="44">
        <v>12331888</v>
      </c>
      <c r="C1502" s="44" t="s">
        <v>770</v>
      </c>
      <c r="D1502" s="11">
        <v>0</v>
      </c>
      <c r="E1502" s="12">
        <v>0</v>
      </c>
      <c r="F1502" s="12">
        <v>0</v>
      </c>
      <c r="G1502" s="17">
        <v>0</v>
      </c>
      <c r="H1502" s="12">
        <v>0</v>
      </c>
    </row>
    <row r="1503" spans="1:8">
      <c r="A1503" s="44" t="s">
        <v>152</v>
      </c>
      <c r="B1503" s="44">
        <v>12332813</v>
      </c>
      <c r="C1503" s="44" t="s">
        <v>1625</v>
      </c>
      <c r="D1503" s="11">
        <v>1</v>
      </c>
      <c r="E1503" s="12">
        <v>0</v>
      </c>
      <c r="F1503" s="12">
        <v>1</v>
      </c>
      <c r="G1503" s="17">
        <v>1</v>
      </c>
      <c r="H1503" s="12">
        <v>0</v>
      </c>
    </row>
    <row r="1504" spans="1:8">
      <c r="A1504" s="44" t="s">
        <v>1136</v>
      </c>
      <c r="B1504" s="44">
        <v>12332390</v>
      </c>
      <c r="C1504" s="44" t="s">
        <v>1626</v>
      </c>
      <c r="D1504" s="11">
        <v>1</v>
      </c>
      <c r="E1504" s="12">
        <v>0</v>
      </c>
      <c r="F1504" s="12">
        <v>2</v>
      </c>
      <c r="G1504" s="17">
        <v>9</v>
      </c>
      <c r="H1504" s="12">
        <v>7</v>
      </c>
    </row>
    <row r="1505" spans="1:8">
      <c r="A1505" s="44" t="s">
        <v>143</v>
      </c>
      <c r="B1505" s="44">
        <v>12332756</v>
      </c>
      <c r="C1505" s="44" t="s">
        <v>251</v>
      </c>
      <c r="D1505" s="11">
        <v>0</v>
      </c>
      <c r="E1505" s="12">
        <v>0</v>
      </c>
      <c r="F1505" s="12">
        <v>3</v>
      </c>
      <c r="G1505" s="17">
        <v>0</v>
      </c>
      <c r="H1505" s="12">
        <v>0</v>
      </c>
    </row>
    <row r="1506" spans="1:8">
      <c r="A1506" s="44" t="s">
        <v>152</v>
      </c>
      <c r="B1506" s="44">
        <v>12332492</v>
      </c>
      <c r="C1506" s="44" t="s">
        <v>1627</v>
      </c>
      <c r="D1506" s="11">
        <v>1</v>
      </c>
      <c r="E1506" s="12">
        <v>0</v>
      </c>
      <c r="F1506" s="12">
        <v>81</v>
      </c>
      <c r="G1506" s="17">
        <v>25</v>
      </c>
      <c r="H1506" s="12">
        <v>0</v>
      </c>
    </row>
    <row r="1507" spans="1:8">
      <c r="A1507" s="44" t="s">
        <v>148</v>
      </c>
      <c r="B1507" s="44">
        <v>12332361</v>
      </c>
      <c r="C1507" s="44" t="s">
        <v>628</v>
      </c>
      <c r="D1507" s="11">
        <v>1</v>
      </c>
      <c r="E1507" s="12">
        <v>0</v>
      </c>
      <c r="F1507" s="12">
        <v>101</v>
      </c>
      <c r="G1507" s="17">
        <v>55</v>
      </c>
      <c r="H1507" s="12">
        <v>0</v>
      </c>
    </row>
    <row r="1508" spans="1:8">
      <c r="A1508" s="44" t="s">
        <v>146</v>
      </c>
      <c r="B1508" s="44">
        <v>12332439</v>
      </c>
      <c r="C1508" s="44" t="s">
        <v>536</v>
      </c>
      <c r="D1508" s="11">
        <v>1</v>
      </c>
      <c r="E1508" s="12">
        <v>0</v>
      </c>
      <c r="F1508" s="12">
        <v>68</v>
      </c>
      <c r="G1508" s="17">
        <v>28</v>
      </c>
      <c r="H1508" s="12">
        <v>0</v>
      </c>
    </row>
    <row r="1509" spans="1:8">
      <c r="A1509" s="44">
        <v>2613051412</v>
      </c>
      <c r="B1509" s="44">
        <v>12332401</v>
      </c>
      <c r="C1509" s="44" t="s">
        <v>1628</v>
      </c>
      <c r="D1509" s="11">
        <v>0</v>
      </c>
      <c r="E1509" s="12">
        <v>0</v>
      </c>
      <c r="F1509" s="12">
        <v>1</v>
      </c>
      <c r="G1509" s="17">
        <v>0</v>
      </c>
      <c r="H1509" s="12">
        <v>0</v>
      </c>
    </row>
    <row r="1510" spans="1:8">
      <c r="A1510" s="44" t="s">
        <v>5</v>
      </c>
      <c r="B1510" s="44">
        <v>12332811</v>
      </c>
      <c r="C1510" s="44" t="s">
        <v>84</v>
      </c>
      <c r="D1510" s="11">
        <v>0</v>
      </c>
      <c r="E1510" s="12">
        <v>0</v>
      </c>
      <c r="F1510" s="12">
        <v>0</v>
      </c>
      <c r="G1510" s="17">
        <v>0</v>
      </c>
      <c r="H1510" s="12">
        <v>0</v>
      </c>
    </row>
    <row r="1511" spans="1:8">
      <c r="A1511" s="44" t="s">
        <v>145</v>
      </c>
      <c r="B1511" s="44">
        <v>12332325</v>
      </c>
      <c r="C1511" s="44" t="s">
        <v>1629</v>
      </c>
      <c r="D1511" s="11">
        <v>0</v>
      </c>
      <c r="E1511" s="12">
        <v>0</v>
      </c>
      <c r="F1511" s="12">
        <v>0</v>
      </c>
      <c r="G1511" s="17">
        <v>0</v>
      </c>
      <c r="H1511" s="12">
        <v>0</v>
      </c>
    </row>
    <row r="1512" spans="1:8">
      <c r="A1512" s="44" t="s">
        <v>5</v>
      </c>
      <c r="B1512" s="44">
        <v>12332670</v>
      </c>
      <c r="C1512" s="44" t="s">
        <v>1122</v>
      </c>
      <c r="D1512" s="11">
        <v>0</v>
      </c>
      <c r="E1512" s="12">
        <v>0</v>
      </c>
      <c r="F1512" s="12">
        <v>2</v>
      </c>
      <c r="G1512" s="17">
        <v>0</v>
      </c>
      <c r="H1512" s="12">
        <v>0</v>
      </c>
    </row>
    <row r="1513" spans="1:8">
      <c r="A1513" s="44" t="s">
        <v>157</v>
      </c>
      <c r="B1513" s="44">
        <v>12332861</v>
      </c>
      <c r="C1513" s="44" t="s">
        <v>1025</v>
      </c>
      <c r="D1513" s="11">
        <v>0</v>
      </c>
      <c r="E1513" s="12">
        <v>0</v>
      </c>
      <c r="F1513" s="12">
        <v>0</v>
      </c>
      <c r="G1513" s="17">
        <v>0</v>
      </c>
      <c r="H1513" s="12">
        <v>0</v>
      </c>
    </row>
    <row r="1514" spans="1:8">
      <c r="A1514" s="44" t="s">
        <v>146</v>
      </c>
      <c r="B1514" s="44">
        <v>12332347</v>
      </c>
      <c r="C1514" s="44" t="s">
        <v>535</v>
      </c>
      <c r="D1514" s="11">
        <v>1</v>
      </c>
      <c r="E1514" s="12">
        <v>0</v>
      </c>
      <c r="F1514" s="12">
        <v>10</v>
      </c>
      <c r="G1514" s="17">
        <v>34</v>
      </c>
      <c r="H1514" s="12">
        <v>24</v>
      </c>
    </row>
    <row r="1515" spans="1:8">
      <c r="A1515" s="44" t="s">
        <v>153</v>
      </c>
      <c r="B1515" s="44">
        <v>12333031</v>
      </c>
      <c r="C1515" s="44" t="s">
        <v>707</v>
      </c>
      <c r="D1515" s="11">
        <v>1</v>
      </c>
      <c r="E1515" s="12">
        <v>2</v>
      </c>
      <c r="F1515" s="12">
        <v>54</v>
      </c>
      <c r="G1515" s="17">
        <v>35</v>
      </c>
      <c r="H1515" s="12">
        <v>0</v>
      </c>
    </row>
    <row r="1516" spans="1:8">
      <c r="A1516" s="44" t="s">
        <v>141</v>
      </c>
      <c r="B1516" s="44">
        <v>12332971</v>
      </c>
      <c r="C1516" s="44" t="s">
        <v>193</v>
      </c>
      <c r="D1516" s="11">
        <v>0</v>
      </c>
      <c r="E1516" s="12">
        <v>0</v>
      </c>
      <c r="F1516" s="12">
        <v>0</v>
      </c>
      <c r="G1516" s="17">
        <v>0</v>
      </c>
      <c r="H1516" s="12">
        <v>0</v>
      </c>
    </row>
    <row r="1517" spans="1:8">
      <c r="A1517" s="44" t="s">
        <v>156</v>
      </c>
      <c r="B1517" s="44" t="s">
        <v>1630</v>
      </c>
      <c r="C1517" s="44" t="s">
        <v>1631</v>
      </c>
      <c r="D1517" s="11">
        <v>0</v>
      </c>
      <c r="E1517" s="12">
        <v>0</v>
      </c>
      <c r="F1517" s="12">
        <v>0</v>
      </c>
      <c r="G1517" s="17">
        <v>0</v>
      </c>
      <c r="H1517" s="12">
        <v>0</v>
      </c>
    </row>
    <row r="1518" spans="1:8">
      <c r="A1518" s="44" t="s">
        <v>5</v>
      </c>
      <c r="B1518" s="44">
        <v>12333237</v>
      </c>
      <c r="C1518" s="44" t="s">
        <v>1123</v>
      </c>
      <c r="D1518" s="11">
        <v>1</v>
      </c>
      <c r="E1518" s="12">
        <v>0</v>
      </c>
      <c r="F1518" s="12">
        <v>13</v>
      </c>
      <c r="G1518" s="17">
        <v>11</v>
      </c>
      <c r="H1518" s="12">
        <v>0</v>
      </c>
    </row>
    <row r="1519" spans="1:8">
      <c r="A1519" s="44">
        <v>2613051412</v>
      </c>
      <c r="B1519" s="44">
        <v>546109</v>
      </c>
      <c r="C1519" s="44" t="s">
        <v>566</v>
      </c>
      <c r="D1519" s="11">
        <v>1</v>
      </c>
      <c r="E1519" s="12">
        <v>0</v>
      </c>
      <c r="F1519" s="12">
        <v>2</v>
      </c>
      <c r="G1519" s="17">
        <v>3</v>
      </c>
      <c r="H1519" s="12">
        <v>1</v>
      </c>
    </row>
    <row r="1520" spans="1:8">
      <c r="A1520" s="44">
        <v>2613052222</v>
      </c>
      <c r="B1520" s="44">
        <v>480222</v>
      </c>
      <c r="C1520" s="44" t="s">
        <v>1632</v>
      </c>
      <c r="D1520" s="11">
        <v>1</v>
      </c>
      <c r="E1520" s="12">
        <v>0</v>
      </c>
      <c r="F1520" s="12">
        <v>1</v>
      </c>
      <c r="G1520" s="17">
        <v>2</v>
      </c>
      <c r="H1520" s="12">
        <v>1</v>
      </c>
    </row>
    <row r="1521" spans="1:8">
      <c r="A1521" s="44">
        <v>2613052222</v>
      </c>
      <c r="B1521" s="44">
        <v>580677</v>
      </c>
      <c r="C1521" s="44" t="s">
        <v>1633</v>
      </c>
      <c r="D1521" s="11">
        <v>0</v>
      </c>
      <c r="E1521" s="12">
        <v>0</v>
      </c>
      <c r="F1521" s="12">
        <v>1</v>
      </c>
      <c r="G1521" s="17">
        <v>0</v>
      </c>
      <c r="H1521" s="12">
        <v>0</v>
      </c>
    </row>
    <row r="1522" spans="1:8">
      <c r="A1522" s="44" t="s">
        <v>152</v>
      </c>
      <c r="B1522" s="44">
        <v>61721</v>
      </c>
      <c r="C1522" s="44" t="s">
        <v>1092</v>
      </c>
      <c r="D1522" s="11">
        <v>0</v>
      </c>
      <c r="E1522" s="12">
        <v>0</v>
      </c>
      <c r="F1522" s="12">
        <v>1</v>
      </c>
      <c r="G1522" s="17">
        <v>0</v>
      </c>
      <c r="H1522" s="12">
        <v>0</v>
      </c>
    </row>
    <row r="1523" spans="1:8">
      <c r="A1523" s="44">
        <v>2613052222</v>
      </c>
      <c r="B1523" s="44">
        <v>274707</v>
      </c>
      <c r="C1523" s="44" t="s">
        <v>693</v>
      </c>
      <c r="D1523" s="11">
        <v>1</v>
      </c>
      <c r="E1523" s="12">
        <v>0</v>
      </c>
      <c r="F1523" s="12">
        <v>0</v>
      </c>
      <c r="G1523" s="17">
        <v>1</v>
      </c>
      <c r="H1523" s="12">
        <v>1</v>
      </c>
    </row>
    <row r="1524" spans="1:8">
      <c r="A1524" s="44" t="s">
        <v>152</v>
      </c>
      <c r="B1524" s="44">
        <v>478811</v>
      </c>
      <c r="C1524" s="44" t="s">
        <v>1634</v>
      </c>
      <c r="D1524" s="11">
        <v>0</v>
      </c>
      <c r="E1524" s="12">
        <v>0</v>
      </c>
      <c r="F1524" s="12">
        <v>1</v>
      </c>
      <c r="G1524" s="17">
        <v>0</v>
      </c>
      <c r="H1524" s="12">
        <v>0</v>
      </c>
    </row>
    <row r="1525" spans="1:8">
      <c r="A1525" s="44" t="s">
        <v>140</v>
      </c>
      <c r="B1525" s="44">
        <v>542219</v>
      </c>
      <c r="C1525" s="44" t="s">
        <v>476</v>
      </c>
      <c r="D1525" s="11">
        <v>1</v>
      </c>
      <c r="E1525" s="12">
        <v>0</v>
      </c>
      <c r="F1525" s="12">
        <v>3</v>
      </c>
      <c r="G1525" s="17">
        <v>4</v>
      </c>
      <c r="H1525" s="12">
        <v>1</v>
      </c>
    </row>
    <row r="1526" spans="1:8">
      <c r="A1526" s="44" t="s">
        <v>148</v>
      </c>
      <c r="B1526" s="44">
        <v>12331261</v>
      </c>
      <c r="C1526" s="44" t="s">
        <v>1635</v>
      </c>
      <c r="D1526" s="11">
        <v>1</v>
      </c>
      <c r="E1526" s="12">
        <v>2</v>
      </c>
      <c r="F1526" s="12">
        <v>50</v>
      </c>
      <c r="G1526" s="17">
        <v>40</v>
      </c>
      <c r="H1526" s="12">
        <v>0</v>
      </c>
    </row>
    <row r="1527" spans="1:8">
      <c r="A1527" s="44" t="s">
        <v>5</v>
      </c>
      <c r="B1527" s="44">
        <v>12331450</v>
      </c>
      <c r="C1527" s="44" t="s">
        <v>83</v>
      </c>
      <c r="D1527" s="11">
        <v>0</v>
      </c>
      <c r="E1527" s="12">
        <v>0</v>
      </c>
      <c r="F1527" s="12">
        <v>5</v>
      </c>
      <c r="G1527" s="17">
        <v>0</v>
      </c>
      <c r="H1527" s="12">
        <v>0</v>
      </c>
    </row>
    <row r="1528" spans="1:8">
      <c r="A1528" s="44">
        <v>2613050886</v>
      </c>
      <c r="B1528" s="44">
        <v>532833</v>
      </c>
      <c r="C1528" s="44" t="s">
        <v>332</v>
      </c>
      <c r="D1528" s="11">
        <v>1</v>
      </c>
      <c r="E1528" s="12">
        <v>0</v>
      </c>
      <c r="F1528" s="12">
        <v>4</v>
      </c>
      <c r="G1528" s="17">
        <v>1</v>
      </c>
      <c r="H1528" s="12">
        <v>0</v>
      </c>
    </row>
    <row r="1529" spans="1:8">
      <c r="A1529" s="44" t="s">
        <v>146</v>
      </c>
      <c r="B1529" s="44">
        <v>12321065</v>
      </c>
      <c r="C1529" s="44" t="s">
        <v>528</v>
      </c>
      <c r="D1529" s="11">
        <v>0</v>
      </c>
      <c r="E1529" s="12">
        <v>0</v>
      </c>
      <c r="F1529" s="12">
        <v>1</v>
      </c>
      <c r="G1529" s="17">
        <v>0</v>
      </c>
      <c r="H1529" s="12">
        <v>0</v>
      </c>
    </row>
    <row r="1530" spans="1:8">
      <c r="A1530" s="44" t="s">
        <v>5</v>
      </c>
      <c r="B1530" s="44">
        <v>12321243</v>
      </c>
      <c r="C1530" s="44" t="s">
        <v>1124</v>
      </c>
      <c r="D1530" s="11">
        <v>1</v>
      </c>
      <c r="E1530" s="12">
        <v>0</v>
      </c>
      <c r="F1530" s="12">
        <v>114</v>
      </c>
      <c r="G1530" s="17">
        <v>121</v>
      </c>
      <c r="H1530" s="12">
        <v>7</v>
      </c>
    </row>
    <row r="1531" spans="1:8">
      <c r="A1531" s="44" t="s">
        <v>147</v>
      </c>
      <c r="B1531" s="44">
        <v>264920</v>
      </c>
      <c r="C1531" s="44" t="s">
        <v>607</v>
      </c>
      <c r="D1531" s="11">
        <v>1</v>
      </c>
      <c r="E1531" s="12">
        <v>0</v>
      </c>
      <c r="F1531" s="12">
        <v>32</v>
      </c>
      <c r="G1531" s="17">
        <v>3</v>
      </c>
      <c r="H1531" s="12">
        <v>0</v>
      </c>
    </row>
    <row r="1532" spans="1:8">
      <c r="A1532" s="44" t="s">
        <v>151</v>
      </c>
      <c r="B1532" s="44">
        <v>12304609</v>
      </c>
      <c r="C1532" s="44" t="s">
        <v>851</v>
      </c>
      <c r="D1532" s="11">
        <v>0</v>
      </c>
      <c r="E1532" s="12">
        <v>0</v>
      </c>
      <c r="F1532" s="12">
        <v>0</v>
      </c>
      <c r="G1532" s="17">
        <v>0</v>
      </c>
      <c r="H1532" s="12">
        <v>0</v>
      </c>
    </row>
    <row r="1533" spans="1:8">
      <c r="A1533" s="44" t="s">
        <v>152</v>
      </c>
      <c r="B1533" s="44">
        <v>7483</v>
      </c>
      <c r="C1533" s="44" t="s">
        <v>1636</v>
      </c>
      <c r="D1533" s="11">
        <v>1</v>
      </c>
      <c r="E1533" s="12">
        <v>0</v>
      </c>
      <c r="F1533" s="12">
        <v>1</v>
      </c>
      <c r="G1533" s="17">
        <v>2</v>
      </c>
      <c r="H1533" s="12">
        <v>1</v>
      </c>
    </row>
    <row r="1534" spans="1:8">
      <c r="A1534" s="44">
        <v>2613050886</v>
      </c>
      <c r="B1534" s="44">
        <v>12322791</v>
      </c>
      <c r="C1534" s="44" t="s">
        <v>318</v>
      </c>
      <c r="D1534" s="11">
        <v>0</v>
      </c>
      <c r="E1534" s="12">
        <v>0</v>
      </c>
      <c r="F1534" s="12">
        <v>5</v>
      </c>
      <c r="G1534" s="17">
        <v>0</v>
      </c>
      <c r="H1534" s="12">
        <v>0</v>
      </c>
    </row>
    <row r="1535" spans="1:8">
      <c r="A1535" s="44" t="s">
        <v>157</v>
      </c>
      <c r="B1535" s="44">
        <v>67030</v>
      </c>
      <c r="C1535" s="44" t="s">
        <v>1066</v>
      </c>
      <c r="D1535" s="11">
        <v>1</v>
      </c>
      <c r="E1535" s="12">
        <v>0</v>
      </c>
      <c r="F1535" s="12">
        <v>10</v>
      </c>
      <c r="G1535" s="17">
        <v>4</v>
      </c>
      <c r="H1535" s="12">
        <v>0</v>
      </c>
    </row>
    <row r="1536" spans="1:8">
      <c r="A1536" s="44" t="s">
        <v>5</v>
      </c>
      <c r="B1536" s="44">
        <v>543826</v>
      </c>
      <c r="C1536" s="44" t="s">
        <v>107</v>
      </c>
      <c r="D1536" s="11">
        <v>1</v>
      </c>
      <c r="E1536" s="12">
        <v>1</v>
      </c>
      <c r="F1536" s="12">
        <v>26</v>
      </c>
      <c r="G1536" s="17">
        <v>2</v>
      </c>
      <c r="H1536" s="12">
        <v>0</v>
      </c>
    </row>
    <row r="1537" spans="1:8">
      <c r="A1537" s="44">
        <v>2613052584</v>
      </c>
      <c r="B1537" s="44">
        <v>312343</v>
      </c>
      <c r="C1537" s="44" t="s">
        <v>1637</v>
      </c>
      <c r="D1537" s="11">
        <v>0</v>
      </c>
      <c r="E1537" s="12">
        <v>0</v>
      </c>
      <c r="F1537" s="12">
        <v>0</v>
      </c>
      <c r="G1537" s="17">
        <v>0</v>
      </c>
      <c r="H1537" s="12">
        <v>0</v>
      </c>
    </row>
    <row r="1538" spans="1:8">
      <c r="A1538" s="44">
        <v>2613050885</v>
      </c>
      <c r="B1538" s="44">
        <v>286503</v>
      </c>
      <c r="C1538" s="44" t="s">
        <v>1638</v>
      </c>
      <c r="D1538" s="11">
        <v>1</v>
      </c>
      <c r="E1538" s="12">
        <v>0</v>
      </c>
      <c r="F1538" s="12">
        <v>0</v>
      </c>
      <c r="G1538" s="17">
        <v>4</v>
      </c>
      <c r="H1538" s="12">
        <v>4</v>
      </c>
    </row>
    <row r="1539" spans="1:8">
      <c r="A1539" s="44" t="s">
        <v>147</v>
      </c>
      <c r="B1539" s="44">
        <v>211751</v>
      </c>
      <c r="C1539" s="44" t="s">
        <v>1407</v>
      </c>
      <c r="D1539" s="11">
        <v>0</v>
      </c>
      <c r="E1539" s="12">
        <v>0</v>
      </c>
      <c r="F1539" s="12">
        <v>6</v>
      </c>
      <c r="G1539" s="17">
        <v>0</v>
      </c>
      <c r="H1539" s="12">
        <v>0</v>
      </c>
    </row>
    <row r="1540" spans="1:8">
      <c r="A1540" s="44">
        <v>2613051451</v>
      </c>
      <c r="B1540" s="44">
        <v>188500</v>
      </c>
      <c r="C1540" s="44" t="s">
        <v>385</v>
      </c>
      <c r="D1540" s="11">
        <v>0</v>
      </c>
      <c r="E1540" s="12">
        <v>0</v>
      </c>
      <c r="F1540" s="12">
        <v>3</v>
      </c>
      <c r="G1540" s="17">
        <v>0</v>
      </c>
      <c r="H1540" s="12">
        <v>0</v>
      </c>
    </row>
    <row r="1541" spans="1:8">
      <c r="A1541" s="44" t="s">
        <v>155</v>
      </c>
      <c r="B1541" s="44">
        <v>260562</v>
      </c>
      <c r="C1541" s="44" t="s">
        <v>166</v>
      </c>
      <c r="D1541" s="11">
        <v>1</v>
      </c>
      <c r="E1541" s="12">
        <v>0</v>
      </c>
      <c r="F1541" s="12">
        <v>1</v>
      </c>
      <c r="G1541" s="17">
        <v>3</v>
      </c>
      <c r="H1541" s="12">
        <v>2</v>
      </c>
    </row>
    <row r="1542" spans="1:8">
      <c r="A1542" s="44" t="s">
        <v>157</v>
      </c>
      <c r="B1542" s="44">
        <v>532883</v>
      </c>
      <c r="C1542" s="44" t="s">
        <v>1054</v>
      </c>
      <c r="D1542" s="11">
        <v>0</v>
      </c>
      <c r="E1542" s="12">
        <v>0</v>
      </c>
      <c r="F1542" s="12">
        <v>12</v>
      </c>
      <c r="G1542" s="17">
        <v>0</v>
      </c>
      <c r="H1542" s="12">
        <v>0</v>
      </c>
    </row>
    <row r="1543" spans="1:8">
      <c r="A1543" s="44" t="s">
        <v>150</v>
      </c>
      <c r="B1543" s="44">
        <v>61881</v>
      </c>
      <c r="C1543" s="44" t="s">
        <v>839</v>
      </c>
      <c r="D1543" s="11">
        <v>1</v>
      </c>
      <c r="E1543" s="12">
        <v>0</v>
      </c>
      <c r="F1543" s="12">
        <v>9</v>
      </c>
      <c r="G1543" s="17">
        <v>7</v>
      </c>
      <c r="H1543" s="12">
        <v>0</v>
      </c>
    </row>
    <row r="1544" spans="1:8">
      <c r="A1544" s="44" t="s">
        <v>156</v>
      </c>
      <c r="B1544" s="44">
        <v>126737</v>
      </c>
      <c r="C1544" s="44" t="s">
        <v>1639</v>
      </c>
      <c r="D1544" s="11">
        <v>0</v>
      </c>
      <c r="E1544" s="12">
        <v>1</v>
      </c>
      <c r="F1544" s="12">
        <v>0</v>
      </c>
      <c r="G1544" s="17">
        <v>0</v>
      </c>
      <c r="H1544" s="12">
        <v>0</v>
      </c>
    </row>
    <row r="1545" spans="1:8">
      <c r="A1545" s="44" t="s">
        <v>4</v>
      </c>
      <c r="B1545" s="44">
        <v>61690</v>
      </c>
      <c r="C1545" s="44" t="s">
        <v>1125</v>
      </c>
      <c r="D1545" s="11">
        <v>1</v>
      </c>
      <c r="E1545" s="12">
        <v>0</v>
      </c>
      <c r="F1545" s="12">
        <v>4</v>
      </c>
      <c r="G1545" s="17">
        <v>3</v>
      </c>
      <c r="H1545" s="12">
        <v>0</v>
      </c>
    </row>
    <row r="1546" spans="1:8">
      <c r="A1546" s="44" t="s">
        <v>153</v>
      </c>
      <c r="B1546" s="44">
        <v>219074</v>
      </c>
      <c r="C1546" s="44" t="s">
        <v>715</v>
      </c>
      <c r="D1546" s="11">
        <v>1</v>
      </c>
      <c r="E1546" s="12">
        <v>0</v>
      </c>
      <c r="F1546" s="12">
        <v>16</v>
      </c>
      <c r="G1546" s="17">
        <v>3</v>
      </c>
      <c r="H1546" s="12">
        <v>0</v>
      </c>
    </row>
    <row r="1547" spans="1:8">
      <c r="A1547" s="44" t="s">
        <v>140</v>
      </c>
      <c r="B1547" s="44">
        <v>13554</v>
      </c>
      <c r="C1547" s="44" t="s">
        <v>460</v>
      </c>
      <c r="D1547" s="11">
        <v>1</v>
      </c>
      <c r="E1547" s="12">
        <v>0</v>
      </c>
      <c r="F1547" s="12">
        <v>3</v>
      </c>
      <c r="G1547" s="17">
        <v>1</v>
      </c>
      <c r="H1547" s="12">
        <v>0</v>
      </c>
    </row>
    <row r="1548" spans="1:8">
      <c r="A1548" s="44" t="s">
        <v>147</v>
      </c>
      <c r="B1548" s="44">
        <v>12304744</v>
      </c>
      <c r="C1548" s="44" t="s">
        <v>591</v>
      </c>
      <c r="D1548" s="11">
        <v>0</v>
      </c>
      <c r="E1548" s="12">
        <v>0</v>
      </c>
      <c r="F1548" s="12">
        <v>1</v>
      </c>
      <c r="G1548" s="17">
        <v>0</v>
      </c>
      <c r="H1548" s="12">
        <v>0</v>
      </c>
    </row>
    <row r="1549" spans="1:8">
      <c r="A1549" s="44" t="s">
        <v>5</v>
      </c>
      <c r="B1549" s="44">
        <v>12295980</v>
      </c>
      <c r="C1549" s="44" t="s">
        <v>76</v>
      </c>
      <c r="D1549" s="11">
        <v>1</v>
      </c>
      <c r="E1549" s="12">
        <v>0</v>
      </c>
      <c r="F1549" s="12">
        <v>3</v>
      </c>
      <c r="G1549" s="17">
        <v>2</v>
      </c>
      <c r="H1549" s="12">
        <v>0</v>
      </c>
    </row>
    <row r="1550" spans="1:8">
      <c r="A1550" s="44">
        <v>2613050886</v>
      </c>
      <c r="B1550" s="44">
        <v>458989</v>
      </c>
      <c r="C1550" s="44" t="s">
        <v>1640</v>
      </c>
      <c r="D1550" s="11">
        <v>1</v>
      </c>
      <c r="E1550" s="12">
        <v>0</v>
      </c>
      <c r="F1550" s="12">
        <v>13</v>
      </c>
      <c r="G1550" s="17">
        <v>9</v>
      </c>
      <c r="H1550" s="12">
        <v>0</v>
      </c>
    </row>
    <row r="1551" spans="1:8">
      <c r="A1551" s="44" t="s">
        <v>152</v>
      </c>
      <c r="B1551" s="44">
        <v>12303501</v>
      </c>
      <c r="C1551" s="44" t="s">
        <v>651</v>
      </c>
      <c r="D1551" s="11">
        <v>0</v>
      </c>
      <c r="E1551" s="12">
        <v>0</v>
      </c>
      <c r="F1551" s="12">
        <v>1</v>
      </c>
      <c r="G1551" s="17">
        <v>0</v>
      </c>
      <c r="H1551" s="12">
        <v>0</v>
      </c>
    </row>
    <row r="1552" spans="1:8">
      <c r="A1552" s="44" t="s">
        <v>155</v>
      </c>
      <c r="B1552" s="44">
        <v>12320273</v>
      </c>
      <c r="C1552" s="44" t="s">
        <v>925</v>
      </c>
      <c r="D1552" s="11">
        <v>1</v>
      </c>
      <c r="E1552" s="12">
        <v>0</v>
      </c>
      <c r="F1552" s="12">
        <v>9</v>
      </c>
      <c r="G1552" s="17">
        <v>3</v>
      </c>
      <c r="H1552" s="12">
        <v>0</v>
      </c>
    </row>
    <row r="1553" spans="1:8">
      <c r="A1553" s="44" t="s">
        <v>1136</v>
      </c>
      <c r="B1553" s="44">
        <v>406040</v>
      </c>
      <c r="C1553" s="44" t="s">
        <v>1641</v>
      </c>
      <c r="D1553" s="11">
        <v>1</v>
      </c>
      <c r="E1553" s="12">
        <v>0</v>
      </c>
      <c r="F1553" s="12">
        <v>6</v>
      </c>
      <c r="G1553" s="17">
        <v>3</v>
      </c>
      <c r="H1553" s="12">
        <v>0</v>
      </c>
    </row>
    <row r="1554" spans="1:8">
      <c r="A1554" s="44" t="s">
        <v>136</v>
      </c>
      <c r="B1554" s="44">
        <v>211648</v>
      </c>
      <c r="C1554" s="44" t="s">
        <v>402</v>
      </c>
      <c r="D1554" s="11">
        <v>1</v>
      </c>
      <c r="E1554" s="12">
        <v>1</v>
      </c>
      <c r="F1554" s="12">
        <v>6</v>
      </c>
      <c r="G1554" s="17">
        <v>4</v>
      </c>
      <c r="H1554" s="12">
        <v>0</v>
      </c>
    </row>
    <row r="1555" spans="1:8">
      <c r="A1555" s="44">
        <v>2613052584</v>
      </c>
      <c r="B1555" s="44">
        <v>533184</v>
      </c>
      <c r="C1555" s="44" t="s">
        <v>1189</v>
      </c>
      <c r="D1555" s="11">
        <v>0</v>
      </c>
      <c r="E1555" s="12">
        <v>0</v>
      </c>
      <c r="F1555" s="12">
        <v>0</v>
      </c>
      <c r="G1555" s="17">
        <v>0</v>
      </c>
      <c r="H1555" s="12">
        <v>0</v>
      </c>
    </row>
    <row r="1556" spans="1:8">
      <c r="A1556" s="44">
        <v>2613052584</v>
      </c>
      <c r="B1556" s="44">
        <v>12321917</v>
      </c>
      <c r="C1556" s="44" t="s">
        <v>1642</v>
      </c>
      <c r="D1556" s="11">
        <v>1</v>
      </c>
      <c r="E1556" s="12">
        <v>0</v>
      </c>
      <c r="F1556" s="12">
        <v>3</v>
      </c>
      <c r="G1556" s="17">
        <v>3</v>
      </c>
      <c r="H1556" s="12">
        <v>0</v>
      </c>
    </row>
    <row r="1557" spans="1:8">
      <c r="A1557" s="44" t="s">
        <v>1136</v>
      </c>
      <c r="B1557" s="44">
        <v>422569</v>
      </c>
      <c r="C1557" s="44" t="s">
        <v>1643</v>
      </c>
      <c r="D1557" s="11">
        <v>0</v>
      </c>
      <c r="E1557" s="12">
        <v>0</v>
      </c>
      <c r="F1557" s="12">
        <v>5</v>
      </c>
      <c r="G1557" s="17">
        <v>0</v>
      </c>
      <c r="H1557" s="12">
        <v>0</v>
      </c>
    </row>
    <row r="1558" spans="1:8">
      <c r="A1558" s="44" t="s">
        <v>155</v>
      </c>
      <c r="B1558" s="44">
        <v>196416</v>
      </c>
      <c r="C1558" s="44" t="s">
        <v>930</v>
      </c>
      <c r="D1558" s="11">
        <v>0</v>
      </c>
      <c r="E1558" s="12">
        <v>0</v>
      </c>
      <c r="F1558" s="12">
        <v>2</v>
      </c>
      <c r="G1558" s="17">
        <v>0</v>
      </c>
      <c r="H1558" s="12">
        <v>0</v>
      </c>
    </row>
    <row r="1559" spans="1:8">
      <c r="A1559" s="44" t="s">
        <v>3</v>
      </c>
      <c r="B1559" s="44">
        <v>213944</v>
      </c>
      <c r="C1559" s="44" t="s">
        <v>1126</v>
      </c>
      <c r="D1559" s="11">
        <v>1</v>
      </c>
      <c r="E1559" s="12">
        <v>0</v>
      </c>
      <c r="F1559" s="12">
        <v>11</v>
      </c>
      <c r="G1559" s="17">
        <v>3</v>
      </c>
      <c r="H1559" s="12">
        <v>0</v>
      </c>
    </row>
    <row r="1560" spans="1:8">
      <c r="A1560" s="44" t="s">
        <v>155</v>
      </c>
      <c r="B1560" s="44" t="s">
        <v>964</v>
      </c>
      <c r="C1560" s="44" t="s">
        <v>963</v>
      </c>
      <c r="D1560" s="11">
        <v>1</v>
      </c>
      <c r="E1560" s="12">
        <v>1</v>
      </c>
      <c r="F1560" s="12">
        <v>48</v>
      </c>
      <c r="G1560" s="17">
        <v>14</v>
      </c>
      <c r="H1560" s="12">
        <v>0</v>
      </c>
    </row>
    <row r="1561" spans="1:8">
      <c r="A1561" s="44" t="s">
        <v>4</v>
      </c>
      <c r="B1561" s="44" t="s">
        <v>72</v>
      </c>
      <c r="C1561" s="44" t="s">
        <v>1127</v>
      </c>
      <c r="D1561" s="11">
        <v>0</v>
      </c>
      <c r="E1561" s="12">
        <v>0</v>
      </c>
      <c r="F1561" s="12">
        <v>0</v>
      </c>
      <c r="G1561" s="17">
        <v>0</v>
      </c>
      <c r="H1561" s="12">
        <v>0</v>
      </c>
    </row>
    <row r="1562" spans="1:8">
      <c r="A1562" s="44" t="s">
        <v>4</v>
      </c>
      <c r="B1562" s="44" t="s">
        <v>71</v>
      </c>
      <c r="C1562" s="44" t="s">
        <v>70</v>
      </c>
      <c r="D1562" s="11">
        <v>0</v>
      </c>
      <c r="E1562" s="12">
        <v>0</v>
      </c>
      <c r="F1562" s="12">
        <v>9</v>
      </c>
      <c r="G1562" s="17">
        <v>0</v>
      </c>
      <c r="H1562" s="12">
        <v>0</v>
      </c>
    </row>
    <row r="1563" spans="1:8">
      <c r="A1563" s="44" t="s">
        <v>152</v>
      </c>
      <c r="B1563" s="44" t="s">
        <v>681</v>
      </c>
      <c r="C1563" s="44" t="s">
        <v>680</v>
      </c>
      <c r="D1563" s="11">
        <v>0</v>
      </c>
      <c r="E1563" s="12">
        <v>0</v>
      </c>
      <c r="F1563" s="12">
        <v>1</v>
      </c>
      <c r="G1563" s="17">
        <v>0</v>
      </c>
      <c r="H1563" s="12">
        <v>0</v>
      </c>
    </row>
    <row r="1564" spans="1:8">
      <c r="A1564" s="44" t="s">
        <v>157</v>
      </c>
      <c r="B1564" s="44" t="s">
        <v>1069</v>
      </c>
      <c r="C1564" s="44" t="s">
        <v>1068</v>
      </c>
      <c r="D1564" s="11">
        <v>0</v>
      </c>
      <c r="E1564" s="12">
        <v>0</v>
      </c>
      <c r="F1564" s="12">
        <v>3</v>
      </c>
      <c r="G1564" s="17">
        <v>0</v>
      </c>
      <c r="H1564" s="12">
        <v>0</v>
      </c>
    </row>
    <row r="1565" spans="1:8">
      <c r="A1565" s="44" t="s">
        <v>156</v>
      </c>
      <c r="B1565" s="44" t="s">
        <v>1008</v>
      </c>
      <c r="C1565" s="44" t="s">
        <v>162</v>
      </c>
      <c r="D1565" s="11">
        <v>1</v>
      </c>
      <c r="E1565" s="12">
        <v>0</v>
      </c>
      <c r="F1565" s="12">
        <v>3</v>
      </c>
      <c r="G1565" s="17">
        <v>3</v>
      </c>
      <c r="H1565" s="12">
        <v>0</v>
      </c>
    </row>
    <row r="1566" spans="1:8">
      <c r="A1566" s="44" t="s">
        <v>5</v>
      </c>
      <c r="B1566" s="44" t="s">
        <v>113</v>
      </c>
      <c r="C1566" s="44" t="s">
        <v>1128</v>
      </c>
      <c r="D1566" s="11">
        <v>0</v>
      </c>
      <c r="E1566" s="12">
        <v>0</v>
      </c>
      <c r="F1566" s="12">
        <v>3</v>
      </c>
      <c r="G1566" s="17">
        <v>0</v>
      </c>
      <c r="H1566" s="12">
        <v>0</v>
      </c>
    </row>
    <row r="1567" spans="1:8">
      <c r="A1567" s="44" t="s">
        <v>4</v>
      </c>
      <c r="B1567" s="44" t="s">
        <v>69</v>
      </c>
      <c r="C1567" s="44" t="s">
        <v>68</v>
      </c>
      <c r="D1567" s="11">
        <v>1</v>
      </c>
      <c r="E1567" s="12">
        <v>0</v>
      </c>
      <c r="F1567" s="12">
        <v>9</v>
      </c>
      <c r="G1567" s="17">
        <v>3</v>
      </c>
      <c r="H1567" s="12">
        <v>0</v>
      </c>
    </row>
    <row r="1568" spans="1:8">
      <c r="A1568" s="44" t="s">
        <v>150</v>
      </c>
      <c r="B1568" s="44" t="s">
        <v>846</v>
      </c>
      <c r="C1568" s="44" t="s">
        <v>845</v>
      </c>
      <c r="D1568" s="11">
        <v>1</v>
      </c>
      <c r="E1568" s="12">
        <v>0</v>
      </c>
      <c r="F1568" s="12">
        <v>50</v>
      </c>
      <c r="G1568" s="17">
        <v>5</v>
      </c>
      <c r="H1568" s="12">
        <v>0</v>
      </c>
    </row>
    <row r="1569" spans="1:8">
      <c r="A1569" s="44" t="s">
        <v>156</v>
      </c>
      <c r="B1569" s="44" t="s">
        <v>1007</v>
      </c>
      <c r="C1569" s="44" t="s">
        <v>1644</v>
      </c>
      <c r="D1569" s="11">
        <v>0</v>
      </c>
      <c r="E1569" s="12">
        <v>0</v>
      </c>
      <c r="F1569" s="12">
        <v>0</v>
      </c>
      <c r="G1569" s="17">
        <v>0</v>
      </c>
      <c r="H1569" s="12">
        <v>0</v>
      </c>
    </row>
    <row r="1570" spans="1:8">
      <c r="A1570" s="44" t="s">
        <v>140</v>
      </c>
      <c r="B1570" s="44" t="s">
        <v>483</v>
      </c>
      <c r="C1570" s="44" t="s">
        <v>482</v>
      </c>
      <c r="D1570" s="11">
        <v>0</v>
      </c>
      <c r="E1570" s="12">
        <v>0</v>
      </c>
      <c r="F1570" s="12">
        <v>2</v>
      </c>
      <c r="G1570" s="17">
        <v>0</v>
      </c>
      <c r="H1570" s="12">
        <v>0</v>
      </c>
    </row>
    <row r="1571" spans="1:8">
      <c r="A1571" s="44" t="s">
        <v>5</v>
      </c>
      <c r="B1571" s="44">
        <v>12334635</v>
      </c>
      <c r="C1571" s="44" t="s">
        <v>85</v>
      </c>
      <c r="D1571" s="11">
        <v>1</v>
      </c>
      <c r="E1571" s="12">
        <v>1</v>
      </c>
      <c r="F1571" s="12">
        <v>5</v>
      </c>
      <c r="G1571" s="17">
        <v>3</v>
      </c>
      <c r="H1571" s="12">
        <v>0</v>
      </c>
    </row>
    <row r="1572" spans="1:8">
      <c r="A1572" s="44" t="s">
        <v>5</v>
      </c>
      <c r="B1572" s="44">
        <v>12334637</v>
      </c>
      <c r="C1572" s="44" t="s">
        <v>86</v>
      </c>
      <c r="D1572" s="11">
        <v>1</v>
      </c>
      <c r="E1572" s="12">
        <v>0</v>
      </c>
      <c r="F1572" s="12">
        <v>6</v>
      </c>
      <c r="G1572" s="17">
        <v>21</v>
      </c>
      <c r="H1572" s="12">
        <v>15</v>
      </c>
    </row>
    <row r="1573" spans="1:8">
      <c r="A1573" s="44" t="s">
        <v>152</v>
      </c>
      <c r="B1573" s="44">
        <v>12333967</v>
      </c>
      <c r="C1573" s="44" t="s">
        <v>653</v>
      </c>
      <c r="D1573" s="11">
        <v>0</v>
      </c>
      <c r="E1573" s="12">
        <v>0</v>
      </c>
      <c r="F1573" s="12">
        <v>1</v>
      </c>
      <c r="G1573" s="17">
        <v>0</v>
      </c>
      <c r="H1573" s="12">
        <v>0</v>
      </c>
    </row>
    <row r="1574" spans="1:8">
      <c r="A1574" s="44" t="s">
        <v>153</v>
      </c>
      <c r="B1574" s="44">
        <v>12333670</v>
      </c>
      <c r="C1574" s="44" t="s">
        <v>708</v>
      </c>
      <c r="D1574" s="11">
        <v>1</v>
      </c>
      <c r="E1574" s="12">
        <v>0</v>
      </c>
      <c r="F1574" s="12">
        <v>4</v>
      </c>
      <c r="G1574" s="17">
        <v>4</v>
      </c>
      <c r="H1574" s="12">
        <v>0</v>
      </c>
    </row>
    <row r="1575" spans="1:8">
      <c r="A1575" s="44" t="s">
        <v>1136</v>
      </c>
      <c r="B1575" s="44">
        <v>12334713</v>
      </c>
      <c r="C1575" s="44" t="s">
        <v>1645</v>
      </c>
      <c r="D1575" s="11">
        <v>1</v>
      </c>
      <c r="E1575" s="12">
        <v>0</v>
      </c>
      <c r="F1575" s="12">
        <v>3</v>
      </c>
      <c r="G1575" s="17">
        <v>3</v>
      </c>
      <c r="H1575" s="12">
        <v>0</v>
      </c>
    </row>
    <row r="1576" spans="1:8">
      <c r="A1576" s="44" t="s">
        <v>136</v>
      </c>
      <c r="B1576" s="44">
        <v>12334597</v>
      </c>
      <c r="C1576" s="44" t="s">
        <v>398</v>
      </c>
      <c r="D1576" s="11">
        <v>0</v>
      </c>
      <c r="E1576" s="12">
        <v>0</v>
      </c>
      <c r="F1576" s="12">
        <v>4</v>
      </c>
      <c r="G1576" s="17">
        <v>0</v>
      </c>
      <c r="H1576" s="12">
        <v>0</v>
      </c>
    </row>
    <row r="1577" spans="1:8">
      <c r="A1577" s="44" t="s">
        <v>148</v>
      </c>
      <c r="B1577" s="44">
        <v>12334377</v>
      </c>
      <c r="C1577" s="44" t="s">
        <v>629</v>
      </c>
      <c r="D1577" s="11">
        <v>1</v>
      </c>
      <c r="E1577" s="12">
        <v>0</v>
      </c>
      <c r="F1577" s="12">
        <v>5</v>
      </c>
      <c r="G1577" s="17">
        <v>1</v>
      </c>
      <c r="H1577" s="12">
        <v>0</v>
      </c>
    </row>
    <row r="1578" spans="1:8">
      <c r="A1578" s="44" t="s">
        <v>4</v>
      </c>
      <c r="B1578" s="44" t="s">
        <v>74</v>
      </c>
      <c r="C1578" s="44" t="s">
        <v>73</v>
      </c>
      <c r="D1578" s="11">
        <v>0</v>
      </c>
      <c r="E1578" s="12">
        <v>0</v>
      </c>
      <c r="F1578" s="12">
        <v>1</v>
      </c>
      <c r="G1578" s="17">
        <v>0</v>
      </c>
      <c r="H1578" s="12">
        <v>0</v>
      </c>
    </row>
    <row r="1579" spans="1:8">
      <c r="A1579" s="44" t="s">
        <v>147</v>
      </c>
      <c r="B1579" s="44" t="s">
        <v>624</v>
      </c>
      <c r="C1579" s="44" t="s">
        <v>1646</v>
      </c>
      <c r="D1579" s="11">
        <v>1</v>
      </c>
      <c r="E1579" s="12">
        <v>0</v>
      </c>
      <c r="F1579" s="12">
        <v>7</v>
      </c>
      <c r="G1579" s="17">
        <v>10</v>
      </c>
      <c r="H1579" s="12">
        <v>3</v>
      </c>
    </row>
    <row r="1580" spans="1:8">
      <c r="A1580" s="44" t="s">
        <v>154</v>
      </c>
      <c r="B1580" s="44" t="s">
        <v>758</v>
      </c>
      <c r="C1580" s="44" t="s">
        <v>1647</v>
      </c>
      <c r="D1580" s="11">
        <v>0</v>
      </c>
      <c r="E1580" s="12">
        <v>0</v>
      </c>
      <c r="F1580" s="12">
        <v>0</v>
      </c>
      <c r="G1580" s="17">
        <v>0</v>
      </c>
      <c r="H1580" s="12">
        <v>0</v>
      </c>
    </row>
    <row r="1581" spans="1:8">
      <c r="A1581" s="44" t="s">
        <v>152</v>
      </c>
      <c r="B1581" s="44" t="s">
        <v>684</v>
      </c>
      <c r="C1581" s="44" t="s">
        <v>1648</v>
      </c>
      <c r="D1581" s="11">
        <v>0</v>
      </c>
      <c r="E1581" s="12">
        <v>0</v>
      </c>
      <c r="F1581" s="12">
        <v>1</v>
      </c>
      <c r="G1581" s="17">
        <v>0</v>
      </c>
      <c r="H1581" s="12">
        <v>0</v>
      </c>
    </row>
    <row r="1582" spans="1:8">
      <c r="A1582" s="44">
        <v>2613052222</v>
      </c>
      <c r="B1582" s="44" t="s">
        <v>702</v>
      </c>
      <c r="C1582" s="44" t="s">
        <v>701</v>
      </c>
      <c r="D1582" s="11">
        <v>1</v>
      </c>
      <c r="E1582" s="12">
        <v>0</v>
      </c>
      <c r="F1582" s="12">
        <v>1</v>
      </c>
      <c r="G1582" s="17">
        <v>1</v>
      </c>
      <c r="H1582" s="12">
        <v>0</v>
      </c>
    </row>
    <row r="1583" spans="1:8">
      <c r="A1583" s="44" t="s">
        <v>152</v>
      </c>
      <c r="B1583" s="44" t="s">
        <v>683</v>
      </c>
      <c r="C1583" s="44" t="s">
        <v>682</v>
      </c>
      <c r="D1583" s="11">
        <v>1</v>
      </c>
      <c r="E1583" s="12">
        <v>0</v>
      </c>
      <c r="F1583" s="12">
        <v>3</v>
      </c>
      <c r="G1583" s="17">
        <v>1</v>
      </c>
      <c r="H1583" s="12">
        <v>0</v>
      </c>
    </row>
    <row r="1584" spans="1:8">
      <c r="A1584" s="44" t="s">
        <v>154</v>
      </c>
      <c r="B1584" s="44" t="s">
        <v>760</v>
      </c>
      <c r="C1584" s="44" t="s">
        <v>759</v>
      </c>
      <c r="D1584" s="11">
        <v>0</v>
      </c>
      <c r="E1584" s="12">
        <v>0</v>
      </c>
      <c r="F1584" s="12">
        <v>1</v>
      </c>
      <c r="G1584" s="17">
        <v>0</v>
      </c>
      <c r="H1584" s="12">
        <v>0</v>
      </c>
    </row>
    <row r="1585" spans="1:8">
      <c r="A1585" s="44" t="s">
        <v>155</v>
      </c>
      <c r="B1585" s="44" t="s">
        <v>966</v>
      </c>
      <c r="C1585" s="44" t="s">
        <v>965</v>
      </c>
      <c r="D1585" s="11">
        <v>0</v>
      </c>
      <c r="E1585" s="12">
        <v>0</v>
      </c>
      <c r="F1585" s="12">
        <v>1</v>
      </c>
      <c r="G1585" s="17">
        <v>0</v>
      </c>
      <c r="H1585" s="12">
        <v>0</v>
      </c>
    </row>
    <row r="1586" spans="1:8">
      <c r="A1586" s="44" t="s">
        <v>151</v>
      </c>
      <c r="B1586" s="44" t="s">
        <v>884</v>
      </c>
      <c r="C1586" s="44" t="s">
        <v>663</v>
      </c>
      <c r="D1586" s="11">
        <v>0</v>
      </c>
      <c r="E1586" s="12">
        <v>4</v>
      </c>
      <c r="F1586" s="12">
        <v>3</v>
      </c>
      <c r="G1586" s="17">
        <v>0</v>
      </c>
      <c r="H1586" s="12">
        <v>0</v>
      </c>
    </row>
    <row r="1587" spans="1:8">
      <c r="A1587" s="44" t="s">
        <v>149</v>
      </c>
      <c r="B1587" s="44" t="s">
        <v>806</v>
      </c>
      <c r="C1587" s="44" t="s">
        <v>805</v>
      </c>
      <c r="D1587" s="11">
        <v>0</v>
      </c>
      <c r="E1587" s="12">
        <v>0</v>
      </c>
      <c r="F1587" s="12">
        <v>0</v>
      </c>
      <c r="G1587" s="17">
        <v>0</v>
      </c>
      <c r="H1587" s="12">
        <v>0</v>
      </c>
    </row>
    <row r="1588" spans="1:8">
      <c r="A1588" s="44">
        <v>2613052222</v>
      </c>
      <c r="B1588" s="44" t="s">
        <v>704</v>
      </c>
      <c r="C1588" s="44" t="s">
        <v>703</v>
      </c>
      <c r="D1588" s="11">
        <v>1</v>
      </c>
      <c r="E1588" s="12">
        <v>0</v>
      </c>
      <c r="F1588" s="12">
        <v>15</v>
      </c>
      <c r="G1588" s="17">
        <v>3</v>
      </c>
      <c r="H1588" s="12">
        <v>0</v>
      </c>
    </row>
    <row r="1589" spans="1:8">
      <c r="A1589" s="44" t="s">
        <v>146</v>
      </c>
      <c r="B1589" s="44" t="s">
        <v>548</v>
      </c>
      <c r="C1589" s="44" t="s">
        <v>1649</v>
      </c>
      <c r="D1589" s="11">
        <v>0</v>
      </c>
      <c r="E1589" s="12">
        <v>0</v>
      </c>
      <c r="F1589" s="12">
        <v>0</v>
      </c>
      <c r="G1589" s="17">
        <v>0</v>
      </c>
      <c r="H1589" s="12">
        <v>0</v>
      </c>
    </row>
    <row r="1590" spans="1:8">
      <c r="A1590" s="44" t="s">
        <v>149</v>
      </c>
      <c r="B1590" s="44" t="s">
        <v>804</v>
      </c>
      <c r="C1590" s="44" t="s">
        <v>1650</v>
      </c>
      <c r="D1590" s="11">
        <v>0</v>
      </c>
      <c r="E1590" s="12">
        <v>0</v>
      </c>
      <c r="F1590" s="12">
        <v>4</v>
      </c>
      <c r="G1590" s="17">
        <v>0</v>
      </c>
      <c r="H1590" s="12">
        <v>0</v>
      </c>
    </row>
    <row r="1591" spans="1:8">
      <c r="A1591" s="44" t="s">
        <v>136</v>
      </c>
      <c r="B1591" s="44" t="s">
        <v>416</v>
      </c>
      <c r="C1591" s="44" t="s">
        <v>1651</v>
      </c>
      <c r="D1591" s="11">
        <v>1</v>
      </c>
      <c r="E1591" s="12">
        <v>0</v>
      </c>
      <c r="F1591" s="12">
        <v>3</v>
      </c>
      <c r="G1591" s="17">
        <v>1</v>
      </c>
      <c r="H1591" s="12">
        <v>0</v>
      </c>
    </row>
    <row r="1592" spans="1:8">
      <c r="A1592" s="44">
        <v>2613051043</v>
      </c>
      <c r="B1592" s="44" t="s">
        <v>453</v>
      </c>
      <c r="C1592" s="44" t="s">
        <v>1652</v>
      </c>
      <c r="D1592" s="11">
        <v>0</v>
      </c>
      <c r="E1592" s="12">
        <v>0</v>
      </c>
      <c r="F1592" s="12">
        <v>0</v>
      </c>
      <c r="G1592" s="17">
        <v>0</v>
      </c>
      <c r="H1592" s="12">
        <v>0</v>
      </c>
    </row>
    <row r="1593" spans="1:8">
      <c r="A1593" s="44">
        <v>2613051043</v>
      </c>
      <c r="B1593" s="44" t="s">
        <v>454</v>
      </c>
      <c r="C1593" s="44" t="s">
        <v>1653</v>
      </c>
      <c r="D1593" s="11">
        <v>0</v>
      </c>
      <c r="E1593" s="12">
        <v>0</v>
      </c>
      <c r="F1593" s="12">
        <v>0</v>
      </c>
      <c r="G1593" s="17">
        <v>0</v>
      </c>
      <c r="H1593" s="12">
        <v>0</v>
      </c>
    </row>
    <row r="1594" spans="1:8">
      <c r="A1594" s="44" t="s">
        <v>136</v>
      </c>
      <c r="B1594" s="44" t="s">
        <v>415</v>
      </c>
      <c r="C1594" s="44" t="s">
        <v>414</v>
      </c>
      <c r="D1594" s="11">
        <v>0</v>
      </c>
      <c r="E1594" s="12">
        <v>0</v>
      </c>
      <c r="F1594" s="12">
        <v>1</v>
      </c>
      <c r="G1594" s="17">
        <v>0</v>
      </c>
      <c r="H1594" s="12">
        <v>0</v>
      </c>
    </row>
    <row r="1595" spans="1:8">
      <c r="A1595" s="44" t="s">
        <v>156</v>
      </c>
      <c r="B1595" s="44" t="s">
        <v>1019</v>
      </c>
      <c r="C1595" s="44" t="s">
        <v>1018</v>
      </c>
      <c r="D1595" s="11">
        <v>1</v>
      </c>
      <c r="E1595" s="12">
        <v>0</v>
      </c>
      <c r="F1595" s="12">
        <v>3</v>
      </c>
      <c r="G1595" s="17">
        <v>3</v>
      </c>
      <c r="H1595" s="12">
        <v>0</v>
      </c>
    </row>
    <row r="1596" spans="1:8">
      <c r="A1596" s="44" t="s">
        <v>156</v>
      </c>
      <c r="B1596" s="44" t="s">
        <v>1017</v>
      </c>
      <c r="C1596" s="44" t="s">
        <v>1654</v>
      </c>
      <c r="D1596" s="11">
        <v>0</v>
      </c>
      <c r="E1596" s="12">
        <v>0</v>
      </c>
      <c r="F1596" s="12">
        <v>2</v>
      </c>
      <c r="G1596" s="17">
        <v>0</v>
      </c>
      <c r="H1596" s="12">
        <v>0</v>
      </c>
    </row>
    <row r="1597" spans="1:8">
      <c r="A1597" s="44" t="s">
        <v>136</v>
      </c>
      <c r="B1597" s="44" t="s">
        <v>413</v>
      </c>
      <c r="C1597" s="44" t="s">
        <v>1655</v>
      </c>
      <c r="D1597" s="11">
        <v>0</v>
      </c>
      <c r="E1597" s="12">
        <v>0</v>
      </c>
      <c r="F1597" s="12">
        <v>3</v>
      </c>
      <c r="G1597" s="17">
        <v>0</v>
      </c>
      <c r="H1597" s="12">
        <v>0</v>
      </c>
    </row>
    <row r="1598" spans="1:8">
      <c r="A1598" s="44" t="s">
        <v>151</v>
      </c>
      <c r="B1598" s="44" t="s">
        <v>886</v>
      </c>
      <c r="C1598" s="44" t="s">
        <v>885</v>
      </c>
      <c r="D1598" s="11">
        <v>0</v>
      </c>
      <c r="E1598" s="12">
        <v>0</v>
      </c>
      <c r="F1598" s="12">
        <v>0</v>
      </c>
      <c r="G1598" s="17">
        <v>0</v>
      </c>
      <c r="H1598" s="12">
        <v>0</v>
      </c>
    </row>
    <row r="1599" spans="1:8">
      <c r="A1599" s="44" t="s">
        <v>156</v>
      </c>
      <c r="B1599" s="44" t="s">
        <v>1016</v>
      </c>
      <c r="C1599" s="44" t="s">
        <v>1015</v>
      </c>
      <c r="D1599" s="11">
        <v>0</v>
      </c>
      <c r="E1599" s="12">
        <v>0</v>
      </c>
      <c r="F1599" s="12">
        <v>0</v>
      </c>
      <c r="G1599" s="17">
        <v>0</v>
      </c>
      <c r="H1599" s="12">
        <v>0</v>
      </c>
    </row>
    <row r="1600" spans="1:8">
      <c r="A1600" s="44" t="s">
        <v>156</v>
      </c>
      <c r="B1600" s="44" t="s">
        <v>1014</v>
      </c>
      <c r="C1600" s="44" t="s">
        <v>1013</v>
      </c>
      <c r="D1600" s="11">
        <v>1</v>
      </c>
      <c r="E1600" s="12">
        <v>0</v>
      </c>
      <c r="F1600" s="12">
        <v>3</v>
      </c>
      <c r="G1600" s="17">
        <v>3</v>
      </c>
      <c r="H1600" s="12">
        <v>0</v>
      </c>
    </row>
    <row r="1601" spans="1:8">
      <c r="A1601" s="44" t="s">
        <v>156</v>
      </c>
      <c r="B1601" s="44" t="s">
        <v>1010</v>
      </c>
      <c r="C1601" s="44" t="s">
        <v>1009</v>
      </c>
      <c r="D1601" s="11">
        <v>0</v>
      </c>
      <c r="E1601" s="12">
        <v>0</v>
      </c>
      <c r="F1601" s="12">
        <v>0</v>
      </c>
      <c r="G1601" s="17">
        <v>0</v>
      </c>
      <c r="H1601" s="12">
        <v>0</v>
      </c>
    </row>
    <row r="1602" spans="1:8">
      <c r="A1602" s="44" t="s">
        <v>156</v>
      </c>
      <c r="B1602" s="44" t="s">
        <v>1012</v>
      </c>
      <c r="C1602" s="44" t="s">
        <v>1011</v>
      </c>
      <c r="D1602" s="11">
        <v>1</v>
      </c>
      <c r="E1602" s="12">
        <v>0</v>
      </c>
      <c r="F1602" s="12">
        <v>1</v>
      </c>
      <c r="G1602" s="17">
        <v>1</v>
      </c>
      <c r="H1602" s="12">
        <v>0</v>
      </c>
    </row>
    <row r="1603" spans="1:8">
      <c r="A1603" s="44" t="s">
        <v>155</v>
      </c>
      <c r="B1603" s="44" t="s">
        <v>967</v>
      </c>
      <c r="C1603" s="44" t="s">
        <v>161</v>
      </c>
      <c r="D1603" s="11">
        <v>0</v>
      </c>
      <c r="E1603" s="12">
        <v>0</v>
      </c>
      <c r="F1603" s="12">
        <v>0</v>
      </c>
      <c r="G1603" s="17">
        <v>0</v>
      </c>
      <c r="H1603" s="12">
        <v>0</v>
      </c>
    </row>
    <row r="1604" spans="1:8">
      <c r="A1604" s="44" t="s">
        <v>154</v>
      </c>
      <c r="B1604" s="44" t="s">
        <v>761</v>
      </c>
      <c r="C1604" s="44" t="s">
        <v>1656</v>
      </c>
      <c r="D1604" s="11">
        <v>1</v>
      </c>
      <c r="E1604" s="12">
        <v>0</v>
      </c>
      <c r="F1604" s="12">
        <v>24</v>
      </c>
      <c r="G1604" s="17">
        <v>18</v>
      </c>
      <c r="H1604" s="12">
        <v>0</v>
      </c>
    </row>
    <row r="1605" spans="1:8">
      <c r="A1605" s="44">
        <v>2613051451</v>
      </c>
      <c r="B1605" s="44" t="s">
        <v>1657</v>
      </c>
      <c r="C1605" s="44" t="s">
        <v>1658</v>
      </c>
      <c r="D1605" s="11">
        <v>1</v>
      </c>
      <c r="E1605" s="12">
        <v>0</v>
      </c>
      <c r="F1605" s="12">
        <v>0</v>
      </c>
      <c r="G1605" s="17">
        <v>11</v>
      </c>
      <c r="H1605" s="12">
        <v>11</v>
      </c>
    </row>
    <row r="1606" spans="1:8">
      <c r="A1606" s="44">
        <v>2613051451</v>
      </c>
      <c r="B1606" s="44" t="s">
        <v>1659</v>
      </c>
      <c r="C1606" s="44" t="s">
        <v>381</v>
      </c>
      <c r="D1606" s="11">
        <v>0</v>
      </c>
      <c r="E1606" s="12">
        <v>0</v>
      </c>
      <c r="F1606" s="12">
        <v>0</v>
      </c>
      <c r="G1606" s="17">
        <v>0</v>
      </c>
      <c r="H1606" s="12">
        <v>0</v>
      </c>
    </row>
    <row r="1607" spans="1:8">
      <c r="A1607" s="44" t="s">
        <v>152</v>
      </c>
      <c r="B1607" s="44" t="s">
        <v>1660</v>
      </c>
      <c r="C1607" s="44" t="s">
        <v>1661</v>
      </c>
      <c r="D1607" s="11">
        <v>1</v>
      </c>
      <c r="E1607" s="12">
        <v>0</v>
      </c>
      <c r="F1607" s="12">
        <v>0</v>
      </c>
      <c r="G1607" s="17">
        <v>2</v>
      </c>
      <c r="H1607" s="12">
        <v>2</v>
      </c>
    </row>
    <row r="1608" spans="1:8">
      <c r="A1608" s="44" t="s">
        <v>146</v>
      </c>
      <c r="B1608" s="44" t="s">
        <v>1662</v>
      </c>
      <c r="C1608" s="44" t="s">
        <v>1663</v>
      </c>
      <c r="D1608" s="11">
        <v>1</v>
      </c>
      <c r="E1608" s="12">
        <v>0</v>
      </c>
      <c r="F1608" s="12">
        <v>0</v>
      </c>
      <c r="G1608" s="17">
        <v>3</v>
      </c>
      <c r="H1608" s="12">
        <v>3</v>
      </c>
    </row>
    <row r="1609" spans="1:8">
      <c r="A1609" s="44">
        <v>2613052222</v>
      </c>
      <c r="B1609" s="44" t="s">
        <v>1664</v>
      </c>
      <c r="C1609" s="44" t="s">
        <v>1665</v>
      </c>
      <c r="D1609" s="11">
        <v>1</v>
      </c>
      <c r="E1609" s="12">
        <v>0</v>
      </c>
      <c r="F1609" s="12">
        <v>0</v>
      </c>
      <c r="G1609" s="17">
        <v>1</v>
      </c>
      <c r="H1609" s="12">
        <v>1</v>
      </c>
    </row>
    <row r="1610" spans="1:8">
      <c r="A1610" s="44">
        <v>2613051451</v>
      </c>
      <c r="B1610" s="44" t="s">
        <v>1666</v>
      </c>
      <c r="C1610" s="44" t="s">
        <v>1667</v>
      </c>
      <c r="D1610" s="11">
        <v>1</v>
      </c>
      <c r="E1610" s="12">
        <v>0</v>
      </c>
      <c r="F1610" s="12">
        <v>0</v>
      </c>
      <c r="G1610" s="17">
        <v>3</v>
      </c>
      <c r="H1610" s="12">
        <v>3</v>
      </c>
    </row>
    <row r="1611" spans="1:8">
      <c r="A1611" s="44" t="s">
        <v>153</v>
      </c>
      <c r="B1611" s="44" t="s">
        <v>1668</v>
      </c>
      <c r="C1611" s="44" t="s">
        <v>1669</v>
      </c>
      <c r="D1611" s="11">
        <v>0</v>
      </c>
      <c r="E1611" s="12">
        <v>0</v>
      </c>
      <c r="F1611" s="12">
        <v>0</v>
      </c>
      <c r="G1611" s="17">
        <v>0</v>
      </c>
      <c r="H1611" s="12">
        <v>0</v>
      </c>
    </row>
    <row r="1612" spans="1:8">
      <c r="A1612" s="11"/>
      <c r="B1612" s="11"/>
      <c r="C1612" s="11"/>
      <c r="D1612" s="11"/>
      <c r="E1612" s="12"/>
      <c r="F1612" s="17"/>
      <c r="G1612" s="17"/>
      <c r="H1612" s="12"/>
    </row>
    <row r="1613" spans="1:8">
      <c r="A1613" s="11"/>
      <c r="B1613" s="11"/>
      <c r="C1613" s="11"/>
      <c r="D1613" s="11"/>
      <c r="E1613" s="12"/>
      <c r="F1613" s="17"/>
      <c r="G1613" s="17"/>
      <c r="H1613" s="12"/>
    </row>
    <row r="1614" spans="1:8">
      <c r="A1614" s="11"/>
      <c r="B1614" s="11"/>
      <c r="C1614" s="11"/>
      <c r="D1614" s="11"/>
      <c r="E1614" s="12"/>
      <c r="F1614" s="17"/>
      <c r="G1614" s="17"/>
      <c r="H1614" s="12"/>
    </row>
    <row r="1615" spans="1:8">
      <c r="A1615" s="11"/>
      <c r="B1615" s="11"/>
      <c r="C1615" s="11"/>
      <c r="D1615" s="11"/>
      <c r="E1615" s="12"/>
      <c r="F1615" s="17"/>
      <c r="G1615" s="17"/>
      <c r="H1615" s="12"/>
    </row>
    <row r="1616" spans="1:8">
      <c r="A1616" s="11"/>
      <c r="B1616" s="11"/>
      <c r="C1616" s="11"/>
      <c r="D1616" s="11"/>
      <c r="E1616" s="12"/>
      <c r="F1616" s="17"/>
      <c r="G1616" s="17"/>
      <c r="H1616" s="12"/>
    </row>
    <row r="1617" spans="1:8">
      <c r="A1617" s="11"/>
      <c r="B1617" s="11"/>
      <c r="C1617" s="11"/>
      <c r="D1617" s="11"/>
      <c r="E1617" s="12"/>
      <c r="F1617" s="17"/>
      <c r="G1617" s="17"/>
      <c r="H1617" s="12"/>
    </row>
    <row r="1618" spans="1:8">
      <c r="A1618" s="11"/>
      <c r="B1618" s="11"/>
      <c r="C1618" s="11"/>
      <c r="D1618" s="11"/>
      <c r="E1618" s="12"/>
      <c r="F1618" s="17"/>
      <c r="G1618" s="17"/>
      <c r="H1618" s="12"/>
    </row>
    <row r="1619" spans="1:8">
      <c r="A1619" s="11"/>
      <c r="B1619" s="11"/>
      <c r="C1619" s="11"/>
      <c r="D1619" s="11"/>
      <c r="E1619" s="12"/>
      <c r="F1619" s="17"/>
      <c r="G1619" s="17"/>
      <c r="H1619" s="12"/>
    </row>
    <row r="1620" spans="1:8">
      <c r="A1620" s="11"/>
      <c r="B1620" s="11"/>
      <c r="C1620" s="11"/>
      <c r="D1620" s="11"/>
      <c r="E1620" s="12"/>
      <c r="F1620" s="17"/>
      <c r="G1620" s="17"/>
      <c r="H1620" s="12"/>
    </row>
    <row r="1621" spans="1:8">
      <c r="A1621" s="11"/>
      <c r="B1621" s="11"/>
      <c r="C1621" s="11"/>
      <c r="D1621" s="11"/>
      <c r="E1621" s="12"/>
      <c r="F1621" s="17"/>
      <c r="G1621" s="17"/>
      <c r="H1621" s="12"/>
    </row>
    <row r="1622" spans="1:8">
      <c r="A1622" s="11"/>
      <c r="B1622" s="11"/>
      <c r="C1622" s="11"/>
      <c r="D1622" s="11"/>
      <c r="E1622" s="12"/>
      <c r="F1622" s="17"/>
      <c r="G1622" s="17"/>
      <c r="H1622" s="12"/>
    </row>
    <row r="1623" spans="1:8">
      <c r="A1623" s="11"/>
      <c r="B1623" s="11"/>
      <c r="C1623" s="11"/>
      <c r="D1623" s="11"/>
      <c r="E1623" s="12"/>
      <c r="F1623" s="17"/>
      <c r="G1623" s="17"/>
      <c r="H1623" s="12"/>
    </row>
    <row r="1624" spans="1:8">
      <c r="A1624" s="11"/>
      <c r="B1624" s="11"/>
      <c r="C1624" s="11"/>
      <c r="D1624" s="11"/>
      <c r="E1624" s="12"/>
      <c r="F1624" s="17"/>
      <c r="G1624" s="17"/>
      <c r="H1624" s="12"/>
    </row>
    <row r="1625" spans="1:8">
      <c r="A1625" s="11"/>
      <c r="B1625" s="11"/>
      <c r="C1625" s="11"/>
      <c r="D1625" s="11"/>
      <c r="E1625" s="12"/>
      <c r="F1625" s="17"/>
      <c r="G1625" s="17"/>
      <c r="H1625" s="12"/>
    </row>
    <row r="1626" spans="1:8">
      <c r="A1626" s="11"/>
      <c r="B1626" s="11"/>
      <c r="C1626" s="11"/>
      <c r="D1626" s="11"/>
      <c r="E1626" s="12"/>
      <c r="F1626" s="17"/>
      <c r="G1626" s="17"/>
      <c r="H1626" s="12"/>
    </row>
    <row r="1627" spans="1:8">
      <c r="A1627" s="11"/>
      <c r="B1627" s="11"/>
      <c r="C1627" s="11"/>
      <c r="D1627" s="11"/>
      <c r="E1627" s="12"/>
      <c r="F1627" s="17"/>
      <c r="G1627" s="17"/>
      <c r="H1627" s="12"/>
    </row>
    <row r="1628" spans="1:8">
      <c r="A1628" s="11"/>
      <c r="B1628" s="11"/>
      <c r="C1628" s="11"/>
      <c r="D1628" s="11"/>
      <c r="E1628" s="12"/>
      <c r="F1628" s="17"/>
      <c r="G1628" s="17"/>
      <c r="H1628" s="12"/>
    </row>
    <row r="1629" spans="1:8">
      <c r="A1629" s="11"/>
      <c r="B1629" s="11"/>
      <c r="C1629" s="11"/>
      <c r="D1629" s="11"/>
      <c r="E1629" s="12"/>
      <c r="F1629" s="17"/>
      <c r="G1629" s="17"/>
      <c r="H1629" s="12"/>
    </row>
    <row r="1630" spans="1:8">
      <c r="A1630" s="11"/>
      <c r="B1630" s="11"/>
      <c r="C1630" s="11"/>
      <c r="D1630" s="11"/>
      <c r="E1630" s="12"/>
      <c r="F1630" s="17"/>
      <c r="G1630" s="17"/>
      <c r="H1630" s="12"/>
    </row>
    <row r="1631" spans="1:8">
      <c r="A1631" s="11"/>
      <c r="B1631" s="11"/>
      <c r="C1631" s="11"/>
      <c r="D1631" s="11"/>
      <c r="E1631" s="12"/>
      <c r="F1631" s="17"/>
      <c r="G1631" s="17"/>
      <c r="H1631" s="12"/>
    </row>
  </sheetData>
  <autoFilter ref="A1:K146" xr:uid="{F42E2FEA-7579-4105-BB5C-707DD11104C2}"/>
  <conditionalFormatting sqref="B1">
    <cfRule type="duplicateValues" dxfId="6" priority="6"/>
  </conditionalFormatting>
  <conditionalFormatting sqref="B1612:B1631">
    <cfRule type="duplicateValues" dxfId="5" priority="8"/>
  </conditionalFormatting>
  <conditionalFormatting sqref="D1">
    <cfRule type="containsText" dxfId="4" priority="5" operator="containsText" text="Outlet Telco">
      <formula>NOT(ISERROR(SEARCH("Outlet Telco",D1)))</formula>
    </cfRule>
  </conditionalFormatting>
  <conditionalFormatting sqref="D1612:D1631">
    <cfRule type="cellIs" dxfId="3" priority="4" operator="equal">
      <formula>1</formula>
    </cfRule>
  </conditionalFormatting>
  <conditionalFormatting sqref="B2:B1611">
    <cfRule type="duplicateValues" dxfId="2" priority="3"/>
  </conditionalFormatting>
  <conditionalFormatting sqref="D2:D161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TARGET</vt:lpstr>
      <vt:lpstr>OSA | 3GB</vt:lpstr>
      <vt:lpstr>BIO WAHYU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</dc:creator>
  <cp:lastModifiedBy>AMN</cp:lastModifiedBy>
  <dcterms:created xsi:type="dcterms:W3CDTF">2026-07-18T05:26:14Z</dcterms:created>
  <dcterms:modified xsi:type="dcterms:W3CDTF">2026-08-18T07:25:23Z</dcterms:modified>
</cp:coreProperties>
</file>